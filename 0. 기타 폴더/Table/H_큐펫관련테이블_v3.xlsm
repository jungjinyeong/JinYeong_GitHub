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lan\Table\"/>
    </mc:Choice>
  </mc:AlternateContent>
  <xr:revisionPtr revIDLastSave="0" documentId="8_{0E03D3F4-CF61-4AE9-AE39-13FBD857EFD0}" xr6:coauthVersionLast="46" xr6:coauthVersionMax="46" xr10:uidLastSave="{00000000-0000-0000-0000-000000000000}"/>
  <bookViews>
    <workbookView xWindow="-120" yWindow="-120" windowWidth="29040" windowHeight="15840" xr2:uid="{0188B4A6-F7CF-4E23-AAFD-675CB88FDF24}"/>
    <workbookView xWindow="-120" yWindow="-120" windowWidth="29040" windowHeight="15840" activeTab="6" xr2:uid="{D58395E0-44C3-417F-ACDF-C59B8E206702}"/>
  </bookViews>
  <sheets>
    <sheet name="011.큐펫테이블" sheetId="1" r:id="rId1"/>
    <sheet name="Sheet1" sheetId="8" r:id="rId2"/>
    <sheet name="019.큐펫세트효과테이블" sheetId="3" r:id="rId3"/>
    <sheet name="027.패널확률테이블" sheetId="4" r:id="rId4"/>
    <sheet name="CupetList" sheetId="6" r:id="rId5"/>
    <sheet name="CupetTierList" sheetId="7" r:id="rId6"/>
    <sheet name="큐펫&amp;몹 정리(최신)" sheetId="5" r:id="rId7"/>
    <sheet name="Ref" sheetId="2" r:id="rId8"/>
  </sheets>
  <definedNames>
    <definedName name="_xlnm._FilterDatabase" localSheetId="0" hidden="1">'011.큐펫테이블'!$A$1:$BD$490</definedName>
    <definedName name="_xlnm._FilterDatabase" localSheetId="6" hidden="1">'큐펫&amp;몹 정리(최신)'!$Q$1:$Q$150</definedName>
  </definedNames>
  <calcPr calcId="191029"/>
  <fileRecoveryPr repairLoad="1"/>
</workbook>
</file>

<file path=xl/calcChain.xml><?xml version="1.0" encoding="utf-8"?>
<calcChain xmlns="http://schemas.openxmlformats.org/spreadsheetml/2006/main">
  <c r="K2" i="1" l="1"/>
  <c r="L2" i="1"/>
  <c r="M2" i="1"/>
  <c r="N2" i="1"/>
  <c r="O2" i="1"/>
  <c r="K3" i="1"/>
  <c r="L3" i="1"/>
  <c r="M3" i="1"/>
  <c r="N3" i="1"/>
  <c r="O3" i="1"/>
  <c r="K4" i="1"/>
  <c r="L4" i="1"/>
  <c r="M4" i="1"/>
  <c r="N4" i="1"/>
  <c r="O4" i="1"/>
  <c r="K5" i="1"/>
  <c r="L5" i="1"/>
  <c r="M5" i="1"/>
  <c r="N5" i="1"/>
  <c r="O5" i="1"/>
  <c r="K6" i="1"/>
  <c r="L6" i="1"/>
  <c r="M6" i="1"/>
  <c r="N6" i="1"/>
  <c r="O6" i="1"/>
  <c r="K7" i="1"/>
  <c r="L7" i="1"/>
  <c r="M7" i="1"/>
  <c r="N7" i="1"/>
  <c r="O7" i="1"/>
  <c r="K372" i="1"/>
  <c r="K373" i="1"/>
  <c r="K374" i="1"/>
  <c r="K375" i="1"/>
  <c r="K376" i="1"/>
  <c r="K332" i="1"/>
  <c r="K333" i="1"/>
  <c r="K334" i="1"/>
  <c r="K335" i="1"/>
  <c r="K336" i="1"/>
  <c r="K232" i="1"/>
  <c r="L232" i="1"/>
  <c r="M232" i="1"/>
  <c r="N232" i="1"/>
  <c r="O232" i="1"/>
  <c r="K233" i="1"/>
  <c r="L233" i="1"/>
  <c r="M233" i="1"/>
  <c r="N233" i="1"/>
  <c r="O233" i="1"/>
  <c r="K234" i="1"/>
  <c r="L234" i="1"/>
  <c r="M234" i="1"/>
  <c r="N234" i="1"/>
  <c r="O234" i="1"/>
  <c r="K235" i="1"/>
  <c r="L235" i="1"/>
  <c r="M235" i="1"/>
  <c r="N235" i="1"/>
  <c r="O235" i="1"/>
  <c r="K236" i="1"/>
  <c r="L236" i="1"/>
  <c r="M236" i="1"/>
  <c r="N236" i="1"/>
  <c r="O236" i="1"/>
  <c r="K9" i="1"/>
  <c r="L9" i="1"/>
  <c r="M9" i="1"/>
  <c r="N9" i="1"/>
  <c r="O9" i="1"/>
  <c r="K10" i="1"/>
  <c r="L10" i="1"/>
  <c r="M10" i="1"/>
  <c r="N10" i="1"/>
  <c r="O10" i="1"/>
  <c r="K11" i="1"/>
  <c r="L11" i="1"/>
  <c r="M11" i="1"/>
  <c r="N11" i="1"/>
  <c r="O11" i="1"/>
  <c r="K12" i="1"/>
  <c r="L12" i="1"/>
  <c r="M12" i="1"/>
  <c r="N12" i="1"/>
  <c r="O12" i="1"/>
  <c r="K13" i="1"/>
  <c r="L13" i="1"/>
  <c r="M13" i="1"/>
  <c r="N13" i="1"/>
  <c r="O13" i="1"/>
  <c r="K14" i="1"/>
  <c r="L14" i="1"/>
  <c r="M14" i="1"/>
  <c r="N14" i="1"/>
  <c r="O14" i="1"/>
  <c r="K15" i="1"/>
  <c r="L15" i="1"/>
  <c r="M15" i="1"/>
  <c r="N15" i="1"/>
  <c r="O15" i="1"/>
  <c r="K16" i="1"/>
  <c r="L16" i="1"/>
  <c r="M16" i="1"/>
  <c r="N16" i="1"/>
  <c r="O16" i="1"/>
  <c r="K17" i="1"/>
  <c r="L17" i="1"/>
  <c r="M17" i="1"/>
  <c r="N17" i="1"/>
  <c r="O17" i="1"/>
  <c r="K18" i="1"/>
  <c r="L18" i="1"/>
  <c r="M18" i="1"/>
  <c r="N18" i="1"/>
  <c r="O18" i="1"/>
  <c r="K19" i="1"/>
  <c r="L19" i="1"/>
  <c r="M19" i="1"/>
  <c r="N19" i="1"/>
  <c r="O19" i="1"/>
  <c r="K20" i="1"/>
  <c r="L20" i="1"/>
  <c r="M20" i="1"/>
  <c r="N20" i="1"/>
  <c r="O20" i="1"/>
  <c r="K21" i="1"/>
  <c r="L21" i="1"/>
  <c r="M21" i="1"/>
  <c r="N21" i="1"/>
  <c r="O21" i="1"/>
  <c r="K22" i="1"/>
  <c r="L22" i="1"/>
  <c r="M22" i="1"/>
  <c r="N22" i="1"/>
  <c r="O22" i="1"/>
  <c r="K23" i="1"/>
  <c r="L23" i="1"/>
  <c r="M23" i="1"/>
  <c r="N23" i="1"/>
  <c r="O23" i="1"/>
  <c r="K24" i="1"/>
  <c r="L24" i="1"/>
  <c r="M24" i="1"/>
  <c r="N24" i="1"/>
  <c r="O24" i="1"/>
  <c r="K25" i="1"/>
  <c r="L25" i="1"/>
  <c r="M25" i="1"/>
  <c r="N25" i="1"/>
  <c r="O25" i="1"/>
  <c r="K26" i="1"/>
  <c r="L26" i="1"/>
  <c r="M26" i="1"/>
  <c r="N26" i="1"/>
  <c r="O26" i="1"/>
  <c r="K27" i="1"/>
  <c r="L27" i="1"/>
  <c r="M27" i="1"/>
  <c r="N27" i="1"/>
  <c r="O27" i="1"/>
  <c r="K28" i="1"/>
  <c r="L28" i="1"/>
  <c r="M28" i="1"/>
  <c r="N28" i="1"/>
  <c r="O28" i="1"/>
  <c r="K29" i="1"/>
  <c r="L29" i="1"/>
  <c r="M29" i="1"/>
  <c r="N29" i="1"/>
  <c r="O29" i="1"/>
  <c r="K30" i="1"/>
  <c r="L30" i="1"/>
  <c r="M30" i="1"/>
  <c r="N30" i="1"/>
  <c r="O30" i="1"/>
  <c r="K31" i="1"/>
  <c r="L31" i="1"/>
  <c r="M31" i="1"/>
  <c r="N31" i="1"/>
  <c r="O31" i="1"/>
  <c r="K32" i="1"/>
  <c r="L32" i="1"/>
  <c r="M32" i="1"/>
  <c r="N32" i="1"/>
  <c r="O32" i="1"/>
  <c r="K33" i="1"/>
  <c r="L33" i="1"/>
  <c r="M33" i="1"/>
  <c r="N33" i="1"/>
  <c r="O33" i="1"/>
  <c r="K34" i="1"/>
  <c r="L34" i="1"/>
  <c r="M34" i="1"/>
  <c r="N34" i="1"/>
  <c r="O34" i="1"/>
  <c r="K35" i="1"/>
  <c r="L35" i="1"/>
  <c r="M35" i="1"/>
  <c r="N35" i="1"/>
  <c r="O35" i="1"/>
  <c r="K36" i="1"/>
  <c r="L36" i="1"/>
  <c r="M36" i="1"/>
  <c r="N36" i="1"/>
  <c r="O36" i="1"/>
  <c r="K37" i="1"/>
  <c r="L37" i="1"/>
  <c r="M37" i="1"/>
  <c r="N37" i="1"/>
  <c r="O37" i="1"/>
  <c r="K38" i="1"/>
  <c r="L38" i="1"/>
  <c r="M38" i="1"/>
  <c r="N38" i="1"/>
  <c r="O38" i="1"/>
  <c r="K39" i="1"/>
  <c r="L39" i="1"/>
  <c r="M39" i="1"/>
  <c r="N39" i="1"/>
  <c r="O39" i="1"/>
  <c r="K40" i="1"/>
  <c r="L40" i="1"/>
  <c r="M40" i="1"/>
  <c r="N40" i="1"/>
  <c r="O40" i="1"/>
  <c r="K41" i="1"/>
  <c r="L41" i="1"/>
  <c r="M41" i="1"/>
  <c r="N41" i="1"/>
  <c r="O41" i="1"/>
  <c r="K42" i="1"/>
  <c r="L42" i="1"/>
  <c r="M42" i="1"/>
  <c r="N42" i="1"/>
  <c r="O42" i="1"/>
  <c r="K43" i="1"/>
  <c r="L43" i="1"/>
  <c r="M43" i="1"/>
  <c r="N43" i="1"/>
  <c r="O43" i="1"/>
  <c r="K44" i="1"/>
  <c r="L44" i="1"/>
  <c r="M44" i="1"/>
  <c r="N44" i="1"/>
  <c r="O44" i="1"/>
  <c r="K45" i="1"/>
  <c r="L45" i="1"/>
  <c r="M45" i="1"/>
  <c r="N45" i="1"/>
  <c r="O45" i="1"/>
  <c r="K46" i="1"/>
  <c r="L46" i="1"/>
  <c r="M46" i="1"/>
  <c r="N46" i="1"/>
  <c r="O46" i="1"/>
  <c r="K47" i="1"/>
  <c r="L47" i="1"/>
  <c r="M47" i="1"/>
  <c r="N47" i="1"/>
  <c r="O47" i="1"/>
  <c r="K48" i="1"/>
  <c r="L48" i="1"/>
  <c r="M48" i="1"/>
  <c r="N48" i="1"/>
  <c r="O48" i="1"/>
  <c r="K49" i="1"/>
  <c r="L49" i="1"/>
  <c r="M49" i="1"/>
  <c r="N49" i="1"/>
  <c r="O49" i="1"/>
  <c r="K50" i="1"/>
  <c r="L50" i="1"/>
  <c r="M50" i="1"/>
  <c r="N50" i="1"/>
  <c r="O50" i="1"/>
  <c r="K51" i="1"/>
  <c r="L51" i="1"/>
  <c r="M51" i="1"/>
  <c r="N51" i="1"/>
  <c r="O51" i="1"/>
  <c r="K52" i="1"/>
  <c r="L52" i="1"/>
  <c r="M52" i="1"/>
  <c r="N52" i="1"/>
  <c r="O52" i="1"/>
  <c r="K53" i="1"/>
  <c r="L53" i="1"/>
  <c r="M53" i="1"/>
  <c r="N53" i="1"/>
  <c r="O53" i="1"/>
  <c r="K54" i="1"/>
  <c r="L54" i="1"/>
  <c r="M54" i="1"/>
  <c r="N54" i="1"/>
  <c r="O54" i="1"/>
  <c r="K55" i="1"/>
  <c r="L55" i="1"/>
  <c r="M55" i="1"/>
  <c r="N55" i="1"/>
  <c r="O55" i="1"/>
  <c r="K56" i="1"/>
  <c r="L56" i="1"/>
  <c r="M56" i="1"/>
  <c r="N56" i="1"/>
  <c r="O56" i="1"/>
  <c r="K57" i="1"/>
  <c r="L57" i="1"/>
  <c r="M57" i="1"/>
  <c r="N57" i="1"/>
  <c r="O57" i="1"/>
  <c r="K58" i="1"/>
  <c r="L58" i="1"/>
  <c r="M58" i="1"/>
  <c r="N58" i="1"/>
  <c r="O58" i="1"/>
  <c r="K59" i="1"/>
  <c r="L59" i="1"/>
  <c r="M59" i="1"/>
  <c r="N59" i="1"/>
  <c r="O59" i="1"/>
  <c r="K60" i="1"/>
  <c r="L60" i="1"/>
  <c r="M60" i="1"/>
  <c r="N60" i="1"/>
  <c r="O60" i="1"/>
  <c r="K61" i="1"/>
  <c r="L61" i="1"/>
  <c r="M61" i="1"/>
  <c r="N61" i="1"/>
  <c r="O61" i="1"/>
  <c r="K62" i="1"/>
  <c r="L62" i="1"/>
  <c r="M62" i="1"/>
  <c r="N62" i="1"/>
  <c r="O62" i="1"/>
  <c r="K63" i="1"/>
  <c r="L63" i="1"/>
  <c r="M63" i="1"/>
  <c r="N63" i="1"/>
  <c r="O63" i="1"/>
  <c r="K64" i="1"/>
  <c r="L64" i="1"/>
  <c r="M64" i="1"/>
  <c r="N64" i="1"/>
  <c r="O64" i="1"/>
  <c r="K65" i="1"/>
  <c r="L65" i="1"/>
  <c r="M65" i="1"/>
  <c r="N65" i="1"/>
  <c r="O65" i="1"/>
  <c r="K66" i="1"/>
  <c r="L66" i="1"/>
  <c r="M66" i="1"/>
  <c r="N66" i="1"/>
  <c r="O66" i="1"/>
  <c r="K67" i="1"/>
  <c r="L67" i="1"/>
  <c r="M67" i="1"/>
  <c r="N67" i="1"/>
  <c r="O67" i="1"/>
  <c r="K68" i="1"/>
  <c r="L68" i="1"/>
  <c r="M68" i="1"/>
  <c r="N68" i="1"/>
  <c r="O68" i="1"/>
  <c r="K69" i="1"/>
  <c r="L69" i="1"/>
  <c r="M69" i="1"/>
  <c r="N69" i="1"/>
  <c r="O69" i="1"/>
  <c r="K70" i="1"/>
  <c r="L70" i="1"/>
  <c r="M70" i="1"/>
  <c r="N70" i="1"/>
  <c r="O70" i="1"/>
  <c r="K71" i="1"/>
  <c r="L71" i="1"/>
  <c r="M71" i="1"/>
  <c r="N71" i="1"/>
  <c r="O71" i="1"/>
  <c r="K72" i="1"/>
  <c r="L72" i="1"/>
  <c r="M72" i="1"/>
  <c r="N72" i="1"/>
  <c r="O72" i="1"/>
  <c r="K73" i="1"/>
  <c r="L73" i="1"/>
  <c r="M73" i="1"/>
  <c r="N73" i="1"/>
  <c r="O73" i="1"/>
  <c r="K74" i="1"/>
  <c r="L74" i="1"/>
  <c r="M74" i="1"/>
  <c r="N74" i="1"/>
  <c r="O74" i="1"/>
  <c r="K75" i="1"/>
  <c r="L75" i="1"/>
  <c r="M75" i="1"/>
  <c r="N75" i="1"/>
  <c r="O75" i="1"/>
  <c r="K76" i="1"/>
  <c r="L76" i="1"/>
  <c r="M76" i="1"/>
  <c r="N76" i="1"/>
  <c r="O76" i="1"/>
  <c r="K77" i="1"/>
  <c r="L77" i="1"/>
  <c r="M77" i="1"/>
  <c r="N77" i="1"/>
  <c r="O77" i="1"/>
  <c r="K78" i="1"/>
  <c r="L78" i="1"/>
  <c r="M78" i="1"/>
  <c r="N78" i="1"/>
  <c r="O78" i="1"/>
  <c r="K79" i="1"/>
  <c r="L79" i="1"/>
  <c r="M79" i="1"/>
  <c r="N79" i="1"/>
  <c r="O79" i="1"/>
  <c r="K80" i="1"/>
  <c r="L80" i="1"/>
  <c r="M80" i="1"/>
  <c r="N80" i="1"/>
  <c r="O80" i="1"/>
  <c r="K81" i="1"/>
  <c r="L81" i="1"/>
  <c r="M81" i="1"/>
  <c r="N81" i="1"/>
  <c r="O81" i="1"/>
  <c r="K82" i="1"/>
  <c r="L82" i="1"/>
  <c r="M82" i="1"/>
  <c r="N82" i="1"/>
  <c r="O82" i="1"/>
  <c r="K83" i="1"/>
  <c r="L83" i="1"/>
  <c r="M83" i="1"/>
  <c r="N83" i="1"/>
  <c r="O83" i="1"/>
  <c r="K84" i="1"/>
  <c r="L84" i="1"/>
  <c r="M84" i="1"/>
  <c r="N84" i="1"/>
  <c r="O84" i="1"/>
  <c r="K85" i="1"/>
  <c r="L85" i="1"/>
  <c r="M85" i="1"/>
  <c r="N85" i="1"/>
  <c r="O85" i="1"/>
  <c r="K86" i="1"/>
  <c r="L86" i="1"/>
  <c r="M86" i="1"/>
  <c r="N86" i="1"/>
  <c r="O86" i="1"/>
  <c r="K87" i="1"/>
  <c r="L87" i="1"/>
  <c r="M87" i="1"/>
  <c r="N87" i="1"/>
  <c r="O87" i="1"/>
  <c r="K88" i="1"/>
  <c r="L88" i="1"/>
  <c r="M88" i="1"/>
  <c r="N88" i="1"/>
  <c r="O88" i="1"/>
  <c r="K89" i="1"/>
  <c r="L89" i="1"/>
  <c r="M89" i="1"/>
  <c r="N89" i="1"/>
  <c r="O89" i="1"/>
  <c r="K90" i="1"/>
  <c r="L90" i="1"/>
  <c r="M90" i="1"/>
  <c r="N90" i="1"/>
  <c r="O90" i="1"/>
  <c r="K91" i="1"/>
  <c r="L91" i="1"/>
  <c r="M91" i="1"/>
  <c r="N91" i="1"/>
  <c r="O91" i="1"/>
  <c r="K92" i="1"/>
  <c r="L92" i="1"/>
  <c r="M92" i="1"/>
  <c r="N92" i="1"/>
  <c r="O92" i="1"/>
  <c r="K93" i="1"/>
  <c r="L93" i="1"/>
  <c r="M93" i="1"/>
  <c r="N93" i="1"/>
  <c r="O93" i="1"/>
  <c r="K94" i="1"/>
  <c r="L94" i="1"/>
  <c r="M94" i="1"/>
  <c r="N94" i="1"/>
  <c r="O94" i="1"/>
  <c r="K95" i="1"/>
  <c r="L95" i="1"/>
  <c r="M95" i="1"/>
  <c r="N95" i="1"/>
  <c r="O95" i="1"/>
  <c r="K96" i="1"/>
  <c r="L96" i="1"/>
  <c r="M96" i="1"/>
  <c r="N96" i="1"/>
  <c r="O96" i="1"/>
  <c r="K97" i="1"/>
  <c r="L97" i="1"/>
  <c r="M97" i="1"/>
  <c r="N97" i="1"/>
  <c r="O97" i="1"/>
  <c r="K98" i="1"/>
  <c r="L98" i="1"/>
  <c r="M98" i="1"/>
  <c r="N98" i="1"/>
  <c r="O98" i="1"/>
  <c r="K99" i="1"/>
  <c r="L99" i="1"/>
  <c r="M99" i="1"/>
  <c r="N99" i="1"/>
  <c r="O99" i="1"/>
  <c r="K100" i="1"/>
  <c r="L100" i="1"/>
  <c r="M100" i="1"/>
  <c r="N100" i="1"/>
  <c r="O100" i="1"/>
  <c r="K101" i="1"/>
  <c r="L101" i="1"/>
  <c r="M101" i="1"/>
  <c r="N101" i="1"/>
  <c r="O101" i="1"/>
  <c r="K102" i="1"/>
  <c r="L102" i="1"/>
  <c r="M102" i="1"/>
  <c r="N102" i="1"/>
  <c r="O102" i="1"/>
  <c r="K103" i="1"/>
  <c r="L103" i="1"/>
  <c r="M103" i="1"/>
  <c r="N103" i="1"/>
  <c r="O103" i="1"/>
  <c r="K104" i="1"/>
  <c r="L104" i="1"/>
  <c r="M104" i="1"/>
  <c r="N104" i="1"/>
  <c r="O104" i="1"/>
  <c r="K105" i="1"/>
  <c r="L105" i="1"/>
  <c r="M105" i="1"/>
  <c r="N105" i="1"/>
  <c r="O105" i="1"/>
  <c r="K106" i="1"/>
  <c r="L106" i="1"/>
  <c r="M106" i="1"/>
  <c r="N106" i="1"/>
  <c r="O106" i="1"/>
  <c r="K107" i="1"/>
  <c r="L107" i="1"/>
  <c r="M107" i="1"/>
  <c r="N107" i="1"/>
  <c r="O107" i="1"/>
  <c r="K108" i="1"/>
  <c r="L108" i="1"/>
  <c r="M108" i="1"/>
  <c r="N108" i="1"/>
  <c r="O108" i="1"/>
  <c r="K109" i="1"/>
  <c r="L109" i="1"/>
  <c r="M109" i="1"/>
  <c r="N109" i="1"/>
  <c r="O109" i="1"/>
  <c r="K110" i="1"/>
  <c r="L110" i="1"/>
  <c r="M110" i="1"/>
  <c r="N110" i="1"/>
  <c r="O110" i="1"/>
  <c r="K111" i="1"/>
  <c r="L111" i="1"/>
  <c r="M111" i="1"/>
  <c r="N111" i="1"/>
  <c r="O111" i="1"/>
  <c r="K112" i="1"/>
  <c r="L112" i="1"/>
  <c r="M112" i="1"/>
  <c r="N112" i="1"/>
  <c r="O112" i="1"/>
  <c r="K113" i="1"/>
  <c r="L113" i="1"/>
  <c r="M113" i="1"/>
  <c r="N113" i="1"/>
  <c r="O113" i="1"/>
  <c r="K114" i="1"/>
  <c r="L114" i="1"/>
  <c r="M114" i="1"/>
  <c r="N114" i="1"/>
  <c r="O114" i="1"/>
  <c r="K115" i="1"/>
  <c r="L115" i="1"/>
  <c r="M115" i="1"/>
  <c r="N115" i="1"/>
  <c r="O115" i="1"/>
  <c r="K116" i="1"/>
  <c r="L116" i="1"/>
  <c r="M116" i="1"/>
  <c r="N116" i="1"/>
  <c r="O116" i="1"/>
  <c r="K117" i="1"/>
  <c r="L117" i="1"/>
  <c r="M117" i="1"/>
  <c r="N117" i="1"/>
  <c r="O117" i="1"/>
  <c r="K118" i="1"/>
  <c r="L118" i="1"/>
  <c r="M118" i="1"/>
  <c r="N118" i="1"/>
  <c r="O118" i="1"/>
  <c r="K119" i="1"/>
  <c r="L119" i="1"/>
  <c r="M119" i="1"/>
  <c r="N119" i="1"/>
  <c r="O119" i="1"/>
  <c r="K120" i="1"/>
  <c r="L120" i="1"/>
  <c r="M120" i="1"/>
  <c r="N120" i="1"/>
  <c r="O120" i="1"/>
  <c r="K121" i="1"/>
  <c r="L121" i="1"/>
  <c r="M121" i="1"/>
  <c r="N121" i="1"/>
  <c r="O121" i="1"/>
  <c r="K122" i="1"/>
  <c r="L122" i="1"/>
  <c r="M122" i="1"/>
  <c r="N122" i="1"/>
  <c r="O122" i="1"/>
  <c r="K123" i="1"/>
  <c r="L123" i="1"/>
  <c r="M123" i="1"/>
  <c r="N123" i="1"/>
  <c r="O123" i="1"/>
  <c r="K124" i="1"/>
  <c r="L124" i="1"/>
  <c r="M124" i="1"/>
  <c r="N124" i="1"/>
  <c r="O124" i="1"/>
  <c r="K125" i="1"/>
  <c r="L125" i="1"/>
  <c r="M125" i="1"/>
  <c r="N125" i="1"/>
  <c r="O125" i="1"/>
  <c r="K126" i="1"/>
  <c r="L126" i="1"/>
  <c r="M126" i="1"/>
  <c r="N126" i="1"/>
  <c r="O126" i="1"/>
  <c r="K127" i="1"/>
  <c r="L127" i="1"/>
  <c r="M127" i="1"/>
  <c r="N127" i="1"/>
  <c r="O127" i="1"/>
  <c r="K128" i="1"/>
  <c r="L128" i="1"/>
  <c r="M128" i="1"/>
  <c r="N128" i="1"/>
  <c r="O128" i="1"/>
  <c r="K129" i="1"/>
  <c r="L129" i="1"/>
  <c r="M129" i="1"/>
  <c r="N129" i="1"/>
  <c r="O129" i="1"/>
  <c r="K130" i="1"/>
  <c r="L130" i="1"/>
  <c r="M130" i="1"/>
  <c r="N130" i="1"/>
  <c r="O130" i="1"/>
  <c r="K131" i="1"/>
  <c r="L131" i="1"/>
  <c r="M131" i="1"/>
  <c r="N131" i="1"/>
  <c r="O131" i="1"/>
  <c r="K132" i="1"/>
  <c r="L132" i="1"/>
  <c r="M132" i="1"/>
  <c r="N132" i="1"/>
  <c r="O132" i="1"/>
  <c r="K133" i="1"/>
  <c r="L133" i="1"/>
  <c r="M133" i="1"/>
  <c r="N133" i="1"/>
  <c r="O133" i="1"/>
  <c r="K134" i="1"/>
  <c r="L134" i="1"/>
  <c r="M134" i="1"/>
  <c r="N134" i="1"/>
  <c r="O134" i="1"/>
  <c r="K135" i="1"/>
  <c r="L135" i="1"/>
  <c r="M135" i="1"/>
  <c r="N135" i="1"/>
  <c r="O135" i="1"/>
  <c r="K136" i="1"/>
  <c r="L136" i="1"/>
  <c r="M136" i="1"/>
  <c r="N136" i="1"/>
  <c r="O136" i="1"/>
  <c r="K137" i="1"/>
  <c r="L137" i="1"/>
  <c r="M137" i="1"/>
  <c r="N137" i="1"/>
  <c r="O137" i="1"/>
  <c r="K138" i="1"/>
  <c r="L138" i="1"/>
  <c r="M138" i="1"/>
  <c r="N138" i="1"/>
  <c r="O138" i="1"/>
  <c r="K139" i="1"/>
  <c r="L139" i="1"/>
  <c r="M139" i="1"/>
  <c r="N139" i="1"/>
  <c r="O139" i="1"/>
  <c r="K140" i="1"/>
  <c r="L140" i="1"/>
  <c r="M140" i="1"/>
  <c r="N140" i="1"/>
  <c r="O140" i="1"/>
  <c r="K141" i="1"/>
  <c r="L141" i="1"/>
  <c r="M141" i="1"/>
  <c r="N141" i="1"/>
  <c r="O141" i="1"/>
  <c r="K142" i="1"/>
  <c r="L142" i="1"/>
  <c r="M142" i="1"/>
  <c r="N142" i="1"/>
  <c r="O142" i="1"/>
  <c r="K143" i="1"/>
  <c r="L143" i="1"/>
  <c r="M143" i="1"/>
  <c r="N143" i="1"/>
  <c r="O143" i="1"/>
  <c r="K144" i="1"/>
  <c r="L144" i="1"/>
  <c r="M144" i="1"/>
  <c r="N144" i="1"/>
  <c r="O144" i="1"/>
  <c r="K145" i="1"/>
  <c r="L145" i="1"/>
  <c r="M145" i="1"/>
  <c r="N145" i="1"/>
  <c r="O145" i="1"/>
  <c r="K146" i="1"/>
  <c r="L146" i="1"/>
  <c r="M146" i="1"/>
  <c r="N146" i="1"/>
  <c r="O146" i="1"/>
  <c r="K147" i="1"/>
  <c r="L147" i="1"/>
  <c r="M147" i="1"/>
  <c r="N147" i="1"/>
  <c r="O147" i="1"/>
  <c r="K148" i="1"/>
  <c r="L148" i="1"/>
  <c r="M148" i="1"/>
  <c r="N148" i="1"/>
  <c r="O148" i="1"/>
  <c r="K149" i="1"/>
  <c r="L149" i="1"/>
  <c r="M149" i="1"/>
  <c r="N149" i="1"/>
  <c r="O149" i="1"/>
  <c r="K150" i="1"/>
  <c r="L150" i="1"/>
  <c r="M150" i="1"/>
  <c r="N150" i="1"/>
  <c r="O150" i="1"/>
  <c r="K151" i="1"/>
  <c r="L151" i="1"/>
  <c r="M151" i="1"/>
  <c r="N151" i="1"/>
  <c r="O151" i="1"/>
  <c r="K152" i="1"/>
  <c r="L152" i="1"/>
  <c r="M152" i="1"/>
  <c r="N152" i="1"/>
  <c r="O152" i="1"/>
  <c r="K153" i="1"/>
  <c r="L153" i="1"/>
  <c r="M153" i="1"/>
  <c r="N153" i="1"/>
  <c r="O153" i="1"/>
  <c r="K154" i="1"/>
  <c r="L154" i="1"/>
  <c r="M154" i="1"/>
  <c r="N154" i="1"/>
  <c r="O154" i="1"/>
  <c r="K155" i="1"/>
  <c r="L155" i="1"/>
  <c r="M155" i="1"/>
  <c r="N155" i="1"/>
  <c r="O155" i="1"/>
  <c r="K156" i="1"/>
  <c r="L156" i="1"/>
  <c r="M156" i="1"/>
  <c r="N156" i="1"/>
  <c r="O156" i="1"/>
  <c r="K157" i="1"/>
  <c r="L157" i="1"/>
  <c r="M157" i="1"/>
  <c r="N157" i="1"/>
  <c r="O157" i="1"/>
  <c r="K158" i="1"/>
  <c r="L158" i="1"/>
  <c r="M158" i="1"/>
  <c r="N158" i="1"/>
  <c r="O158" i="1"/>
  <c r="K159" i="1"/>
  <c r="L159" i="1"/>
  <c r="M159" i="1"/>
  <c r="N159" i="1"/>
  <c r="O159" i="1"/>
  <c r="K160" i="1"/>
  <c r="L160" i="1"/>
  <c r="M160" i="1"/>
  <c r="N160" i="1"/>
  <c r="O160" i="1"/>
  <c r="K161" i="1"/>
  <c r="L161" i="1"/>
  <c r="M161" i="1"/>
  <c r="N161" i="1"/>
  <c r="O161" i="1"/>
  <c r="K162" i="1"/>
  <c r="L162" i="1"/>
  <c r="M162" i="1"/>
  <c r="N162" i="1"/>
  <c r="O162" i="1"/>
  <c r="K163" i="1"/>
  <c r="L163" i="1"/>
  <c r="M163" i="1"/>
  <c r="N163" i="1"/>
  <c r="O163" i="1"/>
  <c r="K164" i="1"/>
  <c r="L164" i="1"/>
  <c r="M164" i="1"/>
  <c r="N164" i="1"/>
  <c r="O164" i="1"/>
  <c r="K165" i="1"/>
  <c r="L165" i="1"/>
  <c r="M165" i="1"/>
  <c r="N165" i="1"/>
  <c r="O165" i="1"/>
  <c r="K166" i="1"/>
  <c r="L166" i="1"/>
  <c r="M166" i="1"/>
  <c r="N166" i="1"/>
  <c r="O166" i="1"/>
  <c r="K167" i="1"/>
  <c r="L167" i="1"/>
  <c r="M167" i="1"/>
  <c r="N167" i="1"/>
  <c r="O167" i="1"/>
  <c r="K168" i="1"/>
  <c r="L168" i="1"/>
  <c r="M168" i="1"/>
  <c r="N168" i="1"/>
  <c r="O168" i="1"/>
  <c r="K169" i="1"/>
  <c r="L169" i="1"/>
  <c r="M169" i="1"/>
  <c r="N169" i="1"/>
  <c r="O169" i="1"/>
  <c r="K170" i="1"/>
  <c r="L170" i="1"/>
  <c r="M170" i="1"/>
  <c r="N170" i="1"/>
  <c r="O170" i="1"/>
  <c r="K171" i="1"/>
  <c r="L171" i="1"/>
  <c r="M171" i="1"/>
  <c r="N171" i="1"/>
  <c r="O171" i="1"/>
  <c r="K172" i="1"/>
  <c r="L172" i="1"/>
  <c r="M172" i="1"/>
  <c r="N172" i="1"/>
  <c r="O172" i="1"/>
  <c r="K173" i="1"/>
  <c r="L173" i="1"/>
  <c r="M173" i="1"/>
  <c r="N173" i="1"/>
  <c r="O173" i="1"/>
  <c r="K174" i="1"/>
  <c r="L174" i="1"/>
  <c r="M174" i="1"/>
  <c r="N174" i="1"/>
  <c r="O174" i="1"/>
  <c r="K175" i="1"/>
  <c r="L175" i="1"/>
  <c r="M175" i="1"/>
  <c r="N175" i="1"/>
  <c r="O175" i="1"/>
  <c r="K176" i="1"/>
  <c r="L176" i="1"/>
  <c r="M176" i="1"/>
  <c r="N176" i="1"/>
  <c r="O176" i="1"/>
  <c r="K177" i="1"/>
  <c r="L177" i="1"/>
  <c r="M177" i="1"/>
  <c r="N177" i="1"/>
  <c r="O177" i="1"/>
  <c r="K178" i="1"/>
  <c r="L178" i="1"/>
  <c r="M178" i="1"/>
  <c r="N178" i="1"/>
  <c r="O178" i="1"/>
  <c r="K179" i="1"/>
  <c r="L179" i="1"/>
  <c r="M179" i="1"/>
  <c r="N179" i="1"/>
  <c r="O179" i="1"/>
  <c r="K180" i="1"/>
  <c r="L180" i="1"/>
  <c r="M180" i="1"/>
  <c r="N180" i="1"/>
  <c r="O180" i="1"/>
  <c r="K181" i="1"/>
  <c r="L181" i="1"/>
  <c r="M181" i="1"/>
  <c r="N181" i="1"/>
  <c r="O181" i="1"/>
  <c r="K182" i="1"/>
  <c r="L182" i="1"/>
  <c r="M182" i="1"/>
  <c r="N182" i="1"/>
  <c r="O182" i="1"/>
  <c r="K183" i="1"/>
  <c r="L183" i="1"/>
  <c r="M183" i="1"/>
  <c r="N183" i="1"/>
  <c r="O183" i="1"/>
  <c r="K184" i="1"/>
  <c r="L184" i="1"/>
  <c r="M184" i="1"/>
  <c r="N184" i="1"/>
  <c r="O184" i="1"/>
  <c r="K185" i="1"/>
  <c r="L185" i="1"/>
  <c r="M185" i="1"/>
  <c r="N185" i="1"/>
  <c r="O185" i="1"/>
  <c r="K186" i="1"/>
  <c r="L186" i="1"/>
  <c r="M186" i="1"/>
  <c r="N186" i="1"/>
  <c r="O186" i="1"/>
  <c r="K187" i="1"/>
  <c r="L187" i="1"/>
  <c r="M187" i="1"/>
  <c r="N187" i="1"/>
  <c r="O187" i="1"/>
  <c r="K188" i="1"/>
  <c r="L188" i="1"/>
  <c r="M188" i="1"/>
  <c r="N188" i="1"/>
  <c r="O188" i="1"/>
  <c r="K189" i="1"/>
  <c r="L189" i="1"/>
  <c r="M189" i="1"/>
  <c r="N189" i="1"/>
  <c r="O189" i="1"/>
  <c r="K190" i="1"/>
  <c r="L190" i="1"/>
  <c r="M190" i="1"/>
  <c r="N190" i="1"/>
  <c r="O190" i="1"/>
  <c r="K191" i="1"/>
  <c r="L191" i="1"/>
  <c r="M191" i="1"/>
  <c r="N191" i="1"/>
  <c r="O191" i="1"/>
  <c r="K192" i="1"/>
  <c r="L192" i="1"/>
  <c r="M192" i="1"/>
  <c r="N192" i="1"/>
  <c r="O192" i="1"/>
  <c r="K193" i="1"/>
  <c r="L193" i="1"/>
  <c r="M193" i="1"/>
  <c r="N193" i="1"/>
  <c r="O193" i="1"/>
  <c r="K194" i="1"/>
  <c r="L194" i="1"/>
  <c r="M194" i="1"/>
  <c r="N194" i="1"/>
  <c r="O194" i="1"/>
  <c r="K195" i="1"/>
  <c r="L195" i="1"/>
  <c r="M195" i="1"/>
  <c r="N195" i="1"/>
  <c r="O195" i="1"/>
  <c r="K196" i="1"/>
  <c r="L196" i="1"/>
  <c r="M196" i="1"/>
  <c r="N196" i="1"/>
  <c r="O196" i="1"/>
  <c r="K197" i="1"/>
  <c r="L197" i="1"/>
  <c r="M197" i="1"/>
  <c r="N197" i="1"/>
  <c r="O197" i="1"/>
  <c r="K198" i="1"/>
  <c r="L198" i="1"/>
  <c r="M198" i="1"/>
  <c r="N198" i="1"/>
  <c r="O198" i="1"/>
  <c r="K199" i="1"/>
  <c r="L199" i="1"/>
  <c r="M199" i="1"/>
  <c r="N199" i="1"/>
  <c r="O199" i="1"/>
  <c r="K200" i="1"/>
  <c r="L200" i="1"/>
  <c r="M200" i="1"/>
  <c r="N200" i="1"/>
  <c r="O200" i="1"/>
  <c r="K201" i="1"/>
  <c r="L201" i="1"/>
  <c r="M201" i="1"/>
  <c r="N201" i="1"/>
  <c r="O201" i="1"/>
  <c r="K202" i="1"/>
  <c r="L202" i="1"/>
  <c r="M202" i="1"/>
  <c r="N202" i="1"/>
  <c r="O202" i="1"/>
  <c r="K203" i="1"/>
  <c r="L203" i="1"/>
  <c r="M203" i="1"/>
  <c r="N203" i="1"/>
  <c r="O203" i="1"/>
  <c r="K204" i="1"/>
  <c r="L204" i="1"/>
  <c r="M204" i="1"/>
  <c r="N204" i="1"/>
  <c r="O204" i="1"/>
  <c r="K205" i="1"/>
  <c r="L205" i="1"/>
  <c r="M205" i="1"/>
  <c r="N205" i="1"/>
  <c r="O205" i="1"/>
  <c r="K206" i="1"/>
  <c r="L206" i="1"/>
  <c r="M206" i="1"/>
  <c r="N206" i="1"/>
  <c r="O206" i="1"/>
  <c r="K207" i="1"/>
  <c r="L207" i="1"/>
  <c r="M207" i="1"/>
  <c r="N207" i="1"/>
  <c r="O207" i="1"/>
  <c r="K208" i="1"/>
  <c r="L208" i="1"/>
  <c r="M208" i="1"/>
  <c r="N208" i="1"/>
  <c r="O208" i="1"/>
  <c r="K209" i="1"/>
  <c r="L209" i="1"/>
  <c r="M209" i="1"/>
  <c r="N209" i="1"/>
  <c r="O209" i="1"/>
  <c r="K210" i="1"/>
  <c r="L210" i="1"/>
  <c r="M210" i="1"/>
  <c r="N210" i="1"/>
  <c r="O210" i="1"/>
  <c r="K211" i="1"/>
  <c r="L211" i="1"/>
  <c r="M211" i="1"/>
  <c r="N211" i="1"/>
  <c r="O211" i="1"/>
  <c r="K212" i="1"/>
  <c r="L212" i="1"/>
  <c r="M212" i="1"/>
  <c r="N212" i="1"/>
  <c r="O212" i="1"/>
  <c r="K213" i="1"/>
  <c r="L213" i="1"/>
  <c r="M213" i="1"/>
  <c r="N213" i="1"/>
  <c r="O213" i="1"/>
  <c r="K214" i="1"/>
  <c r="L214" i="1"/>
  <c r="M214" i="1"/>
  <c r="N214" i="1"/>
  <c r="O214" i="1"/>
  <c r="K215" i="1"/>
  <c r="L215" i="1"/>
  <c r="M215" i="1"/>
  <c r="N215" i="1"/>
  <c r="O215" i="1"/>
  <c r="K216" i="1"/>
  <c r="L216" i="1"/>
  <c r="M216" i="1"/>
  <c r="N216" i="1"/>
  <c r="O216" i="1"/>
  <c r="K217" i="1"/>
  <c r="L217" i="1"/>
  <c r="M217" i="1"/>
  <c r="N217" i="1"/>
  <c r="O217" i="1"/>
  <c r="K218" i="1"/>
  <c r="L218" i="1"/>
  <c r="M218" i="1"/>
  <c r="N218" i="1"/>
  <c r="O218" i="1"/>
  <c r="K219" i="1"/>
  <c r="L219" i="1"/>
  <c r="M219" i="1"/>
  <c r="N219" i="1"/>
  <c r="O219" i="1"/>
  <c r="K220" i="1"/>
  <c r="L220" i="1"/>
  <c r="M220" i="1"/>
  <c r="N220" i="1"/>
  <c r="O220" i="1"/>
  <c r="K221" i="1"/>
  <c r="L221" i="1"/>
  <c r="M221" i="1"/>
  <c r="N221" i="1"/>
  <c r="O221" i="1"/>
  <c r="K222" i="1"/>
  <c r="L222" i="1"/>
  <c r="M222" i="1"/>
  <c r="N222" i="1"/>
  <c r="O222" i="1"/>
  <c r="K223" i="1"/>
  <c r="L223" i="1"/>
  <c r="M223" i="1"/>
  <c r="N223" i="1"/>
  <c r="O223" i="1"/>
  <c r="K224" i="1"/>
  <c r="L224" i="1"/>
  <c r="M224" i="1"/>
  <c r="N224" i="1"/>
  <c r="O224" i="1"/>
  <c r="K225" i="1"/>
  <c r="L225" i="1"/>
  <c r="M225" i="1"/>
  <c r="N225" i="1"/>
  <c r="O225" i="1"/>
  <c r="K226" i="1"/>
  <c r="L226" i="1"/>
  <c r="M226" i="1"/>
  <c r="N226" i="1"/>
  <c r="O226" i="1"/>
  <c r="K227" i="1"/>
  <c r="L227" i="1"/>
  <c r="M227" i="1"/>
  <c r="N227" i="1"/>
  <c r="O227" i="1"/>
  <c r="K228" i="1"/>
  <c r="L228" i="1"/>
  <c r="M228" i="1"/>
  <c r="N228" i="1"/>
  <c r="O228" i="1"/>
  <c r="K229" i="1"/>
  <c r="L229" i="1"/>
  <c r="M229" i="1"/>
  <c r="N229" i="1"/>
  <c r="O229" i="1"/>
  <c r="K230" i="1"/>
  <c r="L230" i="1"/>
  <c r="M230" i="1"/>
  <c r="N230" i="1"/>
  <c r="O230" i="1"/>
  <c r="K231" i="1"/>
  <c r="L231" i="1"/>
  <c r="M231" i="1"/>
  <c r="N231" i="1"/>
  <c r="O231" i="1"/>
  <c r="K237" i="1"/>
  <c r="L237" i="1"/>
  <c r="M237" i="1"/>
  <c r="N237" i="1"/>
  <c r="O237" i="1"/>
  <c r="K238" i="1"/>
  <c r="L238" i="1"/>
  <c r="M238" i="1"/>
  <c r="N238" i="1"/>
  <c r="O238" i="1"/>
  <c r="K239" i="1"/>
  <c r="L239" i="1"/>
  <c r="M239" i="1"/>
  <c r="N239" i="1"/>
  <c r="O239" i="1"/>
  <c r="K240" i="1"/>
  <c r="L240" i="1"/>
  <c r="M240" i="1"/>
  <c r="N240" i="1"/>
  <c r="O240" i="1"/>
  <c r="K241" i="1"/>
  <c r="L241" i="1"/>
  <c r="M241" i="1"/>
  <c r="N241" i="1"/>
  <c r="O241" i="1"/>
  <c r="K242" i="1"/>
  <c r="L242" i="1"/>
  <c r="M242" i="1"/>
  <c r="N242" i="1"/>
  <c r="O242" i="1"/>
  <c r="K243" i="1"/>
  <c r="L243" i="1"/>
  <c r="M243" i="1"/>
  <c r="N243" i="1"/>
  <c r="O243" i="1"/>
  <c r="K244" i="1"/>
  <c r="L244" i="1"/>
  <c r="M244" i="1"/>
  <c r="N244" i="1"/>
  <c r="O244" i="1"/>
  <c r="K245" i="1"/>
  <c r="L245" i="1"/>
  <c r="M245" i="1"/>
  <c r="N245" i="1"/>
  <c r="O245" i="1"/>
  <c r="K246" i="1"/>
  <c r="L246" i="1"/>
  <c r="M246" i="1"/>
  <c r="N246" i="1"/>
  <c r="O246" i="1"/>
  <c r="K247" i="1"/>
  <c r="L247" i="1"/>
  <c r="M247" i="1"/>
  <c r="N247" i="1"/>
  <c r="O247" i="1"/>
  <c r="K248" i="1"/>
  <c r="L248" i="1"/>
  <c r="M248" i="1"/>
  <c r="N248" i="1"/>
  <c r="O248" i="1"/>
  <c r="K249" i="1"/>
  <c r="L249" i="1"/>
  <c r="M249" i="1"/>
  <c r="N249" i="1"/>
  <c r="O249" i="1"/>
  <c r="K250" i="1"/>
  <c r="L250" i="1"/>
  <c r="M250" i="1"/>
  <c r="N250" i="1"/>
  <c r="O250" i="1"/>
  <c r="K251" i="1"/>
  <c r="L251" i="1"/>
  <c r="M251" i="1"/>
  <c r="N251" i="1"/>
  <c r="O251" i="1"/>
  <c r="K252" i="1"/>
  <c r="L252" i="1"/>
  <c r="M252" i="1"/>
  <c r="N252" i="1"/>
  <c r="O252" i="1"/>
  <c r="K253" i="1"/>
  <c r="L253" i="1"/>
  <c r="M253" i="1"/>
  <c r="N253" i="1"/>
  <c r="O253" i="1"/>
  <c r="K254" i="1"/>
  <c r="L254" i="1"/>
  <c r="M254" i="1"/>
  <c r="N254" i="1"/>
  <c r="O254" i="1"/>
  <c r="K255" i="1"/>
  <c r="L255" i="1"/>
  <c r="M255" i="1"/>
  <c r="N255" i="1"/>
  <c r="O255" i="1"/>
  <c r="K256" i="1"/>
  <c r="L256" i="1"/>
  <c r="M256" i="1"/>
  <c r="N256" i="1"/>
  <c r="O256" i="1"/>
  <c r="K257" i="1"/>
  <c r="L257" i="1"/>
  <c r="M257" i="1"/>
  <c r="N257" i="1"/>
  <c r="O257" i="1"/>
  <c r="K258" i="1"/>
  <c r="L258" i="1"/>
  <c r="M258" i="1"/>
  <c r="N258" i="1"/>
  <c r="O258" i="1"/>
  <c r="K259" i="1"/>
  <c r="L259" i="1"/>
  <c r="M259" i="1"/>
  <c r="N259" i="1"/>
  <c r="O259" i="1"/>
  <c r="K260" i="1"/>
  <c r="L260" i="1"/>
  <c r="M260" i="1"/>
  <c r="N260" i="1"/>
  <c r="O260" i="1"/>
  <c r="K261" i="1"/>
  <c r="L261" i="1"/>
  <c r="M261" i="1"/>
  <c r="N261" i="1"/>
  <c r="O261" i="1"/>
  <c r="K262" i="1"/>
  <c r="L262" i="1"/>
  <c r="M262" i="1"/>
  <c r="N262" i="1"/>
  <c r="O262" i="1"/>
  <c r="K263" i="1"/>
  <c r="L263" i="1"/>
  <c r="M263" i="1"/>
  <c r="N263" i="1"/>
  <c r="O263" i="1"/>
  <c r="K264" i="1"/>
  <c r="L264" i="1"/>
  <c r="M264" i="1"/>
  <c r="N264" i="1"/>
  <c r="O264" i="1"/>
  <c r="K265" i="1"/>
  <c r="L265" i="1"/>
  <c r="M265" i="1"/>
  <c r="N265" i="1"/>
  <c r="O265" i="1"/>
  <c r="K266" i="1"/>
  <c r="L266" i="1"/>
  <c r="M266" i="1"/>
  <c r="N266" i="1"/>
  <c r="O266" i="1"/>
  <c r="K267" i="1"/>
  <c r="L267" i="1"/>
  <c r="M267" i="1"/>
  <c r="N267" i="1"/>
  <c r="O267" i="1"/>
  <c r="K268" i="1"/>
  <c r="L268" i="1"/>
  <c r="M268" i="1"/>
  <c r="N268" i="1"/>
  <c r="O268" i="1"/>
  <c r="K269" i="1"/>
  <c r="L269" i="1"/>
  <c r="M269" i="1"/>
  <c r="N269" i="1"/>
  <c r="O269" i="1"/>
  <c r="K270" i="1"/>
  <c r="L270" i="1"/>
  <c r="M270" i="1"/>
  <c r="N270" i="1"/>
  <c r="O270" i="1"/>
  <c r="K271" i="1"/>
  <c r="L271" i="1"/>
  <c r="M271" i="1"/>
  <c r="N271" i="1"/>
  <c r="O271" i="1"/>
  <c r="K272" i="1"/>
  <c r="L272" i="1"/>
  <c r="M272" i="1"/>
  <c r="N272" i="1"/>
  <c r="O272" i="1"/>
  <c r="K273" i="1"/>
  <c r="L273" i="1"/>
  <c r="M273" i="1"/>
  <c r="N273" i="1"/>
  <c r="O273" i="1"/>
  <c r="K274" i="1"/>
  <c r="L274" i="1"/>
  <c r="M274" i="1"/>
  <c r="N274" i="1"/>
  <c r="O274" i="1"/>
  <c r="K275" i="1"/>
  <c r="L275" i="1"/>
  <c r="M275" i="1"/>
  <c r="N275" i="1"/>
  <c r="O275" i="1"/>
  <c r="K276" i="1"/>
  <c r="L276" i="1"/>
  <c r="M276" i="1"/>
  <c r="N276" i="1"/>
  <c r="O276" i="1"/>
  <c r="K277" i="1"/>
  <c r="L277" i="1"/>
  <c r="M277" i="1"/>
  <c r="N277" i="1"/>
  <c r="O277" i="1"/>
  <c r="K278" i="1"/>
  <c r="L278" i="1"/>
  <c r="M278" i="1"/>
  <c r="N278" i="1"/>
  <c r="O278" i="1"/>
  <c r="K279" i="1"/>
  <c r="L279" i="1"/>
  <c r="M279" i="1"/>
  <c r="N279" i="1"/>
  <c r="O279" i="1"/>
  <c r="K280" i="1"/>
  <c r="L280" i="1"/>
  <c r="M280" i="1"/>
  <c r="N280" i="1"/>
  <c r="O280" i="1"/>
  <c r="K281" i="1"/>
  <c r="L281" i="1"/>
  <c r="M281" i="1"/>
  <c r="N281" i="1"/>
  <c r="O281" i="1"/>
  <c r="K282" i="1"/>
  <c r="L282" i="1"/>
  <c r="M282" i="1"/>
  <c r="N282" i="1"/>
  <c r="O282" i="1"/>
  <c r="K283" i="1"/>
  <c r="L283" i="1"/>
  <c r="M283" i="1"/>
  <c r="N283" i="1"/>
  <c r="O283" i="1"/>
  <c r="K284" i="1"/>
  <c r="L284" i="1"/>
  <c r="M284" i="1"/>
  <c r="N284" i="1"/>
  <c r="O284" i="1"/>
  <c r="K285" i="1"/>
  <c r="L285" i="1"/>
  <c r="M285" i="1"/>
  <c r="N285" i="1"/>
  <c r="O285" i="1"/>
  <c r="K286" i="1"/>
  <c r="L286" i="1"/>
  <c r="M286" i="1"/>
  <c r="N286" i="1"/>
  <c r="O286" i="1"/>
  <c r="K287" i="1"/>
  <c r="L287" i="1"/>
  <c r="M287" i="1"/>
  <c r="N287" i="1"/>
  <c r="O287" i="1"/>
  <c r="K288" i="1"/>
  <c r="L288" i="1"/>
  <c r="M288" i="1"/>
  <c r="N288" i="1"/>
  <c r="O288" i="1"/>
  <c r="K289" i="1"/>
  <c r="L289" i="1"/>
  <c r="M289" i="1"/>
  <c r="N289" i="1"/>
  <c r="O289" i="1"/>
  <c r="K290" i="1"/>
  <c r="L290" i="1"/>
  <c r="M290" i="1"/>
  <c r="N290" i="1"/>
  <c r="O290" i="1"/>
  <c r="K291" i="1"/>
  <c r="L291" i="1"/>
  <c r="M291" i="1"/>
  <c r="N291" i="1"/>
  <c r="O291" i="1"/>
  <c r="K292" i="1"/>
  <c r="L292" i="1"/>
  <c r="M292" i="1"/>
  <c r="N292" i="1"/>
  <c r="O292" i="1"/>
  <c r="K293" i="1"/>
  <c r="L293" i="1"/>
  <c r="M293" i="1"/>
  <c r="N293" i="1"/>
  <c r="O293" i="1"/>
  <c r="K294" i="1"/>
  <c r="L294" i="1"/>
  <c r="M294" i="1"/>
  <c r="N294" i="1"/>
  <c r="O294" i="1"/>
  <c r="K295" i="1"/>
  <c r="L295" i="1"/>
  <c r="M295" i="1"/>
  <c r="N295" i="1"/>
  <c r="O295" i="1"/>
  <c r="K296" i="1"/>
  <c r="L296" i="1"/>
  <c r="M296" i="1"/>
  <c r="N296" i="1"/>
  <c r="O296" i="1"/>
  <c r="K297" i="1"/>
  <c r="L297" i="1"/>
  <c r="M297" i="1"/>
  <c r="N297" i="1"/>
  <c r="O297" i="1"/>
  <c r="K298" i="1"/>
  <c r="L298" i="1"/>
  <c r="M298" i="1"/>
  <c r="N298" i="1"/>
  <c r="O298" i="1"/>
  <c r="K299" i="1"/>
  <c r="L299" i="1"/>
  <c r="M299" i="1"/>
  <c r="N299" i="1"/>
  <c r="O299" i="1"/>
  <c r="K300" i="1"/>
  <c r="L300" i="1"/>
  <c r="M300" i="1"/>
  <c r="N300" i="1"/>
  <c r="O300" i="1"/>
  <c r="K301" i="1"/>
  <c r="L301" i="1"/>
  <c r="M301" i="1"/>
  <c r="N301" i="1"/>
  <c r="O301" i="1"/>
  <c r="K302" i="1"/>
  <c r="L302" i="1"/>
  <c r="M302" i="1"/>
  <c r="N302" i="1"/>
  <c r="O302" i="1"/>
  <c r="K303" i="1"/>
  <c r="L303" i="1"/>
  <c r="M303" i="1"/>
  <c r="N303" i="1"/>
  <c r="O303" i="1"/>
  <c r="K304" i="1"/>
  <c r="L304" i="1"/>
  <c r="M304" i="1"/>
  <c r="N304" i="1"/>
  <c r="O304" i="1"/>
  <c r="K305" i="1"/>
  <c r="L305" i="1"/>
  <c r="M305" i="1"/>
  <c r="N305" i="1"/>
  <c r="O305" i="1"/>
  <c r="K306" i="1"/>
  <c r="L306" i="1"/>
  <c r="M306" i="1"/>
  <c r="N306" i="1"/>
  <c r="O306" i="1"/>
  <c r="K307" i="1"/>
  <c r="L307" i="1"/>
  <c r="M307" i="1"/>
  <c r="N307" i="1"/>
  <c r="O307" i="1"/>
  <c r="K308" i="1"/>
  <c r="L308" i="1"/>
  <c r="M308" i="1"/>
  <c r="N308" i="1"/>
  <c r="O308" i="1"/>
  <c r="K309" i="1"/>
  <c r="L309" i="1"/>
  <c r="M309" i="1"/>
  <c r="N309" i="1"/>
  <c r="O309" i="1"/>
  <c r="K310" i="1"/>
  <c r="L310" i="1"/>
  <c r="M310" i="1"/>
  <c r="N310" i="1"/>
  <c r="O310" i="1"/>
  <c r="K311" i="1"/>
  <c r="L311" i="1"/>
  <c r="M311" i="1"/>
  <c r="N311" i="1"/>
  <c r="O311" i="1"/>
  <c r="K312" i="1"/>
  <c r="L312" i="1"/>
  <c r="M312" i="1"/>
  <c r="N312" i="1"/>
  <c r="O312" i="1"/>
  <c r="K313" i="1"/>
  <c r="L313" i="1"/>
  <c r="M313" i="1"/>
  <c r="N313" i="1"/>
  <c r="O313" i="1"/>
  <c r="K314" i="1"/>
  <c r="L314" i="1"/>
  <c r="M314" i="1"/>
  <c r="N314" i="1"/>
  <c r="O314" i="1"/>
  <c r="K315" i="1"/>
  <c r="L315" i="1"/>
  <c r="M315" i="1"/>
  <c r="N315" i="1"/>
  <c r="O315" i="1"/>
  <c r="K316" i="1"/>
  <c r="L316" i="1"/>
  <c r="M316" i="1"/>
  <c r="N316" i="1"/>
  <c r="O316" i="1"/>
  <c r="K317" i="1"/>
  <c r="L317" i="1"/>
  <c r="M317" i="1"/>
  <c r="N317" i="1"/>
  <c r="O317" i="1"/>
  <c r="K318" i="1"/>
  <c r="L318" i="1"/>
  <c r="M318" i="1"/>
  <c r="N318" i="1"/>
  <c r="O318" i="1"/>
  <c r="K319" i="1"/>
  <c r="L319" i="1"/>
  <c r="M319" i="1"/>
  <c r="N319" i="1"/>
  <c r="O319" i="1"/>
  <c r="K320" i="1"/>
  <c r="L320" i="1"/>
  <c r="M320" i="1"/>
  <c r="N320" i="1"/>
  <c r="O320" i="1"/>
  <c r="K321" i="1"/>
  <c r="L321" i="1"/>
  <c r="M321" i="1"/>
  <c r="N321" i="1"/>
  <c r="O321" i="1"/>
  <c r="K322" i="1"/>
  <c r="L322" i="1"/>
  <c r="M322" i="1"/>
  <c r="N322" i="1"/>
  <c r="O322" i="1"/>
  <c r="K323" i="1"/>
  <c r="L323" i="1"/>
  <c r="M323" i="1"/>
  <c r="N323" i="1"/>
  <c r="O323" i="1"/>
  <c r="K324" i="1"/>
  <c r="L324" i="1"/>
  <c r="M324" i="1"/>
  <c r="N324" i="1"/>
  <c r="O324" i="1"/>
  <c r="K325" i="1"/>
  <c r="L325" i="1"/>
  <c r="M325" i="1"/>
  <c r="N325" i="1"/>
  <c r="O325" i="1"/>
  <c r="K326" i="1"/>
  <c r="L326" i="1"/>
  <c r="M326" i="1"/>
  <c r="N326" i="1"/>
  <c r="O326" i="1"/>
  <c r="K327" i="1"/>
  <c r="L327" i="1"/>
  <c r="M327" i="1"/>
  <c r="N327" i="1"/>
  <c r="O327" i="1"/>
  <c r="K328" i="1"/>
  <c r="L328" i="1"/>
  <c r="M328" i="1"/>
  <c r="N328" i="1"/>
  <c r="O328" i="1"/>
  <c r="K329" i="1"/>
  <c r="L329" i="1"/>
  <c r="M329" i="1"/>
  <c r="N329" i="1"/>
  <c r="O329" i="1"/>
  <c r="K330" i="1"/>
  <c r="L330" i="1"/>
  <c r="M330" i="1"/>
  <c r="N330" i="1"/>
  <c r="O330" i="1"/>
  <c r="K331" i="1"/>
  <c r="L331" i="1"/>
  <c r="M331" i="1"/>
  <c r="N331" i="1"/>
  <c r="O331" i="1"/>
  <c r="L332" i="1"/>
  <c r="M332" i="1"/>
  <c r="N332" i="1"/>
  <c r="O332" i="1"/>
  <c r="L333" i="1"/>
  <c r="M333" i="1"/>
  <c r="N333" i="1"/>
  <c r="O333" i="1"/>
  <c r="L334" i="1"/>
  <c r="M334" i="1"/>
  <c r="N334" i="1"/>
  <c r="O334" i="1"/>
  <c r="L335" i="1"/>
  <c r="M335" i="1"/>
  <c r="N335" i="1"/>
  <c r="O335" i="1"/>
  <c r="L336" i="1"/>
  <c r="M336" i="1"/>
  <c r="N336" i="1"/>
  <c r="O336" i="1"/>
  <c r="K337" i="1"/>
  <c r="L337" i="1"/>
  <c r="M337" i="1"/>
  <c r="N337" i="1"/>
  <c r="O337" i="1"/>
  <c r="K338" i="1"/>
  <c r="L338" i="1"/>
  <c r="M338" i="1"/>
  <c r="N338" i="1"/>
  <c r="O338" i="1"/>
  <c r="K339" i="1"/>
  <c r="L339" i="1"/>
  <c r="M339" i="1"/>
  <c r="N339" i="1"/>
  <c r="O339" i="1"/>
  <c r="K340" i="1"/>
  <c r="L340" i="1"/>
  <c r="M340" i="1"/>
  <c r="N340" i="1"/>
  <c r="O340" i="1"/>
  <c r="K341" i="1"/>
  <c r="L341" i="1"/>
  <c r="M341" i="1"/>
  <c r="N341" i="1"/>
  <c r="O341" i="1"/>
  <c r="K342" i="1"/>
  <c r="L342" i="1"/>
  <c r="M342" i="1"/>
  <c r="N342" i="1"/>
  <c r="O342" i="1"/>
  <c r="K343" i="1"/>
  <c r="L343" i="1"/>
  <c r="M343" i="1"/>
  <c r="N343" i="1"/>
  <c r="O343" i="1"/>
  <c r="K344" i="1"/>
  <c r="L344" i="1"/>
  <c r="M344" i="1"/>
  <c r="N344" i="1"/>
  <c r="O344" i="1"/>
  <c r="K345" i="1"/>
  <c r="L345" i="1"/>
  <c r="M345" i="1"/>
  <c r="N345" i="1"/>
  <c r="O345" i="1"/>
  <c r="K346" i="1"/>
  <c r="L346" i="1"/>
  <c r="M346" i="1"/>
  <c r="N346" i="1"/>
  <c r="O346" i="1"/>
  <c r="K347" i="1"/>
  <c r="L347" i="1"/>
  <c r="M347" i="1"/>
  <c r="N347" i="1"/>
  <c r="O347" i="1"/>
  <c r="K348" i="1"/>
  <c r="L348" i="1"/>
  <c r="M348" i="1"/>
  <c r="N348" i="1"/>
  <c r="O348" i="1"/>
  <c r="K349" i="1"/>
  <c r="L349" i="1"/>
  <c r="M349" i="1"/>
  <c r="N349" i="1"/>
  <c r="O349" i="1"/>
  <c r="K350" i="1"/>
  <c r="L350" i="1"/>
  <c r="M350" i="1"/>
  <c r="N350" i="1"/>
  <c r="O350" i="1"/>
  <c r="K351" i="1"/>
  <c r="L351" i="1"/>
  <c r="M351" i="1"/>
  <c r="N351" i="1"/>
  <c r="O351" i="1"/>
  <c r="K352" i="1"/>
  <c r="L352" i="1"/>
  <c r="M352" i="1"/>
  <c r="N352" i="1"/>
  <c r="O352" i="1"/>
  <c r="K353" i="1"/>
  <c r="L353" i="1"/>
  <c r="M353" i="1"/>
  <c r="N353" i="1"/>
  <c r="O353" i="1"/>
  <c r="K354" i="1"/>
  <c r="L354" i="1"/>
  <c r="M354" i="1"/>
  <c r="N354" i="1"/>
  <c r="O354" i="1"/>
  <c r="K355" i="1"/>
  <c r="L355" i="1"/>
  <c r="M355" i="1"/>
  <c r="N355" i="1"/>
  <c r="O355" i="1"/>
  <c r="K356" i="1"/>
  <c r="L356" i="1"/>
  <c r="M356" i="1"/>
  <c r="N356" i="1"/>
  <c r="O356" i="1"/>
  <c r="K357" i="1"/>
  <c r="L357" i="1"/>
  <c r="M357" i="1"/>
  <c r="N357" i="1"/>
  <c r="O357" i="1"/>
  <c r="K358" i="1"/>
  <c r="L358" i="1"/>
  <c r="M358" i="1"/>
  <c r="N358" i="1"/>
  <c r="O358" i="1"/>
  <c r="K359" i="1"/>
  <c r="L359" i="1"/>
  <c r="M359" i="1"/>
  <c r="N359" i="1"/>
  <c r="O359" i="1"/>
  <c r="K360" i="1"/>
  <c r="L360" i="1"/>
  <c r="M360" i="1"/>
  <c r="N360" i="1"/>
  <c r="O360" i="1"/>
  <c r="K361" i="1"/>
  <c r="L361" i="1"/>
  <c r="M361" i="1"/>
  <c r="N361" i="1"/>
  <c r="O361" i="1"/>
  <c r="K362" i="1"/>
  <c r="L362" i="1"/>
  <c r="M362" i="1"/>
  <c r="N362" i="1"/>
  <c r="O362" i="1"/>
  <c r="K363" i="1"/>
  <c r="L363" i="1"/>
  <c r="M363" i="1"/>
  <c r="N363" i="1"/>
  <c r="O363" i="1"/>
  <c r="K364" i="1"/>
  <c r="L364" i="1"/>
  <c r="M364" i="1"/>
  <c r="N364" i="1"/>
  <c r="O364" i="1"/>
  <c r="K365" i="1"/>
  <c r="L365" i="1"/>
  <c r="M365" i="1"/>
  <c r="N365" i="1"/>
  <c r="O365" i="1"/>
  <c r="K366" i="1"/>
  <c r="L366" i="1"/>
  <c r="M366" i="1"/>
  <c r="N366" i="1"/>
  <c r="O366" i="1"/>
  <c r="K367" i="1"/>
  <c r="L367" i="1"/>
  <c r="M367" i="1"/>
  <c r="N367" i="1"/>
  <c r="O367" i="1"/>
  <c r="K368" i="1"/>
  <c r="L368" i="1"/>
  <c r="M368" i="1"/>
  <c r="N368" i="1"/>
  <c r="O368" i="1"/>
  <c r="K369" i="1"/>
  <c r="L369" i="1"/>
  <c r="M369" i="1"/>
  <c r="N369" i="1"/>
  <c r="O369" i="1"/>
  <c r="K370" i="1"/>
  <c r="L370" i="1"/>
  <c r="M370" i="1"/>
  <c r="N370" i="1"/>
  <c r="O370" i="1"/>
  <c r="K371" i="1"/>
  <c r="L371" i="1"/>
  <c r="M371" i="1"/>
  <c r="N371" i="1"/>
  <c r="O371" i="1"/>
  <c r="L372" i="1"/>
  <c r="M372" i="1"/>
  <c r="N372" i="1"/>
  <c r="O372" i="1"/>
  <c r="L373" i="1"/>
  <c r="M373" i="1"/>
  <c r="N373" i="1"/>
  <c r="O373" i="1"/>
  <c r="L374" i="1"/>
  <c r="M374" i="1"/>
  <c r="N374" i="1"/>
  <c r="O374" i="1"/>
  <c r="L375" i="1"/>
  <c r="M375" i="1"/>
  <c r="N375" i="1"/>
  <c r="O375" i="1"/>
  <c r="L376" i="1"/>
  <c r="M376" i="1"/>
  <c r="N376" i="1"/>
  <c r="O376" i="1"/>
  <c r="K377" i="1"/>
  <c r="L377" i="1"/>
  <c r="M377" i="1"/>
  <c r="N377" i="1"/>
  <c r="O377" i="1"/>
  <c r="K378" i="1"/>
  <c r="L378" i="1"/>
  <c r="M378" i="1"/>
  <c r="N378" i="1"/>
  <c r="O378" i="1"/>
  <c r="K379" i="1"/>
  <c r="L379" i="1"/>
  <c r="M379" i="1"/>
  <c r="N379" i="1"/>
  <c r="O379" i="1"/>
  <c r="K380" i="1"/>
  <c r="L380" i="1"/>
  <c r="M380" i="1"/>
  <c r="N380" i="1"/>
  <c r="O380" i="1"/>
  <c r="K381" i="1"/>
  <c r="L381" i="1"/>
  <c r="M381" i="1"/>
  <c r="N381" i="1"/>
  <c r="O381" i="1"/>
  <c r="K382" i="1"/>
  <c r="L382" i="1"/>
  <c r="M382" i="1"/>
  <c r="N382" i="1"/>
  <c r="O382" i="1"/>
  <c r="K383" i="1"/>
  <c r="L383" i="1"/>
  <c r="M383" i="1"/>
  <c r="N383" i="1"/>
  <c r="O383" i="1"/>
  <c r="K384" i="1"/>
  <c r="L384" i="1"/>
  <c r="M384" i="1"/>
  <c r="N384" i="1"/>
  <c r="O384" i="1"/>
  <c r="K385" i="1"/>
  <c r="L385" i="1"/>
  <c r="M385" i="1"/>
  <c r="N385" i="1"/>
  <c r="O385" i="1"/>
  <c r="K386" i="1"/>
  <c r="L386" i="1"/>
  <c r="M386" i="1"/>
  <c r="N386" i="1"/>
  <c r="O386" i="1"/>
  <c r="K387" i="1"/>
  <c r="L387" i="1"/>
  <c r="M387" i="1"/>
  <c r="N387" i="1"/>
  <c r="O387" i="1"/>
  <c r="K388" i="1"/>
  <c r="L388" i="1"/>
  <c r="M388" i="1"/>
  <c r="N388" i="1"/>
  <c r="O388" i="1"/>
  <c r="K389" i="1"/>
  <c r="L389" i="1"/>
  <c r="M389" i="1"/>
  <c r="N389" i="1"/>
  <c r="O389" i="1"/>
  <c r="K390" i="1"/>
  <c r="L390" i="1"/>
  <c r="M390" i="1"/>
  <c r="N390" i="1"/>
  <c r="O390" i="1"/>
  <c r="K391" i="1"/>
  <c r="L391" i="1"/>
  <c r="M391" i="1"/>
  <c r="N391" i="1"/>
  <c r="O391" i="1"/>
  <c r="K392" i="1"/>
  <c r="L392" i="1"/>
  <c r="M392" i="1"/>
  <c r="N392" i="1"/>
  <c r="O392" i="1"/>
  <c r="K393" i="1"/>
  <c r="L393" i="1"/>
  <c r="M393" i="1"/>
  <c r="N393" i="1"/>
  <c r="O393" i="1"/>
  <c r="K394" i="1"/>
  <c r="L394" i="1"/>
  <c r="M394" i="1"/>
  <c r="N394" i="1"/>
  <c r="O394" i="1"/>
  <c r="K395" i="1"/>
  <c r="L395" i="1"/>
  <c r="M395" i="1"/>
  <c r="N395" i="1"/>
  <c r="O395" i="1"/>
  <c r="K396" i="1"/>
  <c r="L396" i="1"/>
  <c r="M396" i="1"/>
  <c r="N396" i="1"/>
  <c r="O396" i="1"/>
  <c r="K397" i="1"/>
  <c r="L397" i="1"/>
  <c r="M397" i="1"/>
  <c r="N397" i="1"/>
  <c r="O397" i="1"/>
  <c r="K398" i="1"/>
  <c r="L398" i="1"/>
  <c r="M398" i="1"/>
  <c r="N398" i="1"/>
  <c r="O398" i="1"/>
  <c r="K399" i="1"/>
  <c r="L399" i="1"/>
  <c r="M399" i="1"/>
  <c r="N399" i="1"/>
  <c r="O399" i="1"/>
  <c r="K400" i="1"/>
  <c r="L400" i="1"/>
  <c r="M400" i="1"/>
  <c r="N400" i="1"/>
  <c r="O400" i="1"/>
  <c r="K401" i="1"/>
  <c r="L401" i="1"/>
  <c r="M401" i="1"/>
  <c r="N401" i="1"/>
  <c r="O401" i="1"/>
  <c r="K402" i="1"/>
  <c r="L402" i="1"/>
  <c r="M402" i="1"/>
  <c r="N402" i="1"/>
  <c r="O402" i="1"/>
  <c r="K403" i="1"/>
  <c r="L403" i="1"/>
  <c r="M403" i="1"/>
  <c r="N403" i="1"/>
  <c r="O403" i="1"/>
  <c r="K404" i="1"/>
  <c r="L404" i="1"/>
  <c r="M404" i="1"/>
  <c r="N404" i="1"/>
  <c r="O404" i="1"/>
  <c r="K405" i="1"/>
  <c r="L405" i="1"/>
  <c r="M405" i="1"/>
  <c r="N405" i="1"/>
  <c r="O405" i="1"/>
  <c r="K406" i="1"/>
  <c r="L406" i="1"/>
  <c r="M406" i="1"/>
  <c r="N406" i="1"/>
  <c r="O406" i="1"/>
  <c r="K407" i="1"/>
  <c r="L407" i="1"/>
  <c r="M407" i="1"/>
  <c r="N407" i="1"/>
  <c r="O407" i="1"/>
  <c r="K408" i="1"/>
  <c r="L408" i="1"/>
  <c r="M408" i="1"/>
  <c r="N408" i="1"/>
  <c r="O408" i="1"/>
  <c r="K409" i="1"/>
  <c r="L409" i="1"/>
  <c r="M409" i="1"/>
  <c r="N409" i="1"/>
  <c r="O409" i="1"/>
  <c r="K410" i="1"/>
  <c r="L410" i="1"/>
  <c r="M410" i="1"/>
  <c r="N410" i="1"/>
  <c r="O410" i="1"/>
  <c r="K411" i="1"/>
  <c r="L411" i="1"/>
  <c r="M411" i="1"/>
  <c r="N411" i="1"/>
  <c r="O411" i="1"/>
  <c r="K412" i="1"/>
  <c r="L412" i="1"/>
  <c r="M412" i="1"/>
  <c r="N412" i="1"/>
  <c r="O412" i="1"/>
  <c r="K413" i="1"/>
  <c r="L413" i="1"/>
  <c r="M413" i="1"/>
  <c r="N413" i="1"/>
  <c r="O413" i="1"/>
  <c r="K414" i="1"/>
  <c r="L414" i="1"/>
  <c r="M414" i="1"/>
  <c r="N414" i="1"/>
  <c r="O414" i="1"/>
  <c r="K415" i="1"/>
  <c r="L415" i="1"/>
  <c r="M415" i="1"/>
  <c r="N415" i="1"/>
  <c r="O415" i="1"/>
  <c r="K416" i="1"/>
  <c r="L416" i="1"/>
  <c r="M416" i="1"/>
  <c r="N416" i="1"/>
  <c r="O416" i="1"/>
  <c r="K417" i="1"/>
  <c r="L417" i="1"/>
  <c r="M417" i="1"/>
  <c r="N417" i="1"/>
  <c r="O417" i="1"/>
  <c r="K418" i="1"/>
  <c r="L418" i="1"/>
  <c r="M418" i="1"/>
  <c r="N418" i="1"/>
  <c r="O418" i="1"/>
  <c r="K419" i="1"/>
  <c r="L419" i="1"/>
  <c r="M419" i="1"/>
  <c r="N419" i="1"/>
  <c r="O419" i="1"/>
  <c r="K420" i="1"/>
  <c r="L420" i="1"/>
  <c r="M420" i="1"/>
  <c r="N420" i="1"/>
  <c r="O420" i="1"/>
  <c r="K421" i="1"/>
  <c r="L421" i="1"/>
  <c r="M421" i="1"/>
  <c r="N421" i="1"/>
  <c r="O421" i="1"/>
  <c r="K422" i="1"/>
  <c r="L422" i="1"/>
  <c r="M422" i="1"/>
  <c r="N422" i="1"/>
  <c r="O422" i="1"/>
  <c r="K423" i="1"/>
  <c r="L423" i="1"/>
  <c r="M423" i="1"/>
  <c r="N423" i="1"/>
  <c r="O423" i="1"/>
  <c r="K424" i="1"/>
  <c r="L424" i="1"/>
  <c r="M424" i="1"/>
  <c r="N424" i="1"/>
  <c r="O424" i="1"/>
  <c r="K425" i="1"/>
  <c r="L425" i="1"/>
  <c r="M425" i="1"/>
  <c r="N425" i="1"/>
  <c r="O425" i="1"/>
  <c r="K426" i="1"/>
  <c r="L426" i="1"/>
  <c r="M426" i="1"/>
  <c r="N426" i="1"/>
  <c r="O426" i="1"/>
  <c r="K427" i="1"/>
  <c r="L427" i="1"/>
  <c r="M427" i="1"/>
  <c r="N427" i="1"/>
  <c r="O427" i="1"/>
  <c r="K428" i="1"/>
  <c r="L428" i="1"/>
  <c r="M428" i="1"/>
  <c r="N428" i="1"/>
  <c r="O428" i="1"/>
  <c r="K429" i="1"/>
  <c r="L429" i="1"/>
  <c r="M429" i="1"/>
  <c r="N429" i="1"/>
  <c r="O429" i="1"/>
  <c r="K430" i="1"/>
  <c r="L430" i="1"/>
  <c r="M430" i="1"/>
  <c r="N430" i="1"/>
  <c r="O430" i="1"/>
  <c r="K431" i="1"/>
  <c r="L431" i="1"/>
  <c r="M431" i="1"/>
  <c r="N431" i="1"/>
  <c r="O431" i="1"/>
  <c r="K432" i="1"/>
  <c r="L432" i="1"/>
  <c r="M432" i="1"/>
  <c r="N432" i="1"/>
  <c r="O432" i="1"/>
  <c r="K433" i="1"/>
  <c r="L433" i="1"/>
  <c r="M433" i="1"/>
  <c r="N433" i="1"/>
  <c r="O433" i="1"/>
  <c r="K434" i="1"/>
  <c r="L434" i="1"/>
  <c r="M434" i="1"/>
  <c r="N434" i="1"/>
  <c r="O434" i="1"/>
  <c r="K435" i="1"/>
  <c r="L435" i="1"/>
  <c r="M435" i="1"/>
  <c r="N435" i="1"/>
  <c r="O435" i="1"/>
  <c r="K436" i="1"/>
  <c r="L436" i="1"/>
  <c r="M436" i="1"/>
  <c r="N436" i="1"/>
  <c r="O436" i="1"/>
  <c r="K437" i="1"/>
  <c r="L437" i="1"/>
  <c r="M437" i="1"/>
  <c r="N437" i="1"/>
  <c r="O437" i="1"/>
  <c r="K438" i="1"/>
  <c r="L438" i="1"/>
  <c r="M438" i="1"/>
  <c r="N438" i="1"/>
  <c r="O438" i="1"/>
  <c r="K439" i="1"/>
  <c r="L439" i="1"/>
  <c r="M439" i="1"/>
  <c r="N439" i="1"/>
  <c r="O439" i="1"/>
  <c r="K440" i="1"/>
  <c r="L440" i="1"/>
  <c r="M440" i="1"/>
  <c r="N440" i="1"/>
  <c r="O440" i="1"/>
  <c r="K441" i="1"/>
  <c r="L441" i="1"/>
  <c r="M441" i="1"/>
  <c r="N441" i="1"/>
  <c r="O441" i="1"/>
  <c r="K442" i="1"/>
  <c r="L442" i="1"/>
  <c r="M442" i="1"/>
  <c r="N442" i="1"/>
  <c r="O442" i="1"/>
  <c r="K443" i="1"/>
  <c r="L443" i="1"/>
  <c r="M443" i="1"/>
  <c r="N443" i="1"/>
  <c r="O443" i="1"/>
  <c r="K444" i="1"/>
  <c r="L444" i="1"/>
  <c r="M444" i="1"/>
  <c r="N444" i="1"/>
  <c r="O444" i="1"/>
  <c r="K445" i="1"/>
  <c r="L445" i="1"/>
  <c r="M445" i="1"/>
  <c r="N445" i="1"/>
  <c r="O445" i="1"/>
  <c r="K446" i="1"/>
  <c r="L446" i="1"/>
  <c r="M446" i="1"/>
  <c r="N446" i="1"/>
  <c r="O446" i="1"/>
  <c r="K447" i="1"/>
  <c r="L447" i="1"/>
  <c r="M447" i="1"/>
  <c r="N447" i="1"/>
  <c r="O447" i="1"/>
  <c r="K448" i="1"/>
  <c r="L448" i="1"/>
  <c r="M448" i="1"/>
  <c r="N448" i="1"/>
  <c r="O448" i="1"/>
  <c r="K449" i="1"/>
  <c r="L449" i="1"/>
  <c r="M449" i="1"/>
  <c r="N449" i="1"/>
  <c r="O449" i="1"/>
  <c r="K450" i="1"/>
  <c r="L450" i="1"/>
  <c r="M450" i="1"/>
  <c r="N450" i="1"/>
  <c r="O450" i="1"/>
  <c r="K451" i="1"/>
  <c r="L451" i="1"/>
  <c r="M451" i="1"/>
  <c r="N451" i="1"/>
  <c r="O451" i="1"/>
  <c r="K452" i="1"/>
  <c r="L452" i="1"/>
  <c r="M452" i="1"/>
  <c r="N452" i="1"/>
  <c r="O452" i="1"/>
  <c r="K453" i="1"/>
  <c r="L453" i="1"/>
  <c r="M453" i="1"/>
  <c r="N453" i="1"/>
  <c r="O453" i="1"/>
  <c r="K454" i="1"/>
  <c r="L454" i="1"/>
  <c r="M454" i="1"/>
  <c r="N454" i="1"/>
  <c r="O454" i="1"/>
  <c r="K455" i="1"/>
  <c r="L455" i="1"/>
  <c r="M455" i="1"/>
  <c r="N455" i="1"/>
  <c r="O455" i="1"/>
  <c r="K456" i="1"/>
  <c r="L456" i="1"/>
  <c r="M456" i="1"/>
  <c r="N456" i="1"/>
  <c r="O456" i="1"/>
  <c r="K457" i="1"/>
  <c r="L457" i="1"/>
  <c r="M457" i="1"/>
  <c r="N457" i="1"/>
  <c r="O457" i="1"/>
  <c r="K458" i="1"/>
  <c r="L458" i="1"/>
  <c r="M458" i="1"/>
  <c r="N458" i="1"/>
  <c r="O458" i="1"/>
  <c r="K459" i="1"/>
  <c r="L459" i="1"/>
  <c r="M459" i="1"/>
  <c r="N459" i="1"/>
  <c r="O459" i="1"/>
  <c r="K460" i="1"/>
  <c r="L460" i="1"/>
  <c r="M460" i="1"/>
  <c r="N460" i="1"/>
  <c r="O460" i="1"/>
  <c r="K461" i="1"/>
  <c r="L461" i="1"/>
  <c r="M461" i="1"/>
  <c r="N461" i="1"/>
  <c r="O461" i="1"/>
  <c r="K462" i="1"/>
  <c r="L462" i="1"/>
  <c r="M462" i="1"/>
  <c r="N462" i="1"/>
  <c r="O462" i="1"/>
  <c r="K463" i="1"/>
  <c r="L463" i="1"/>
  <c r="M463" i="1"/>
  <c r="N463" i="1"/>
  <c r="O463" i="1"/>
  <c r="K464" i="1"/>
  <c r="L464" i="1"/>
  <c r="M464" i="1"/>
  <c r="N464" i="1"/>
  <c r="O464" i="1"/>
  <c r="K465" i="1"/>
  <c r="L465" i="1"/>
  <c r="M465" i="1"/>
  <c r="N465" i="1"/>
  <c r="O465" i="1"/>
  <c r="K466" i="1"/>
  <c r="L466" i="1"/>
  <c r="M466" i="1"/>
  <c r="N466" i="1"/>
  <c r="O466" i="1"/>
  <c r="K467" i="1"/>
  <c r="L467" i="1"/>
  <c r="M467" i="1"/>
  <c r="N467" i="1"/>
  <c r="O467" i="1"/>
  <c r="K468" i="1"/>
  <c r="L468" i="1"/>
  <c r="M468" i="1"/>
  <c r="N468" i="1"/>
  <c r="O468" i="1"/>
  <c r="K469" i="1"/>
  <c r="L469" i="1"/>
  <c r="M469" i="1"/>
  <c r="N469" i="1"/>
  <c r="O469" i="1"/>
  <c r="K470" i="1"/>
  <c r="L470" i="1"/>
  <c r="M470" i="1"/>
  <c r="N470" i="1"/>
  <c r="O470" i="1"/>
  <c r="K471" i="1"/>
  <c r="L471" i="1"/>
  <c r="M471" i="1"/>
  <c r="N471" i="1"/>
  <c r="O471" i="1"/>
  <c r="K472" i="1"/>
  <c r="L472" i="1"/>
  <c r="M472" i="1"/>
  <c r="N472" i="1"/>
  <c r="O472" i="1"/>
  <c r="K473" i="1"/>
  <c r="L473" i="1"/>
  <c r="M473" i="1"/>
  <c r="N473" i="1"/>
  <c r="O473" i="1"/>
  <c r="K474" i="1"/>
  <c r="L474" i="1"/>
  <c r="M474" i="1"/>
  <c r="N474" i="1"/>
  <c r="O474" i="1"/>
  <c r="K475" i="1"/>
  <c r="L475" i="1"/>
  <c r="M475" i="1"/>
  <c r="N475" i="1"/>
  <c r="O475" i="1"/>
  <c r="K476" i="1"/>
  <c r="L476" i="1"/>
  <c r="M476" i="1"/>
  <c r="N476" i="1"/>
  <c r="O476" i="1"/>
  <c r="K477" i="1"/>
  <c r="L477" i="1"/>
  <c r="M477" i="1"/>
  <c r="N477" i="1"/>
  <c r="O477" i="1"/>
  <c r="K478" i="1"/>
  <c r="L478" i="1"/>
  <c r="M478" i="1"/>
  <c r="N478" i="1"/>
  <c r="O478" i="1"/>
  <c r="K479" i="1"/>
  <c r="L479" i="1"/>
  <c r="M479" i="1"/>
  <c r="N479" i="1"/>
  <c r="O479" i="1"/>
  <c r="K480" i="1"/>
  <c r="L480" i="1"/>
  <c r="M480" i="1"/>
  <c r="N480" i="1"/>
  <c r="O480" i="1"/>
  <c r="K481" i="1"/>
  <c r="L481" i="1"/>
  <c r="M481" i="1"/>
  <c r="N481" i="1"/>
  <c r="O481" i="1"/>
  <c r="L8" i="1"/>
  <c r="M8" i="1"/>
  <c r="N8" i="1"/>
  <c r="O8" i="1"/>
  <c r="K8" i="1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2" i="5"/>
  <c r="W3" i="1"/>
  <c r="X3" i="1"/>
  <c r="Y3" i="1"/>
  <c r="Z3" i="1"/>
  <c r="AA3" i="1"/>
  <c r="AB3" i="1"/>
  <c r="W4" i="1"/>
  <c r="X4" i="1"/>
  <c r="Y4" i="1"/>
  <c r="Z4" i="1"/>
  <c r="AA4" i="1"/>
  <c r="AB4" i="1"/>
  <c r="W5" i="1"/>
  <c r="X5" i="1"/>
  <c r="Y5" i="1"/>
  <c r="Z5" i="1"/>
  <c r="AA5" i="1"/>
  <c r="AB5" i="1"/>
  <c r="W6" i="1"/>
  <c r="X6" i="1"/>
  <c r="Y6" i="1"/>
  <c r="Z6" i="1"/>
  <c r="AA6" i="1"/>
  <c r="AB6" i="1"/>
  <c r="W7" i="1"/>
  <c r="X7" i="1"/>
  <c r="Y7" i="1"/>
  <c r="Z7" i="1"/>
  <c r="AA7" i="1"/>
  <c r="AB7" i="1"/>
  <c r="W8" i="1"/>
  <c r="X8" i="1"/>
  <c r="Y8" i="1"/>
  <c r="Z8" i="1"/>
  <c r="AA8" i="1"/>
  <c r="AB8" i="1"/>
  <c r="W9" i="1"/>
  <c r="X9" i="1"/>
  <c r="Y9" i="1"/>
  <c r="Z9" i="1"/>
  <c r="AA9" i="1"/>
  <c r="AB9" i="1"/>
  <c r="W10" i="1"/>
  <c r="X10" i="1"/>
  <c r="Y10" i="1"/>
  <c r="Z10" i="1"/>
  <c r="AA10" i="1"/>
  <c r="AB10" i="1"/>
  <c r="W11" i="1"/>
  <c r="X11" i="1"/>
  <c r="Y11" i="1"/>
  <c r="Z11" i="1"/>
  <c r="AA11" i="1"/>
  <c r="AB11" i="1"/>
  <c r="W12" i="1"/>
  <c r="X12" i="1"/>
  <c r="Y12" i="1"/>
  <c r="Z12" i="1"/>
  <c r="AA12" i="1"/>
  <c r="AB12" i="1"/>
  <c r="W13" i="1"/>
  <c r="X13" i="1"/>
  <c r="Y13" i="1"/>
  <c r="Z13" i="1"/>
  <c r="AA13" i="1"/>
  <c r="AB13" i="1"/>
  <c r="W14" i="1"/>
  <c r="X14" i="1"/>
  <c r="Y14" i="1"/>
  <c r="Z14" i="1"/>
  <c r="AA14" i="1"/>
  <c r="AB14" i="1"/>
  <c r="W15" i="1"/>
  <c r="X15" i="1"/>
  <c r="Y15" i="1"/>
  <c r="Z15" i="1"/>
  <c r="AA15" i="1"/>
  <c r="AB15" i="1"/>
  <c r="W16" i="1"/>
  <c r="X16" i="1"/>
  <c r="Y16" i="1"/>
  <c r="Z16" i="1"/>
  <c r="AA16" i="1"/>
  <c r="AB16" i="1"/>
  <c r="W17" i="1"/>
  <c r="X17" i="1"/>
  <c r="Y17" i="1"/>
  <c r="Z17" i="1"/>
  <c r="AA17" i="1"/>
  <c r="AB17" i="1"/>
  <c r="W18" i="1"/>
  <c r="X18" i="1"/>
  <c r="Y18" i="1"/>
  <c r="Z18" i="1"/>
  <c r="AA18" i="1"/>
  <c r="AB18" i="1"/>
  <c r="W19" i="1"/>
  <c r="X19" i="1"/>
  <c r="Y19" i="1"/>
  <c r="Z19" i="1"/>
  <c r="AA19" i="1"/>
  <c r="AB19" i="1"/>
  <c r="W20" i="1"/>
  <c r="X20" i="1"/>
  <c r="Y20" i="1"/>
  <c r="Z20" i="1"/>
  <c r="AA20" i="1"/>
  <c r="AB20" i="1"/>
  <c r="W21" i="1"/>
  <c r="X21" i="1"/>
  <c r="Y21" i="1"/>
  <c r="Z21" i="1"/>
  <c r="AA21" i="1"/>
  <c r="AB21" i="1"/>
  <c r="W22" i="1"/>
  <c r="X22" i="1"/>
  <c r="Y22" i="1"/>
  <c r="Z22" i="1"/>
  <c r="AA22" i="1"/>
  <c r="AB22" i="1"/>
  <c r="W23" i="1"/>
  <c r="X23" i="1"/>
  <c r="Y23" i="1"/>
  <c r="Z23" i="1"/>
  <c r="AA23" i="1"/>
  <c r="AB23" i="1"/>
  <c r="W24" i="1"/>
  <c r="X24" i="1"/>
  <c r="Y24" i="1"/>
  <c r="Z24" i="1"/>
  <c r="AA24" i="1"/>
  <c r="AB24" i="1"/>
  <c r="W25" i="1"/>
  <c r="X25" i="1"/>
  <c r="Y25" i="1"/>
  <c r="Z25" i="1"/>
  <c r="AA25" i="1"/>
  <c r="AB25" i="1"/>
  <c r="W26" i="1"/>
  <c r="X26" i="1"/>
  <c r="Y26" i="1"/>
  <c r="Z26" i="1"/>
  <c r="AA26" i="1"/>
  <c r="AB26" i="1"/>
  <c r="W27" i="1"/>
  <c r="X27" i="1"/>
  <c r="Y27" i="1"/>
  <c r="Z27" i="1"/>
  <c r="AA27" i="1"/>
  <c r="AB27" i="1"/>
  <c r="W28" i="1"/>
  <c r="X28" i="1"/>
  <c r="Y28" i="1"/>
  <c r="Z28" i="1"/>
  <c r="AA28" i="1"/>
  <c r="AB28" i="1"/>
  <c r="W29" i="1"/>
  <c r="X29" i="1"/>
  <c r="Y29" i="1"/>
  <c r="Z29" i="1"/>
  <c r="AA29" i="1"/>
  <c r="AB29" i="1"/>
  <c r="W30" i="1"/>
  <c r="X30" i="1"/>
  <c r="Y30" i="1"/>
  <c r="Z30" i="1"/>
  <c r="AA30" i="1"/>
  <c r="AB30" i="1"/>
  <c r="W31" i="1"/>
  <c r="X31" i="1"/>
  <c r="Y31" i="1"/>
  <c r="Z31" i="1"/>
  <c r="AA31" i="1"/>
  <c r="AB31" i="1"/>
  <c r="W32" i="1"/>
  <c r="X32" i="1"/>
  <c r="Y32" i="1"/>
  <c r="Z32" i="1"/>
  <c r="AA32" i="1"/>
  <c r="AB32" i="1"/>
  <c r="W33" i="1"/>
  <c r="X33" i="1"/>
  <c r="Y33" i="1"/>
  <c r="Z33" i="1"/>
  <c r="AA33" i="1"/>
  <c r="AB33" i="1"/>
  <c r="W34" i="1"/>
  <c r="X34" i="1"/>
  <c r="Y34" i="1"/>
  <c r="Z34" i="1"/>
  <c r="AA34" i="1"/>
  <c r="AB34" i="1"/>
  <c r="W35" i="1"/>
  <c r="X35" i="1"/>
  <c r="Y35" i="1"/>
  <c r="Z35" i="1"/>
  <c r="AA35" i="1"/>
  <c r="AB35" i="1"/>
  <c r="W36" i="1"/>
  <c r="X36" i="1"/>
  <c r="Y36" i="1"/>
  <c r="Z36" i="1"/>
  <c r="AA36" i="1"/>
  <c r="AB36" i="1"/>
  <c r="W37" i="1"/>
  <c r="X37" i="1"/>
  <c r="Y37" i="1"/>
  <c r="Z37" i="1"/>
  <c r="AA37" i="1"/>
  <c r="AB37" i="1"/>
  <c r="W38" i="1"/>
  <c r="X38" i="1"/>
  <c r="Y38" i="1"/>
  <c r="Z38" i="1"/>
  <c r="AA38" i="1"/>
  <c r="AB38" i="1"/>
  <c r="W39" i="1"/>
  <c r="X39" i="1"/>
  <c r="Y39" i="1"/>
  <c r="Z39" i="1"/>
  <c r="AA39" i="1"/>
  <c r="AB39" i="1"/>
  <c r="W40" i="1"/>
  <c r="X40" i="1"/>
  <c r="Y40" i="1"/>
  <c r="Z40" i="1"/>
  <c r="AA40" i="1"/>
  <c r="AB40" i="1"/>
  <c r="W41" i="1"/>
  <c r="X41" i="1"/>
  <c r="Y41" i="1"/>
  <c r="Z41" i="1"/>
  <c r="AA41" i="1"/>
  <c r="AB41" i="1"/>
  <c r="W42" i="1"/>
  <c r="X42" i="1"/>
  <c r="Y42" i="1"/>
  <c r="Z42" i="1"/>
  <c r="AA42" i="1"/>
  <c r="AB42" i="1"/>
  <c r="W43" i="1"/>
  <c r="X43" i="1"/>
  <c r="Y43" i="1"/>
  <c r="Z43" i="1"/>
  <c r="AA43" i="1"/>
  <c r="AB43" i="1"/>
  <c r="W44" i="1"/>
  <c r="X44" i="1"/>
  <c r="Y44" i="1"/>
  <c r="Z44" i="1"/>
  <c r="AA44" i="1"/>
  <c r="AB44" i="1"/>
  <c r="W45" i="1"/>
  <c r="X45" i="1"/>
  <c r="Y45" i="1"/>
  <c r="Z45" i="1"/>
  <c r="AA45" i="1"/>
  <c r="AB45" i="1"/>
  <c r="W46" i="1"/>
  <c r="X46" i="1"/>
  <c r="Y46" i="1"/>
  <c r="Z46" i="1"/>
  <c r="AA46" i="1"/>
  <c r="AB46" i="1"/>
  <c r="W47" i="1"/>
  <c r="X47" i="1"/>
  <c r="Y47" i="1"/>
  <c r="Z47" i="1"/>
  <c r="AA47" i="1"/>
  <c r="AB47" i="1"/>
  <c r="W48" i="1"/>
  <c r="X48" i="1"/>
  <c r="Y48" i="1"/>
  <c r="Z48" i="1"/>
  <c r="AA48" i="1"/>
  <c r="AB48" i="1"/>
  <c r="W49" i="1"/>
  <c r="X49" i="1"/>
  <c r="Y49" i="1"/>
  <c r="Z49" i="1"/>
  <c r="AA49" i="1"/>
  <c r="AB49" i="1"/>
  <c r="W50" i="1"/>
  <c r="X50" i="1"/>
  <c r="Y50" i="1"/>
  <c r="Z50" i="1"/>
  <c r="AA50" i="1"/>
  <c r="AB50" i="1"/>
  <c r="W51" i="1"/>
  <c r="X51" i="1"/>
  <c r="Y51" i="1"/>
  <c r="Z51" i="1"/>
  <c r="AA51" i="1"/>
  <c r="AB51" i="1"/>
  <c r="W52" i="1"/>
  <c r="X52" i="1"/>
  <c r="Y52" i="1"/>
  <c r="Z52" i="1"/>
  <c r="AA52" i="1"/>
  <c r="AB52" i="1"/>
  <c r="W53" i="1"/>
  <c r="X53" i="1"/>
  <c r="Y53" i="1"/>
  <c r="Z53" i="1"/>
  <c r="AA53" i="1"/>
  <c r="AB53" i="1"/>
  <c r="W54" i="1"/>
  <c r="X54" i="1"/>
  <c r="Y54" i="1"/>
  <c r="Z54" i="1"/>
  <c r="AA54" i="1"/>
  <c r="AB54" i="1"/>
  <c r="W55" i="1"/>
  <c r="X55" i="1"/>
  <c r="Y55" i="1"/>
  <c r="Z55" i="1"/>
  <c r="AA55" i="1"/>
  <c r="AB55" i="1"/>
  <c r="W56" i="1"/>
  <c r="X56" i="1"/>
  <c r="Y56" i="1"/>
  <c r="Z56" i="1"/>
  <c r="AA56" i="1"/>
  <c r="AB56" i="1"/>
  <c r="W57" i="1"/>
  <c r="X57" i="1"/>
  <c r="Y57" i="1"/>
  <c r="Z57" i="1"/>
  <c r="AA57" i="1"/>
  <c r="AB57" i="1"/>
  <c r="W58" i="1"/>
  <c r="X58" i="1"/>
  <c r="Y58" i="1"/>
  <c r="Z58" i="1"/>
  <c r="AA58" i="1"/>
  <c r="AB58" i="1"/>
  <c r="W59" i="1"/>
  <c r="X59" i="1"/>
  <c r="Y59" i="1"/>
  <c r="Z59" i="1"/>
  <c r="AA59" i="1"/>
  <c r="AB59" i="1"/>
  <c r="W60" i="1"/>
  <c r="X60" i="1"/>
  <c r="Y60" i="1"/>
  <c r="Z60" i="1"/>
  <c r="AA60" i="1"/>
  <c r="AB60" i="1"/>
  <c r="W61" i="1"/>
  <c r="X61" i="1"/>
  <c r="Y61" i="1"/>
  <c r="Z61" i="1"/>
  <c r="AA61" i="1"/>
  <c r="AB61" i="1"/>
  <c r="W62" i="1"/>
  <c r="X62" i="1"/>
  <c r="Y62" i="1"/>
  <c r="Z62" i="1"/>
  <c r="AA62" i="1"/>
  <c r="AB62" i="1"/>
  <c r="W63" i="1"/>
  <c r="X63" i="1"/>
  <c r="Y63" i="1"/>
  <c r="Z63" i="1"/>
  <c r="AA63" i="1"/>
  <c r="AB63" i="1"/>
  <c r="W64" i="1"/>
  <c r="X64" i="1"/>
  <c r="Y64" i="1"/>
  <c r="Z64" i="1"/>
  <c r="AA64" i="1"/>
  <c r="AB64" i="1"/>
  <c r="W65" i="1"/>
  <c r="X65" i="1"/>
  <c r="Y65" i="1"/>
  <c r="Z65" i="1"/>
  <c r="AA65" i="1"/>
  <c r="AB65" i="1"/>
  <c r="W66" i="1"/>
  <c r="X66" i="1"/>
  <c r="Y66" i="1"/>
  <c r="Z66" i="1"/>
  <c r="AA66" i="1"/>
  <c r="AB66" i="1"/>
  <c r="W67" i="1"/>
  <c r="X67" i="1"/>
  <c r="Y67" i="1"/>
  <c r="Z67" i="1"/>
  <c r="AA67" i="1"/>
  <c r="AB67" i="1"/>
  <c r="W68" i="1"/>
  <c r="X68" i="1"/>
  <c r="Y68" i="1"/>
  <c r="Z68" i="1"/>
  <c r="AA68" i="1"/>
  <c r="AB68" i="1"/>
  <c r="W69" i="1"/>
  <c r="X69" i="1"/>
  <c r="Y69" i="1"/>
  <c r="Z69" i="1"/>
  <c r="AA69" i="1"/>
  <c r="AB69" i="1"/>
  <c r="W70" i="1"/>
  <c r="X70" i="1"/>
  <c r="Y70" i="1"/>
  <c r="Z70" i="1"/>
  <c r="AA70" i="1"/>
  <c r="AB70" i="1"/>
  <c r="W71" i="1"/>
  <c r="X71" i="1"/>
  <c r="Y71" i="1"/>
  <c r="Z71" i="1"/>
  <c r="AA71" i="1"/>
  <c r="AB71" i="1"/>
  <c r="W72" i="1"/>
  <c r="X72" i="1"/>
  <c r="Y72" i="1"/>
  <c r="Z72" i="1"/>
  <c r="AA72" i="1"/>
  <c r="AB72" i="1"/>
  <c r="W73" i="1"/>
  <c r="X73" i="1"/>
  <c r="Y73" i="1"/>
  <c r="Z73" i="1"/>
  <c r="AA73" i="1"/>
  <c r="AB73" i="1"/>
  <c r="W74" i="1"/>
  <c r="X74" i="1"/>
  <c r="Y74" i="1"/>
  <c r="Z74" i="1"/>
  <c r="AA74" i="1"/>
  <c r="AB74" i="1"/>
  <c r="W75" i="1"/>
  <c r="X75" i="1"/>
  <c r="Y75" i="1"/>
  <c r="Z75" i="1"/>
  <c r="AA75" i="1"/>
  <c r="AB75" i="1"/>
  <c r="W76" i="1"/>
  <c r="X76" i="1"/>
  <c r="Y76" i="1"/>
  <c r="Z76" i="1"/>
  <c r="AA76" i="1"/>
  <c r="AB76" i="1"/>
  <c r="W77" i="1"/>
  <c r="X77" i="1"/>
  <c r="Y77" i="1"/>
  <c r="Z77" i="1"/>
  <c r="AA77" i="1"/>
  <c r="AB77" i="1"/>
  <c r="W78" i="1"/>
  <c r="X78" i="1"/>
  <c r="Y78" i="1"/>
  <c r="Z78" i="1"/>
  <c r="AA78" i="1"/>
  <c r="AB78" i="1"/>
  <c r="W79" i="1"/>
  <c r="X79" i="1"/>
  <c r="Y79" i="1"/>
  <c r="Z79" i="1"/>
  <c r="AA79" i="1"/>
  <c r="AB79" i="1"/>
  <c r="W80" i="1"/>
  <c r="X80" i="1"/>
  <c r="Y80" i="1"/>
  <c r="Z80" i="1"/>
  <c r="AA80" i="1"/>
  <c r="AB80" i="1"/>
  <c r="W81" i="1"/>
  <c r="X81" i="1"/>
  <c r="Y81" i="1"/>
  <c r="Z81" i="1"/>
  <c r="AA81" i="1"/>
  <c r="AB81" i="1"/>
  <c r="W82" i="1"/>
  <c r="X82" i="1"/>
  <c r="Y82" i="1"/>
  <c r="Z82" i="1"/>
  <c r="AA82" i="1"/>
  <c r="AB82" i="1"/>
  <c r="W83" i="1"/>
  <c r="X83" i="1"/>
  <c r="Y83" i="1"/>
  <c r="Z83" i="1"/>
  <c r="AA83" i="1"/>
  <c r="AB83" i="1"/>
  <c r="W84" i="1"/>
  <c r="X84" i="1"/>
  <c r="Y84" i="1"/>
  <c r="Z84" i="1"/>
  <c r="AA84" i="1"/>
  <c r="AB84" i="1"/>
  <c r="W85" i="1"/>
  <c r="X85" i="1"/>
  <c r="Y85" i="1"/>
  <c r="Z85" i="1"/>
  <c r="AA85" i="1"/>
  <c r="AB85" i="1"/>
  <c r="W86" i="1"/>
  <c r="X86" i="1"/>
  <c r="Y86" i="1"/>
  <c r="Z86" i="1"/>
  <c r="AA86" i="1"/>
  <c r="AB86" i="1"/>
  <c r="W87" i="1"/>
  <c r="X87" i="1"/>
  <c r="Y87" i="1"/>
  <c r="Z87" i="1"/>
  <c r="AA87" i="1"/>
  <c r="AB87" i="1"/>
  <c r="W88" i="1"/>
  <c r="X88" i="1"/>
  <c r="Y88" i="1"/>
  <c r="Z88" i="1"/>
  <c r="AA88" i="1"/>
  <c r="AB88" i="1"/>
  <c r="W89" i="1"/>
  <c r="X89" i="1"/>
  <c r="Y89" i="1"/>
  <c r="Z89" i="1"/>
  <c r="AA89" i="1"/>
  <c r="AB89" i="1"/>
  <c r="W90" i="1"/>
  <c r="X90" i="1"/>
  <c r="Y90" i="1"/>
  <c r="Z90" i="1"/>
  <c r="AA90" i="1"/>
  <c r="AB90" i="1"/>
  <c r="W91" i="1"/>
  <c r="X91" i="1"/>
  <c r="Y91" i="1"/>
  <c r="Z91" i="1"/>
  <c r="AA91" i="1"/>
  <c r="AB91" i="1"/>
  <c r="W92" i="1"/>
  <c r="X92" i="1"/>
  <c r="Y92" i="1"/>
  <c r="Z92" i="1"/>
  <c r="AA92" i="1"/>
  <c r="AB92" i="1"/>
  <c r="W93" i="1"/>
  <c r="X93" i="1"/>
  <c r="Y93" i="1"/>
  <c r="Z93" i="1"/>
  <c r="AA93" i="1"/>
  <c r="AB93" i="1"/>
  <c r="W94" i="1"/>
  <c r="X94" i="1"/>
  <c r="Y94" i="1"/>
  <c r="Z94" i="1"/>
  <c r="AA94" i="1"/>
  <c r="AB94" i="1"/>
  <c r="W95" i="1"/>
  <c r="X95" i="1"/>
  <c r="Y95" i="1"/>
  <c r="Z95" i="1"/>
  <c r="AA95" i="1"/>
  <c r="AB95" i="1"/>
  <c r="W96" i="1"/>
  <c r="X96" i="1"/>
  <c r="Y96" i="1"/>
  <c r="Z96" i="1"/>
  <c r="AA96" i="1"/>
  <c r="AB96" i="1"/>
  <c r="W97" i="1"/>
  <c r="X97" i="1"/>
  <c r="Y97" i="1"/>
  <c r="Z97" i="1"/>
  <c r="AA97" i="1"/>
  <c r="AB97" i="1"/>
  <c r="W98" i="1"/>
  <c r="X98" i="1"/>
  <c r="Y98" i="1"/>
  <c r="Z98" i="1"/>
  <c r="AA98" i="1"/>
  <c r="AB98" i="1"/>
  <c r="W99" i="1"/>
  <c r="X99" i="1"/>
  <c r="Y99" i="1"/>
  <c r="Z99" i="1"/>
  <c r="AA99" i="1"/>
  <c r="AB99" i="1"/>
  <c r="W100" i="1"/>
  <c r="X100" i="1"/>
  <c r="Y100" i="1"/>
  <c r="Z100" i="1"/>
  <c r="AA100" i="1"/>
  <c r="AB100" i="1"/>
  <c r="W101" i="1"/>
  <c r="X101" i="1"/>
  <c r="Y101" i="1"/>
  <c r="Z101" i="1"/>
  <c r="AA101" i="1"/>
  <c r="AB101" i="1"/>
  <c r="W102" i="1"/>
  <c r="X102" i="1"/>
  <c r="Y102" i="1"/>
  <c r="Z102" i="1"/>
  <c r="AA102" i="1"/>
  <c r="AB102" i="1"/>
  <c r="W103" i="1"/>
  <c r="X103" i="1"/>
  <c r="Y103" i="1"/>
  <c r="Z103" i="1"/>
  <c r="AA103" i="1"/>
  <c r="AB103" i="1"/>
  <c r="W104" i="1"/>
  <c r="X104" i="1"/>
  <c r="Y104" i="1"/>
  <c r="Z104" i="1"/>
  <c r="AA104" i="1"/>
  <c r="AB104" i="1"/>
  <c r="W105" i="1"/>
  <c r="X105" i="1"/>
  <c r="Y105" i="1"/>
  <c r="Z105" i="1"/>
  <c r="AA105" i="1"/>
  <c r="AB105" i="1"/>
  <c r="W106" i="1"/>
  <c r="X106" i="1"/>
  <c r="Y106" i="1"/>
  <c r="Z106" i="1"/>
  <c r="AA106" i="1"/>
  <c r="AB106" i="1"/>
  <c r="W107" i="1"/>
  <c r="X107" i="1"/>
  <c r="Y107" i="1"/>
  <c r="Z107" i="1"/>
  <c r="AA107" i="1"/>
  <c r="AB107" i="1"/>
  <c r="W108" i="1"/>
  <c r="X108" i="1"/>
  <c r="Y108" i="1"/>
  <c r="Z108" i="1"/>
  <c r="AA108" i="1"/>
  <c r="AB108" i="1"/>
  <c r="W109" i="1"/>
  <c r="X109" i="1"/>
  <c r="Y109" i="1"/>
  <c r="Z109" i="1"/>
  <c r="AA109" i="1"/>
  <c r="AB109" i="1"/>
  <c r="W110" i="1"/>
  <c r="X110" i="1"/>
  <c r="Y110" i="1"/>
  <c r="Z110" i="1"/>
  <c r="AA110" i="1"/>
  <c r="AB110" i="1"/>
  <c r="W111" i="1"/>
  <c r="X111" i="1"/>
  <c r="Y111" i="1"/>
  <c r="Z111" i="1"/>
  <c r="AA111" i="1"/>
  <c r="AB111" i="1"/>
  <c r="W112" i="1"/>
  <c r="X112" i="1"/>
  <c r="Y112" i="1"/>
  <c r="Z112" i="1"/>
  <c r="AA112" i="1"/>
  <c r="AB112" i="1"/>
  <c r="W113" i="1"/>
  <c r="X113" i="1"/>
  <c r="Y113" i="1"/>
  <c r="Z113" i="1"/>
  <c r="AA113" i="1"/>
  <c r="AB113" i="1"/>
  <c r="W114" i="1"/>
  <c r="X114" i="1"/>
  <c r="Y114" i="1"/>
  <c r="Z114" i="1"/>
  <c r="AA114" i="1"/>
  <c r="AB114" i="1"/>
  <c r="W115" i="1"/>
  <c r="X115" i="1"/>
  <c r="Y115" i="1"/>
  <c r="Z115" i="1"/>
  <c r="AA115" i="1"/>
  <c r="AB115" i="1"/>
  <c r="W116" i="1"/>
  <c r="X116" i="1"/>
  <c r="Y116" i="1"/>
  <c r="Z116" i="1"/>
  <c r="AA116" i="1"/>
  <c r="AB116" i="1"/>
  <c r="W117" i="1"/>
  <c r="X117" i="1"/>
  <c r="Y117" i="1"/>
  <c r="Z117" i="1"/>
  <c r="AA117" i="1"/>
  <c r="AB117" i="1"/>
  <c r="W118" i="1"/>
  <c r="X118" i="1"/>
  <c r="Y118" i="1"/>
  <c r="Z118" i="1"/>
  <c r="AA118" i="1"/>
  <c r="AB118" i="1"/>
  <c r="W119" i="1"/>
  <c r="X119" i="1"/>
  <c r="Y119" i="1"/>
  <c r="Z119" i="1"/>
  <c r="AA119" i="1"/>
  <c r="AB119" i="1"/>
  <c r="W120" i="1"/>
  <c r="X120" i="1"/>
  <c r="Y120" i="1"/>
  <c r="Z120" i="1"/>
  <c r="AA120" i="1"/>
  <c r="AB120" i="1"/>
  <c r="W121" i="1"/>
  <c r="X121" i="1"/>
  <c r="Y121" i="1"/>
  <c r="Z121" i="1"/>
  <c r="AA121" i="1"/>
  <c r="AB121" i="1"/>
  <c r="W122" i="1"/>
  <c r="X122" i="1"/>
  <c r="Y122" i="1"/>
  <c r="Z122" i="1"/>
  <c r="AA122" i="1"/>
  <c r="AB122" i="1"/>
  <c r="W123" i="1"/>
  <c r="X123" i="1"/>
  <c r="Y123" i="1"/>
  <c r="Z123" i="1"/>
  <c r="AA123" i="1"/>
  <c r="AB123" i="1"/>
  <c r="W124" i="1"/>
  <c r="X124" i="1"/>
  <c r="Y124" i="1"/>
  <c r="Z124" i="1"/>
  <c r="AA124" i="1"/>
  <c r="AB124" i="1"/>
  <c r="W125" i="1"/>
  <c r="X125" i="1"/>
  <c r="Y125" i="1"/>
  <c r="Z125" i="1"/>
  <c r="AA125" i="1"/>
  <c r="AB125" i="1"/>
  <c r="W126" i="1"/>
  <c r="X126" i="1"/>
  <c r="Y126" i="1"/>
  <c r="Z126" i="1"/>
  <c r="AA126" i="1"/>
  <c r="AB126" i="1"/>
  <c r="W127" i="1"/>
  <c r="X127" i="1"/>
  <c r="Y127" i="1"/>
  <c r="Z127" i="1"/>
  <c r="AA127" i="1"/>
  <c r="AB127" i="1"/>
  <c r="W128" i="1"/>
  <c r="X128" i="1"/>
  <c r="Y128" i="1"/>
  <c r="Z128" i="1"/>
  <c r="AA128" i="1"/>
  <c r="AB128" i="1"/>
  <c r="W129" i="1"/>
  <c r="X129" i="1"/>
  <c r="Y129" i="1"/>
  <c r="Z129" i="1"/>
  <c r="AA129" i="1"/>
  <c r="AB129" i="1"/>
  <c r="W130" i="1"/>
  <c r="X130" i="1"/>
  <c r="Y130" i="1"/>
  <c r="Z130" i="1"/>
  <c r="AA130" i="1"/>
  <c r="AB130" i="1"/>
  <c r="W131" i="1"/>
  <c r="X131" i="1"/>
  <c r="Y131" i="1"/>
  <c r="Z131" i="1"/>
  <c r="AA131" i="1"/>
  <c r="AB131" i="1"/>
  <c r="W132" i="1"/>
  <c r="X132" i="1"/>
  <c r="Y132" i="1"/>
  <c r="Z132" i="1"/>
  <c r="AA132" i="1"/>
  <c r="AB132" i="1"/>
  <c r="W133" i="1"/>
  <c r="X133" i="1"/>
  <c r="Y133" i="1"/>
  <c r="Z133" i="1"/>
  <c r="AA133" i="1"/>
  <c r="AB133" i="1"/>
  <c r="W134" i="1"/>
  <c r="X134" i="1"/>
  <c r="Y134" i="1"/>
  <c r="Z134" i="1"/>
  <c r="AA134" i="1"/>
  <c r="AB134" i="1"/>
  <c r="W135" i="1"/>
  <c r="X135" i="1"/>
  <c r="Y135" i="1"/>
  <c r="Z135" i="1"/>
  <c r="AA135" i="1"/>
  <c r="AB135" i="1"/>
  <c r="W136" i="1"/>
  <c r="X136" i="1"/>
  <c r="Y136" i="1"/>
  <c r="Z136" i="1"/>
  <c r="AA136" i="1"/>
  <c r="AB136" i="1"/>
  <c r="W137" i="1"/>
  <c r="X137" i="1"/>
  <c r="Y137" i="1"/>
  <c r="Z137" i="1"/>
  <c r="AA137" i="1"/>
  <c r="AB137" i="1"/>
  <c r="W138" i="1"/>
  <c r="X138" i="1"/>
  <c r="Y138" i="1"/>
  <c r="Z138" i="1"/>
  <c r="AA138" i="1"/>
  <c r="AB138" i="1"/>
  <c r="W139" i="1"/>
  <c r="X139" i="1"/>
  <c r="Y139" i="1"/>
  <c r="Z139" i="1"/>
  <c r="AA139" i="1"/>
  <c r="AB139" i="1"/>
  <c r="W140" i="1"/>
  <c r="X140" i="1"/>
  <c r="Y140" i="1"/>
  <c r="Z140" i="1"/>
  <c r="AA140" i="1"/>
  <c r="AB140" i="1"/>
  <c r="W141" i="1"/>
  <c r="X141" i="1"/>
  <c r="Y141" i="1"/>
  <c r="Z141" i="1"/>
  <c r="AA141" i="1"/>
  <c r="AB141" i="1"/>
  <c r="W142" i="1"/>
  <c r="X142" i="1"/>
  <c r="Y142" i="1"/>
  <c r="Z142" i="1"/>
  <c r="AA142" i="1"/>
  <c r="AB142" i="1"/>
  <c r="W143" i="1"/>
  <c r="X143" i="1"/>
  <c r="Y143" i="1"/>
  <c r="Z143" i="1"/>
  <c r="AA143" i="1"/>
  <c r="AB143" i="1"/>
  <c r="W144" i="1"/>
  <c r="X144" i="1"/>
  <c r="Y144" i="1"/>
  <c r="Z144" i="1"/>
  <c r="AA144" i="1"/>
  <c r="AB144" i="1"/>
  <c r="W145" i="1"/>
  <c r="X145" i="1"/>
  <c r="Y145" i="1"/>
  <c r="Z145" i="1"/>
  <c r="AA145" i="1"/>
  <c r="AB145" i="1"/>
  <c r="W146" i="1"/>
  <c r="X146" i="1"/>
  <c r="Y146" i="1"/>
  <c r="Z146" i="1"/>
  <c r="AA146" i="1"/>
  <c r="AB146" i="1"/>
  <c r="W147" i="1"/>
  <c r="X147" i="1"/>
  <c r="Y147" i="1"/>
  <c r="Z147" i="1"/>
  <c r="AA147" i="1"/>
  <c r="AB147" i="1"/>
  <c r="W148" i="1"/>
  <c r="X148" i="1"/>
  <c r="Y148" i="1"/>
  <c r="Z148" i="1"/>
  <c r="AA148" i="1"/>
  <c r="AB148" i="1"/>
  <c r="W149" i="1"/>
  <c r="X149" i="1"/>
  <c r="Y149" i="1"/>
  <c r="Z149" i="1"/>
  <c r="AA149" i="1"/>
  <c r="AB149" i="1"/>
  <c r="W150" i="1"/>
  <c r="X150" i="1"/>
  <c r="Y150" i="1"/>
  <c r="Z150" i="1"/>
  <c r="AA150" i="1"/>
  <c r="AB150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W153" i="1"/>
  <c r="X153" i="1"/>
  <c r="Y153" i="1"/>
  <c r="Z153" i="1"/>
  <c r="AA153" i="1"/>
  <c r="AB153" i="1"/>
  <c r="W154" i="1"/>
  <c r="X154" i="1"/>
  <c r="Y154" i="1"/>
  <c r="Z154" i="1"/>
  <c r="AA154" i="1"/>
  <c r="AB154" i="1"/>
  <c r="W155" i="1"/>
  <c r="X155" i="1"/>
  <c r="Y155" i="1"/>
  <c r="Z155" i="1"/>
  <c r="AA155" i="1"/>
  <c r="AB155" i="1"/>
  <c r="W156" i="1"/>
  <c r="X156" i="1"/>
  <c r="Y156" i="1"/>
  <c r="Z156" i="1"/>
  <c r="AA156" i="1"/>
  <c r="AB156" i="1"/>
  <c r="W157" i="1"/>
  <c r="X157" i="1"/>
  <c r="Y157" i="1"/>
  <c r="Z157" i="1"/>
  <c r="AA157" i="1"/>
  <c r="AB157" i="1"/>
  <c r="W158" i="1"/>
  <c r="X158" i="1"/>
  <c r="Y158" i="1"/>
  <c r="Z158" i="1"/>
  <c r="AA158" i="1"/>
  <c r="AB158" i="1"/>
  <c r="W159" i="1"/>
  <c r="X159" i="1"/>
  <c r="Y159" i="1"/>
  <c r="Z159" i="1"/>
  <c r="AA159" i="1"/>
  <c r="AB159" i="1"/>
  <c r="W160" i="1"/>
  <c r="X160" i="1"/>
  <c r="Y160" i="1"/>
  <c r="Z160" i="1"/>
  <c r="AA160" i="1"/>
  <c r="AB160" i="1"/>
  <c r="W161" i="1"/>
  <c r="X161" i="1"/>
  <c r="Y161" i="1"/>
  <c r="Z161" i="1"/>
  <c r="AA161" i="1"/>
  <c r="AB161" i="1"/>
  <c r="W162" i="1"/>
  <c r="X162" i="1"/>
  <c r="Y162" i="1"/>
  <c r="Z162" i="1"/>
  <c r="AA162" i="1"/>
  <c r="AB162" i="1"/>
  <c r="W163" i="1"/>
  <c r="X163" i="1"/>
  <c r="Y163" i="1"/>
  <c r="Z163" i="1"/>
  <c r="AA163" i="1"/>
  <c r="AB163" i="1"/>
  <c r="W164" i="1"/>
  <c r="X164" i="1"/>
  <c r="Y164" i="1"/>
  <c r="Z164" i="1"/>
  <c r="AA164" i="1"/>
  <c r="AB164" i="1"/>
  <c r="W165" i="1"/>
  <c r="X165" i="1"/>
  <c r="Y165" i="1"/>
  <c r="Z165" i="1"/>
  <c r="AA165" i="1"/>
  <c r="AB165" i="1"/>
  <c r="W166" i="1"/>
  <c r="X166" i="1"/>
  <c r="Y166" i="1"/>
  <c r="Z166" i="1"/>
  <c r="AA166" i="1"/>
  <c r="AB166" i="1"/>
  <c r="W167" i="1"/>
  <c r="X167" i="1"/>
  <c r="Y167" i="1"/>
  <c r="Z167" i="1"/>
  <c r="AA167" i="1"/>
  <c r="AB167" i="1"/>
  <c r="W168" i="1"/>
  <c r="X168" i="1"/>
  <c r="Y168" i="1"/>
  <c r="Z168" i="1"/>
  <c r="AA168" i="1"/>
  <c r="AB168" i="1"/>
  <c r="W169" i="1"/>
  <c r="X169" i="1"/>
  <c r="Y169" i="1"/>
  <c r="Z169" i="1"/>
  <c r="AA169" i="1"/>
  <c r="AB169" i="1"/>
  <c r="W170" i="1"/>
  <c r="X170" i="1"/>
  <c r="Y170" i="1"/>
  <c r="Z170" i="1"/>
  <c r="AA170" i="1"/>
  <c r="AB170" i="1"/>
  <c r="W171" i="1"/>
  <c r="X171" i="1"/>
  <c r="Y171" i="1"/>
  <c r="Z171" i="1"/>
  <c r="AA171" i="1"/>
  <c r="AB171" i="1"/>
  <c r="W172" i="1"/>
  <c r="X172" i="1"/>
  <c r="Y172" i="1"/>
  <c r="Z172" i="1"/>
  <c r="AA172" i="1"/>
  <c r="AB172" i="1"/>
  <c r="W173" i="1"/>
  <c r="X173" i="1"/>
  <c r="Y173" i="1"/>
  <c r="Z173" i="1"/>
  <c r="AA173" i="1"/>
  <c r="AB173" i="1"/>
  <c r="W174" i="1"/>
  <c r="X174" i="1"/>
  <c r="Y174" i="1"/>
  <c r="Z174" i="1"/>
  <c r="AA174" i="1"/>
  <c r="AB174" i="1"/>
  <c r="W175" i="1"/>
  <c r="X175" i="1"/>
  <c r="Y175" i="1"/>
  <c r="Z175" i="1"/>
  <c r="AA175" i="1"/>
  <c r="AB175" i="1"/>
  <c r="W176" i="1"/>
  <c r="X176" i="1"/>
  <c r="Y176" i="1"/>
  <c r="Z176" i="1"/>
  <c r="AA176" i="1"/>
  <c r="AB176" i="1"/>
  <c r="W177" i="1"/>
  <c r="X177" i="1"/>
  <c r="Y177" i="1"/>
  <c r="Z177" i="1"/>
  <c r="AA177" i="1"/>
  <c r="AB177" i="1"/>
  <c r="W178" i="1"/>
  <c r="X178" i="1"/>
  <c r="Y178" i="1"/>
  <c r="Z178" i="1"/>
  <c r="AA178" i="1"/>
  <c r="AB178" i="1"/>
  <c r="W179" i="1"/>
  <c r="X179" i="1"/>
  <c r="Y179" i="1"/>
  <c r="Z179" i="1"/>
  <c r="AA179" i="1"/>
  <c r="AB179" i="1"/>
  <c r="W180" i="1"/>
  <c r="X180" i="1"/>
  <c r="Y180" i="1"/>
  <c r="Z180" i="1"/>
  <c r="AA180" i="1"/>
  <c r="AB180" i="1"/>
  <c r="W181" i="1"/>
  <c r="X181" i="1"/>
  <c r="Y181" i="1"/>
  <c r="Z181" i="1"/>
  <c r="AA181" i="1"/>
  <c r="AB181" i="1"/>
  <c r="W182" i="1"/>
  <c r="X182" i="1"/>
  <c r="Y182" i="1"/>
  <c r="Z182" i="1"/>
  <c r="AA182" i="1"/>
  <c r="AB182" i="1"/>
  <c r="W183" i="1"/>
  <c r="X183" i="1"/>
  <c r="Y183" i="1"/>
  <c r="Z183" i="1"/>
  <c r="AA183" i="1"/>
  <c r="AB183" i="1"/>
  <c r="W184" i="1"/>
  <c r="X184" i="1"/>
  <c r="Y184" i="1"/>
  <c r="Z184" i="1"/>
  <c r="AA184" i="1"/>
  <c r="AB184" i="1"/>
  <c r="W185" i="1"/>
  <c r="X185" i="1"/>
  <c r="Y185" i="1"/>
  <c r="Z185" i="1"/>
  <c r="AA185" i="1"/>
  <c r="AB185" i="1"/>
  <c r="W186" i="1"/>
  <c r="X186" i="1"/>
  <c r="Y186" i="1"/>
  <c r="Z186" i="1"/>
  <c r="AA186" i="1"/>
  <c r="AB186" i="1"/>
  <c r="W187" i="1"/>
  <c r="X187" i="1"/>
  <c r="Y187" i="1"/>
  <c r="Z187" i="1"/>
  <c r="AA187" i="1"/>
  <c r="AB187" i="1"/>
  <c r="W188" i="1"/>
  <c r="X188" i="1"/>
  <c r="Y188" i="1"/>
  <c r="Z188" i="1"/>
  <c r="AA188" i="1"/>
  <c r="AB188" i="1"/>
  <c r="W189" i="1"/>
  <c r="X189" i="1"/>
  <c r="Y189" i="1"/>
  <c r="Z189" i="1"/>
  <c r="AA189" i="1"/>
  <c r="AB189" i="1"/>
  <c r="W190" i="1"/>
  <c r="X190" i="1"/>
  <c r="Y190" i="1"/>
  <c r="Z190" i="1"/>
  <c r="AA190" i="1"/>
  <c r="AB190" i="1"/>
  <c r="W191" i="1"/>
  <c r="X191" i="1"/>
  <c r="Y191" i="1"/>
  <c r="Z191" i="1"/>
  <c r="AA191" i="1"/>
  <c r="AB191" i="1"/>
  <c r="W192" i="1"/>
  <c r="X192" i="1"/>
  <c r="Y192" i="1"/>
  <c r="Z192" i="1"/>
  <c r="AA192" i="1"/>
  <c r="AB192" i="1"/>
  <c r="W193" i="1"/>
  <c r="X193" i="1"/>
  <c r="Y193" i="1"/>
  <c r="Z193" i="1"/>
  <c r="AA193" i="1"/>
  <c r="AB193" i="1"/>
  <c r="W194" i="1"/>
  <c r="X194" i="1"/>
  <c r="Y194" i="1"/>
  <c r="Z194" i="1"/>
  <c r="AA194" i="1"/>
  <c r="AB194" i="1"/>
  <c r="W195" i="1"/>
  <c r="X195" i="1"/>
  <c r="Y195" i="1"/>
  <c r="Z195" i="1"/>
  <c r="AA195" i="1"/>
  <c r="AB195" i="1"/>
  <c r="W196" i="1"/>
  <c r="X196" i="1"/>
  <c r="Y196" i="1"/>
  <c r="Z196" i="1"/>
  <c r="AA196" i="1"/>
  <c r="AB196" i="1"/>
  <c r="W197" i="1"/>
  <c r="X197" i="1"/>
  <c r="Y197" i="1"/>
  <c r="Z197" i="1"/>
  <c r="AA197" i="1"/>
  <c r="AB197" i="1"/>
  <c r="W198" i="1"/>
  <c r="X198" i="1"/>
  <c r="Y198" i="1"/>
  <c r="Z198" i="1"/>
  <c r="AA198" i="1"/>
  <c r="AB198" i="1"/>
  <c r="W199" i="1"/>
  <c r="X199" i="1"/>
  <c r="Y199" i="1"/>
  <c r="Z199" i="1"/>
  <c r="AA199" i="1"/>
  <c r="AB199" i="1"/>
  <c r="W200" i="1"/>
  <c r="X200" i="1"/>
  <c r="Y200" i="1"/>
  <c r="Z200" i="1"/>
  <c r="AA200" i="1"/>
  <c r="AB200" i="1"/>
  <c r="W201" i="1"/>
  <c r="X201" i="1"/>
  <c r="Y201" i="1"/>
  <c r="Z201" i="1"/>
  <c r="AA201" i="1"/>
  <c r="AB201" i="1"/>
  <c r="W202" i="1"/>
  <c r="X202" i="1"/>
  <c r="Y202" i="1"/>
  <c r="Z202" i="1"/>
  <c r="AA202" i="1"/>
  <c r="AB202" i="1"/>
  <c r="W203" i="1"/>
  <c r="X203" i="1"/>
  <c r="Y203" i="1"/>
  <c r="Z203" i="1"/>
  <c r="AA203" i="1"/>
  <c r="AB203" i="1"/>
  <c r="W204" i="1"/>
  <c r="X204" i="1"/>
  <c r="Y204" i="1"/>
  <c r="Z204" i="1"/>
  <c r="AA204" i="1"/>
  <c r="AB204" i="1"/>
  <c r="W205" i="1"/>
  <c r="X205" i="1"/>
  <c r="Y205" i="1"/>
  <c r="Z205" i="1"/>
  <c r="AA205" i="1"/>
  <c r="AB205" i="1"/>
  <c r="W206" i="1"/>
  <c r="X206" i="1"/>
  <c r="Y206" i="1"/>
  <c r="Z206" i="1"/>
  <c r="AA206" i="1"/>
  <c r="AB206" i="1"/>
  <c r="W207" i="1"/>
  <c r="X207" i="1"/>
  <c r="Y207" i="1"/>
  <c r="Z207" i="1"/>
  <c r="AA207" i="1"/>
  <c r="AB207" i="1"/>
  <c r="W208" i="1"/>
  <c r="X208" i="1"/>
  <c r="Y208" i="1"/>
  <c r="Z208" i="1"/>
  <c r="AA208" i="1"/>
  <c r="AB208" i="1"/>
  <c r="W209" i="1"/>
  <c r="X209" i="1"/>
  <c r="Y209" i="1"/>
  <c r="Z209" i="1"/>
  <c r="AA209" i="1"/>
  <c r="AB209" i="1"/>
  <c r="W210" i="1"/>
  <c r="X210" i="1"/>
  <c r="Y210" i="1"/>
  <c r="Z210" i="1"/>
  <c r="AA210" i="1"/>
  <c r="AB210" i="1"/>
  <c r="W211" i="1"/>
  <c r="X211" i="1"/>
  <c r="Y211" i="1"/>
  <c r="Z211" i="1"/>
  <c r="AA211" i="1"/>
  <c r="AB211" i="1"/>
  <c r="W212" i="1"/>
  <c r="X212" i="1"/>
  <c r="Y212" i="1"/>
  <c r="Z212" i="1"/>
  <c r="AA212" i="1"/>
  <c r="AB212" i="1"/>
  <c r="W213" i="1"/>
  <c r="X213" i="1"/>
  <c r="Y213" i="1"/>
  <c r="Z213" i="1"/>
  <c r="AA213" i="1"/>
  <c r="AB213" i="1"/>
  <c r="W214" i="1"/>
  <c r="X214" i="1"/>
  <c r="Y214" i="1"/>
  <c r="Z214" i="1"/>
  <c r="AA214" i="1"/>
  <c r="AB214" i="1"/>
  <c r="W215" i="1"/>
  <c r="X215" i="1"/>
  <c r="Y215" i="1"/>
  <c r="Z215" i="1"/>
  <c r="AA215" i="1"/>
  <c r="AB215" i="1"/>
  <c r="W216" i="1"/>
  <c r="X216" i="1"/>
  <c r="Y216" i="1"/>
  <c r="Z216" i="1"/>
  <c r="AA216" i="1"/>
  <c r="AB216" i="1"/>
  <c r="W217" i="1"/>
  <c r="X217" i="1"/>
  <c r="Y217" i="1"/>
  <c r="Z217" i="1"/>
  <c r="AA217" i="1"/>
  <c r="AB217" i="1"/>
  <c r="W218" i="1"/>
  <c r="X218" i="1"/>
  <c r="Y218" i="1"/>
  <c r="Z218" i="1"/>
  <c r="AA218" i="1"/>
  <c r="AB218" i="1"/>
  <c r="W219" i="1"/>
  <c r="X219" i="1"/>
  <c r="Y219" i="1"/>
  <c r="Z219" i="1"/>
  <c r="AA219" i="1"/>
  <c r="AB219" i="1"/>
  <c r="W220" i="1"/>
  <c r="X220" i="1"/>
  <c r="Y220" i="1"/>
  <c r="Z220" i="1"/>
  <c r="AA220" i="1"/>
  <c r="AB220" i="1"/>
  <c r="W221" i="1"/>
  <c r="X221" i="1"/>
  <c r="Y221" i="1"/>
  <c r="Z221" i="1"/>
  <c r="AA221" i="1"/>
  <c r="AB221" i="1"/>
  <c r="W222" i="1"/>
  <c r="X222" i="1"/>
  <c r="Y222" i="1"/>
  <c r="Z222" i="1"/>
  <c r="AA222" i="1"/>
  <c r="AB222" i="1"/>
  <c r="W223" i="1"/>
  <c r="X223" i="1"/>
  <c r="Y223" i="1"/>
  <c r="Z223" i="1"/>
  <c r="AA223" i="1"/>
  <c r="AB223" i="1"/>
  <c r="W224" i="1"/>
  <c r="X224" i="1"/>
  <c r="Y224" i="1"/>
  <c r="Z224" i="1"/>
  <c r="AA224" i="1"/>
  <c r="AB224" i="1"/>
  <c r="W225" i="1"/>
  <c r="X225" i="1"/>
  <c r="Y225" i="1"/>
  <c r="Z225" i="1"/>
  <c r="AA225" i="1"/>
  <c r="AB225" i="1"/>
  <c r="W226" i="1"/>
  <c r="X226" i="1"/>
  <c r="Y226" i="1"/>
  <c r="Z226" i="1"/>
  <c r="AA226" i="1"/>
  <c r="AB226" i="1"/>
  <c r="W227" i="1"/>
  <c r="X227" i="1"/>
  <c r="Y227" i="1"/>
  <c r="Z227" i="1"/>
  <c r="AA227" i="1"/>
  <c r="AB227" i="1"/>
  <c r="W228" i="1"/>
  <c r="X228" i="1"/>
  <c r="Y228" i="1"/>
  <c r="Z228" i="1"/>
  <c r="AA228" i="1"/>
  <c r="AB228" i="1"/>
  <c r="W229" i="1"/>
  <c r="X229" i="1"/>
  <c r="Y229" i="1"/>
  <c r="Z229" i="1"/>
  <c r="AA229" i="1"/>
  <c r="AB229" i="1"/>
  <c r="W230" i="1"/>
  <c r="X230" i="1"/>
  <c r="Y230" i="1"/>
  <c r="Z230" i="1"/>
  <c r="AA230" i="1"/>
  <c r="AB230" i="1"/>
  <c r="W231" i="1"/>
  <c r="X231" i="1"/>
  <c r="Y231" i="1"/>
  <c r="Z231" i="1"/>
  <c r="AA231" i="1"/>
  <c r="AB231" i="1"/>
  <c r="W232" i="1"/>
  <c r="X232" i="1"/>
  <c r="Y232" i="1"/>
  <c r="Z232" i="1"/>
  <c r="AA232" i="1"/>
  <c r="AB232" i="1"/>
  <c r="W233" i="1"/>
  <c r="X233" i="1"/>
  <c r="Y233" i="1"/>
  <c r="Z233" i="1"/>
  <c r="AA233" i="1"/>
  <c r="AB233" i="1"/>
  <c r="W234" i="1"/>
  <c r="X234" i="1"/>
  <c r="Y234" i="1"/>
  <c r="Z234" i="1"/>
  <c r="AA234" i="1"/>
  <c r="AB234" i="1"/>
  <c r="W235" i="1"/>
  <c r="X235" i="1"/>
  <c r="Y235" i="1"/>
  <c r="Z235" i="1"/>
  <c r="AA235" i="1"/>
  <c r="AB235" i="1"/>
  <c r="W236" i="1"/>
  <c r="X236" i="1"/>
  <c r="Y236" i="1"/>
  <c r="Z236" i="1"/>
  <c r="AA236" i="1"/>
  <c r="AB236" i="1"/>
  <c r="W237" i="1"/>
  <c r="X237" i="1"/>
  <c r="Y237" i="1"/>
  <c r="Z237" i="1"/>
  <c r="AA237" i="1"/>
  <c r="AB237" i="1"/>
  <c r="W238" i="1"/>
  <c r="X238" i="1"/>
  <c r="Y238" i="1"/>
  <c r="Z238" i="1"/>
  <c r="AA238" i="1"/>
  <c r="AB238" i="1"/>
  <c r="W239" i="1"/>
  <c r="X239" i="1"/>
  <c r="Y239" i="1"/>
  <c r="Z239" i="1"/>
  <c r="AA239" i="1"/>
  <c r="AB239" i="1"/>
  <c r="W240" i="1"/>
  <c r="X240" i="1"/>
  <c r="Y240" i="1"/>
  <c r="Z240" i="1"/>
  <c r="AA240" i="1"/>
  <c r="AB240" i="1"/>
  <c r="W241" i="1"/>
  <c r="X241" i="1"/>
  <c r="Y241" i="1"/>
  <c r="Z241" i="1"/>
  <c r="AA241" i="1"/>
  <c r="AB241" i="1"/>
  <c r="W242" i="1"/>
  <c r="X242" i="1"/>
  <c r="Y242" i="1"/>
  <c r="Z242" i="1"/>
  <c r="AA242" i="1"/>
  <c r="AB242" i="1"/>
  <c r="W243" i="1"/>
  <c r="X243" i="1"/>
  <c r="Y243" i="1"/>
  <c r="Z243" i="1"/>
  <c r="AA243" i="1"/>
  <c r="AB243" i="1"/>
  <c r="W244" i="1"/>
  <c r="X244" i="1"/>
  <c r="Y244" i="1"/>
  <c r="Z244" i="1"/>
  <c r="AA244" i="1"/>
  <c r="AB244" i="1"/>
  <c r="W245" i="1"/>
  <c r="X245" i="1"/>
  <c r="Y245" i="1"/>
  <c r="Z245" i="1"/>
  <c r="AA245" i="1"/>
  <c r="AB245" i="1"/>
  <c r="W246" i="1"/>
  <c r="X246" i="1"/>
  <c r="Y246" i="1"/>
  <c r="Z246" i="1"/>
  <c r="AA246" i="1"/>
  <c r="AB246" i="1"/>
  <c r="W247" i="1"/>
  <c r="X247" i="1"/>
  <c r="Y247" i="1"/>
  <c r="Z247" i="1"/>
  <c r="AA247" i="1"/>
  <c r="AB247" i="1"/>
  <c r="W248" i="1"/>
  <c r="X248" i="1"/>
  <c r="Y248" i="1"/>
  <c r="Z248" i="1"/>
  <c r="AA248" i="1"/>
  <c r="AB248" i="1"/>
  <c r="W249" i="1"/>
  <c r="X249" i="1"/>
  <c r="Y249" i="1"/>
  <c r="Z249" i="1"/>
  <c r="AA249" i="1"/>
  <c r="AB249" i="1"/>
  <c r="W250" i="1"/>
  <c r="X250" i="1"/>
  <c r="Y250" i="1"/>
  <c r="Z250" i="1"/>
  <c r="AA250" i="1"/>
  <c r="AB250" i="1"/>
  <c r="W251" i="1"/>
  <c r="X251" i="1"/>
  <c r="Y251" i="1"/>
  <c r="Z251" i="1"/>
  <c r="AA251" i="1"/>
  <c r="AB251" i="1"/>
  <c r="W252" i="1"/>
  <c r="X252" i="1"/>
  <c r="Y252" i="1"/>
  <c r="Z252" i="1"/>
  <c r="AA252" i="1"/>
  <c r="AB252" i="1"/>
  <c r="W253" i="1"/>
  <c r="X253" i="1"/>
  <c r="Y253" i="1"/>
  <c r="Z253" i="1"/>
  <c r="AA253" i="1"/>
  <c r="AB253" i="1"/>
  <c r="W254" i="1"/>
  <c r="X254" i="1"/>
  <c r="Y254" i="1"/>
  <c r="Z254" i="1"/>
  <c r="AA254" i="1"/>
  <c r="AB254" i="1"/>
  <c r="W255" i="1"/>
  <c r="X255" i="1"/>
  <c r="Y255" i="1"/>
  <c r="Z255" i="1"/>
  <c r="AA255" i="1"/>
  <c r="AB255" i="1"/>
  <c r="W256" i="1"/>
  <c r="X256" i="1"/>
  <c r="Y256" i="1"/>
  <c r="Z256" i="1"/>
  <c r="AA256" i="1"/>
  <c r="AB256" i="1"/>
  <c r="W257" i="1"/>
  <c r="X257" i="1"/>
  <c r="Y257" i="1"/>
  <c r="Z257" i="1"/>
  <c r="AA257" i="1"/>
  <c r="AB257" i="1"/>
  <c r="W258" i="1"/>
  <c r="X258" i="1"/>
  <c r="Y258" i="1"/>
  <c r="Z258" i="1"/>
  <c r="AA258" i="1"/>
  <c r="AB258" i="1"/>
  <c r="W259" i="1"/>
  <c r="X259" i="1"/>
  <c r="Y259" i="1"/>
  <c r="Z259" i="1"/>
  <c r="AA259" i="1"/>
  <c r="AB259" i="1"/>
  <c r="W260" i="1"/>
  <c r="X260" i="1"/>
  <c r="Y260" i="1"/>
  <c r="Z260" i="1"/>
  <c r="AA260" i="1"/>
  <c r="AB260" i="1"/>
  <c r="W261" i="1"/>
  <c r="X261" i="1"/>
  <c r="Y261" i="1"/>
  <c r="Z261" i="1"/>
  <c r="AA261" i="1"/>
  <c r="AB261" i="1"/>
  <c r="W262" i="1"/>
  <c r="X262" i="1"/>
  <c r="Y262" i="1"/>
  <c r="Z262" i="1"/>
  <c r="AA262" i="1"/>
  <c r="AB262" i="1"/>
  <c r="W263" i="1"/>
  <c r="X263" i="1"/>
  <c r="Y263" i="1"/>
  <c r="Z263" i="1"/>
  <c r="AA263" i="1"/>
  <c r="AB263" i="1"/>
  <c r="W264" i="1"/>
  <c r="X264" i="1"/>
  <c r="Y264" i="1"/>
  <c r="Z264" i="1"/>
  <c r="AA264" i="1"/>
  <c r="AB264" i="1"/>
  <c r="W265" i="1"/>
  <c r="X265" i="1"/>
  <c r="Y265" i="1"/>
  <c r="Z265" i="1"/>
  <c r="AA265" i="1"/>
  <c r="AB265" i="1"/>
  <c r="W266" i="1"/>
  <c r="X266" i="1"/>
  <c r="Y266" i="1"/>
  <c r="Z266" i="1"/>
  <c r="AA266" i="1"/>
  <c r="AB266" i="1"/>
  <c r="W267" i="1"/>
  <c r="X267" i="1"/>
  <c r="Y267" i="1"/>
  <c r="Z267" i="1"/>
  <c r="AA267" i="1"/>
  <c r="AB267" i="1"/>
  <c r="W268" i="1"/>
  <c r="X268" i="1"/>
  <c r="Y268" i="1"/>
  <c r="Z268" i="1"/>
  <c r="AA268" i="1"/>
  <c r="AB268" i="1"/>
  <c r="W269" i="1"/>
  <c r="X269" i="1"/>
  <c r="Y269" i="1"/>
  <c r="Z269" i="1"/>
  <c r="AA269" i="1"/>
  <c r="AB269" i="1"/>
  <c r="W270" i="1"/>
  <c r="X270" i="1"/>
  <c r="Y270" i="1"/>
  <c r="Z270" i="1"/>
  <c r="AA270" i="1"/>
  <c r="AB270" i="1"/>
  <c r="W271" i="1"/>
  <c r="X271" i="1"/>
  <c r="Y271" i="1"/>
  <c r="Z271" i="1"/>
  <c r="AA271" i="1"/>
  <c r="AB271" i="1"/>
  <c r="W272" i="1"/>
  <c r="X272" i="1"/>
  <c r="Y272" i="1"/>
  <c r="Z272" i="1"/>
  <c r="AA272" i="1"/>
  <c r="AB272" i="1"/>
  <c r="W273" i="1"/>
  <c r="X273" i="1"/>
  <c r="Y273" i="1"/>
  <c r="Z273" i="1"/>
  <c r="AA273" i="1"/>
  <c r="AB273" i="1"/>
  <c r="W274" i="1"/>
  <c r="X274" i="1"/>
  <c r="Y274" i="1"/>
  <c r="Z274" i="1"/>
  <c r="AA274" i="1"/>
  <c r="AB274" i="1"/>
  <c r="W275" i="1"/>
  <c r="X275" i="1"/>
  <c r="Y275" i="1"/>
  <c r="Z275" i="1"/>
  <c r="AA275" i="1"/>
  <c r="AB275" i="1"/>
  <c r="W276" i="1"/>
  <c r="X276" i="1"/>
  <c r="Y276" i="1"/>
  <c r="Z276" i="1"/>
  <c r="AA276" i="1"/>
  <c r="AB276" i="1"/>
  <c r="W277" i="1"/>
  <c r="X277" i="1"/>
  <c r="Y277" i="1"/>
  <c r="Z277" i="1"/>
  <c r="AA277" i="1"/>
  <c r="AB277" i="1"/>
  <c r="W278" i="1"/>
  <c r="X278" i="1"/>
  <c r="Y278" i="1"/>
  <c r="Z278" i="1"/>
  <c r="AA278" i="1"/>
  <c r="AB278" i="1"/>
  <c r="W279" i="1"/>
  <c r="X279" i="1"/>
  <c r="Y279" i="1"/>
  <c r="Z279" i="1"/>
  <c r="AA279" i="1"/>
  <c r="AB279" i="1"/>
  <c r="W280" i="1"/>
  <c r="X280" i="1"/>
  <c r="Y280" i="1"/>
  <c r="Z280" i="1"/>
  <c r="AA280" i="1"/>
  <c r="AB280" i="1"/>
  <c r="W281" i="1"/>
  <c r="X281" i="1"/>
  <c r="Y281" i="1"/>
  <c r="Z281" i="1"/>
  <c r="AA281" i="1"/>
  <c r="AB281" i="1"/>
  <c r="W282" i="1"/>
  <c r="X282" i="1"/>
  <c r="Y282" i="1"/>
  <c r="Z282" i="1"/>
  <c r="AA282" i="1"/>
  <c r="AB282" i="1"/>
  <c r="W283" i="1"/>
  <c r="X283" i="1"/>
  <c r="Y283" i="1"/>
  <c r="Z283" i="1"/>
  <c r="AA283" i="1"/>
  <c r="AB283" i="1"/>
  <c r="W284" i="1"/>
  <c r="X284" i="1"/>
  <c r="Y284" i="1"/>
  <c r="Z284" i="1"/>
  <c r="AA284" i="1"/>
  <c r="AB284" i="1"/>
  <c r="W285" i="1"/>
  <c r="X285" i="1"/>
  <c r="Y285" i="1"/>
  <c r="Z285" i="1"/>
  <c r="AA285" i="1"/>
  <c r="AB285" i="1"/>
  <c r="W286" i="1"/>
  <c r="X286" i="1"/>
  <c r="Y286" i="1"/>
  <c r="Z286" i="1"/>
  <c r="AA286" i="1"/>
  <c r="AB286" i="1"/>
  <c r="W287" i="1"/>
  <c r="X287" i="1"/>
  <c r="Y287" i="1"/>
  <c r="Z287" i="1"/>
  <c r="AA287" i="1"/>
  <c r="AB287" i="1"/>
  <c r="W288" i="1"/>
  <c r="X288" i="1"/>
  <c r="Y288" i="1"/>
  <c r="Z288" i="1"/>
  <c r="AA288" i="1"/>
  <c r="AB288" i="1"/>
  <c r="W289" i="1"/>
  <c r="X289" i="1"/>
  <c r="Y289" i="1"/>
  <c r="Z289" i="1"/>
  <c r="AA289" i="1"/>
  <c r="AB289" i="1"/>
  <c r="W290" i="1"/>
  <c r="X290" i="1"/>
  <c r="Y290" i="1"/>
  <c r="Z290" i="1"/>
  <c r="AA290" i="1"/>
  <c r="AB290" i="1"/>
  <c r="W291" i="1"/>
  <c r="X291" i="1"/>
  <c r="Y291" i="1"/>
  <c r="Z291" i="1"/>
  <c r="AA291" i="1"/>
  <c r="AB291" i="1"/>
  <c r="W292" i="1"/>
  <c r="X292" i="1"/>
  <c r="Y292" i="1"/>
  <c r="Z292" i="1"/>
  <c r="AA292" i="1"/>
  <c r="AB292" i="1"/>
  <c r="W293" i="1"/>
  <c r="X293" i="1"/>
  <c r="Y293" i="1"/>
  <c r="Z293" i="1"/>
  <c r="AA293" i="1"/>
  <c r="AB293" i="1"/>
  <c r="W294" i="1"/>
  <c r="X294" i="1"/>
  <c r="Y294" i="1"/>
  <c r="Z294" i="1"/>
  <c r="AA294" i="1"/>
  <c r="AB294" i="1"/>
  <c r="W295" i="1"/>
  <c r="X295" i="1"/>
  <c r="Y295" i="1"/>
  <c r="Z295" i="1"/>
  <c r="AA295" i="1"/>
  <c r="AB295" i="1"/>
  <c r="W296" i="1"/>
  <c r="X296" i="1"/>
  <c r="Y296" i="1"/>
  <c r="Z296" i="1"/>
  <c r="AA296" i="1"/>
  <c r="AB296" i="1"/>
  <c r="W297" i="1"/>
  <c r="X297" i="1"/>
  <c r="Y297" i="1"/>
  <c r="Z297" i="1"/>
  <c r="AA297" i="1"/>
  <c r="AB297" i="1"/>
  <c r="W298" i="1"/>
  <c r="X298" i="1"/>
  <c r="Y298" i="1"/>
  <c r="Z298" i="1"/>
  <c r="AA298" i="1"/>
  <c r="AB298" i="1"/>
  <c r="W299" i="1"/>
  <c r="X299" i="1"/>
  <c r="Y299" i="1"/>
  <c r="Z299" i="1"/>
  <c r="AA299" i="1"/>
  <c r="AB299" i="1"/>
  <c r="W300" i="1"/>
  <c r="X300" i="1"/>
  <c r="Y300" i="1"/>
  <c r="Z300" i="1"/>
  <c r="AA300" i="1"/>
  <c r="AB300" i="1"/>
  <c r="W301" i="1"/>
  <c r="X301" i="1"/>
  <c r="Y301" i="1"/>
  <c r="Z301" i="1"/>
  <c r="AA301" i="1"/>
  <c r="AB301" i="1"/>
  <c r="W302" i="1"/>
  <c r="X302" i="1"/>
  <c r="Y302" i="1"/>
  <c r="Z302" i="1"/>
  <c r="AA302" i="1"/>
  <c r="AB302" i="1"/>
  <c r="W303" i="1"/>
  <c r="X303" i="1"/>
  <c r="Y303" i="1"/>
  <c r="Z303" i="1"/>
  <c r="AA303" i="1"/>
  <c r="AB303" i="1"/>
  <c r="W304" i="1"/>
  <c r="X304" i="1"/>
  <c r="Y304" i="1"/>
  <c r="Z304" i="1"/>
  <c r="AA304" i="1"/>
  <c r="AB304" i="1"/>
  <c r="W305" i="1"/>
  <c r="X305" i="1"/>
  <c r="Y305" i="1"/>
  <c r="Z305" i="1"/>
  <c r="AA305" i="1"/>
  <c r="AB305" i="1"/>
  <c r="W306" i="1"/>
  <c r="X306" i="1"/>
  <c r="Y306" i="1"/>
  <c r="Z306" i="1"/>
  <c r="AA306" i="1"/>
  <c r="AB306" i="1"/>
  <c r="W307" i="1"/>
  <c r="X307" i="1"/>
  <c r="Y307" i="1"/>
  <c r="Z307" i="1"/>
  <c r="AA307" i="1"/>
  <c r="AB307" i="1"/>
  <c r="W308" i="1"/>
  <c r="X308" i="1"/>
  <c r="Y308" i="1"/>
  <c r="Z308" i="1"/>
  <c r="AA308" i="1"/>
  <c r="AB308" i="1"/>
  <c r="W309" i="1"/>
  <c r="X309" i="1"/>
  <c r="Y309" i="1"/>
  <c r="Z309" i="1"/>
  <c r="AA309" i="1"/>
  <c r="AB309" i="1"/>
  <c r="W310" i="1"/>
  <c r="X310" i="1"/>
  <c r="Y310" i="1"/>
  <c r="Z310" i="1"/>
  <c r="AA310" i="1"/>
  <c r="AB310" i="1"/>
  <c r="W311" i="1"/>
  <c r="X311" i="1"/>
  <c r="Y311" i="1"/>
  <c r="Z311" i="1"/>
  <c r="AA311" i="1"/>
  <c r="AB311" i="1"/>
  <c r="W312" i="1"/>
  <c r="X312" i="1"/>
  <c r="Y312" i="1"/>
  <c r="Z312" i="1"/>
  <c r="AA312" i="1"/>
  <c r="AB312" i="1"/>
  <c r="W313" i="1"/>
  <c r="X313" i="1"/>
  <c r="Y313" i="1"/>
  <c r="Z313" i="1"/>
  <c r="AA313" i="1"/>
  <c r="AB313" i="1"/>
  <c r="W314" i="1"/>
  <c r="X314" i="1"/>
  <c r="Y314" i="1"/>
  <c r="Z314" i="1"/>
  <c r="AA314" i="1"/>
  <c r="AB314" i="1"/>
  <c r="W315" i="1"/>
  <c r="X315" i="1"/>
  <c r="Y315" i="1"/>
  <c r="Z315" i="1"/>
  <c r="AA315" i="1"/>
  <c r="AB315" i="1"/>
  <c r="W316" i="1"/>
  <c r="X316" i="1"/>
  <c r="Y316" i="1"/>
  <c r="Z316" i="1"/>
  <c r="AA316" i="1"/>
  <c r="AB316" i="1"/>
  <c r="W317" i="1"/>
  <c r="X317" i="1"/>
  <c r="Y317" i="1"/>
  <c r="Z317" i="1"/>
  <c r="AA317" i="1"/>
  <c r="AB317" i="1"/>
  <c r="W318" i="1"/>
  <c r="X318" i="1"/>
  <c r="Y318" i="1"/>
  <c r="Z318" i="1"/>
  <c r="AA318" i="1"/>
  <c r="AB318" i="1"/>
  <c r="W319" i="1"/>
  <c r="X319" i="1"/>
  <c r="Y319" i="1"/>
  <c r="Z319" i="1"/>
  <c r="AA319" i="1"/>
  <c r="AB319" i="1"/>
  <c r="W320" i="1"/>
  <c r="X320" i="1"/>
  <c r="Y320" i="1"/>
  <c r="Z320" i="1"/>
  <c r="AA320" i="1"/>
  <c r="AB320" i="1"/>
  <c r="W321" i="1"/>
  <c r="X321" i="1"/>
  <c r="Y321" i="1"/>
  <c r="Z321" i="1"/>
  <c r="AA321" i="1"/>
  <c r="AB321" i="1"/>
  <c r="W322" i="1"/>
  <c r="X322" i="1"/>
  <c r="Y322" i="1"/>
  <c r="Z322" i="1"/>
  <c r="AA322" i="1"/>
  <c r="AB322" i="1"/>
  <c r="W323" i="1"/>
  <c r="X323" i="1"/>
  <c r="Y323" i="1"/>
  <c r="Z323" i="1"/>
  <c r="AA323" i="1"/>
  <c r="AB323" i="1"/>
  <c r="W324" i="1"/>
  <c r="X324" i="1"/>
  <c r="Y324" i="1"/>
  <c r="Z324" i="1"/>
  <c r="AA324" i="1"/>
  <c r="AB324" i="1"/>
  <c r="W325" i="1"/>
  <c r="X325" i="1"/>
  <c r="Y325" i="1"/>
  <c r="Z325" i="1"/>
  <c r="AA325" i="1"/>
  <c r="AB325" i="1"/>
  <c r="W326" i="1"/>
  <c r="X326" i="1"/>
  <c r="Y326" i="1"/>
  <c r="Z326" i="1"/>
  <c r="AA326" i="1"/>
  <c r="AB326" i="1"/>
  <c r="W327" i="1"/>
  <c r="X327" i="1"/>
  <c r="Y327" i="1"/>
  <c r="Z327" i="1"/>
  <c r="AA327" i="1"/>
  <c r="AB327" i="1"/>
  <c r="W328" i="1"/>
  <c r="X328" i="1"/>
  <c r="Y328" i="1"/>
  <c r="Z328" i="1"/>
  <c r="AA328" i="1"/>
  <c r="AB328" i="1"/>
  <c r="W329" i="1"/>
  <c r="X329" i="1"/>
  <c r="Y329" i="1"/>
  <c r="Z329" i="1"/>
  <c r="AA329" i="1"/>
  <c r="AB329" i="1"/>
  <c r="W330" i="1"/>
  <c r="X330" i="1"/>
  <c r="Y330" i="1"/>
  <c r="Z330" i="1"/>
  <c r="AA330" i="1"/>
  <c r="AB330" i="1"/>
  <c r="W331" i="1"/>
  <c r="X331" i="1"/>
  <c r="Y331" i="1"/>
  <c r="Z331" i="1"/>
  <c r="AA331" i="1"/>
  <c r="AB331" i="1"/>
  <c r="W332" i="1"/>
  <c r="X332" i="1"/>
  <c r="Y332" i="1"/>
  <c r="Z332" i="1"/>
  <c r="AA332" i="1"/>
  <c r="AB332" i="1"/>
  <c r="W333" i="1"/>
  <c r="X333" i="1"/>
  <c r="Y333" i="1"/>
  <c r="Z333" i="1"/>
  <c r="AA333" i="1"/>
  <c r="AB333" i="1"/>
  <c r="W334" i="1"/>
  <c r="X334" i="1"/>
  <c r="Y334" i="1"/>
  <c r="Z334" i="1"/>
  <c r="AA334" i="1"/>
  <c r="AB334" i="1"/>
  <c r="W335" i="1"/>
  <c r="X335" i="1"/>
  <c r="Y335" i="1"/>
  <c r="Z335" i="1"/>
  <c r="AA335" i="1"/>
  <c r="AB335" i="1"/>
  <c r="W336" i="1"/>
  <c r="X336" i="1"/>
  <c r="Y336" i="1"/>
  <c r="Z336" i="1"/>
  <c r="AA336" i="1"/>
  <c r="AB336" i="1"/>
  <c r="W337" i="1"/>
  <c r="X337" i="1"/>
  <c r="Y337" i="1"/>
  <c r="Z337" i="1"/>
  <c r="AA337" i="1"/>
  <c r="AB337" i="1"/>
  <c r="W338" i="1"/>
  <c r="X338" i="1"/>
  <c r="Y338" i="1"/>
  <c r="Z338" i="1"/>
  <c r="AA338" i="1"/>
  <c r="AB338" i="1"/>
  <c r="W339" i="1"/>
  <c r="X339" i="1"/>
  <c r="Y339" i="1"/>
  <c r="Z339" i="1"/>
  <c r="AA339" i="1"/>
  <c r="AB339" i="1"/>
  <c r="W340" i="1"/>
  <c r="X340" i="1"/>
  <c r="Y340" i="1"/>
  <c r="Z340" i="1"/>
  <c r="AA340" i="1"/>
  <c r="AB340" i="1"/>
  <c r="W341" i="1"/>
  <c r="X341" i="1"/>
  <c r="Y341" i="1"/>
  <c r="Z341" i="1"/>
  <c r="AA341" i="1"/>
  <c r="AB341" i="1"/>
  <c r="W342" i="1"/>
  <c r="X342" i="1"/>
  <c r="Y342" i="1"/>
  <c r="Z342" i="1"/>
  <c r="AA342" i="1"/>
  <c r="AB342" i="1"/>
  <c r="W343" i="1"/>
  <c r="X343" i="1"/>
  <c r="Y343" i="1"/>
  <c r="Z343" i="1"/>
  <c r="AA343" i="1"/>
  <c r="AB343" i="1"/>
  <c r="W344" i="1"/>
  <c r="X344" i="1"/>
  <c r="Y344" i="1"/>
  <c r="Z344" i="1"/>
  <c r="AA344" i="1"/>
  <c r="AB344" i="1"/>
  <c r="W345" i="1"/>
  <c r="X345" i="1"/>
  <c r="Y345" i="1"/>
  <c r="Z345" i="1"/>
  <c r="AA345" i="1"/>
  <c r="AB345" i="1"/>
  <c r="W346" i="1"/>
  <c r="X346" i="1"/>
  <c r="Y346" i="1"/>
  <c r="Z346" i="1"/>
  <c r="AA346" i="1"/>
  <c r="AB346" i="1"/>
  <c r="W347" i="1"/>
  <c r="X347" i="1"/>
  <c r="Y347" i="1"/>
  <c r="Z347" i="1"/>
  <c r="AA347" i="1"/>
  <c r="AB347" i="1"/>
  <c r="W348" i="1"/>
  <c r="X348" i="1"/>
  <c r="Y348" i="1"/>
  <c r="Z348" i="1"/>
  <c r="AA348" i="1"/>
  <c r="AB348" i="1"/>
  <c r="W349" i="1"/>
  <c r="X349" i="1"/>
  <c r="Y349" i="1"/>
  <c r="Z349" i="1"/>
  <c r="AA349" i="1"/>
  <c r="AB349" i="1"/>
  <c r="W350" i="1"/>
  <c r="X350" i="1"/>
  <c r="Y350" i="1"/>
  <c r="Z350" i="1"/>
  <c r="AA350" i="1"/>
  <c r="AB350" i="1"/>
  <c r="W351" i="1"/>
  <c r="X351" i="1"/>
  <c r="Y351" i="1"/>
  <c r="Z351" i="1"/>
  <c r="AA351" i="1"/>
  <c r="AB351" i="1"/>
  <c r="W352" i="1"/>
  <c r="X352" i="1"/>
  <c r="Y352" i="1"/>
  <c r="Z352" i="1"/>
  <c r="AA352" i="1"/>
  <c r="AB352" i="1"/>
  <c r="W353" i="1"/>
  <c r="X353" i="1"/>
  <c r="Y353" i="1"/>
  <c r="Z353" i="1"/>
  <c r="AA353" i="1"/>
  <c r="AB353" i="1"/>
  <c r="W354" i="1"/>
  <c r="X354" i="1"/>
  <c r="Y354" i="1"/>
  <c r="Z354" i="1"/>
  <c r="AA354" i="1"/>
  <c r="AB354" i="1"/>
  <c r="W355" i="1"/>
  <c r="X355" i="1"/>
  <c r="Y355" i="1"/>
  <c r="Z355" i="1"/>
  <c r="AA355" i="1"/>
  <c r="AB355" i="1"/>
  <c r="W356" i="1"/>
  <c r="X356" i="1"/>
  <c r="Y356" i="1"/>
  <c r="Z356" i="1"/>
  <c r="AA356" i="1"/>
  <c r="AB356" i="1"/>
  <c r="W357" i="1"/>
  <c r="X357" i="1"/>
  <c r="Y357" i="1"/>
  <c r="Z357" i="1"/>
  <c r="AA357" i="1"/>
  <c r="AB357" i="1"/>
  <c r="W358" i="1"/>
  <c r="X358" i="1"/>
  <c r="Y358" i="1"/>
  <c r="Z358" i="1"/>
  <c r="AA358" i="1"/>
  <c r="AB358" i="1"/>
  <c r="W359" i="1"/>
  <c r="X359" i="1"/>
  <c r="Y359" i="1"/>
  <c r="Z359" i="1"/>
  <c r="AA359" i="1"/>
  <c r="AB359" i="1"/>
  <c r="W360" i="1"/>
  <c r="X360" i="1"/>
  <c r="Y360" i="1"/>
  <c r="Z360" i="1"/>
  <c r="AA360" i="1"/>
  <c r="AB360" i="1"/>
  <c r="W361" i="1"/>
  <c r="X361" i="1"/>
  <c r="Y361" i="1"/>
  <c r="Z361" i="1"/>
  <c r="AA361" i="1"/>
  <c r="AB361" i="1"/>
  <c r="W362" i="1"/>
  <c r="X362" i="1"/>
  <c r="Y362" i="1"/>
  <c r="Z362" i="1"/>
  <c r="AA362" i="1"/>
  <c r="AB362" i="1"/>
  <c r="W363" i="1"/>
  <c r="X363" i="1"/>
  <c r="Y363" i="1"/>
  <c r="Z363" i="1"/>
  <c r="AA363" i="1"/>
  <c r="AB363" i="1"/>
  <c r="W364" i="1"/>
  <c r="X364" i="1"/>
  <c r="Y364" i="1"/>
  <c r="Z364" i="1"/>
  <c r="AA364" i="1"/>
  <c r="AB364" i="1"/>
  <c r="W365" i="1"/>
  <c r="X365" i="1"/>
  <c r="Y365" i="1"/>
  <c r="Z365" i="1"/>
  <c r="AA365" i="1"/>
  <c r="AB365" i="1"/>
  <c r="W366" i="1"/>
  <c r="X366" i="1"/>
  <c r="Y366" i="1"/>
  <c r="Z366" i="1"/>
  <c r="AA366" i="1"/>
  <c r="AB366" i="1"/>
  <c r="W367" i="1"/>
  <c r="X367" i="1"/>
  <c r="Y367" i="1"/>
  <c r="Z367" i="1"/>
  <c r="AA367" i="1"/>
  <c r="AB367" i="1"/>
  <c r="W368" i="1"/>
  <c r="X368" i="1"/>
  <c r="Y368" i="1"/>
  <c r="Z368" i="1"/>
  <c r="AA368" i="1"/>
  <c r="AB368" i="1"/>
  <c r="W369" i="1"/>
  <c r="X369" i="1"/>
  <c r="Y369" i="1"/>
  <c r="Z369" i="1"/>
  <c r="AA369" i="1"/>
  <c r="AB369" i="1"/>
  <c r="W370" i="1"/>
  <c r="X370" i="1"/>
  <c r="Y370" i="1"/>
  <c r="Z370" i="1"/>
  <c r="AA370" i="1"/>
  <c r="AB370" i="1"/>
  <c r="W371" i="1"/>
  <c r="X371" i="1"/>
  <c r="Y371" i="1"/>
  <c r="Z371" i="1"/>
  <c r="AA371" i="1"/>
  <c r="AB371" i="1"/>
  <c r="W372" i="1"/>
  <c r="X372" i="1"/>
  <c r="Y372" i="1"/>
  <c r="Z372" i="1"/>
  <c r="AA372" i="1"/>
  <c r="AB372" i="1"/>
  <c r="W373" i="1"/>
  <c r="X373" i="1"/>
  <c r="Y373" i="1"/>
  <c r="Z373" i="1"/>
  <c r="AA373" i="1"/>
  <c r="AB373" i="1"/>
  <c r="W374" i="1"/>
  <c r="X374" i="1"/>
  <c r="Y374" i="1"/>
  <c r="Z374" i="1"/>
  <c r="AA374" i="1"/>
  <c r="AB374" i="1"/>
  <c r="W375" i="1"/>
  <c r="X375" i="1"/>
  <c r="Y375" i="1"/>
  <c r="Z375" i="1"/>
  <c r="AA375" i="1"/>
  <c r="AB375" i="1"/>
  <c r="W376" i="1"/>
  <c r="X376" i="1"/>
  <c r="Y376" i="1"/>
  <c r="Z376" i="1"/>
  <c r="AA376" i="1"/>
  <c r="AB376" i="1"/>
  <c r="W377" i="1"/>
  <c r="X377" i="1"/>
  <c r="Y377" i="1"/>
  <c r="Z377" i="1"/>
  <c r="AA377" i="1"/>
  <c r="AB377" i="1"/>
  <c r="W378" i="1"/>
  <c r="X378" i="1"/>
  <c r="Y378" i="1"/>
  <c r="Z378" i="1"/>
  <c r="AA378" i="1"/>
  <c r="AB378" i="1"/>
  <c r="W379" i="1"/>
  <c r="X379" i="1"/>
  <c r="Y379" i="1"/>
  <c r="Z379" i="1"/>
  <c r="AA379" i="1"/>
  <c r="AB379" i="1"/>
  <c r="W380" i="1"/>
  <c r="X380" i="1"/>
  <c r="Y380" i="1"/>
  <c r="Z380" i="1"/>
  <c r="AA380" i="1"/>
  <c r="AB380" i="1"/>
  <c r="W381" i="1"/>
  <c r="X381" i="1"/>
  <c r="Y381" i="1"/>
  <c r="Z381" i="1"/>
  <c r="AA381" i="1"/>
  <c r="AB381" i="1"/>
  <c r="W382" i="1"/>
  <c r="X382" i="1"/>
  <c r="Y382" i="1"/>
  <c r="Z382" i="1"/>
  <c r="AA382" i="1"/>
  <c r="AB382" i="1"/>
  <c r="W383" i="1"/>
  <c r="X383" i="1"/>
  <c r="Y383" i="1"/>
  <c r="Z383" i="1"/>
  <c r="AA383" i="1"/>
  <c r="AB383" i="1"/>
  <c r="W384" i="1"/>
  <c r="X384" i="1"/>
  <c r="Y384" i="1"/>
  <c r="Z384" i="1"/>
  <c r="AA384" i="1"/>
  <c r="AB384" i="1"/>
  <c r="W385" i="1"/>
  <c r="X385" i="1"/>
  <c r="Y385" i="1"/>
  <c r="Z385" i="1"/>
  <c r="AA385" i="1"/>
  <c r="AB385" i="1"/>
  <c r="W386" i="1"/>
  <c r="X386" i="1"/>
  <c r="Y386" i="1"/>
  <c r="Z386" i="1"/>
  <c r="AA386" i="1"/>
  <c r="AB386" i="1"/>
  <c r="W387" i="1"/>
  <c r="X387" i="1"/>
  <c r="Y387" i="1"/>
  <c r="Z387" i="1"/>
  <c r="AA387" i="1"/>
  <c r="AB387" i="1"/>
  <c r="W388" i="1"/>
  <c r="X388" i="1"/>
  <c r="Y388" i="1"/>
  <c r="Z388" i="1"/>
  <c r="AA388" i="1"/>
  <c r="AB388" i="1"/>
  <c r="W389" i="1"/>
  <c r="X389" i="1"/>
  <c r="Y389" i="1"/>
  <c r="Z389" i="1"/>
  <c r="AA389" i="1"/>
  <c r="AB389" i="1"/>
  <c r="W390" i="1"/>
  <c r="X390" i="1"/>
  <c r="Y390" i="1"/>
  <c r="Z390" i="1"/>
  <c r="AA390" i="1"/>
  <c r="AB390" i="1"/>
  <c r="W391" i="1"/>
  <c r="X391" i="1"/>
  <c r="Y391" i="1"/>
  <c r="Z391" i="1"/>
  <c r="AA391" i="1"/>
  <c r="AB391" i="1"/>
  <c r="W392" i="1"/>
  <c r="X392" i="1"/>
  <c r="Y392" i="1"/>
  <c r="Z392" i="1"/>
  <c r="AA392" i="1"/>
  <c r="AB392" i="1"/>
  <c r="W393" i="1"/>
  <c r="X393" i="1"/>
  <c r="Y393" i="1"/>
  <c r="Z393" i="1"/>
  <c r="AA393" i="1"/>
  <c r="AB393" i="1"/>
  <c r="W394" i="1"/>
  <c r="X394" i="1"/>
  <c r="Y394" i="1"/>
  <c r="Z394" i="1"/>
  <c r="AA394" i="1"/>
  <c r="AB394" i="1"/>
  <c r="W395" i="1"/>
  <c r="X395" i="1"/>
  <c r="Y395" i="1"/>
  <c r="Z395" i="1"/>
  <c r="AA395" i="1"/>
  <c r="AB395" i="1"/>
  <c r="W396" i="1"/>
  <c r="X396" i="1"/>
  <c r="Y396" i="1"/>
  <c r="Z396" i="1"/>
  <c r="AA396" i="1"/>
  <c r="AB396" i="1"/>
  <c r="W397" i="1"/>
  <c r="X397" i="1"/>
  <c r="Y397" i="1"/>
  <c r="Z397" i="1"/>
  <c r="AA397" i="1"/>
  <c r="AB397" i="1"/>
  <c r="W398" i="1"/>
  <c r="X398" i="1"/>
  <c r="Y398" i="1"/>
  <c r="Z398" i="1"/>
  <c r="AA398" i="1"/>
  <c r="AB398" i="1"/>
  <c r="W399" i="1"/>
  <c r="X399" i="1"/>
  <c r="Y399" i="1"/>
  <c r="Z399" i="1"/>
  <c r="AA399" i="1"/>
  <c r="AB399" i="1"/>
  <c r="W400" i="1"/>
  <c r="X400" i="1"/>
  <c r="Y400" i="1"/>
  <c r="Z400" i="1"/>
  <c r="AA400" i="1"/>
  <c r="AB400" i="1"/>
  <c r="W401" i="1"/>
  <c r="X401" i="1"/>
  <c r="Y401" i="1"/>
  <c r="Z401" i="1"/>
  <c r="AA401" i="1"/>
  <c r="AB401" i="1"/>
  <c r="W402" i="1"/>
  <c r="X402" i="1"/>
  <c r="Y402" i="1"/>
  <c r="Z402" i="1"/>
  <c r="AA402" i="1"/>
  <c r="AB402" i="1"/>
  <c r="W403" i="1"/>
  <c r="X403" i="1"/>
  <c r="Y403" i="1"/>
  <c r="Z403" i="1"/>
  <c r="AA403" i="1"/>
  <c r="AB403" i="1"/>
  <c r="W404" i="1"/>
  <c r="X404" i="1"/>
  <c r="Y404" i="1"/>
  <c r="Z404" i="1"/>
  <c r="AA404" i="1"/>
  <c r="AB404" i="1"/>
  <c r="W405" i="1"/>
  <c r="X405" i="1"/>
  <c r="Y405" i="1"/>
  <c r="Z405" i="1"/>
  <c r="AA405" i="1"/>
  <c r="AB405" i="1"/>
  <c r="W406" i="1"/>
  <c r="X406" i="1"/>
  <c r="Y406" i="1"/>
  <c r="Z406" i="1"/>
  <c r="AA406" i="1"/>
  <c r="AB406" i="1"/>
  <c r="W407" i="1"/>
  <c r="X407" i="1"/>
  <c r="Y407" i="1"/>
  <c r="Z407" i="1"/>
  <c r="AA407" i="1"/>
  <c r="AB407" i="1"/>
  <c r="W408" i="1"/>
  <c r="X408" i="1"/>
  <c r="Y408" i="1"/>
  <c r="Z408" i="1"/>
  <c r="AA408" i="1"/>
  <c r="AB408" i="1"/>
  <c r="W409" i="1"/>
  <c r="X409" i="1"/>
  <c r="Y409" i="1"/>
  <c r="Z409" i="1"/>
  <c r="AA409" i="1"/>
  <c r="AB409" i="1"/>
  <c r="W410" i="1"/>
  <c r="X410" i="1"/>
  <c r="Y410" i="1"/>
  <c r="Z410" i="1"/>
  <c r="AA410" i="1"/>
  <c r="AB410" i="1"/>
  <c r="W411" i="1"/>
  <c r="X411" i="1"/>
  <c r="Y411" i="1"/>
  <c r="Z411" i="1"/>
  <c r="AA411" i="1"/>
  <c r="AB411" i="1"/>
  <c r="W412" i="1"/>
  <c r="X412" i="1"/>
  <c r="Y412" i="1"/>
  <c r="Z412" i="1"/>
  <c r="AA412" i="1"/>
  <c r="AB412" i="1"/>
  <c r="W413" i="1"/>
  <c r="X413" i="1"/>
  <c r="Y413" i="1"/>
  <c r="Z413" i="1"/>
  <c r="AA413" i="1"/>
  <c r="AB413" i="1"/>
  <c r="W414" i="1"/>
  <c r="X414" i="1"/>
  <c r="Y414" i="1"/>
  <c r="Z414" i="1"/>
  <c r="AA414" i="1"/>
  <c r="AB414" i="1"/>
  <c r="W415" i="1"/>
  <c r="X415" i="1"/>
  <c r="Y415" i="1"/>
  <c r="Z415" i="1"/>
  <c r="AA415" i="1"/>
  <c r="AB415" i="1"/>
  <c r="W416" i="1"/>
  <c r="X416" i="1"/>
  <c r="Y416" i="1"/>
  <c r="Z416" i="1"/>
  <c r="AA416" i="1"/>
  <c r="AB416" i="1"/>
  <c r="W417" i="1"/>
  <c r="X417" i="1"/>
  <c r="Y417" i="1"/>
  <c r="Z417" i="1"/>
  <c r="AA417" i="1"/>
  <c r="AB417" i="1"/>
  <c r="W418" i="1"/>
  <c r="X418" i="1"/>
  <c r="Y418" i="1"/>
  <c r="Z418" i="1"/>
  <c r="AA418" i="1"/>
  <c r="AB418" i="1"/>
  <c r="W419" i="1"/>
  <c r="X419" i="1"/>
  <c r="Y419" i="1"/>
  <c r="Z419" i="1"/>
  <c r="AA419" i="1"/>
  <c r="AB419" i="1"/>
  <c r="W420" i="1"/>
  <c r="X420" i="1"/>
  <c r="Y420" i="1"/>
  <c r="Z420" i="1"/>
  <c r="AA420" i="1"/>
  <c r="AB420" i="1"/>
  <c r="W421" i="1"/>
  <c r="X421" i="1"/>
  <c r="Y421" i="1"/>
  <c r="Z421" i="1"/>
  <c r="AA421" i="1"/>
  <c r="AB421" i="1"/>
  <c r="W422" i="1"/>
  <c r="X422" i="1"/>
  <c r="Y422" i="1"/>
  <c r="Z422" i="1"/>
  <c r="AA422" i="1"/>
  <c r="AB422" i="1"/>
  <c r="W423" i="1"/>
  <c r="X423" i="1"/>
  <c r="Y423" i="1"/>
  <c r="Z423" i="1"/>
  <c r="AA423" i="1"/>
  <c r="AB423" i="1"/>
  <c r="W424" i="1"/>
  <c r="X424" i="1"/>
  <c r="Y424" i="1"/>
  <c r="Z424" i="1"/>
  <c r="AA424" i="1"/>
  <c r="AB424" i="1"/>
  <c r="W425" i="1"/>
  <c r="X425" i="1"/>
  <c r="Y425" i="1"/>
  <c r="Z425" i="1"/>
  <c r="AA425" i="1"/>
  <c r="AB425" i="1"/>
  <c r="W426" i="1"/>
  <c r="X426" i="1"/>
  <c r="Y426" i="1"/>
  <c r="Z426" i="1"/>
  <c r="AA426" i="1"/>
  <c r="AB426" i="1"/>
  <c r="W427" i="1"/>
  <c r="X427" i="1"/>
  <c r="Y427" i="1"/>
  <c r="Z427" i="1"/>
  <c r="AA427" i="1"/>
  <c r="AB427" i="1"/>
  <c r="W428" i="1"/>
  <c r="X428" i="1"/>
  <c r="Y428" i="1"/>
  <c r="Z428" i="1"/>
  <c r="AA428" i="1"/>
  <c r="AB428" i="1"/>
  <c r="W429" i="1"/>
  <c r="X429" i="1"/>
  <c r="Y429" i="1"/>
  <c r="Z429" i="1"/>
  <c r="AA429" i="1"/>
  <c r="AB429" i="1"/>
  <c r="W430" i="1"/>
  <c r="X430" i="1"/>
  <c r="Y430" i="1"/>
  <c r="Z430" i="1"/>
  <c r="AA430" i="1"/>
  <c r="AB430" i="1"/>
  <c r="W431" i="1"/>
  <c r="X431" i="1"/>
  <c r="Y431" i="1"/>
  <c r="Z431" i="1"/>
  <c r="AA431" i="1"/>
  <c r="AB431" i="1"/>
  <c r="W432" i="1"/>
  <c r="X432" i="1"/>
  <c r="Y432" i="1"/>
  <c r="Z432" i="1"/>
  <c r="AA432" i="1"/>
  <c r="AB432" i="1"/>
  <c r="W433" i="1"/>
  <c r="X433" i="1"/>
  <c r="Y433" i="1"/>
  <c r="Z433" i="1"/>
  <c r="AA433" i="1"/>
  <c r="AB433" i="1"/>
  <c r="W434" i="1"/>
  <c r="X434" i="1"/>
  <c r="Y434" i="1"/>
  <c r="Z434" i="1"/>
  <c r="AA434" i="1"/>
  <c r="AB434" i="1"/>
  <c r="W435" i="1"/>
  <c r="X435" i="1"/>
  <c r="Y435" i="1"/>
  <c r="Z435" i="1"/>
  <c r="AA435" i="1"/>
  <c r="AB435" i="1"/>
  <c r="W436" i="1"/>
  <c r="X436" i="1"/>
  <c r="Y436" i="1"/>
  <c r="Z436" i="1"/>
  <c r="AA436" i="1"/>
  <c r="AB436" i="1"/>
  <c r="W437" i="1"/>
  <c r="X437" i="1"/>
  <c r="Y437" i="1"/>
  <c r="Z437" i="1"/>
  <c r="AA437" i="1"/>
  <c r="AB437" i="1"/>
  <c r="W438" i="1"/>
  <c r="X438" i="1"/>
  <c r="Y438" i="1"/>
  <c r="Z438" i="1"/>
  <c r="AA438" i="1"/>
  <c r="AB438" i="1"/>
  <c r="W439" i="1"/>
  <c r="X439" i="1"/>
  <c r="Y439" i="1"/>
  <c r="Z439" i="1"/>
  <c r="AA439" i="1"/>
  <c r="AB439" i="1"/>
  <c r="W440" i="1"/>
  <c r="X440" i="1"/>
  <c r="Y440" i="1"/>
  <c r="Z440" i="1"/>
  <c r="AA440" i="1"/>
  <c r="AB440" i="1"/>
  <c r="W441" i="1"/>
  <c r="X441" i="1"/>
  <c r="Y441" i="1"/>
  <c r="Z441" i="1"/>
  <c r="AA441" i="1"/>
  <c r="AB441" i="1"/>
  <c r="W442" i="1"/>
  <c r="X442" i="1"/>
  <c r="Y442" i="1"/>
  <c r="Z442" i="1"/>
  <c r="AA442" i="1"/>
  <c r="AB442" i="1"/>
  <c r="W443" i="1"/>
  <c r="X443" i="1"/>
  <c r="Y443" i="1"/>
  <c r="Z443" i="1"/>
  <c r="AA443" i="1"/>
  <c r="AB443" i="1"/>
  <c r="W444" i="1"/>
  <c r="X444" i="1"/>
  <c r="Y444" i="1"/>
  <c r="Z444" i="1"/>
  <c r="AA444" i="1"/>
  <c r="AB444" i="1"/>
  <c r="W445" i="1"/>
  <c r="X445" i="1"/>
  <c r="Y445" i="1"/>
  <c r="Z445" i="1"/>
  <c r="AA445" i="1"/>
  <c r="AB445" i="1"/>
  <c r="W446" i="1"/>
  <c r="X446" i="1"/>
  <c r="Y446" i="1"/>
  <c r="Z446" i="1"/>
  <c r="AA446" i="1"/>
  <c r="AB446" i="1"/>
  <c r="W447" i="1"/>
  <c r="X447" i="1"/>
  <c r="Y447" i="1"/>
  <c r="Z447" i="1"/>
  <c r="AA447" i="1"/>
  <c r="AB447" i="1"/>
  <c r="W448" i="1"/>
  <c r="X448" i="1"/>
  <c r="Y448" i="1"/>
  <c r="Z448" i="1"/>
  <c r="AA448" i="1"/>
  <c r="AB448" i="1"/>
  <c r="W449" i="1"/>
  <c r="X449" i="1"/>
  <c r="Y449" i="1"/>
  <c r="Z449" i="1"/>
  <c r="AA449" i="1"/>
  <c r="AB449" i="1"/>
  <c r="W450" i="1"/>
  <c r="X450" i="1"/>
  <c r="Y450" i="1"/>
  <c r="Z450" i="1"/>
  <c r="AA450" i="1"/>
  <c r="AB450" i="1"/>
  <c r="W451" i="1"/>
  <c r="X451" i="1"/>
  <c r="Y451" i="1"/>
  <c r="Z451" i="1"/>
  <c r="AA451" i="1"/>
  <c r="AB451" i="1"/>
  <c r="W452" i="1"/>
  <c r="X452" i="1"/>
  <c r="Y452" i="1"/>
  <c r="Z452" i="1"/>
  <c r="AA452" i="1"/>
  <c r="AB452" i="1"/>
  <c r="W453" i="1"/>
  <c r="X453" i="1"/>
  <c r="Y453" i="1"/>
  <c r="Z453" i="1"/>
  <c r="AA453" i="1"/>
  <c r="AB453" i="1"/>
  <c r="W454" i="1"/>
  <c r="X454" i="1"/>
  <c r="Y454" i="1"/>
  <c r="Z454" i="1"/>
  <c r="AA454" i="1"/>
  <c r="AB454" i="1"/>
  <c r="W455" i="1"/>
  <c r="X455" i="1"/>
  <c r="Y455" i="1"/>
  <c r="Z455" i="1"/>
  <c r="AA455" i="1"/>
  <c r="AB455" i="1"/>
  <c r="W456" i="1"/>
  <c r="X456" i="1"/>
  <c r="Y456" i="1"/>
  <c r="Z456" i="1"/>
  <c r="AA456" i="1"/>
  <c r="AB456" i="1"/>
  <c r="W457" i="1"/>
  <c r="X457" i="1"/>
  <c r="Y457" i="1"/>
  <c r="Z457" i="1"/>
  <c r="AA457" i="1"/>
  <c r="AB457" i="1"/>
  <c r="W458" i="1"/>
  <c r="X458" i="1"/>
  <c r="Y458" i="1"/>
  <c r="Z458" i="1"/>
  <c r="AA458" i="1"/>
  <c r="AB458" i="1"/>
  <c r="W459" i="1"/>
  <c r="X459" i="1"/>
  <c r="Y459" i="1"/>
  <c r="Z459" i="1"/>
  <c r="AA459" i="1"/>
  <c r="AB459" i="1"/>
  <c r="W460" i="1"/>
  <c r="X460" i="1"/>
  <c r="Y460" i="1"/>
  <c r="Z460" i="1"/>
  <c r="AA460" i="1"/>
  <c r="AB460" i="1"/>
  <c r="W461" i="1"/>
  <c r="X461" i="1"/>
  <c r="Y461" i="1"/>
  <c r="Z461" i="1"/>
  <c r="AA461" i="1"/>
  <c r="AB461" i="1"/>
  <c r="W462" i="1"/>
  <c r="X462" i="1"/>
  <c r="Y462" i="1"/>
  <c r="Z462" i="1"/>
  <c r="AA462" i="1"/>
  <c r="AB462" i="1"/>
  <c r="W463" i="1"/>
  <c r="X463" i="1"/>
  <c r="Y463" i="1"/>
  <c r="Z463" i="1"/>
  <c r="AA463" i="1"/>
  <c r="AB463" i="1"/>
  <c r="W464" i="1"/>
  <c r="X464" i="1"/>
  <c r="Y464" i="1"/>
  <c r="Z464" i="1"/>
  <c r="AA464" i="1"/>
  <c r="AB464" i="1"/>
  <c r="W465" i="1"/>
  <c r="X465" i="1"/>
  <c r="Y465" i="1"/>
  <c r="Z465" i="1"/>
  <c r="AA465" i="1"/>
  <c r="AB465" i="1"/>
  <c r="W466" i="1"/>
  <c r="X466" i="1"/>
  <c r="Y466" i="1"/>
  <c r="Z466" i="1"/>
  <c r="AA466" i="1"/>
  <c r="AB466" i="1"/>
  <c r="W467" i="1"/>
  <c r="X467" i="1"/>
  <c r="Y467" i="1"/>
  <c r="Z467" i="1"/>
  <c r="AA467" i="1"/>
  <c r="AB467" i="1"/>
  <c r="W468" i="1"/>
  <c r="X468" i="1"/>
  <c r="Y468" i="1"/>
  <c r="Z468" i="1"/>
  <c r="AA468" i="1"/>
  <c r="AB468" i="1"/>
  <c r="W469" i="1"/>
  <c r="X469" i="1"/>
  <c r="Y469" i="1"/>
  <c r="Z469" i="1"/>
  <c r="AA469" i="1"/>
  <c r="AB469" i="1"/>
  <c r="W470" i="1"/>
  <c r="X470" i="1"/>
  <c r="Y470" i="1"/>
  <c r="Z470" i="1"/>
  <c r="AA470" i="1"/>
  <c r="AB470" i="1"/>
  <c r="W471" i="1"/>
  <c r="X471" i="1"/>
  <c r="Y471" i="1"/>
  <c r="Z471" i="1"/>
  <c r="AA471" i="1"/>
  <c r="AB471" i="1"/>
  <c r="W472" i="1"/>
  <c r="X472" i="1"/>
  <c r="Y472" i="1"/>
  <c r="Z472" i="1"/>
  <c r="AA472" i="1"/>
  <c r="AB472" i="1"/>
  <c r="W473" i="1"/>
  <c r="X473" i="1"/>
  <c r="Y473" i="1"/>
  <c r="Z473" i="1"/>
  <c r="AA473" i="1"/>
  <c r="AB473" i="1"/>
  <c r="W474" i="1"/>
  <c r="X474" i="1"/>
  <c r="Y474" i="1"/>
  <c r="Z474" i="1"/>
  <c r="AA474" i="1"/>
  <c r="AB474" i="1"/>
  <c r="W475" i="1"/>
  <c r="X475" i="1"/>
  <c r="Y475" i="1"/>
  <c r="Z475" i="1"/>
  <c r="AA475" i="1"/>
  <c r="AB475" i="1"/>
  <c r="W476" i="1"/>
  <c r="X476" i="1"/>
  <c r="Y476" i="1"/>
  <c r="Z476" i="1"/>
  <c r="AA476" i="1"/>
  <c r="AB476" i="1"/>
  <c r="W477" i="1"/>
  <c r="X477" i="1"/>
  <c r="Y477" i="1"/>
  <c r="Z477" i="1"/>
  <c r="AA477" i="1"/>
  <c r="AB477" i="1"/>
  <c r="W478" i="1"/>
  <c r="X478" i="1"/>
  <c r="Y478" i="1"/>
  <c r="Z478" i="1"/>
  <c r="AA478" i="1"/>
  <c r="AB478" i="1"/>
  <c r="W479" i="1"/>
  <c r="X479" i="1"/>
  <c r="Y479" i="1"/>
  <c r="Z479" i="1"/>
  <c r="AA479" i="1"/>
  <c r="AB479" i="1"/>
  <c r="W480" i="1"/>
  <c r="X480" i="1"/>
  <c r="Y480" i="1"/>
  <c r="Z480" i="1"/>
  <c r="AA480" i="1"/>
  <c r="AB480" i="1"/>
  <c r="W481" i="1"/>
  <c r="X481" i="1"/>
  <c r="Y481" i="1"/>
  <c r="Z481" i="1"/>
  <c r="AA481" i="1"/>
  <c r="AB481" i="1"/>
  <c r="AB2" i="1"/>
  <c r="AA2" i="1"/>
  <c r="Z2" i="1"/>
  <c r="Y2" i="1"/>
  <c r="X2" i="1"/>
  <c r="W2" i="1"/>
  <c r="B5" i="7" l="1" a="1"/>
  <c r="B5" i="7" s="1"/>
  <c r="C5" i="7" a="1"/>
  <c r="C5" i="7" s="1"/>
  <c r="F5" i="7" a="1"/>
  <c r="F5" i="7" s="1"/>
  <c r="G5" i="7" a="1"/>
  <c r="G5" i="7" s="1"/>
  <c r="J5" i="7" a="1"/>
  <c r="J5" i="7" s="1"/>
  <c r="K5" i="7" a="1"/>
  <c r="K5" i="7" s="1"/>
  <c r="N5" i="7" a="1"/>
  <c r="N5" i="7" s="1"/>
  <c r="O5" i="7" a="1"/>
  <c r="O5" i="7" s="1"/>
  <c r="R5" i="7" a="1"/>
  <c r="R5" i="7" s="1"/>
  <c r="S5" i="7" a="1"/>
  <c r="S5" i="7" s="1"/>
  <c r="V5" i="7" a="1"/>
  <c r="V5" i="7" s="1"/>
  <c r="W5" i="7" a="1"/>
  <c r="W5" i="7" s="1"/>
  <c r="Z5" i="7" a="1"/>
  <c r="Z5" i="7" s="1"/>
  <c r="AA5" i="7" a="1"/>
  <c r="AA5" i="7" s="1"/>
  <c r="AD5" i="7" a="1"/>
  <c r="AD5" i="7" s="1"/>
  <c r="AE5" i="7" a="1"/>
  <c r="AE5" i="7" s="1"/>
  <c r="AH5" i="7" a="1"/>
  <c r="AH5" i="7" s="1"/>
  <c r="AI5" i="7" a="1"/>
  <c r="AI5" i="7" s="1"/>
  <c r="B6" i="7" a="1"/>
  <c r="B6" i="7" s="1"/>
  <c r="C6" i="7" a="1"/>
  <c r="C6" i="7" s="1"/>
  <c r="F6" i="7" a="1"/>
  <c r="F6" i="7" s="1"/>
  <c r="G6" i="7" a="1"/>
  <c r="G6" i="7" s="1"/>
  <c r="J6" i="7" a="1"/>
  <c r="J6" i="7" s="1"/>
  <c r="K6" i="7" a="1"/>
  <c r="K6" i="7" s="1"/>
  <c r="N6" i="7" a="1"/>
  <c r="N6" i="7" s="1"/>
  <c r="O6" i="7" a="1"/>
  <c r="O6" i="7" s="1"/>
  <c r="R6" i="7" a="1"/>
  <c r="R6" i="7" s="1"/>
  <c r="S6" i="7" a="1"/>
  <c r="S6" i="7" s="1"/>
  <c r="V6" i="7" a="1"/>
  <c r="V6" i="7" s="1"/>
  <c r="W6" i="7" a="1"/>
  <c r="W6" i="7" s="1"/>
  <c r="Z6" i="7" a="1"/>
  <c r="Z6" i="7" s="1"/>
  <c r="AA6" i="7" a="1"/>
  <c r="AA6" i="7" s="1"/>
  <c r="AD6" i="7" a="1"/>
  <c r="AD6" i="7" s="1"/>
  <c r="AE6" i="7" a="1"/>
  <c r="AE6" i="7" s="1"/>
  <c r="AH6" i="7" a="1"/>
  <c r="AH6" i="7" s="1"/>
  <c r="AI6" i="7" a="1"/>
  <c r="AI6" i="7" s="1"/>
  <c r="B7" i="7" a="1"/>
  <c r="B7" i="7" s="1"/>
  <c r="C7" i="7" a="1"/>
  <c r="C7" i="7" s="1"/>
  <c r="F7" i="7" a="1"/>
  <c r="F7" i="7" s="1"/>
  <c r="G7" i="7" a="1"/>
  <c r="G7" i="7" s="1"/>
  <c r="J7" i="7" a="1"/>
  <c r="J7" i="7" s="1"/>
  <c r="K7" i="7" a="1"/>
  <c r="K7" i="7" s="1"/>
  <c r="N7" i="7" a="1"/>
  <c r="N7" i="7" s="1"/>
  <c r="O7" i="7" a="1"/>
  <c r="O7" i="7" s="1"/>
  <c r="R7" i="7" a="1"/>
  <c r="R7" i="7" s="1"/>
  <c r="S7" i="7" a="1"/>
  <c r="S7" i="7" s="1"/>
  <c r="V7" i="7" a="1"/>
  <c r="V7" i="7" s="1"/>
  <c r="W7" i="7" a="1"/>
  <c r="W7" i="7" s="1"/>
  <c r="Z7" i="7" a="1"/>
  <c r="Z7" i="7" s="1"/>
  <c r="AA7" i="7" a="1"/>
  <c r="AA7" i="7" s="1"/>
  <c r="AD7" i="7" a="1"/>
  <c r="AD7" i="7" s="1"/>
  <c r="AE7" i="7" a="1"/>
  <c r="AE7" i="7" s="1"/>
  <c r="AH7" i="7" a="1"/>
  <c r="AH7" i="7" s="1"/>
  <c r="AI7" i="7" a="1"/>
  <c r="AI7" i="7" s="1"/>
  <c r="B8" i="7" a="1"/>
  <c r="B8" i="7" s="1"/>
  <c r="C8" i="7" a="1"/>
  <c r="C8" i="7" s="1"/>
  <c r="F8" i="7" a="1"/>
  <c r="F8" i="7" s="1"/>
  <c r="G8" i="7" a="1"/>
  <c r="G8" i="7" s="1"/>
  <c r="J8" i="7" a="1"/>
  <c r="J8" i="7" s="1"/>
  <c r="K8" i="7" a="1"/>
  <c r="K8" i="7" s="1"/>
  <c r="N8" i="7" a="1"/>
  <c r="N8" i="7" s="1"/>
  <c r="O8" i="7" a="1"/>
  <c r="O8" i="7" s="1"/>
  <c r="R8" i="7" a="1"/>
  <c r="R8" i="7" s="1"/>
  <c r="S8" i="7" a="1"/>
  <c r="S8" i="7" s="1"/>
  <c r="V8" i="7" a="1"/>
  <c r="V8" i="7" s="1"/>
  <c r="W8" i="7" a="1"/>
  <c r="W8" i="7" s="1"/>
  <c r="Z8" i="7" a="1"/>
  <c r="Z8" i="7" s="1"/>
  <c r="AA8" i="7" a="1"/>
  <c r="AA8" i="7" s="1"/>
  <c r="AD8" i="7" a="1"/>
  <c r="AD8" i="7" s="1"/>
  <c r="AE8" i="7" a="1"/>
  <c r="AE8" i="7" s="1"/>
  <c r="AH8" i="7" a="1"/>
  <c r="AH8" i="7" s="1"/>
  <c r="AI8" i="7" a="1"/>
  <c r="AI8" i="7" s="1"/>
  <c r="B9" i="7" a="1"/>
  <c r="B9" i="7" s="1"/>
  <c r="C9" i="7" a="1"/>
  <c r="C9" i="7" s="1"/>
  <c r="F9" i="7" a="1"/>
  <c r="F9" i="7" s="1"/>
  <c r="G9" i="7" a="1"/>
  <c r="G9" i="7" s="1"/>
  <c r="J9" i="7" a="1"/>
  <c r="J9" i="7" s="1"/>
  <c r="K9" i="7" a="1"/>
  <c r="K9" i="7" s="1"/>
  <c r="N9" i="7" a="1"/>
  <c r="N9" i="7" s="1"/>
  <c r="O9" i="7" a="1"/>
  <c r="O9" i="7" s="1"/>
  <c r="R9" i="7" a="1"/>
  <c r="R9" i="7" s="1"/>
  <c r="S9" i="7" a="1"/>
  <c r="S9" i="7" s="1"/>
  <c r="V9" i="7" a="1"/>
  <c r="V9" i="7" s="1"/>
  <c r="W9" i="7" a="1"/>
  <c r="W9" i="7" s="1"/>
  <c r="Z9" i="7" a="1"/>
  <c r="Z9" i="7" s="1"/>
  <c r="AA9" i="7" a="1"/>
  <c r="AA9" i="7" s="1"/>
  <c r="AD9" i="7" a="1"/>
  <c r="AD9" i="7" s="1"/>
  <c r="AE9" i="7" a="1"/>
  <c r="AE9" i="7" s="1"/>
  <c r="AG9" i="7" a="1"/>
  <c r="AG9" i="7" s="1"/>
  <c r="AH9" i="7" a="1"/>
  <c r="AH9" i="7" s="1"/>
  <c r="AI9" i="7" a="1"/>
  <c r="AI9" i="7" s="1"/>
  <c r="B10" i="7" a="1"/>
  <c r="B10" i="7" s="1"/>
  <c r="C10" i="7" a="1"/>
  <c r="C10" i="7" s="1"/>
  <c r="F10" i="7" a="1"/>
  <c r="F10" i="7" s="1"/>
  <c r="G10" i="7" a="1"/>
  <c r="G10" i="7" s="1"/>
  <c r="J10" i="7" a="1"/>
  <c r="J10" i="7" s="1"/>
  <c r="K10" i="7" a="1"/>
  <c r="K10" i="7" s="1"/>
  <c r="N10" i="7" a="1"/>
  <c r="N10" i="7" s="1"/>
  <c r="O10" i="7" a="1"/>
  <c r="O10" i="7" s="1"/>
  <c r="R10" i="7" a="1"/>
  <c r="R10" i="7" s="1"/>
  <c r="S10" i="7" a="1"/>
  <c r="S10" i="7" s="1"/>
  <c r="V10" i="7" a="1"/>
  <c r="V10" i="7" s="1"/>
  <c r="W10" i="7" a="1"/>
  <c r="W10" i="7" s="1"/>
  <c r="Y10" i="7" a="1"/>
  <c r="Y10" i="7" s="1"/>
  <c r="Z10" i="7" a="1"/>
  <c r="Z10" i="7" s="1"/>
  <c r="AA10" i="7" a="1"/>
  <c r="AA10" i="7" s="1"/>
  <c r="AC10" i="7" a="1"/>
  <c r="AC10" i="7" s="1"/>
  <c r="AD10" i="7" a="1"/>
  <c r="AD10" i="7" s="1"/>
  <c r="AE10" i="7" a="1"/>
  <c r="AE10" i="7" s="1"/>
  <c r="AG10" i="7" a="1"/>
  <c r="AG10" i="7" s="1"/>
  <c r="AH10" i="7" a="1"/>
  <c r="AH10" i="7" s="1"/>
  <c r="AI10" i="7" a="1"/>
  <c r="AI10" i="7" s="1"/>
  <c r="B11" i="7" a="1"/>
  <c r="B11" i="7" s="1"/>
  <c r="C11" i="7" a="1"/>
  <c r="C11" i="7" s="1"/>
  <c r="F11" i="7" a="1"/>
  <c r="F11" i="7" s="1"/>
  <c r="G11" i="7" a="1"/>
  <c r="G11" i="7" s="1"/>
  <c r="J11" i="7" a="1"/>
  <c r="J11" i="7" s="1"/>
  <c r="K11" i="7" a="1"/>
  <c r="K11" i="7" s="1"/>
  <c r="N11" i="7" a="1"/>
  <c r="N11" i="7" s="1"/>
  <c r="O11" i="7" a="1"/>
  <c r="O11" i="7" s="1"/>
  <c r="R11" i="7" a="1"/>
  <c r="R11" i="7" s="1"/>
  <c r="S11" i="7" a="1"/>
  <c r="S11" i="7" s="1"/>
  <c r="V11" i="7" a="1"/>
  <c r="V11" i="7" s="1"/>
  <c r="W11" i="7" a="1"/>
  <c r="W11" i="7" s="1"/>
  <c r="Y11" i="7" a="1"/>
  <c r="Y11" i="7" s="1"/>
  <c r="Z11" i="7" a="1"/>
  <c r="Z11" i="7" s="1"/>
  <c r="AA11" i="7" a="1"/>
  <c r="AA11" i="7" s="1"/>
  <c r="AC11" i="7" a="1"/>
  <c r="AC11" i="7" s="1"/>
  <c r="AD11" i="7" a="1"/>
  <c r="AD11" i="7" s="1"/>
  <c r="AE11" i="7" a="1"/>
  <c r="AE11" i="7" s="1"/>
  <c r="AG11" i="7" a="1"/>
  <c r="AG11" i="7" s="1"/>
  <c r="AH11" i="7" a="1"/>
  <c r="AH11" i="7" s="1"/>
  <c r="AI11" i="7" a="1"/>
  <c r="AI11" i="7" s="1"/>
  <c r="B12" i="7" a="1"/>
  <c r="B12" i="7" s="1"/>
  <c r="C12" i="7" a="1"/>
  <c r="C12" i="7" s="1"/>
  <c r="F12" i="7" a="1"/>
  <c r="F12" i="7" s="1"/>
  <c r="G12" i="7" a="1"/>
  <c r="G12" i="7" s="1"/>
  <c r="J12" i="7" a="1"/>
  <c r="J12" i="7" s="1"/>
  <c r="K12" i="7" a="1"/>
  <c r="K12" i="7" s="1"/>
  <c r="N12" i="7" a="1"/>
  <c r="N12" i="7" s="1"/>
  <c r="O12" i="7" a="1"/>
  <c r="O12" i="7" s="1"/>
  <c r="R12" i="7" a="1"/>
  <c r="R12" i="7" s="1"/>
  <c r="S12" i="7" a="1"/>
  <c r="S12" i="7" s="1"/>
  <c r="V12" i="7" a="1"/>
  <c r="V12" i="7" s="1"/>
  <c r="W12" i="7" a="1"/>
  <c r="W12" i="7" s="1"/>
  <c r="Y12" i="7" a="1"/>
  <c r="Y12" i="7" s="1"/>
  <c r="Z12" i="7" a="1"/>
  <c r="Z12" i="7" s="1"/>
  <c r="AA12" i="7" a="1"/>
  <c r="AA12" i="7" s="1"/>
  <c r="AC12" i="7" a="1"/>
  <c r="AC12" i="7" s="1"/>
  <c r="AD12" i="7" a="1"/>
  <c r="AD12" i="7" s="1"/>
  <c r="AE12" i="7" a="1"/>
  <c r="AE12" i="7" s="1"/>
  <c r="AG12" i="7" a="1"/>
  <c r="AG12" i="7" s="1"/>
  <c r="AH12" i="7" a="1"/>
  <c r="AH12" i="7" s="1"/>
  <c r="AI12" i="7" a="1"/>
  <c r="AI12" i="7" s="1"/>
  <c r="A13" i="7" a="1"/>
  <c r="A13" i="7" s="1"/>
  <c r="B13" i="7" a="1"/>
  <c r="B13" i="7" s="1"/>
  <c r="C13" i="7" a="1"/>
  <c r="C13" i="7" s="1"/>
  <c r="F13" i="7" a="1"/>
  <c r="F13" i="7" s="1"/>
  <c r="G13" i="7" a="1"/>
  <c r="G13" i="7" s="1"/>
  <c r="J13" i="7" a="1"/>
  <c r="J13" i="7" s="1"/>
  <c r="K13" i="7" a="1"/>
  <c r="K13" i="7" s="1"/>
  <c r="N13" i="7" a="1"/>
  <c r="N13" i="7" s="1"/>
  <c r="O13" i="7" a="1"/>
  <c r="O13" i="7" s="1"/>
  <c r="R13" i="7" a="1"/>
  <c r="R13" i="7" s="1"/>
  <c r="S13" i="7" a="1"/>
  <c r="S13" i="7" s="1"/>
  <c r="U13" i="7" a="1"/>
  <c r="U13" i="7" s="1"/>
  <c r="V13" i="7" a="1"/>
  <c r="V13" i="7" s="1"/>
  <c r="W13" i="7" a="1"/>
  <c r="W13" i="7" s="1"/>
  <c r="Y13" i="7" a="1"/>
  <c r="Y13" i="7" s="1"/>
  <c r="Z13" i="7" a="1"/>
  <c r="Z13" i="7" s="1"/>
  <c r="AA13" i="7" a="1"/>
  <c r="AA13" i="7" s="1"/>
  <c r="AC13" i="7" a="1"/>
  <c r="AC13" i="7" s="1"/>
  <c r="AD13" i="7" a="1"/>
  <c r="AD13" i="7" s="1"/>
  <c r="AE13" i="7" a="1"/>
  <c r="AE13" i="7" s="1"/>
  <c r="AG13" i="7" a="1"/>
  <c r="AG13" i="7" s="1"/>
  <c r="AH13" i="7" a="1"/>
  <c r="AH13" i="7" s="1"/>
  <c r="AI13" i="7" a="1"/>
  <c r="AI13" i="7" s="1"/>
  <c r="A14" i="7" a="1"/>
  <c r="A14" i="7" s="1"/>
  <c r="B14" i="7" a="1"/>
  <c r="B14" i="7" s="1"/>
  <c r="C14" i="7" a="1"/>
  <c r="C14" i="7" s="1"/>
  <c r="F14" i="7" a="1"/>
  <c r="F14" i="7" s="1"/>
  <c r="G14" i="7" a="1"/>
  <c r="G14" i="7" s="1"/>
  <c r="J14" i="7" a="1"/>
  <c r="J14" i="7" s="1"/>
  <c r="K14" i="7" a="1"/>
  <c r="K14" i="7" s="1"/>
  <c r="N14" i="7" a="1"/>
  <c r="N14" i="7" s="1"/>
  <c r="O14" i="7" a="1"/>
  <c r="O14" i="7" s="1"/>
  <c r="R14" i="7" a="1"/>
  <c r="R14" i="7" s="1"/>
  <c r="S14" i="7" a="1"/>
  <c r="S14" i="7" s="1"/>
  <c r="U14" i="7" a="1"/>
  <c r="U14" i="7" s="1"/>
  <c r="V14" i="7" a="1"/>
  <c r="V14" i="7" s="1"/>
  <c r="W14" i="7" a="1"/>
  <c r="W14" i="7" s="1"/>
  <c r="Y14" i="7" a="1"/>
  <c r="Y14" i="7" s="1"/>
  <c r="Z14" i="7" a="1"/>
  <c r="Z14" i="7" s="1"/>
  <c r="AA14" i="7" a="1"/>
  <c r="AA14" i="7" s="1"/>
  <c r="AC14" i="7" a="1"/>
  <c r="AC14" i="7" s="1"/>
  <c r="AD14" i="7" a="1"/>
  <c r="AD14" i="7" s="1"/>
  <c r="AE14" i="7" a="1"/>
  <c r="AE14" i="7" s="1"/>
  <c r="AG14" i="7" a="1"/>
  <c r="AG14" i="7" s="1"/>
  <c r="AH14" i="7" a="1"/>
  <c r="AH14" i="7" s="1"/>
  <c r="AI14" i="7" a="1"/>
  <c r="AI14" i="7" s="1"/>
  <c r="A15" i="7" a="1"/>
  <c r="A15" i="7" s="1"/>
  <c r="B15" i="7" a="1"/>
  <c r="B15" i="7" s="1"/>
  <c r="C15" i="7" a="1"/>
  <c r="C15" i="7" s="1"/>
  <c r="F15" i="7" a="1"/>
  <c r="F15" i="7" s="1"/>
  <c r="G15" i="7" a="1"/>
  <c r="G15" i="7" s="1"/>
  <c r="J15" i="7" a="1"/>
  <c r="J15" i="7" s="1"/>
  <c r="K15" i="7" a="1"/>
  <c r="K15" i="7" s="1"/>
  <c r="N15" i="7" a="1"/>
  <c r="N15" i="7" s="1"/>
  <c r="O15" i="7" a="1"/>
  <c r="O15" i="7" s="1"/>
  <c r="R15" i="7" a="1"/>
  <c r="R15" i="7" s="1"/>
  <c r="S15" i="7" a="1"/>
  <c r="S15" i="7" s="1"/>
  <c r="U15" i="7" a="1"/>
  <c r="U15" i="7" s="1"/>
  <c r="V15" i="7" a="1"/>
  <c r="V15" i="7" s="1"/>
  <c r="W15" i="7" a="1"/>
  <c r="W15" i="7" s="1"/>
  <c r="Y15" i="7" a="1"/>
  <c r="Y15" i="7" s="1"/>
  <c r="Z15" i="7" a="1"/>
  <c r="Z15" i="7" s="1"/>
  <c r="AA15" i="7" a="1"/>
  <c r="AA15" i="7" s="1"/>
  <c r="AC15" i="7" a="1"/>
  <c r="AC15" i="7" s="1"/>
  <c r="AD15" i="7" a="1"/>
  <c r="AD15" i="7" s="1"/>
  <c r="AE15" i="7" a="1"/>
  <c r="AE15" i="7" s="1"/>
  <c r="AG15" i="7" a="1"/>
  <c r="AG15" i="7" s="1"/>
  <c r="AH15" i="7" a="1"/>
  <c r="AH15" i="7" s="1"/>
  <c r="AI15" i="7" a="1"/>
  <c r="AI15" i="7" s="1"/>
  <c r="A16" i="7" a="1"/>
  <c r="A16" i="7" s="1"/>
  <c r="B16" i="7" a="1"/>
  <c r="B16" i="7" s="1"/>
  <c r="C16" i="7" a="1"/>
  <c r="C16" i="7" s="1"/>
  <c r="F16" i="7" a="1"/>
  <c r="F16" i="7" s="1"/>
  <c r="G16" i="7" a="1"/>
  <c r="G16" i="7" s="1"/>
  <c r="J16" i="7" a="1"/>
  <c r="J16" i="7" s="1"/>
  <c r="K16" i="7" a="1"/>
  <c r="K16" i="7" s="1"/>
  <c r="N16" i="7" a="1"/>
  <c r="N16" i="7" s="1"/>
  <c r="O16" i="7" a="1"/>
  <c r="O16" i="7" s="1"/>
  <c r="R16" i="7" a="1"/>
  <c r="R16" i="7" s="1"/>
  <c r="S16" i="7" a="1"/>
  <c r="S16" i="7" s="1"/>
  <c r="U16" i="7" a="1"/>
  <c r="U16" i="7" s="1"/>
  <c r="V16" i="7" a="1"/>
  <c r="V16" i="7" s="1"/>
  <c r="W16" i="7" a="1"/>
  <c r="W16" i="7" s="1"/>
  <c r="Y16" i="7" a="1"/>
  <c r="Y16" i="7" s="1"/>
  <c r="Z16" i="7" a="1"/>
  <c r="Z16" i="7" s="1"/>
  <c r="AA16" i="7" a="1"/>
  <c r="AA16" i="7" s="1"/>
  <c r="AC16" i="7" a="1"/>
  <c r="AC16" i="7" s="1"/>
  <c r="AD16" i="7" a="1"/>
  <c r="AD16" i="7" s="1"/>
  <c r="AE16" i="7" a="1"/>
  <c r="AE16" i="7" s="1"/>
  <c r="AG16" i="7" a="1"/>
  <c r="AG16" i="7" s="1"/>
  <c r="AH16" i="7" a="1"/>
  <c r="AH16" i="7" s="1"/>
  <c r="AI16" i="7" a="1"/>
  <c r="AI16" i="7" s="1"/>
  <c r="A17" i="7" a="1"/>
  <c r="A17" i="7" s="1"/>
  <c r="B17" i="7" a="1"/>
  <c r="B17" i="7" s="1"/>
  <c r="C17" i="7" a="1"/>
  <c r="C17" i="7" s="1"/>
  <c r="F17" i="7" a="1"/>
  <c r="F17" i="7" s="1"/>
  <c r="G17" i="7" a="1"/>
  <c r="G17" i="7" s="1"/>
  <c r="J17" i="7" a="1"/>
  <c r="J17" i="7" s="1"/>
  <c r="K17" i="7" a="1"/>
  <c r="K17" i="7" s="1"/>
  <c r="N17" i="7" a="1"/>
  <c r="N17" i="7" s="1"/>
  <c r="O17" i="7" a="1"/>
  <c r="O17" i="7" s="1"/>
  <c r="R17" i="7" a="1"/>
  <c r="R17" i="7" s="1"/>
  <c r="S17" i="7" a="1"/>
  <c r="S17" i="7" s="1"/>
  <c r="U17" i="7" a="1"/>
  <c r="U17" i="7" s="1"/>
  <c r="V17" i="7" a="1"/>
  <c r="V17" i="7" s="1"/>
  <c r="W17" i="7" a="1"/>
  <c r="W17" i="7" s="1"/>
  <c r="Y17" i="7" a="1"/>
  <c r="Y17" i="7" s="1"/>
  <c r="Z17" i="7" a="1"/>
  <c r="Z17" i="7" s="1"/>
  <c r="AA17" i="7" a="1"/>
  <c r="AA17" i="7" s="1"/>
  <c r="AC17" i="7" a="1"/>
  <c r="AC17" i="7" s="1"/>
  <c r="AD17" i="7" a="1"/>
  <c r="AD17" i="7" s="1"/>
  <c r="AE17" i="7" a="1"/>
  <c r="AE17" i="7" s="1"/>
  <c r="AG17" i="7" a="1"/>
  <c r="AG17" i="7" s="1"/>
  <c r="AH17" i="7" a="1"/>
  <c r="AH17" i="7" s="1"/>
  <c r="AI17" i="7" a="1"/>
  <c r="AI17" i="7" s="1"/>
  <c r="A18" i="7" a="1"/>
  <c r="A18" i="7" s="1"/>
  <c r="B18" i="7" a="1"/>
  <c r="B18" i="7" s="1"/>
  <c r="C18" i="7" a="1"/>
  <c r="C18" i="7" s="1"/>
  <c r="F18" i="7" a="1"/>
  <c r="F18" i="7" s="1"/>
  <c r="G18" i="7" a="1"/>
  <c r="G18" i="7" s="1"/>
  <c r="J18" i="7" a="1"/>
  <c r="J18" i="7" s="1"/>
  <c r="K18" i="7" a="1"/>
  <c r="K18" i="7" s="1"/>
  <c r="N18" i="7" a="1"/>
  <c r="N18" i="7" s="1"/>
  <c r="O18" i="7" a="1"/>
  <c r="O18" i="7" s="1"/>
  <c r="R18" i="7" a="1"/>
  <c r="R18" i="7" s="1"/>
  <c r="S18" i="7" a="1"/>
  <c r="S18" i="7" s="1"/>
  <c r="U18" i="7" a="1"/>
  <c r="U18" i="7" s="1"/>
  <c r="V18" i="7" a="1"/>
  <c r="V18" i="7" s="1"/>
  <c r="W18" i="7" a="1"/>
  <c r="W18" i="7" s="1"/>
  <c r="Y18" i="7" a="1"/>
  <c r="Y18" i="7" s="1"/>
  <c r="Z18" i="7" a="1"/>
  <c r="Z18" i="7" s="1"/>
  <c r="AA18" i="7" a="1"/>
  <c r="AA18" i="7" s="1"/>
  <c r="AC18" i="7" a="1"/>
  <c r="AC18" i="7" s="1"/>
  <c r="AD18" i="7" a="1"/>
  <c r="AD18" i="7" s="1"/>
  <c r="AE18" i="7" a="1"/>
  <c r="AE18" i="7" s="1"/>
  <c r="AG18" i="7" a="1"/>
  <c r="AG18" i="7" s="1"/>
  <c r="AH18" i="7" a="1"/>
  <c r="AH18" i="7" s="1"/>
  <c r="AI18" i="7" a="1"/>
  <c r="AI18" i="7" s="1"/>
  <c r="A19" i="7" a="1"/>
  <c r="A19" i="7" s="1"/>
  <c r="B19" i="7" a="1"/>
  <c r="B19" i="7" s="1"/>
  <c r="C19" i="7" a="1"/>
  <c r="C19" i="7" s="1"/>
  <c r="F19" i="7" a="1"/>
  <c r="F19" i="7" s="1"/>
  <c r="G19" i="7" a="1"/>
  <c r="G19" i="7" s="1"/>
  <c r="J19" i="7" a="1"/>
  <c r="J19" i="7" s="1"/>
  <c r="K19" i="7" a="1"/>
  <c r="K19" i="7" s="1"/>
  <c r="N19" i="7" a="1"/>
  <c r="N19" i="7" s="1"/>
  <c r="O19" i="7" a="1"/>
  <c r="O19" i="7" s="1"/>
  <c r="R19" i="7" a="1"/>
  <c r="R19" i="7" s="1"/>
  <c r="S19" i="7" a="1"/>
  <c r="S19" i="7" s="1"/>
  <c r="U19" i="7" a="1"/>
  <c r="U19" i="7" s="1"/>
  <c r="V19" i="7" a="1"/>
  <c r="V19" i="7" s="1"/>
  <c r="W19" i="7" a="1"/>
  <c r="W19" i="7" s="1"/>
  <c r="Y19" i="7" a="1"/>
  <c r="Y19" i="7" s="1"/>
  <c r="Z19" i="7" a="1"/>
  <c r="Z19" i="7" s="1"/>
  <c r="AA19" i="7" a="1"/>
  <c r="AA19" i="7" s="1"/>
  <c r="AC19" i="7" a="1"/>
  <c r="AC19" i="7" s="1"/>
  <c r="AD19" i="7" a="1"/>
  <c r="AD19" i="7" s="1"/>
  <c r="AE19" i="7" a="1"/>
  <c r="AE19" i="7" s="1"/>
  <c r="AG19" i="7" a="1"/>
  <c r="AG19" i="7" s="1"/>
  <c r="AH19" i="7" a="1"/>
  <c r="AH19" i="7" s="1"/>
  <c r="AI19" i="7" a="1"/>
  <c r="AI19" i="7" s="1"/>
  <c r="A20" i="7" a="1"/>
  <c r="A20" i="7" s="1"/>
  <c r="B20" i="7" a="1"/>
  <c r="B20" i="7" s="1"/>
  <c r="C20" i="7" a="1"/>
  <c r="C20" i="7" s="1"/>
  <c r="E20" i="7" a="1"/>
  <c r="E20" i="7" s="1"/>
  <c r="F20" i="7" a="1"/>
  <c r="F20" i="7" s="1"/>
  <c r="G20" i="7" a="1"/>
  <c r="G20" i="7" s="1"/>
  <c r="I20" i="7" a="1"/>
  <c r="I20" i="7" s="1"/>
  <c r="J20" i="7" a="1"/>
  <c r="J20" i="7" s="1"/>
  <c r="K20" i="7" a="1"/>
  <c r="K20" i="7" s="1"/>
  <c r="N20" i="7" a="1"/>
  <c r="N20" i="7" s="1"/>
  <c r="O20" i="7" a="1"/>
  <c r="O20" i="7" s="1"/>
  <c r="R20" i="7" a="1"/>
  <c r="R20" i="7" s="1"/>
  <c r="S20" i="7" a="1"/>
  <c r="S20" i="7" s="1"/>
  <c r="U20" i="7" a="1"/>
  <c r="U20" i="7" s="1"/>
  <c r="V20" i="7" a="1"/>
  <c r="V20" i="7" s="1"/>
  <c r="W20" i="7" a="1"/>
  <c r="W20" i="7" s="1"/>
  <c r="Y20" i="7" a="1"/>
  <c r="Y20" i="7" s="1"/>
  <c r="Z20" i="7" a="1"/>
  <c r="Z20" i="7" s="1"/>
  <c r="AA20" i="7" a="1"/>
  <c r="AA20" i="7" s="1"/>
  <c r="AC20" i="7" a="1"/>
  <c r="AC20" i="7" s="1"/>
  <c r="AD20" i="7" a="1"/>
  <c r="AD20" i="7" s="1"/>
  <c r="AE20" i="7" a="1"/>
  <c r="AE20" i="7" s="1"/>
  <c r="AG20" i="7" a="1"/>
  <c r="AG20" i="7" s="1"/>
  <c r="AH20" i="7" a="1"/>
  <c r="AH20" i="7" s="1"/>
  <c r="AI20" i="7" a="1"/>
  <c r="AI20" i="7" s="1"/>
  <c r="A21" i="7" a="1"/>
  <c r="A21" i="7" s="1"/>
  <c r="B21" i="7" a="1"/>
  <c r="B21" i="7" s="1"/>
  <c r="C21" i="7" a="1"/>
  <c r="C21" i="7" s="1"/>
  <c r="E21" i="7" a="1"/>
  <c r="E21" i="7" s="1"/>
  <c r="F21" i="7" a="1"/>
  <c r="F21" i="7" s="1"/>
  <c r="G21" i="7" a="1"/>
  <c r="G21" i="7" s="1"/>
  <c r="I21" i="7" a="1"/>
  <c r="I21" i="7" s="1"/>
  <c r="J21" i="7" a="1"/>
  <c r="J21" i="7" s="1"/>
  <c r="K21" i="7" a="1"/>
  <c r="K21" i="7" s="1"/>
  <c r="N21" i="7" a="1"/>
  <c r="N21" i="7" s="1"/>
  <c r="O21" i="7" a="1"/>
  <c r="O21" i="7" s="1"/>
  <c r="Q21" i="7" a="1"/>
  <c r="Q21" i="7" s="1"/>
  <c r="R21" i="7" a="1"/>
  <c r="R21" i="7" s="1"/>
  <c r="S21" i="7" a="1"/>
  <c r="S21" i="7" s="1"/>
  <c r="U21" i="7" a="1"/>
  <c r="U21" i="7" s="1"/>
  <c r="V21" i="7" a="1"/>
  <c r="V21" i="7" s="1"/>
  <c r="W21" i="7" a="1"/>
  <c r="W21" i="7" s="1"/>
  <c r="Y21" i="7" a="1"/>
  <c r="Y21" i="7" s="1"/>
  <c r="Z21" i="7" a="1"/>
  <c r="Z21" i="7" s="1"/>
  <c r="AA21" i="7" a="1"/>
  <c r="AA21" i="7" s="1"/>
  <c r="AC21" i="7" a="1"/>
  <c r="AC21" i="7" s="1"/>
  <c r="AD21" i="7" a="1"/>
  <c r="AD21" i="7" s="1"/>
  <c r="AE21" i="7" a="1"/>
  <c r="AE21" i="7" s="1"/>
  <c r="AG21" i="7" a="1"/>
  <c r="AG21" i="7" s="1"/>
  <c r="AH21" i="7" a="1"/>
  <c r="AH21" i="7" s="1"/>
  <c r="AI21" i="7" a="1"/>
  <c r="AI21" i="7" s="1"/>
  <c r="A22" i="7" a="1"/>
  <c r="A22" i="7" s="1"/>
  <c r="B22" i="7" a="1"/>
  <c r="B22" i="7" s="1"/>
  <c r="C22" i="7" a="1"/>
  <c r="C22" i="7" s="1"/>
  <c r="E22" i="7" a="1"/>
  <c r="E22" i="7" s="1"/>
  <c r="F22" i="7" a="1"/>
  <c r="F22" i="7" s="1"/>
  <c r="G22" i="7" a="1"/>
  <c r="G22" i="7" s="1"/>
  <c r="I22" i="7" a="1"/>
  <c r="I22" i="7" s="1"/>
  <c r="J22" i="7" a="1"/>
  <c r="J22" i="7" s="1"/>
  <c r="K22" i="7" a="1"/>
  <c r="K22" i="7" s="1"/>
  <c r="N22" i="7" a="1"/>
  <c r="N22" i="7" s="1"/>
  <c r="O22" i="7" a="1"/>
  <c r="O22" i="7" s="1"/>
  <c r="Q22" i="7" a="1"/>
  <c r="Q22" i="7" s="1"/>
  <c r="R22" i="7" a="1"/>
  <c r="R22" i="7" s="1"/>
  <c r="S22" i="7" a="1"/>
  <c r="S22" i="7" s="1"/>
  <c r="U22" i="7" a="1"/>
  <c r="U22" i="7" s="1"/>
  <c r="V22" i="7" a="1"/>
  <c r="V22" i="7" s="1"/>
  <c r="W22" i="7" a="1"/>
  <c r="W22" i="7" s="1"/>
  <c r="Y22" i="7" a="1"/>
  <c r="Y22" i="7" s="1"/>
  <c r="Z22" i="7" a="1"/>
  <c r="Z22" i="7" s="1"/>
  <c r="AA22" i="7" a="1"/>
  <c r="AA22" i="7" s="1"/>
  <c r="AC22" i="7" a="1"/>
  <c r="AC22" i="7" s="1"/>
  <c r="AD22" i="7" a="1"/>
  <c r="AD22" i="7" s="1"/>
  <c r="AE22" i="7" a="1"/>
  <c r="AE22" i="7" s="1"/>
  <c r="AG22" i="7" a="1"/>
  <c r="AG22" i="7" s="1"/>
  <c r="AH22" i="7" a="1"/>
  <c r="AH22" i="7" s="1"/>
  <c r="AI22" i="7" a="1"/>
  <c r="AI22" i="7" s="1"/>
  <c r="A23" i="7" a="1"/>
  <c r="A23" i="7" s="1"/>
  <c r="B23" i="7" a="1"/>
  <c r="B23" i="7" s="1"/>
  <c r="C23" i="7" a="1"/>
  <c r="C23" i="7" s="1"/>
  <c r="E23" i="7" a="1"/>
  <c r="E23" i="7" s="1"/>
  <c r="F23" i="7" a="1"/>
  <c r="F23" i="7" s="1"/>
  <c r="G23" i="7" a="1"/>
  <c r="G23" i="7" s="1"/>
  <c r="I23" i="7" a="1"/>
  <c r="I23" i="7" s="1"/>
  <c r="J23" i="7" a="1"/>
  <c r="J23" i="7" s="1"/>
  <c r="K23" i="7" a="1"/>
  <c r="K23" i="7" s="1"/>
  <c r="M23" i="7" a="1"/>
  <c r="M23" i="7" s="1"/>
  <c r="N23" i="7" a="1"/>
  <c r="N23" i="7" s="1"/>
  <c r="O23" i="7" a="1"/>
  <c r="O23" i="7" s="1"/>
  <c r="Q23" i="7" a="1"/>
  <c r="Q23" i="7" s="1"/>
  <c r="R23" i="7" a="1"/>
  <c r="R23" i="7" s="1"/>
  <c r="S23" i="7" a="1"/>
  <c r="S23" i="7" s="1"/>
  <c r="U23" i="7" a="1"/>
  <c r="U23" i="7" s="1"/>
  <c r="V23" i="7" a="1"/>
  <c r="V23" i="7" s="1"/>
  <c r="W23" i="7" a="1"/>
  <c r="W23" i="7" s="1"/>
  <c r="Y23" i="7" a="1"/>
  <c r="Y23" i="7" s="1"/>
  <c r="Z23" i="7" a="1"/>
  <c r="Z23" i="7" s="1"/>
  <c r="AA23" i="7" a="1"/>
  <c r="AA23" i="7" s="1"/>
  <c r="AC23" i="7" a="1"/>
  <c r="AC23" i="7" s="1"/>
  <c r="AD23" i="7" a="1"/>
  <c r="AD23" i="7" s="1"/>
  <c r="AE23" i="7" a="1"/>
  <c r="AE23" i="7" s="1"/>
  <c r="AG23" i="7" a="1"/>
  <c r="AG23" i="7" s="1"/>
  <c r="AH23" i="7" a="1"/>
  <c r="AH23" i="7" s="1"/>
  <c r="AI23" i="7" a="1"/>
  <c r="AI23" i="7" s="1"/>
  <c r="A24" i="7" a="1"/>
  <c r="A24" i="7" s="1"/>
  <c r="B24" i="7" a="1"/>
  <c r="B24" i="7" s="1"/>
  <c r="C24" i="7" a="1"/>
  <c r="C24" i="7" s="1"/>
  <c r="E24" i="7" a="1"/>
  <c r="E24" i="7" s="1"/>
  <c r="F24" i="7" a="1"/>
  <c r="F24" i="7" s="1"/>
  <c r="G24" i="7" a="1"/>
  <c r="G24" i="7" s="1"/>
  <c r="I24" i="7" a="1"/>
  <c r="I24" i="7" s="1"/>
  <c r="J24" i="7" a="1"/>
  <c r="J24" i="7" s="1"/>
  <c r="K24" i="7" a="1"/>
  <c r="K24" i="7" s="1"/>
  <c r="M24" i="7" a="1"/>
  <c r="M24" i="7" s="1"/>
  <c r="N24" i="7" a="1"/>
  <c r="N24" i="7" s="1"/>
  <c r="O24" i="7" a="1"/>
  <c r="O24" i="7" s="1"/>
  <c r="Q24" i="7" a="1"/>
  <c r="Q24" i="7" s="1"/>
  <c r="R24" i="7" a="1"/>
  <c r="R24" i="7" s="1"/>
  <c r="S24" i="7" a="1"/>
  <c r="S24" i="7" s="1"/>
  <c r="U24" i="7" a="1"/>
  <c r="U24" i="7" s="1"/>
  <c r="V24" i="7" a="1"/>
  <c r="V24" i="7" s="1"/>
  <c r="W24" i="7" a="1"/>
  <c r="W24" i="7" s="1"/>
  <c r="Y24" i="7" a="1"/>
  <c r="Y24" i="7" s="1"/>
  <c r="Z24" i="7" a="1"/>
  <c r="Z24" i="7" s="1"/>
  <c r="AA24" i="7" a="1"/>
  <c r="AA24" i="7" s="1"/>
  <c r="AC24" i="7" a="1"/>
  <c r="AC24" i="7" s="1"/>
  <c r="AD24" i="7" a="1"/>
  <c r="AD24" i="7" s="1"/>
  <c r="AE24" i="7" a="1"/>
  <c r="AE24" i="7" s="1"/>
  <c r="AG24" i="7" a="1"/>
  <c r="AG24" i="7" s="1"/>
  <c r="AH24" i="7" a="1"/>
  <c r="AH24" i="7" s="1"/>
  <c r="AI24" i="7" a="1"/>
  <c r="AI24" i="7" s="1"/>
  <c r="A25" i="7" a="1"/>
  <c r="A25" i="7" s="1"/>
  <c r="B25" i="7" a="1"/>
  <c r="B25" i="7" s="1"/>
  <c r="C25" i="7" a="1"/>
  <c r="C25" i="7" s="1"/>
  <c r="E25" i="7" a="1"/>
  <c r="E25" i="7" s="1"/>
  <c r="F25" i="7" a="1"/>
  <c r="F25" i="7" s="1"/>
  <c r="G25" i="7" a="1"/>
  <c r="G25" i="7" s="1"/>
  <c r="I25" i="7" a="1"/>
  <c r="I25" i="7" s="1"/>
  <c r="J25" i="7" a="1"/>
  <c r="J25" i="7" s="1"/>
  <c r="K25" i="7" a="1"/>
  <c r="K25" i="7" s="1"/>
  <c r="M25" i="7" a="1"/>
  <c r="M25" i="7" s="1"/>
  <c r="N25" i="7" a="1"/>
  <c r="N25" i="7" s="1"/>
  <c r="O25" i="7" a="1"/>
  <c r="O25" i="7" s="1"/>
  <c r="Q25" i="7" a="1"/>
  <c r="Q25" i="7" s="1"/>
  <c r="R25" i="7" a="1"/>
  <c r="R25" i="7" s="1"/>
  <c r="S25" i="7" a="1"/>
  <c r="S25" i="7" s="1"/>
  <c r="U25" i="7" a="1"/>
  <c r="U25" i="7" s="1"/>
  <c r="V25" i="7" a="1"/>
  <c r="V25" i="7" s="1"/>
  <c r="W25" i="7" a="1"/>
  <c r="W25" i="7" s="1"/>
  <c r="Y25" i="7" a="1"/>
  <c r="Y25" i="7" s="1"/>
  <c r="Z25" i="7" a="1"/>
  <c r="Z25" i="7" s="1"/>
  <c r="AA25" i="7" a="1"/>
  <c r="AA25" i="7" s="1"/>
  <c r="AC25" i="7" a="1"/>
  <c r="AC25" i="7" s="1"/>
  <c r="AD25" i="7" a="1"/>
  <c r="AD25" i="7" s="1"/>
  <c r="AE25" i="7" a="1"/>
  <c r="AE25" i="7" s="1"/>
  <c r="AG25" i="7" a="1"/>
  <c r="AG25" i="7" s="1"/>
  <c r="AH25" i="7" a="1"/>
  <c r="AH25" i="7" s="1"/>
  <c r="AI25" i="7" a="1"/>
  <c r="AI25" i="7" s="1"/>
  <c r="A26" i="7" a="1"/>
  <c r="A26" i="7" s="1"/>
  <c r="B26" i="7" a="1"/>
  <c r="B26" i="7" s="1"/>
  <c r="C26" i="7" a="1"/>
  <c r="C26" i="7" s="1"/>
  <c r="E26" i="7" a="1"/>
  <c r="E26" i="7" s="1"/>
  <c r="F26" i="7" a="1"/>
  <c r="F26" i="7" s="1"/>
  <c r="G26" i="7" a="1"/>
  <c r="G26" i="7" s="1"/>
  <c r="I26" i="7" a="1"/>
  <c r="I26" i="7" s="1"/>
  <c r="J26" i="7" a="1"/>
  <c r="J26" i="7" s="1"/>
  <c r="K26" i="7" a="1"/>
  <c r="K26" i="7" s="1"/>
  <c r="M26" i="7" a="1"/>
  <c r="M26" i="7" s="1"/>
  <c r="N26" i="7" a="1"/>
  <c r="N26" i="7" s="1"/>
  <c r="O26" i="7" a="1"/>
  <c r="O26" i="7" s="1"/>
  <c r="Q26" i="7" a="1"/>
  <c r="Q26" i="7" s="1"/>
  <c r="R26" i="7" a="1"/>
  <c r="R26" i="7" s="1"/>
  <c r="S26" i="7" a="1"/>
  <c r="S26" i="7" s="1"/>
  <c r="U26" i="7" a="1"/>
  <c r="U26" i="7" s="1"/>
  <c r="V26" i="7" a="1"/>
  <c r="V26" i="7" s="1"/>
  <c r="W26" i="7" a="1"/>
  <c r="W26" i="7" s="1"/>
  <c r="Y26" i="7" a="1"/>
  <c r="Y26" i="7" s="1"/>
  <c r="Z26" i="7" a="1"/>
  <c r="Z26" i="7" s="1"/>
  <c r="AA26" i="7" a="1"/>
  <c r="AA26" i="7" s="1"/>
  <c r="AC26" i="7" a="1"/>
  <c r="AC26" i="7" s="1"/>
  <c r="AD26" i="7" a="1"/>
  <c r="AD26" i="7" s="1"/>
  <c r="AE26" i="7" a="1"/>
  <c r="AE26" i="7" s="1"/>
  <c r="AG26" i="7" a="1"/>
  <c r="AG26" i="7" s="1"/>
  <c r="AH26" i="7" a="1"/>
  <c r="AH26" i="7" s="1"/>
  <c r="AI26" i="7" a="1"/>
  <c r="AI26" i="7" s="1"/>
  <c r="A27" i="7" a="1"/>
  <c r="A27" i="7" s="1"/>
  <c r="B27" i="7" a="1"/>
  <c r="B27" i="7" s="1"/>
  <c r="C27" i="7" a="1"/>
  <c r="C27" i="7" s="1"/>
  <c r="E27" i="7" a="1"/>
  <c r="E27" i="7" s="1"/>
  <c r="F27" i="7" a="1"/>
  <c r="F27" i="7" s="1"/>
  <c r="G27" i="7" a="1"/>
  <c r="G27" i="7" s="1"/>
  <c r="I27" i="7" a="1"/>
  <c r="I27" i="7" s="1"/>
  <c r="J27" i="7" a="1"/>
  <c r="J27" i="7" s="1"/>
  <c r="K27" i="7" a="1"/>
  <c r="K27" i="7" s="1"/>
  <c r="M27" i="7" a="1"/>
  <c r="M27" i="7" s="1"/>
  <c r="N27" i="7" a="1"/>
  <c r="N27" i="7" s="1"/>
  <c r="O27" i="7" a="1"/>
  <c r="O27" i="7" s="1"/>
  <c r="Q27" i="7" a="1"/>
  <c r="Q27" i="7" s="1"/>
  <c r="R27" i="7" a="1"/>
  <c r="R27" i="7" s="1"/>
  <c r="S27" i="7" a="1"/>
  <c r="S27" i="7" s="1"/>
  <c r="U27" i="7" a="1"/>
  <c r="U27" i="7" s="1"/>
  <c r="V27" i="7" a="1"/>
  <c r="V27" i="7" s="1"/>
  <c r="W27" i="7" a="1"/>
  <c r="W27" i="7" s="1"/>
  <c r="Y27" i="7" a="1"/>
  <c r="Y27" i="7" s="1"/>
  <c r="Z27" i="7" a="1"/>
  <c r="Z27" i="7" s="1"/>
  <c r="AA27" i="7" a="1"/>
  <c r="AA27" i="7" s="1"/>
  <c r="AC27" i="7" a="1"/>
  <c r="AC27" i="7" s="1"/>
  <c r="AD27" i="7" a="1"/>
  <c r="AD27" i="7" s="1"/>
  <c r="AE27" i="7" a="1"/>
  <c r="AE27" i="7" s="1"/>
  <c r="AG27" i="7" a="1"/>
  <c r="AG27" i="7" s="1"/>
  <c r="AH27" i="7" a="1"/>
  <c r="AH27" i="7" s="1"/>
  <c r="AI27" i="7" a="1"/>
  <c r="AI27" i="7" s="1"/>
  <c r="A28" i="7" a="1"/>
  <c r="A28" i="7" s="1"/>
  <c r="B28" i="7" a="1"/>
  <c r="B28" i="7" s="1"/>
  <c r="C28" i="7" a="1"/>
  <c r="C28" i="7" s="1"/>
  <c r="E28" i="7" a="1"/>
  <c r="E28" i="7" s="1"/>
  <c r="F28" i="7" a="1"/>
  <c r="F28" i="7" s="1"/>
  <c r="G28" i="7" a="1"/>
  <c r="G28" i="7" s="1"/>
  <c r="I28" i="7" a="1"/>
  <c r="I28" i="7" s="1"/>
  <c r="J28" i="7" a="1"/>
  <c r="J28" i="7" s="1"/>
  <c r="K28" i="7" a="1"/>
  <c r="K28" i="7" s="1"/>
  <c r="M28" i="7" a="1"/>
  <c r="M28" i="7" s="1"/>
  <c r="N28" i="7" a="1"/>
  <c r="N28" i="7" s="1"/>
  <c r="O28" i="7" a="1"/>
  <c r="O28" i="7" s="1"/>
  <c r="Q28" i="7" a="1"/>
  <c r="Q28" i="7" s="1"/>
  <c r="R28" i="7" a="1"/>
  <c r="R28" i="7" s="1"/>
  <c r="S28" i="7" a="1"/>
  <c r="S28" i="7" s="1"/>
  <c r="U28" i="7" a="1"/>
  <c r="U28" i="7" s="1"/>
  <c r="V28" i="7" a="1"/>
  <c r="V28" i="7" s="1"/>
  <c r="W28" i="7" a="1"/>
  <c r="W28" i="7" s="1"/>
  <c r="Y28" i="7" a="1"/>
  <c r="Y28" i="7" s="1"/>
  <c r="Z28" i="7" a="1"/>
  <c r="Z28" i="7" s="1"/>
  <c r="AA28" i="7" a="1"/>
  <c r="AA28" i="7" s="1"/>
  <c r="AC28" i="7" a="1"/>
  <c r="AC28" i="7" s="1"/>
  <c r="AD28" i="7" a="1"/>
  <c r="AD28" i="7" s="1"/>
  <c r="AE28" i="7" a="1"/>
  <c r="AE28" i="7" s="1"/>
  <c r="AG28" i="7" a="1"/>
  <c r="AG28" i="7" s="1"/>
  <c r="AH28" i="7" a="1"/>
  <c r="AH28" i="7" s="1"/>
  <c r="AI28" i="7" a="1"/>
  <c r="AI28" i="7" s="1"/>
  <c r="A29" i="7" a="1"/>
  <c r="A29" i="7" s="1"/>
  <c r="B29" i="7" a="1"/>
  <c r="B29" i="7" s="1"/>
  <c r="C29" i="7" a="1"/>
  <c r="C29" i="7" s="1"/>
  <c r="E29" i="7" a="1"/>
  <c r="E29" i="7" s="1"/>
  <c r="F29" i="7" a="1"/>
  <c r="F29" i="7" s="1"/>
  <c r="G29" i="7" a="1"/>
  <c r="G29" i="7" s="1"/>
  <c r="I29" i="7" a="1"/>
  <c r="I29" i="7" s="1"/>
  <c r="J29" i="7" a="1"/>
  <c r="J29" i="7" s="1"/>
  <c r="K29" i="7" a="1"/>
  <c r="K29" i="7" s="1"/>
  <c r="M29" i="7" a="1"/>
  <c r="M29" i="7" s="1"/>
  <c r="N29" i="7" a="1"/>
  <c r="N29" i="7" s="1"/>
  <c r="O29" i="7" a="1"/>
  <c r="O29" i="7" s="1"/>
  <c r="Q29" i="7" a="1"/>
  <c r="Q29" i="7" s="1"/>
  <c r="R29" i="7" a="1"/>
  <c r="R29" i="7" s="1"/>
  <c r="S29" i="7" a="1"/>
  <c r="S29" i="7" s="1"/>
  <c r="U29" i="7" a="1"/>
  <c r="U29" i="7" s="1"/>
  <c r="V29" i="7" a="1"/>
  <c r="V29" i="7" s="1"/>
  <c r="W29" i="7" a="1"/>
  <c r="W29" i="7" s="1"/>
  <c r="Y29" i="7" a="1"/>
  <c r="Y29" i="7" s="1"/>
  <c r="Z29" i="7" a="1"/>
  <c r="Z29" i="7" s="1"/>
  <c r="AA29" i="7" a="1"/>
  <c r="AA29" i="7" s="1"/>
  <c r="AC29" i="7" a="1"/>
  <c r="AC29" i="7" s="1"/>
  <c r="AD29" i="7" a="1"/>
  <c r="AD29" i="7" s="1"/>
  <c r="AE29" i="7" a="1"/>
  <c r="AE29" i="7" s="1"/>
  <c r="AG29" i="7" a="1"/>
  <c r="AG29" i="7" s="1"/>
  <c r="AH29" i="7" a="1"/>
  <c r="AH29" i="7" s="1"/>
  <c r="AI29" i="7" a="1"/>
  <c r="AI29" i="7" s="1"/>
  <c r="A30" i="7" a="1"/>
  <c r="A30" i="7" s="1"/>
  <c r="B30" i="7" a="1"/>
  <c r="B30" i="7" s="1"/>
  <c r="C30" i="7" a="1"/>
  <c r="C30" i="7" s="1"/>
  <c r="E30" i="7" a="1"/>
  <c r="E30" i="7" s="1"/>
  <c r="F30" i="7" a="1"/>
  <c r="F30" i="7" s="1"/>
  <c r="G30" i="7" a="1"/>
  <c r="G30" i="7" s="1"/>
  <c r="I30" i="7" a="1"/>
  <c r="I30" i="7" s="1"/>
  <c r="J30" i="7" a="1"/>
  <c r="J30" i="7" s="1"/>
  <c r="K30" i="7" a="1"/>
  <c r="K30" i="7" s="1"/>
  <c r="M30" i="7" a="1"/>
  <c r="M30" i="7" s="1"/>
  <c r="N30" i="7" a="1"/>
  <c r="N30" i="7" s="1"/>
  <c r="O30" i="7" a="1"/>
  <c r="O30" i="7" s="1"/>
  <c r="Q30" i="7" a="1"/>
  <c r="Q30" i="7" s="1"/>
  <c r="R30" i="7" a="1"/>
  <c r="R30" i="7" s="1"/>
  <c r="S30" i="7" a="1"/>
  <c r="S30" i="7" s="1"/>
  <c r="U30" i="7" a="1"/>
  <c r="U30" i="7" s="1"/>
  <c r="V30" i="7" a="1"/>
  <c r="V30" i="7" s="1"/>
  <c r="W30" i="7" a="1"/>
  <c r="W30" i="7" s="1"/>
  <c r="Y30" i="7" a="1"/>
  <c r="Y30" i="7" s="1"/>
  <c r="Z30" i="7" a="1"/>
  <c r="Z30" i="7" s="1"/>
  <c r="AA30" i="7" a="1"/>
  <c r="AA30" i="7" s="1"/>
  <c r="AC30" i="7" a="1"/>
  <c r="AC30" i="7" s="1"/>
  <c r="AD30" i="7" a="1"/>
  <c r="AD30" i="7" s="1"/>
  <c r="AE30" i="7" a="1"/>
  <c r="AE30" i="7" s="1"/>
  <c r="AG30" i="7" a="1"/>
  <c r="AG30" i="7" s="1"/>
  <c r="AH30" i="7" a="1"/>
  <c r="AH30" i="7" s="1"/>
  <c r="AI30" i="7" a="1"/>
  <c r="AI30" i="7" s="1"/>
  <c r="A31" i="7" a="1"/>
  <c r="A31" i="7" s="1"/>
  <c r="B31" i="7" a="1"/>
  <c r="B31" i="7" s="1"/>
  <c r="C31" i="7" a="1"/>
  <c r="C31" i="7" s="1"/>
  <c r="E31" i="7" a="1"/>
  <c r="E31" i="7" s="1"/>
  <c r="F31" i="7" a="1"/>
  <c r="F31" i="7" s="1"/>
  <c r="G31" i="7" a="1"/>
  <c r="G31" i="7" s="1"/>
  <c r="I31" i="7" a="1"/>
  <c r="I31" i="7" s="1"/>
  <c r="J31" i="7" a="1"/>
  <c r="J31" i="7" s="1"/>
  <c r="K31" i="7" a="1"/>
  <c r="K31" i="7" s="1"/>
  <c r="M31" i="7" a="1"/>
  <c r="M31" i="7" s="1"/>
  <c r="N31" i="7" a="1"/>
  <c r="N31" i="7" s="1"/>
  <c r="O31" i="7" a="1"/>
  <c r="O31" i="7" s="1"/>
  <c r="Q31" i="7" a="1"/>
  <c r="Q31" i="7" s="1"/>
  <c r="R31" i="7" a="1"/>
  <c r="R31" i="7" s="1"/>
  <c r="S31" i="7" a="1"/>
  <c r="S31" i="7" s="1"/>
  <c r="U31" i="7" a="1"/>
  <c r="U31" i="7" s="1"/>
  <c r="V31" i="7" a="1"/>
  <c r="V31" i="7" s="1"/>
  <c r="W31" i="7" a="1"/>
  <c r="W31" i="7" s="1"/>
  <c r="Y31" i="7" a="1"/>
  <c r="Y31" i="7" s="1"/>
  <c r="Z31" i="7" a="1"/>
  <c r="Z31" i="7" s="1"/>
  <c r="AA31" i="7" a="1"/>
  <c r="AA31" i="7" s="1"/>
  <c r="AC31" i="7" a="1"/>
  <c r="AC31" i="7" s="1"/>
  <c r="AD31" i="7" a="1"/>
  <c r="AD31" i="7" s="1"/>
  <c r="AE31" i="7" a="1"/>
  <c r="AE31" i="7" s="1"/>
  <c r="AG31" i="7" a="1"/>
  <c r="AG31" i="7" s="1"/>
  <c r="AH31" i="7" a="1"/>
  <c r="AH31" i="7" s="1"/>
  <c r="AI31" i="7" a="1"/>
  <c r="AI31" i="7" s="1"/>
  <c r="A32" i="7" a="1"/>
  <c r="A32" i="7" s="1"/>
  <c r="B32" i="7" a="1"/>
  <c r="B32" i="7" s="1"/>
  <c r="C32" i="7" a="1"/>
  <c r="C32" i="7" s="1"/>
  <c r="E32" i="7" a="1"/>
  <c r="E32" i="7" s="1"/>
  <c r="F32" i="7" a="1"/>
  <c r="F32" i="7" s="1"/>
  <c r="G32" i="7" a="1"/>
  <c r="G32" i="7" s="1"/>
  <c r="I32" i="7" a="1"/>
  <c r="I32" i="7" s="1"/>
  <c r="J32" i="7" a="1"/>
  <c r="J32" i="7" s="1"/>
  <c r="K32" i="7" a="1"/>
  <c r="K32" i="7" s="1"/>
  <c r="M32" i="7" a="1"/>
  <c r="M32" i="7" s="1"/>
  <c r="N32" i="7" a="1"/>
  <c r="N32" i="7" s="1"/>
  <c r="O32" i="7" a="1"/>
  <c r="O32" i="7" s="1"/>
  <c r="Q32" i="7" a="1"/>
  <c r="Q32" i="7" s="1"/>
  <c r="R32" i="7" a="1"/>
  <c r="R32" i="7" s="1"/>
  <c r="S32" i="7" a="1"/>
  <c r="S32" i="7" s="1"/>
  <c r="U32" i="7" a="1"/>
  <c r="U32" i="7" s="1"/>
  <c r="V32" i="7" a="1"/>
  <c r="V32" i="7" s="1"/>
  <c r="W32" i="7" a="1"/>
  <c r="W32" i="7" s="1"/>
  <c r="Y32" i="7" a="1"/>
  <c r="Y32" i="7" s="1"/>
  <c r="Z32" i="7" a="1"/>
  <c r="Z32" i="7" s="1"/>
  <c r="AA32" i="7" a="1"/>
  <c r="AA32" i="7" s="1"/>
  <c r="AC32" i="7" a="1"/>
  <c r="AC32" i="7" s="1"/>
  <c r="AD32" i="7" a="1"/>
  <c r="AD32" i="7" s="1"/>
  <c r="AE32" i="7" a="1"/>
  <c r="AE32" i="7" s="1"/>
  <c r="AG32" i="7" a="1"/>
  <c r="AG32" i="7" s="1"/>
  <c r="AH32" i="7" a="1"/>
  <c r="AH32" i="7" s="1"/>
  <c r="AI32" i="7" a="1"/>
  <c r="AI32" i="7" s="1"/>
  <c r="A33" i="7" a="1"/>
  <c r="A33" i="7" s="1"/>
  <c r="B33" i="7" a="1"/>
  <c r="B33" i="7" s="1"/>
  <c r="C33" i="7" a="1"/>
  <c r="C33" i="7" s="1"/>
  <c r="E33" i="7" a="1"/>
  <c r="E33" i="7" s="1"/>
  <c r="F33" i="7" a="1"/>
  <c r="F33" i="7" s="1"/>
  <c r="G33" i="7" a="1"/>
  <c r="G33" i="7" s="1"/>
  <c r="I33" i="7" a="1"/>
  <c r="I33" i="7" s="1"/>
  <c r="J33" i="7" a="1"/>
  <c r="J33" i="7" s="1"/>
  <c r="K33" i="7" a="1"/>
  <c r="K33" i="7" s="1"/>
  <c r="M33" i="7" a="1"/>
  <c r="M33" i="7" s="1"/>
  <c r="N33" i="7" a="1"/>
  <c r="N33" i="7" s="1"/>
  <c r="O33" i="7" a="1"/>
  <c r="O33" i="7" s="1"/>
  <c r="Q33" i="7" a="1"/>
  <c r="Q33" i="7" s="1"/>
  <c r="R33" i="7" a="1"/>
  <c r="R33" i="7" s="1"/>
  <c r="S33" i="7" a="1"/>
  <c r="S33" i="7" s="1"/>
  <c r="U33" i="7" a="1"/>
  <c r="U33" i="7" s="1"/>
  <c r="V33" i="7" a="1"/>
  <c r="V33" i="7" s="1"/>
  <c r="W33" i="7" a="1"/>
  <c r="W33" i="7" s="1"/>
  <c r="Y33" i="7" a="1"/>
  <c r="Y33" i="7" s="1"/>
  <c r="Z33" i="7" a="1"/>
  <c r="Z33" i="7" s="1"/>
  <c r="AA33" i="7" a="1"/>
  <c r="AA33" i="7" s="1"/>
  <c r="AC33" i="7" a="1"/>
  <c r="AC33" i="7" s="1"/>
  <c r="AD33" i="7" a="1"/>
  <c r="AD33" i="7" s="1"/>
  <c r="AE33" i="7" a="1"/>
  <c r="AE33" i="7" s="1"/>
  <c r="AG33" i="7" a="1"/>
  <c r="AG33" i="7" s="1"/>
  <c r="AH33" i="7" a="1"/>
  <c r="AH33" i="7" s="1"/>
  <c r="AI33" i="7" a="1"/>
  <c r="AI33" i="7" s="1"/>
  <c r="A34" i="7" a="1"/>
  <c r="A34" i="7" s="1"/>
  <c r="B34" i="7" a="1"/>
  <c r="B34" i="7" s="1"/>
  <c r="C34" i="7" a="1"/>
  <c r="C34" i="7" s="1"/>
  <c r="E34" i="7" a="1"/>
  <c r="E34" i="7" s="1"/>
  <c r="F34" i="7" a="1"/>
  <c r="F34" i="7" s="1"/>
  <c r="G34" i="7" a="1"/>
  <c r="G34" i="7" s="1"/>
  <c r="I34" i="7" a="1"/>
  <c r="I34" i="7" s="1"/>
  <c r="J34" i="7" a="1"/>
  <c r="J34" i="7" s="1"/>
  <c r="K34" i="7" a="1"/>
  <c r="K34" i="7" s="1"/>
  <c r="M34" i="7" a="1"/>
  <c r="M34" i="7" s="1"/>
  <c r="N34" i="7" a="1"/>
  <c r="N34" i="7" s="1"/>
  <c r="O34" i="7" a="1"/>
  <c r="O34" i="7" s="1"/>
  <c r="Q34" i="7" a="1"/>
  <c r="Q34" i="7" s="1"/>
  <c r="R34" i="7" a="1"/>
  <c r="R34" i="7" s="1"/>
  <c r="S34" i="7" a="1"/>
  <c r="S34" i="7" s="1"/>
  <c r="U34" i="7" a="1"/>
  <c r="U34" i="7" s="1"/>
  <c r="V34" i="7" a="1"/>
  <c r="V34" i="7" s="1"/>
  <c r="W34" i="7" a="1"/>
  <c r="W34" i="7" s="1"/>
  <c r="Y34" i="7" a="1"/>
  <c r="Y34" i="7" s="1"/>
  <c r="Z34" i="7" a="1"/>
  <c r="Z34" i="7" s="1"/>
  <c r="AA34" i="7" a="1"/>
  <c r="AA34" i="7" s="1"/>
  <c r="AC34" i="7" a="1"/>
  <c r="AC34" i="7" s="1"/>
  <c r="AD34" i="7" a="1"/>
  <c r="AD34" i="7" s="1"/>
  <c r="AE34" i="7" a="1"/>
  <c r="AE34" i="7" s="1"/>
  <c r="AG34" i="7" a="1"/>
  <c r="AG34" i="7" s="1"/>
  <c r="AH34" i="7" a="1"/>
  <c r="AH34" i="7" s="1"/>
  <c r="AI34" i="7" a="1"/>
  <c r="AI34" i="7" s="1"/>
  <c r="A35" i="7" a="1"/>
  <c r="A35" i="7" s="1"/>
  <c r="B35" i="7" a="1"/>
  <c r="B35" i="7" s="1"/>
  <c r="C35" i="7" a="1"/>
  <c r="C35" i="7" s="1"/>
  <c r="E35" i="7" a="1"/>
  <c r="E35" i="7" s="1"/>
  <c r="F35" i="7" a="1"/>
  <c r="F35" i="7" s="1"/>
  <c r="G35" i="7" a="1"/>
  <c r="G35" i="7" s="1"/>
  <c r="I35" i="7" a="1"/>
  <c r="I35" i="7" s="1"/>
  <c r="J35" i="7" a="1"/>
  <c r="J35" i="7" s="1"/>
  <c r="K35" i="7" a="1"/>
  <c r="K35" i="7" s="1"/>
  <c r="M35" i="7" a="1"/>
  <c r="M35" i="7" s="1"/>
  <c r="N35" i="7" a="1"/>
  <c r="N35" i="7" s="1"/>
  <c r="O35" i="7" a="1"/>
  <c r="O35" i="7" s="1"/>
  <c r="Q35" i="7" a="1"/>
  <c r="Q35" i="7" s="1"/>
  <c r="R35" i="7" a="1"/>
  <c r="R35" i="7" s="1"/>
  <c r="S35" i="7" a="1"/>
  <c r="S35" i="7" s="1"/>
  <c r="U35" i="7" a="1"/>
  <c r="U35" i="7" s="1"/>
  <c r="V35" i="7" a="1"/>
  <c r="V35" i="7" s="1"/>
  <c r="W35" i="7" a="1"/>
  <c r="W35" i="7" s="1"/>
  <c r="Y35" i="7" a="1"/>
  <c r="Y35" i="7" s="1"/>
  <c r="Z35" i="7" a="1"/>
  <c r="Z35" i="7" s="1"/>
  <c r="AA35" i="7" a="1"/>
  <c r="AA35" i="7" s="1"/>
  <c r="AC35" i="7" a="1"/>
  <c r="AC35" i="7" s="1"/>
  <c r="AD35" i="7" a="1"/>
  <c r="AD35" i="7" s="1"/>
  <c r="AE35" i="7" a="1"/>
  <c r="AE35" i="7" s="1"/>
  <c r="AG35" i="7" a="1"/>
  <c r="AG35" i="7" s="1"/>
  <c r="AH35" i="7" a="1"/>
  <c r="AH35" i="7" s="1"/>
  <c r="AI35" i="7" a="1"/>
  <c r="AI35" i="7" s="1"/>
  <c r="A36" i="7" a="1"/>
  <c r="A36" i="7" s="1"/>
  <c r="B36" i="7" a="1"/>
  <c r="B36" i="7" s="1"/>
  <c r="C36" i="7" a="1"/>
  <c r="C36" i="7" s="1"/>
  <c r="E36" i="7" a="1"/>
  <c r="E36" i="7" s="1"/>
  <c r="F36" i="7" a="1"/>
  <c r="F36" i="7" s="1"/>
  <c r="G36" i="7" a="1"/>
  <c r="G36" i="7" s="1"/>
  <c r="I36" i="7" a="1"/>
  <c r="I36" i="7" s="1"/>
  <c r="J36" i="7" a="1"/>
  <c r="J36" i="7" s="1"/>
  <c r="K36" i="7" a="1"/>
  <c r="K36" i="7" s="1"/>
  <c r="M36" i="7" a="1"/>
  <c r="M36" i="7" s="1"/>
  <c r="N36" i="7" a="1"/>
  <c r="N36" i="7" s="1"/>
  <c r="O36" i="7" a="1"/>
  <c r="O36" i="7" s="1"/>
  <c r="Q36" i="7" a="1"/>
  <c r="Q36" i="7" s="1"/>
  <c r="R36" i="7" a="1"/>
  <c r="R36" i="7" s="1"/>
  <c r="S36" i="7" a="1"/>
  <c r="S36" i="7" s="1"/>
  <c r="U36" i="7" a="1"/>
  <c r="U36" i="7" s="1"/>
  <c r="V36" i="7" a="1"/>
  <c r="V36" i="7" s="1"/>
  <c r="W36" i="7" a="1"/>
  <c r="W36" i="7" s="1"/>
  <c r="Y36" i="7" a="1"/>
  <c r="Y36" i="7" s="1"/>
  <c r="Z36" i="7" a="1"/>
  <c r="Z36" i="7" s="1"/>
  <c r="AA36" i="7" a="1"/>
  <c r="AA36" i="7" s="1"/>
  <c r="AC36" i="7" a="1"/>
  <c r="AC36" i="7" s="1"/>
  <c r="AD36" i="7" a="1"/>
  <c r="AD36" i="7" s="1"/>
  <c r="AE36" i="7" a="1"/>
  <c r="AE36" i="7" s="1"/>
  <c r="AG36" i="7" a="1"/>
  <c r="AG36" i="7" s="1"/>
  <c r="AH36" i="7" a="1"/>
  <c r="AH36" i="7" s="1"/>
  <c r="AI36" i="7" a="1"/>
  <c r="AI36" i="7" s="1"/>
  <c r="A37" i="7" a="1"/>
  <c r="A37" i="7" s="1"/>
  <c r="B37" i="7" a="1"/>
  <c r="B37" i="7" s="1"/>
  <c r="C37" i="7" a="1"/>
  <c r="C37" i="7" s="1"/>
  <c r="E37" i="7" a="1"/>
  <c r="E37" i="7" s="1"/>
  <c r="F37" i="7" a="1"/>
  <c r="F37" i="7" s="1"/>
  <c r="G37" i="7" a="1"/>
  <c r="G37" i="7" s="1"/>
  <c r="I37" i="7" a="1"/>
  <c r="I37" i="7" s="1"/>
  <c r="J37" i="7" a="1"/>
  <c r="J37" i="7" s="1"/>
  <c r="K37" i="7" a="1"/>
  <c r="K37" i="7" s="1"/>
  <c r="M37" i="7" a="1"/>
  <c r="M37" i="7" s="1"/>
  <c r="N37" i="7" a="1"/>
  <c r="N37" i="7" s="1"/>
  <c r="O37" i="7" a="1"/>
  <c r="O37" i="7" s="1"/>
  <c r="Q37" i="7" a="1"/>
  <c r="Q37" i="7" s="1"/>
  <c r="R37" i="7" a="1"/>
  <c r="R37" i="7" s="1"/>
  <c r="S37" i="7" a="1"/>
  <c r="S37" i="7" s="1"/>
  <c r="U37" i="7" a="1"/>
  <c r="U37" i="7" s="1"/>
  <c r="V37" i="7" a="1"/>
  <c r="V37" i="7" s="1"/>
  <c r="W37" i="7" a="1"/>
  <c r="W37" i="7" s="1"/>
  <c r="Y37" i="7" a="1"/>
  <c r="Y37" i="7" s="1"/>
  <c r="Z37" i="7" a="1"/>
  <c r="Z37" i="7" s="1"/>
  <c r="AA37" i="7" a="1"/>
  <c r="AA37" i="7" s="1"/>
  <c r="AC37" i="7" a="1"/>
  <c r="AC37" i="7" s="1"/>
  <c r="AD37" i="7" a="1"/>
  <c r="AD37" i="7" s="1"/>
  <c r="AE37" i="7" a="1"/>
  <c r="AE37" i="7" s="1"/>
  <c r="AG37" i="7" a="1"/>
  <c r="AG37" i="7" s="1"/>
  <c r="AH37" i="7" a="1"/>
  <c r="AH37" i="7" s="1"/>
  <c r="AI37" i="7" a="1"/>
  <c r="AI37" i="7" s="1"/>
  <c r="A38" i="7" a="1"/>
  <c r="A38" i="7" s="1"/>
  <c r="B38" i="7" a="1"/>
  <c r="B38" i="7" s="1"/>
  <c r="C38" i="7" a="1"/>
  <c r="C38" i="7" s="1"/>
  <c r="E38" i="7" a="1"/>
  <c r="E38" i="7" s="1"/>
  <c r="F38" i="7" a="1"/>
  <c r="F38" i="7" s="1"/>
  <c r="G38" i="7" a="1"/>
  <c r="G38" i="7" s="1"/>
  <c r="I38" i="7" a="1"/>
  <c r="I38" i="7" s="1"/>
  <c r="J38" i="7" a="1"/>
  <c r="J38" i="7" s="1"/>
  <c r="K38" i="7" a="1"/>
  <c r="K38" i="7" s="1"/>
  <c r="M38" i="7" a="1"/>
  <c r="M38" i="7" s="1"/>
  <c r="N38" i="7" a="1"/>
  <c r="N38" i="7" s="1"/>
  <c r="O38" i="7" a="1"/>
  <c r="O38" i="7" s="1"/>
  <c r="Q38" i="7" a="1"/>
  <c r="Q38" i="7" s="1"/>
  <c r="R38" i="7" a="1"/>
  <c r="R38" i="7" s="1"/>
  <c r="S38" i="7" a="1"/>
  <c r="S38" i="7" s="1"/>
  <c r="U38" i="7" a="1"/>
  <c r="U38" i="7" s="1"/>
  <c r="V38" i="7" a="1"/>
  <c r="V38" i="7" s="1"/>
  <c r="W38" i="7" a="1"/>
  <c r="W38" i="7" s="1"/>
  <c r="Y38" i="7" a="1"/>
  <c r="Y38" i="7" s="1"/>
  <c r="Z38" i="7" a="1"/>
  <c r="Z38" i="7" s="1"/>
  <c r="AA38" i="7" a="1"/>
  <c r="AA38" i="7" s="1"/>
  <c r="AC38" i="7" a="1"/>
  <c r="AC38" i="7" s="1"/>
  <c r="AD38" i="7" a="1"/>
  <c r="AD38" i="7" s="1"/>
  <c r="AE38" i="7" a="1"/>
  <c r="AE38" i="7" s="1"/>
  <c r="AG38" i="7" a="1"/>
  <c r="AG38" i="7" s="1"/>
  <c r="AH38" i="7" a="1"/>
  <c r="AH38" i="7" s="1"/>
  <c r="AI38" i="7" a="1"/>
  <c r="AI38" i="7" s="1"/>
  <c r="A39" i="7" a="1"/>
  <c r="A39" i="7" s="1"/>
  <c r="B39" i="7" a="1"/>
  <c r="B39" i="7" s="1"/>
  <c r="C39" i="7" a="1"/>
  <c r="C39" i="7" s="1"/>
  <c r="E39" i="7" a="1"/>
  <c r="E39" i="7" s="1"/>
  <c r="F39" i="7" a="1"/>
  <c r="F39" i="7" s="1"/>
  <c r="G39" i="7" a="1"/>
  <c r="G39" i="7" s="1"/>
  <c r="I39" i="7" a="1"/>
  <c r="I39" i="7" s="1"/>
  <c r="J39" i="7" a="1"/>
  <c r="J39" i="7" s="1"/>
  <c r="K39" i="7" a="1"/>
  <c r="K39" i="7" s="1"/>
  <c r="M39" i="7" a="1"/>
  <c r="M39" i="7" s="1"/>
  <c r="N39" i="7" a="1"/>
  <c r="N39" i="7" s="1"/>
  <c r="O39" i="7" a="1"/>
  <c r="O39" i="7" s="1"/>
  <c r="Q39" i="7" a="1"/>
  <c r="Q39" i="7" s="1"/>
  <c r="R39" i="7" a="1"/>
  <c r="R39" i="7" s="1"/>
  <c r="S39" i="7" a="1"/>
  <c r="S39" i="7" s="1"/>
  <c r="U39" i="7" a="1"/>
  <c r="U39" i="7" s="1"/>
  <c r="V39" i="7" a="1"/>
  <c r="V39" i="7" s="1"/>
  <c r="W39" i="7" a="1"/>
  <c r="W39" i="7" s="1"/>
  <c r="Y39" i="7" a="1"/>
  <c r="Y39" i="7" s="1"/>
  <c r="Z39" i="7" a="1"/>
  <c r="Z39" i="7" s="1"/>
  <c r="AA39" i="7" a="1"/>
  <c r="AA39" i="7" s="1"/>
  <c r="AC39" i="7" a="1"/>
  <c r="AC39" i="7" s="1"/>
  <c r="AD39" i="7" a="1"/>
  <c r="AD39" i="7" s="1"/>
  <c r="AE39" i="7" a="1"/>
  <c r="AE39" i="7" s="1"/>
  <c r="AG39" i="7" a="1"/>
  <c r="AG39" i="7" s="1"/>
  <c r="AH39" i="7" a="1"/>
  <c r="AH39" i="7" s="1"/>
  <c r="AI39" i="7" a="1"/>
  <c r="AI39" i="7" s="1"/>
  <c r="A40" i="7" a="1"/>
  <c r="A40" i="7" s="1"/>
  <c r="B40" i="7" a="1"/>
  <c r="B40" i="7" s="1"/>
  <c r="C40" i="7" a="1"/>
  <c r="C40" i="7" s="1"/>
  <c r="E40" i="7" a="1"/>
  <c r="E40" i="7" s="1"/>
  <c r="F40" i="7" a="1"/>
  <c r="F40" i="7" s="1"/>
  <c r="G40" i="7" a="1"/>
  <c r="G40" i="7" s="1"/>
  <c r="I40" i="7" a="1"/>
  <c r="I40" i="7" s="1"/>
  <c r="J40" i="7" a="1"/>
  <c r="J40" i="7" s="1"/>
  <c r="K40" i="7" a="1"/>
  <c r="K40" i="7" s="1"/>
  <c r="M40" i="7" a="1"/>
  <c r="M40" i="7" s="1"/>
  <c r="N40" i="7" a="1"/>
  <c r="N40" i="7" s="1"/>
  <c r="O40" i="7" a="1"/>
  <c r="O40" i="7" s="1"/>
  <c r="Q40" i="7" a="1"/>
  <c r="Q40" i="7" s="1"/>
  <c r="R40" i="7" a="1"/>
  <c r="R40" i="7" s="1"/>
  <c r="S40" i="7" a="1"/>
  <c r="S40" i="7" s="1"/>
  <c r="U40" i="7" a="1"/>
  <c r="U40" i="7" s="1"/>
  <c r="V40" i="7" a="1"/>
  <c r="V40" i="7" s="1"/>
  <c r="W40" i="7" a="1"/>
  <c r="W40" i="7" s="1"/>
  <c r="Y40" i="7" a="1"/>
  <c r="Y40" i="7" s="1"/>
  <c r="Z40" i="7" a="1"/>
  <c r="Z40" i="7" s="1"/>
  <c r="AA40" i="7" a="1"/>
  <c r="AA40" i="7" s="1"/>
  <c r="AC40" i="7" a="1"/>
  <c r="AC40" i="7" s="1"/>
  <c r="AD40" i="7" a="1"/>
  <c r="AD40" i="7" s="1"/>
  <c r="AE40" i="7" a="1"/>
  <c r="AE40" i="7" s="1"/>
  <c r="AG40" i="7" a="1"/>
  <c r="AG40" i="7" s="1"/>
  <c r="AH40" i="7" a="1"/>
  <c r="AH40" i="7" s="1"/>
  <c r="AI40" i="7" a="1"/>
  <c r="AI40" i="7" s="1"/>
  <c r="AL6" i="7" a="1"/>
  <c r="AL6" i="7" s="1"/>
  <c r="AM6" i="7" a="1"/>
  <c r="AM6" i="7" s="1"/>
  <c r="AK7" i="7" a="1"/>
  <c r="AK7" i="7" s="1"/>
  <c r="AL7" i="7" a="1"/>
  <c r="AL7" i="7" s="1"/>
  <c r="AM7" i="7" a="1"/>
  <c r="AM7" i="7" s="1"/>
  <c r="AK8" i="7" a="1"/>
  <c r="AK8" i="7" s="1"/>
  <c r="AL8" i="7" a="1"/>
  <c r="AL8" i="7" s="1"/>
  <c r="AM8" i="7" a="1"/>
  <c r="AM8" i="7" s="1"/>
  <c r="AK9" i="7" a="1"/>
  <c r="AK9" i="7" s="1"/>
  <c r="AL9" i="7" a="1"/>
  <c r="AL9" i="7" s="1"/>
  <c r="AM9" i="7" a="1"/>
  <c r="AM9" i="7" s="1"/>
  <c r="AK10" i="7" a="1"/>
  <c r="AK10" i="7" s="1"/>
  <c r="AL10" i="7" a="1"/>
  <c r="AL10" i="7" s="1"/>
  <c r="AM10" i="7" a="1"/>
  <c r="AM10" i="7" s="1"/>
  <c r="AK11" i="7" a="1"/>
  <c r="AK11" i="7" s="1"/>
  <c r="AL11" i="7" a="1"/>
  <c r="AL11" i="7" s="1"/>
  <c r="AM11" i="7" a="1"/>
  <c r="AM11" i="7" s="1"/>
  <c r="AK12" i="7" a="1"/>
  <c r="AK12" i="7" s="1"/>
  <c r="AL12" i="7" a="1"/>
  <c r="AL12" i="7" s="1"/>
  <c r="AM12" i="7" a="1"/>
  <c r="AM12" i="7" s="1"/>
  <c r="AK13" i="7" a="1"/>
  <c r="AK13" i="7" s="1"/>
  <c r="AL13" i="7" a="1"/>
  <c r="AL13" i="7" s="1"/>
  <c r="AM13" i="7" a="1"/>
  <c r="AM13" i="7" s="1"/>
  <c r="AK14" i="7" a="1"/>
  <c r="AK14" i="7" s="1"/>
  <c r="AL14" i="7" a="1"/>
  <c r="AL14" i="7" s="1"/>
  <c r="AM14" i="7" a="1"/>
  <c r="AM14" i="7" s="1"/>
  <c r="AK15" i="7" a="1"/>
  <c r="AK15" i="7" s="1"/>
  <c r="AL15" i="7" a="1"/>
  <c r="AL15" i="7" s="1"/>
  <c r="AM15" i="7" a="1"/>
  <c r="AM15" i="7" s="1"/>
  <c r="AK16" i="7" a="1"/>
  <c r="AK16" i="7" s="1"/>
  <c r="AL16" i="7" a="1"/>
  <c r="AL16" i="7" s="1"/>
  <c r="AM16" i="7" a="1"/>
  <c r="AM16" i="7" s="1"/>
  <c r="AK17" i="7" a="1"/>
  <c r="AK17" i="7" s="1"/>
  <c r="AL17" i="7" a="1"/>
  <c r="AL17" i="7" s="1"/>
  <c r="AM17" i="7" a="1"/>
  <c r="AM17" i="7" s="1"/>
  <c r="AK18" i="7" a="1"/>
  <c r="AK18" i="7" s="1"/>
  <c r="AL18" i="7" a="1"/>
  <c r="AL18" i="7" s="1"/>
  <c r="AM18" i="7" a="1"/>
  <c r="AM18" i="7" s="1"/>
  <c r="AK19" i="7" a="1"/>
  <c r="AK19" i="7" s="1"/>
  <c r="AL19" i="7" a="1"/>
  <c r="AL19" i="7" s="1"/>
  <c r="AM19" i="7" a="1"/>
  <c r="AM19" i="7" s="1"/>
  <c r="AK20" i="7" a="1"/>
  <c r="AK20" i="7" s="1"/>
  <c r="AL20" i="7" a="1"/>
  <c r="AL20" i="7" s="1"/>
  <c r="AM20" i="7" a="1"/>
  <c r="AM20" i="7" s="1"/>
  <c r="AK21" i="7" a="1"/>
  <c r="AK21" i="7" s="1"/>
  <c r="AL21" i="7" a="1"/>
  <c r="AL21" i="7" s="1"/>
  <c r="AM21" i="7" a="1"/>
  <c r="AM21" i="7" s="1"/>
  <c r="AK22" i="7" a="1"/>
  <c r="AK22" i="7" s="1"/>
  <c r="AL22" i="7" a="1"/>
  <c r="AL22" i="7" s="1"/>
  <c r="AM22" i="7" a="1"/>
  <c r="AM22" i="7" s="1"/>
  <c r="AK23" i="7" a="1"/>
  <c r="AK23" i="7" s="1"/>
  <c r="AL23" i="7" a="1"/>
  <c r="AL23" i="7" s="1"/>
  <c r="AM23" i="7" a="1"/>
  <c r="AM23" i="7" s="1"/>
  <c r="AK24" i="7" a="1"/>
  <c r="AK24" i="7" s="1"/>
  <c r="AL24" i="7" a="1"/>
  <c r="AL24" i="7" s="1"/>
  <c r="AM24" i="7" a="1"/>
  <c r="AM24" i="7" s="1"/>
  <c r="AK25" i="7" a="1"/>
  <c r="AK25" i="7" s="1"/>
  <c r="AL25" i="7" a="1"/>
  <c r="AL25" i="7" s="1"/>
  <c r="AM25" i="7" a="1"/>
  <c r="AM25" i="7" s="1"/>
  <c r="AK26" i="7" a="1"/>
  <c r="AK26" i="7" s="1"/>
  <c r="AL26" i="7" a="1"/>
  <c r="AL26" i="7" s="1"/>
  <c r="AM26" i="7" a="1"/>
  <c r="AM26" i="7" s="1"/>
  <c r="AK27" i="7" a="1"/>
  <c r="AK27" i="7" s="1"/>
  <c r="AL27" i="7" a="1"/>
  <c r="AL27" i="7" s="1"/>
  <c r="AM27" i="7" a="1"/>
  <c r="AM27" i="7" s="1"/>
  <c r="AK28" i="7" a="1"/>
  <c r="AK28" i="7" s="1"/>
  <c r="AL28" i="7" a="1"/>
  <c r="AL28" i="7" s="1"/>
  <c r="AM28" i="7" a="1"/>
  <c r="AM28" i="7" s="1"/>
  <c r="AK29" i="7" a="1"/>
  <c r="AK29" i="7" s="1"/>
  <c r="AL29" i="7" a="1"/>
  <c r="AL29" i="7" s="1"/>
  <c r="AM29" i="7" a="1"/>
  <c r="AM29" i="7" s="1"/>
  <c r="AK30" i="7" a="1"/>
  <c r="AK30" i="7" s="1"/>
  <c r="AL30" i="7" a="1"/>
  <c r="AL30" i="7" s="1"/>
  <c r="AM30" i="7" a="1"/>
  <c r="AM30" i="7" s="1"/>
  <c r="AK31" i="7" a="1"/>
  <c r="AK31" i="7" s="1"/>
  <c r="AL31" i="7" a="1"/>
  <c r="AL31" i="7" s="1"/>
  <c r="AM31" i="7" a="1"/>
  <c r="AM31" i="7" s="1"/>
  <c r="AK32" i="7" a="1"/>
  <c r="AK32" i="7" s="1"/>
  <c r="AL32" i="7" a="1"/>
  <c r="AL32" i="7" s="1"/>
  <c r="AM32" i="7" a="1"/>
  <c r="AM32" i="7" s="1"/>
  <c r="AK33" i="7" a="1"/>
  <c r="AK33" i="7" s="1"/>
  <c r="AL33" i="7" a="1"/>
  <c r="AL33" i="7" s="1"/>
  <c r="AM33" i="7" a="1"/>
  <c r="AM33" i="7" s="1"/>
  <c r="AK34" i="7" a="1"/>
  <c r="AK34" i="7" s="1"/>
  <c r="AL34" i="7" a="1"/>
  <c r="AL34" i="7" s="1"/>
  <c r="AM34" i="7" a="1"/>
  <c r="AM34" i="7" s="1"/>
  <c r="AK35" i="7" a="1"/>
  <c r="AK35" i="7" s="1"/>
  <c r="AL35" i="7" a="1"/>
  <c r="AL35" i="7" s="1"/>
  <c r="AM35" i="7" a="1"/>
  <c r="AM35" i="7" s="1"/>
  <c r="AK36" i="7" a="1"/>
  <c r="AK36" i="7" s="1"/>
  <c r="AL36" i="7" a="1"/>
  <c r="AL36" i="7" s="1"/>
  <c r="AM36" i="7" a="1"/>
  <c r="AM36" i="7" s="1"/>
  <c r="AK37" i="7" a="1"/>
  <c r="AK37" i="7" s="1"/>
  <c r="AL37" i="7" a="1"/>
  <c r="AL37" i="7" s="1"/>
  <c r="AM37" i="7" a="1"/>
  <c r="AM37" i="7" s="1"/>
  <c r="AK38" i="7" a="1"/>
  <c r="AK38" i="7" s="1"/>
  <c r="AL38" i="7" a="1"/>
  <c r="AL38" i="7" s="1"/>
  <c r="AM38" i="7" a="1"/>
  <c r="AM38" i="7" s="1"/>
  <c r="AK39" i="7" a="1"/>
  <c r="AK39" i="7" s="1"/>
  <c r="AL39" i="7" a="1"/>
  <c r="AL39" i="7" s="1"/>
  <c r="AM39" i="7" a="1"/>
  <c r="AM39" i="7" s="1"/>
  <c r="AK40" i="7" a="1"/>
  <c r="AK40" i="7" s="1"/>
  <c r="AL40" i="7" a="1"/>
  <c r="AL40" i="7" s="1"/>
  <c r="AM40" i="7" a="1"/>
  <c r="AM40" i="7" s="1"/>
  <c r="AL5" i="7" a="1"/>
  <c r="AL5" i="7" s="1"/>
  <c r="AM5" i="7" a="1"/>
  <c r="AM5" i="7" s="1"/>
  <c r="I84" i="6" l="1"/>
  <c r="J3" i="6" l="1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2" i="6"/>
  <c r="O16" i="6"/>
  <c r="P16" i="6"/>
  <c r="Q16" i="6"/>
  <c r="R16" i="6"/>
  <c r="S16" i="6"/>
  <c r="T16" i="6"/>
  <c r="U16" i="6"/>
  <c r="V16" i="6"/>
  <c r="W16" i="6"/>
  <c r="X16" i="6"/>
  <c r="O17" i="6"/>
  <c r="P17" i="6"/>
  <c r="Q17" i="6"/>
  <c r="R17" i="6"/>
  <c r="S17" i="6"/>
  <c r="T17" i="6"/>
  <c r="U17" i="6"/>
  <c r="V17" i="6"/>
  <c r="W17" i="6"/>
  <c r="X17" i="6"/>
  <c r="O18" i="6"/>
  <c r="P18" i="6"/>
  <c r="Q18" i="6"/>
  <c r="R18" i="6"/>
  <c r="S18" i="6"/>
  <c r="T18" i="6"/>
  <c r="U18" i="6"/>
  <c r="V18" i="6"/>
  <c r="W18" i="6"/>
  <c r="X18" i="6"/>
  <c r="O19" i="6"/>
  <c r="P19" i="6"/>
  <c r="Q19" i="6"/>
  <c r="R19" i="6"/>
  <c r="S19" i="6"/>
  <c r="T19" i="6"/>
  <c r="U19" i="6"/>
  <c r="V19" i="6"/>
  <c r="W19" i="6"/>
  <c r="X19" i="6"/>
  <c r="O20" i="6"/>
  <c r="P20" i="6"/>
  <c r="Q20" i="6"/>
  <c r="R20" i="6"/>
  <c r="S20" i="6"/>
  <c r="T20" i="6"/>
  <c r="U20" i="6"/>
  <c r="V20" i="6"/>
  <c r="W20" i="6"/>
  <c r="X20" i="6"/>
  <c r="O21" i="6"/>
  <c r="P21" i="6"/>
  <c r="Q21" i="6"/>
  <c r="R21" i="6"/>
  <c r="S21" i="6"/>
  <c r="T21" i="6"/>
  <c r="U21" i="6"/>
  <c r="V21" i="6"/>
  <c r="W21" i="6"/>
  <c r="X21" i="6"/>
  <c r="O22" i="6"/>
  <c r="P22" i="6"/>
  <c r="Q22" i="6"/>
  <c r="R22" i="6"/>
  <c r="S22" i="6"/>
  <c r="T22" i="6"/>
  <c r="U22" i="6"/>
  <c r="V22" i="6"/>
  <c r="W22" i="6"/>
  <c r="X22" i="6"/>
  <c r="O23" i="6"/>
  <c r="P23" i="6"/>
  <c r="Q23" i="6"/>
  <c r="R23" i="6"/>
  <c r="S23" i="6"/>
  <c r="T23" i="6"/>
  <c r="U23" i="6"/>
  <c r="V23" i="6"/>
  <c r="W23" i="6"/>
  <c r="X23" i="6"/>
  <c r="O24" i="6"/>
  <c r="P24" i="6"/>
  <c r="Q24" i="6"/>
  <c r="R24" i="6"/>
  <c r="S24" i="6"/>
  <c r="T24" i="6"/>
  <c r="U24" i="6"/>
  <c r="V24" i="6"/>
  <c r="W24" i="6"/>
  <c r="X24" i="6"/>
  <c r="O25" i="6"/>
  <c r="P25" i="6"/>
  <c r="Q25" i="6"/>
  <c r="R25" i="6"/>
  <c r="S25" i="6"/>
  <c r="T25" i="6"/>
  <c r="U25" i="6"/>
  <c r="V25" i="6"/>
  <c r="W25" i="6"/>
  <c r="X25" i="6"/>
  <c r="O26" i="6"/>
  <c r="P26" i="6"/>
  <c r="Q26" i="6"/>
  <c r="R26" i="6"/>
  <c r="S26" i="6"/>
  <c r="T26" i="6"/>
  <c r="U26" i="6"/>
  <c r="V26" i="6"/>
  <c r="W26" i="6"/>
  <c r="X26" i="6"/>
  <c r="O27" i="6"/>
  <c r="P27" i="6"/>
  <c r="Q27" i="6"/>
  <c r="R27" i="6"/>
  <c r="S27" i="6"/>
  <c r="T27" i="6"/>
  <c r="U27" i="6"/>
  <c r="V27" i="6"/>
  <c r="W27" i="6"/>
  <c r="X27" i="6"/>
  <c r="O28" i="6"/>
  <c r="P28" i="6"/>
  <c r="Q28" i="6"/>
  <c r="R28" i="6"/>
  <c r="S28" i="6"/>
  <c r="T28" i="6"/>
  <c r="U28" i="6"/>
  <c r="V28" i="6"/>
  <c r="W28" i="6"/>
  <c r="X28" i="6"/>
  <c r="O29" i="6"/>
  <c r="P29" i="6"/>
  <c r="Q29" i="6"/>
  <c r="R29" i="6"/>
  <c r="S29" i="6"/>
  <c r="T29" i="6"/>
  <c r="U29" i="6"/>
  <c r="V29" i="6"/>
  <c r="W29" i="6"/>
  <c r="X29" i="6"/>
  <c r="O30" i="6"/>
  <c r="P30" i="6"/>
  <c r="Q30" i="6"/>
  <c r="R30" i="6"/>
  <c r="S30" i="6"/>
  <c r="T30" i="6"/>
  <c r="U30" i="6"/>
  <c r="V30" i="6"/>
  <c r="W30" i="6"/>
  <c r="X30" i="6"/>
  <c r="O31" i="6"/>
  <c r="P31" i="6"/>
  <c r="Q31" i="6"/>
  <c r="R31" i="6"/>
  <c r="S31" i="6"/>
  <c r="T31" i="6"/>
  <c r="U31" i="6"/>
  <c r="V31" i="6"/>
  <c r="W31" i="6"/>
  <c r="X31" i="6"/>
  <c r="O32" i="6"/>
  <c r="P32" i="6"/>
  <c r="Q32" i="6"/>
  <c r="R32" i="6"/>
  <c r="S32" i="6"/>
  <c r="T32" i="6"/>
  <c r="U32" i="6"/>
  <c r="V32" i="6"/>
  <c r="W32" i="6"/>
  <c r="X32" i="6"/>
  <c r="O33" i="6"/>
  <c r="P33" i="6"/>
  <c r="Q33" i="6"/>
  <c r="R33" i="6"/>
  <c r="S33" i="6"/>
  <c r="T33" i="6"/>
  <c r="U33" i="6"/>
  <c r="V33" i="6"/>
  <c r="W33" i="6"/>
  <c r="X33" i="6"/>
  <c r="P15" i="6"/>
  <c r="Q15" i="6"/>
  <c r="R15" i="6"/>
  <c r="S15" i="6"/>
  <c r="T15" i="6"/>
  <c r="U15" i="6"/>
  <c r="V15" i="6"/>
  <c r="W15" i="6"/>
  <c r="X15" i="6"/>
  <c r="O15" i="6"/>
  <c r="T3" i="6" l="1"/>
  <c r="U3" i="6"/>
  <c r="V3" i="6"/>
  <c r="W3" i="6"/>
  <c r="X3" i="6"/>
  <c r="T4" i="6"/>
  <c r="T5" i="6" s="1"/>
  <c r="U4" i="6"/>
  <c r="V4" i="6"/>
  <c r="W4" i="6"/>
  <c r="X4" i="6"/>
  <c r="T8" i="6"/>
  <c r="U8" i="6"/>
  <c r="V8" i="6"/>
  <c r="W8" i="6"/>
  <c r="X8" i="6"/>
  <c r="T9" i="6"/>
  <c r="U9" i="6"/>
  <c r="V9" i="6"/>
  <c r="W9" i="6"/>
  <c r="X9" i="6"/>
  <c r="T10" i="6"/>
  <c r="U10" i="6"/>
  <c r="V10" i="6"/>
  <c r="W10" i="6"/>
  <c r="X10" i="6"/>
  <c r="T11" i="6"/>
  <c r="U11" i="6"/>
  <c r="V11" i="6"/>
  <c r="W11" i="6"/>
  <c r="X11" i="6"/>
  <c r="Y8" i="6" l="1"/>
  <c r="Y11" i="6"/>
  <c r="Y4" i="6"/>
  <c r="Y10" i="6"/>
  <c r="Y3" i="6"/>
  <c r="Y9" i="6"/>
  <c r="X5" i="6"/>
  <c r="V5" i="6"/>
  <c r="U5" i="6"/>
  <c r="X12" i="6"/>
  <c r="W12" i="6"/>
  <c r="V12" i="6"/>
  <c r="U12" i="6"/>
  <c r="T12" i="6"/>
  <c r="W5" i="6"/>
  <c r="P3" i="6"/>
  <c r="Q3" i="6"/>
  <c r="R3" i="6"/>
  <c r="S3" i="6"/>
  <c r="P4" i="6"/>
  <c r="Q4" i="6"/>
  <c r="R4" i="6"/>
  <c r="S4" i="6"/>
  <c r="O4" i="6"/>
  <c r="O3" i="6"/>
  <c r="P8" i="6"/>
  <c r="Q8" i="6"/>
  <c r="R8" i="6"/>
  <c r="S8" i="6"/>
  <c r="P9" i="6"/>
  <c r="Q9" i="6"/>
  <c r="R9" i="6"/>
  <c r="S9" i="6"/>
  <c r="P10" i="6"/>
  <c r="Q10" i="6"/>
  <c r="R10" i="6"/>
  <c r="S10" i="6"/>
  <c r="P11" i="6"/>
  <c r="Q11" i="6"/>
  <c r="R11" i="6"/>
  <c r="S11" i="6"/>
  <c r="O9" i="6"/>
  <c r="O10" i="6"/>
  <c r="O11" i="6"/>
  <c r="O8" i="6"/>
  <c r="N4" i="6"/>
  <c r="N3" i="6"/>
  <c r="N9" i="6"/>
  <c r="N10" i="6"/>
  <c r="N11" i="6"/>
  <c r="N8" i="6"/>
  <c r="AA3" i="6"/>
  <c r="AA4" i="6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A73" i="6"/>
  <c r="AA74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2" i="6"/>
  <c r="N5" i="6" l="1"/>
  <c r="N12" i="6"/>
  <c r="O12" i="6"/>
  <c r="Q12" i="6"/>
  <c r="S5" i="6"/>
  <c r="P12" i="6"/>
  <c r="R5" i="6"/>
  <c r="S12" i="6"/>
  <c r="O5" i="6"/>
  <c r="Q5" i="6"/>
  <c r="R12" i="6"/>
  <c r="P5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4" i="6"/>
  <c r="A25" i="6"/>
  <c r="A26" i="6"/>
  <c r="A27" i="6"/>
  <c r="A29" i="6"/>
  <c r="A30" i="6"/>
  <c r="A31" i="6"/>
  <c r="A32" i="6"/>
  <c r="A33" i="6"/>
  <c r="A34" i="6"/>
  <c r="A35" i="6"/>
  <c r="A36" i="6"/>
  <c r="A38" i="6"/>
  <c r="A39" i="6"/>
  <c r="A40" i="6"/>
  <c r="A41" i="6"/>
  <c r="A43" i="6"/>
  <c r="A44" i="6"/>
  <c r="A45" i="6"/>
  <c r="A46" i="6"/>
  <c r="A47" i="6"/>
  <c r="A48" i="6"/>
  <c r="A49" i="6"/>
  <c r="A50" i="6"/>
  <c r="A52" i="6"/>
  <c r="A53" i="6"/>
  <c r="A54" i="6"/>
  <c r="A55" i="6"/>
  <c r="A56" i="6"/>
  <c r="A57" i="6"/>
  <c r="A58" i="6"/>
  <c r="A59" i="6"/>
  <c r="A60" i="6"/>
  <c r="A61" i="6"/>
  <c r="A63" i="6"/>
  <c r="A64" i="6"/>
  <c r="A65" i="6"/>
  <c r="A66" i="6"/>
  <c r="A68" i="6"/>
  <c r="A69" i="6"/>
  <c r="A70" i="6"/>
  <c r="A71" i="6"/>
  <c r="A72" i="6"/>
  <c r="A73" i="6"/>
  <c r="A74" i="6"/>
  <c r="A76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2" i="6"/>
  <c r="AB97" i="6" l="1"/>
  <c r="AG8" i="7" a="1"/>
  <c r="AG8" i="7" s="1"/>
  <c r="AB96" i="6"/>
  <c r="Q20" i="7" a="1"/>
  <c r="Q20" i="7" s="1"/>
  <c r="AB92" i="6"/>
  <c r="Q19" i="7" a="1"/>
  <c r="Q19" i="7" s="1"/>
  <c r="AB88" i="6"/>
  <c r="M19" i="7" a="1"/>
  <c r="M19" i="7" s="1"/>
  <c r="AB84" i="6"/>
  <c r="AK6" i="7" a="1"/>
  <c r="AK6" i="7" s="1"/>
  <c r="AB76" i="6"/>
  <c r="Q16" i="7" a="1"/>
  <c r="Q16" i="7" s="1"/>
  <c r="AB71" i="6"/>
  <c r="Q13" i="7" a="1"/>
  <c r="Q13" i="7" s="1"/>
  <c r="AB66" i="6"/>
  <c r="U8" i="7" a="1"/>
  <c r="U8" i="7" s="1"/>
  <c r="AB61" i="6"/>
  <c r="Q10" i="7" a="1"/>
  <c r="Q10" i="7" s="1"/>
  <c r="AB57" i="6"/>
  <c r="M13" i="7" a="1"/>
  <c r="M13" i="7" s="1"/>
  <c r="AB53" i="6"/>
  <c r="M12" i="7" a="1"/>
  <c r="M12" i="7" s="1"/>
  <c r="AB48" i="6"/>
  <c r="I14" i="7" a="1"/>
  <c r="I14" i="7" s="1"/>
  <c r="AB44" i="6"/>
  <c r="E17" i="7" a="1"/>
  <c r="E17" i="7" s="1"/>
  <c r="AB39" i="6"/>
  <c r="I11" i="7" a="1"/>
  <c r="I11" i="7" s="1"/>
  <c r="AB34" i="6"/>
  <c r="Q6" i="7" a="1"/>
  <c r="Q6" i="7" s="1"/>
  <c r="AB30" i="6"/>
  <c r="E15" i="7" a="1"/>
  <c r="E15" i="7" s="1"/>
  <c r="AB25" i="6"/>
  <c r="I6" i="7" a="1"/>
  <c r="I6" i="7" s="1"/>
  <c r="AB20" i="6"/>
  <c r="E11" i="7" a="1"/>
  <c r="E11" i="7" s="1"/>
  <c r="AB16" i="6"/>
  <c r="E9" i="7" a="1"/>
  <c r="E9" i="7" s="1"/>
  <c r="AB12" i="6"/>
  <c r="Y5" i="7" a="1"/>
  <c r="Y5" i="7" s="1"/>
  <c r="AB8" i="6"/>
  <c r="A6" i="7" a="1"/>
  <c r="A6" i="7" s="1"/>
  <c r="AB4" i="6"/>
  <c r="M6" i="7" a="1"/>
  <c r="M6" i="7" s="1"/>
  <c r="AB95" i="6"/>
  <c r="M22" i="7" a="1"/>
  <c r="M22" i="7" s="1"/>
  <c r="AB91" i="6"/>
  <c r="Q18" i="7" a="1"/>
  <c r="Q18" i="7" s="1"/>
  <c r="AB87" i="6"/>
  <c r="E18" i="7" a="1"/>
  <c r="E18" i="7" s="1"/>
  <c r="AB83" i="6"/>
  <c r="Q17" i="7" a="1"/>
  <c r="Q17" i="7" s="1"/>
  <c r="AB74" i="6"/>
  <c r="U10" i="7" a="1"/>
  <c r="U10" i="7" s="1"/>
  <c r="AB70" i="6"/>
  <c r="M16" i="7" a="1"/>
  <c r="M16" i="7" s="1"/>
  <c r="AB65" i="6"/>
  <c r="Q12" i="7" a="1"/>
  <c r="Q12" i="7" s="1"/>
  <c r="AB60" i="6"/>
  <c r="I16" i="7" a="1"/>
  <c r="I16" i="7" s="1"/>
  <c r="AB56" i="6"/>
  <c r="AC7" i="7" a="1"/>
  <c r="AC7" i="7" s="1"/>
  <c r="AB52" i="6"/>
  <c r="I15" i="7" a="1"/>
  <c r="I15" i="7" s="1"/>
  <c r="AB47" i="6"/>
  <c r="Q7" i="7" a="1"/>
  <c r="Q7" i="7" s="1"/>
  <c r="AB43" i="6"/>
  <c r="I12" i="7" a="1"/>
  <c r="I12" i="7" s="1"/>
  <c r="AB38" i="6"/>
  <c r="I10" i="7" a="1"/>
  <c r="I10" i="7" s="1"/>
  <c r="AB33" i="6"/>
  <c r="I8" i="7" a="1"/>
  <c r="I8" i="7" s="1"/>
  <c r="AB29" i="6"/>
  <c r="E14" i="7" a="1"/>
  <c r="E14" i="7" s="1"/>
  <c r="AB24" i="6"/>
  <c r="E13" i="7" a="1"/>
  <c r="E13" i="7" s="1"/>
  <c r="AB19" i="6"/>
  <c r="A9" i="7" a="1"/>
  <c r="A9" i="7" s="1"/>
  <c r="AB15" i="6"/>
  <c r="E8" i="7" a="1"/>
  <c r="E8" i="7" s="1"/>
  <c r="AB11" i="6"/>
  <c r="I5" i="7" a="1"/>
  <c r="I5" i="7" s="1"/>
  <c r="AB7" i="6"/>
  <c r="A5" i="7" a="1"/>
  <c r="A5" i="7" s="1"/>
  <c r="AB3" i="6"/>
  <c r="M5" i="7" a="1"/>
  <c r="M5" i="7" s="1"/>
  <c r="AB94" i="6"/>
  <c r="M21" i="7" a="1"/>
  <c r="M21" i="7" s="1"/>
  <c r="AB90" i="6"/>
  <c r="M20" i="7" a="1"/>
  <c r="M20" i="7" s="1"/>
  <c r="AB86" i="6"/>
  <c r="I19" i="7" a="1"/>
  <c r="I19" i="7" s="1"/>
  <c r="AB82" i="6"/>
  <c r="I17" i="7" a="1"/>
  <c r="I17" i="7" s="1"/>
  <c r="AB73" i="6"/>
  <c r="Q15" i="7" a="1"/>
  <c r="Q15" i="7" s="1"/>
  <c r="AB69" i="6"/>
  <c r="U9" i="7" a="1"/>
  <c r="U9" i="7" s="1"/>
  <c r="AB64" i="6"/>
  <c r="Q11" i="7" a="1"/>
  <c r="Q11" i="7" s="1"/>
  <c r="AB59" i="6"/>
  <c r="U7" i="7" a="1"/>
  <c r="U7" i="7" s="1"/>
  <c r="AB55" i="6"/>
  <c r="U6" i="7" a="1"/>
  <c r="U6" i="7" s="1"/>
  <c r="AB50" i="6"/>
  <c r="U5" i="7" a="1"/>
  <c r="U5" i="7" s="1"/>
  <c r="AB46" i="6"/>
  <c r="I13" i="7" a="1"/>
  <c r="I13" i="7" s="1"/>
  <c r="AB41" i="6"/>
  <c r="M9" i="7" a="1"/>
  <c r="M9" i="7" s="1"/>
  <c r="AB36" i="6"/>
  <c r="M8" i="7" a="1"/>
  <c r="M8" i="7" s="1"/>
  <c r="AB32" i="6"/>
  <c r="I7" i="7" a="1"/>
  <c r="I7" i="7" s="1"/>
  <c r="AB27" i="6"/>
  <c r="M7" i="7" a="1"/>
  <c r="M7" i="7" s="1"/>
  <c r="AB22" i="6"/>
  <c r="E12" i="7" a="1"/>
  <c r="E12" i="7" s="1"/>
  <c r="AB18" i="6"/>
  <c r="E10" i="7" a="1"/>
  <c r="E10" i="7" s="1"/>
  <c r="AB14" i="6"/>
  <c r="E7" i="7" a="1"/>
  <c r="E7" i="7" s="1"/>
  <c r="AB10" i="6"/>
  <c r="E6" i="7" a="1"/>
  <c r="E6" i="7" s="1"/>
  <c r="AB6" i="6"/>
  <c r="E5" i="7" a="1"/>
  <c r="E5" i="7" s="1"/>
  <c r="AB2" i="6"/>
  <c r="Q5" i="7" a="1"/>
  <c r="Q5" i="7" s="1"/>
  <c r="AB93" i="6"/>
  <c r="AG7" i="7" a="1"/>
  <c r="AG7" i="7" s="1"/>
  <c r="AB89" i="6"/>
  <c r="E19" i="7" a="1"/>
  <c r="E19" i="7" s="1"/>
  <c r="AB85" i="6"/>
  <c r="I18" i="7" a="1"/>
  <c r="I18" i="7" s="1"/>
  <c r="AB81" i="6"/>
  <c r="M18" i="7" a="1"/>
  <c r="M18" i="7" s="1"/>
  <c r="AB72" i="6"/>
  <c r="Q14" i="7" a="1"/>
  <c r="Q14" i="7" s="1"/>
  <c r="AB68" i="6"/>
  <c r="M15" i="7" a="1"/>
  <c r="M15" i="7" s="1"/>
  <c r="AB63" i="6"/>
  <c r="M14" i="7" a="1"/>
  <c r="M14" i="7" s="1"/>
  <c r="AB58" i="6"/>
  <c r="Q9" i="7" a="1"/>
  <c r="Q9" i="7" s="1"/>
  <c r="AB54" i="6"/>
  <c r="Q8" i="7" a="1"/>
  <c r="Q8" i="7" s="1"/>
  <c r="AB49" i="6"/>
  <c r="M11" i="7" a="1"/>
  <c r="M11" i="7" s="1"/>
  <c r="AB45" i="6"/>
  <c r="M10" i="7" a="1"/>
  <c r="M10" i="7" s="1"/>
  <c r="AB40" i="6"/>
  <c r="E16" i="7" a="1"/>
  <c r="E16" i="7" s="1"/>
  <c r="AB35" i="6"/>
  <c r="I9" i="7" a="1"/>
  <c r="I9" i="7" s="1"/>
  <c r="AB31" i="6"/>
  <c r="A12" i="7" a="1"/>
  <c r="A12" i="7" s="1"/>
  <c r="AB26" i="6"/>
  <c r="A11" i="7" a="1"/>
  <c r="A11" i="7" s="1"/>
  <c r="AB21" i="6"/>
  <c r="A10" i="7" a="1"/>
  <c r="A10" i="7" s="1"/>
  <c r="AB17" i="6"/>
  <c r="Y6" i="7" a="1"/>
  <c r="Y6" i="7" s="1"/>
  <c r="AB13" i="6"/>
  <c r="A8" i="7" a="1"/>
  <c r="A8" i="7" s="1"/>
  <c r="AB9" i="6"/>
  <c r="A7" i="7" a="1"/>
  <c r="A7" i="7" s="1"/>
  <c r="AB5" i="6"/>
  <c r="AG5" i="7" a="1"/>
  <c r="AG5" i="7" s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Q12" i="1"/>
  <c r="AO12" i="1"/>
  <c r="AM426" i="1" l="1"/>
  <c r="AM425" i="1"/>
  <c r="AM424" i="1"/>
  <c r="AM423" i="1"/>
  <c r="AM422" i="1"/>
  <c r="AK426" i="1"/>
  <c r="AK425" i="1"/>
  <c r="AK424" i="1"/>
  <c r="AK423" i="1"/>
  <c r="AK422" i="1"/>
  <c r="AT423" i="1"/>
  <c r="AT428" i="1" s="1"/>
  <c r="AT433" i="1" s="1"/>
  <c r="AT438" i="1" s="1"/>
  <c r="AT443" i="1" s="1"/>
  <c r="AT448" i="1" s="1"/>
  <c r="AT453" i="1" s="1"/>
  <c r="AT458" i="1" s="1"/>
  <c r="AT463" i="1" s="1"/>
  <c r="AT468" i="1" s="1"/>
  <c r="AT473" i="1" s="1"/>
  <c r="AT478" i="1" s="1"/>
  <c r="AT424" i="1"/>
  <c r="AT429" i="1" s="1"/>
  <c r="AT434" i="1" s="1"/>
  <c r="AT439" i="1" s="1"/>
  <c r="AT444" i="1" s="1"/>
  <c r="AT449" i="1" s="1"/>
  <c r="AT454" i="1" s="1"/>
  <c r="AT459" i="1" s="1"/>
  <c r="AT464" i="1" s="1"/>
  <c r="AT469" i="1" s="1"/>
  <c r="AT474" i="1" s="1"/>
  <c r="AT479" i="1" s="1"/>
  <c r="AT425" i="1"/>
  <c r="AT430" i="1" s="1"/>
  <c r="AT435" i="1" s="1"/>
  <c r="AT440" i="1" s="1"/>
  <c r="AT445" i="1" s="1"/>
  <c r="AT450" i="1" s="1"/>
  <c r="AT455" i="1" s="1"/>
  <c r="AT460" i="1" s="1"/>
  <c r="AT465" i="1" s="1"/>
  <c r="AT470" i="1" s="1"/>
  <c r="AT475" i="1" s="1"/>
  <c r="AT480" i="1" s="1"/>
  <c r="AT426" i="1"/>
  <c r="AT431" i="1" s="1"/>
  <c r="AT436" i="1" s="1"/>
  <c r="AT441" i="1" s="1"/>
  <c r="AT446" i="1" s="1"/>
  <c r="AT451" i="1" s="1"/>
  <c r="AT456" i="1" s="1"/>
  <c r="AT461" i="1" s="1"/>
  <c r="AT466" i="1" s="1"/>
  <c r="AT471" i="1" s="1"/>
  <c r="AT476" i="1" s="1"/>
  <c r="AT481" i="1" s="1"/>
  <c r="AT422" i="1"/>
  <c r="AT427" i="1" s="1"/>
  <c r="AT432" i="1" s="1"/>
  <c r="AT437" i="1" s="1"/>
  <c r="AT442" i="1" s="1"/>
  <c r="AT447" i="1" s="1"/>
  <c r="AT452" i="1" s="1"/>
  <c r="AT457" i="1" s="1"/>
  <c r="AT462" i="1" s="1"/>
  <c r="AT467" i="1" s="1"/>
  <c r="AT472" i="1" s="1"/>
  <c r="AT477" i="1" s="1"/>
  <c r="A423" i="1"/>
  <c r="A424" i="1"/>
  <c r="A429" i="1" s="1"/>
  <c r="A434" i="1" s="1"/>
  <c r="A439" i="1" s="1"/>
  <c r="A444" i="1" s="1"/>
  <c r="A449" i="1" s="1"/>
  <c r="A454" i="1" s="1"/>
  <c r="A459" i="1" s="1"/>
  <c r="A464" i="1" s="1"/>
  <c r="A469" i="1" s="1"/>
  <c r="A425" i="1"/>
  <c r="A430" i="1" s="1"/>
  <c r="A435" i="1" s="1"/>
  <c r="A440" i="1" s="1"/>
  <c r="A445" i="1" s="1"/>
  <c r="A450" i="1" s="1"/>
  <c r="A455" i="1" s="1"/>
  <c r="A460" i="1" s="1"/>
  <c r="A465" i="1" s="1"/>
  <c r="A470" i="1" s="1"/>
  <c r="A426" i="1"/>
  <c r="A431" i="1" s="1"/>
  <c r="A422" i="1"/>
  <c r="A427" i="1" l="1"/>
  <c r="A28" i="6" s="1"/>
  <c r="A23" i="6"/>
  <c r="AQ424" i="1"/>
  <c r="AM429" i="1"/>
  <c r="AK427" i="1"/>
  <c r="AO422" i="1"/>
  <c r="AK431" i="1"/>
  <c r="AO426" i="1"/>
  <c r="AM430" i="1"/>
  <c r="AQ425" i="1"/>
  <c r="AO425" i="1"/>
  <c r="AK430" i="1"/>
  <c r="AK428" i="1"/>
  <c r="AO423" i="1"/>
  <c r="AM427" i="1"/>
  <c r="AQ422" i="1"/>
  <c r="AM431" i="1"/>
  <c r="AQ426" i="1"/>
  <c r="AO424" i="1"/>
  <c r="AK429" i="1"/>
  <c r="AQ423" i="1"/>
  <c r="AM428" i="1"/>
  <c r="A474" i="1"/>
  <c r="A436" i="1"/>
  <c r="A428" i="1"/>
  <c r="A475" i="1"/>
  <c r="E100" i="5"/>
  <c r="E101" i="5"/>
  <c r="E102" i="5"/>
  <c r="E103" i="5"/>
  <c r="E106" i="5"/>
  <c r="E107" i="5"/>
  <c r="E110" i="5"/>
  <c r="E111" i="5"/>
  <c r="E112" i="5"/>
  <c r="E113" i="5"/>
  <c r="E114" i="5"/>
  <c r="E115" i="5"/>
  <c r="E116" i="5"/>
  <c r="E117" i="5"/>
  <c r="E120" i="5"/>
  <c r="E121" i="5"/>
  <c r="E122" i="5"/>
  <c r="E123" i="5"/>
  <c r="E124" i="5"/>
  <c r="E125" i="5"/>
  <c r="E126" i="5"/>
  <c r="E127" i="5"/>
  <c r="E128" i="5"/>
  <c r="E129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A432" i="1" l="1"/>
  <c r="A437" i="1" s="1"/>
  <c r="AB23" i="6"/>
  <c r="Y7" i="7" a="1"/>
  <c r="Y7" i="7" s="1"/>
  <c r="AB28" i="6"/>
  <c r="Y8" i="7" a="1"/>
  <c r="Y8" i="7" s="1"/>
  <c r="H144" i="5"/>
  <c r="H147" i="5"/>
  <c r="H143" i="5"/>
  <c r="H139" i="5"/>
  <c r="H135" i="5"/>
  <c r="AQ427" i="1"/>
  <c r="AM432" i="1"/>
  <c r="AQ430" i="1"/>
  <c r="AM435" i="1"/>
  <c r="AK432" i="1"/>
  <c r="AO427" i="1"/>
  <c r="AM434" i="1"/>
  <c r="AQ429" i="1"/>
  <c r="AM433" i="1"/>
  <c r="AQ428" i="1"/>
  <c r="AO430" i="1"/>
  <c r="AK435" i="1"/>
  <c r="AM436" i="1"/>
  <c r="AQ431" i="1"/>
  <c r="AK433" i="1"/>
  <c r="AO428" i="1"/>
  <c r="AK436" i="1"/>
  <c r="AO431" i="1"/>
  <c r="H148" i="5"/>
  <c r="H140" i="5"/>
  <c r="H136" i="5"/>
  <c r="H132" i="5"/>
  <c r="E108" i="5"/>
  <c r="AK434" i="1"/>
  <c r="AO429" i="1"/>
  <c r="A433" i="1"/>
  <c r="A479" i="1"/>
  <c r="A480" i="1"/>
  <c r="A441" i="1"/>
  <c r="H146" i="5"/>
  <c r="H142" i="5"/>
  <c r="H138" i="5"/>
  <c r="H134" i="5"/>
  <c r="E130" i="5"/>
  <c r="E118" i="5"/>
  <c r="H149" i="5"/>
  <c r="H145" i="5"/>
  <c r="H141" i="5"/>
  <c r="H137" i="5"/>
  <c r="H133" i="5"/>
  <c r="E104" i="5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A37" i="6" l="1"/>
  <c r="AB37" i="6" s="1"/>
  <c r="Y9" i="7" a="1"/>
  <c r="Y9" i="7" s="1"/>
  <c r="A42" i="6"/>
  <c r="A442" i="1"/>
  <c r="AO434" i="1"/>
  <c r="AK439" i="1"/>
  <c r="AM440" i="1"/>
  <c r="AQ435" i="1"/>
  <c r="AQ434" i="1"/>
  <c r="AM439" i="1"/>
  <c r="AM437" i="1"/>
  <c r="AQ432" i="1"/>
  <c r="AO435" i="1"/>
  <c r="AK440" i="1"/>
  <c r="AK438" i="1"/>
  <c r="AO433" i="1"/>
  <c r="AK441" i="1"/>
  <c r="AO436" i="1"/>
  <c r="AM441" i="1"/>
  <c r="AQ436" i="1"/>
  <c r="AM438" i="1"/>
  <c r="AQ433" i="1"/>
  <c r="AO432" i="1"/>
  <c r="AK437" i="1"/>
  <c r="A446" i="1"/>
  <c r="A438" i="1"/>
  <c r="AB42" i="6" l="1"/>
  <c r="AC5" i="7" a="1"/>
  <c r="AC5" i="7" s="1"/>
  <c r="A51" i="6"/>
  <c r="A447" i="1"/>
  <c r="AQ438" i="1"/>
  <c r="AM443" i="1"/>
  <c r="AM446" i="1"/>
  <c r="AQ441" i="1"/>
  <c r="AO438" i="1"/>
  <c r="AK443" i="1"/>
  <c r="AM442" i="1"/>
  <c r="AQ437" i="1"/>
  <c r="AM445" i="1"/>
  <c r="AQ440" i="1"/>
  <c r="AK446" i="1"/>
  <c r="AO441" i="1"/>
  <c r="AK442" i="1"/>
  <c r="AO437" i="1"/>
  <c r="AK445" i="1"/>
  <c r="AO440" i="1"/>
  <c r="AM444" i="1"/>
  <c r="AQ439" i="1"/>
  <c r="AK444" i="1"/>
  <c r="AO439" i="1"/>
  <c r="A443" i="1"/>
  <c r="A451" i="1"/>
  <c r="AB51" i="6" l="1"/>
  <c r="AC6" i="7" a="1"/>
  <c r="AC6" i="7" s="1"/>
  <c r="A62" i="6"/>
  <c r="A452" i="1"/>
  <c r="AM450" i="1"/>
  <c r="AQ445" i="1"/>
  <c r="AK449" i="1"/>
  <c r="AO444" i="1"/>
  <c r="AK450" i="1"/>
  <c r="AO445" i="1"/>
  <c r="AO446" i="1"/>
  <c r="AK451" i="1"/>
  <c r="AQ442" i="1"/>
  <c r="AM447" i="1"/>
  <c r="AM451" i="1"/>
  <c r="AQ446" i="1"/>
  <c r="AQ444" i="1"/>
  <c r="AM449" i="1"/>
  <c r="AO442" i="1"/>
  <c r="AK447" i="1"/>
  <c r="AK448" i="1"/>
  <c r="AO443" i="1"/>
  <c r="AQ443" i="1"/>
  <c r="AM448" i="1"/>
  <c r="A448" i="1"/>
  <c r="A456" i="1"/>
  <c r="AB62" i="6" l="1"/>
  <c r="AC8" i="7" a="1"/>
  <c r="AC8" i="7" s="1"/>
  <c r="A67" i="6"/>
  <c r="A457" i="1"/>
  <c r="AK453" i="1"/>
  <c r="AO448" i="1"/>
  <c r="AQ450" i="1"/>
  <c r="AM455" i="1"/>
  <c r="AO447" i="1"/>
  <c r="AK452" i="1"/>
  <c r="AQ451" i="1"/>
  <c r="AM456" i="1"/>
  <c r="AK454" i="1"/>
  <c r="AO449" i="1"/>
  <c r="AK455" i="1"/>
  <c r="AO450" i="1"/>
  <c r="AQ448" i="1"/>
  <c r="AM453" i="1"/>
  <c r="AK456" i="1"/>
  <c r="AO451" i="1"/>
  <c r="AQ449" i="1"/>
  <c r="AM454" i="1"/>
  <c r="AM452" i="1"/>
  <c r="AQ447" i="1"/>
  <c r="A461" i="1"/>
  <c r="A453" i="1"/>
  <c r="AB67" i="6" l="1"/>
  <c r="AC9" i="7" a="1"/>
  <c r="AC9" i="7" s="1"/>
  <c r="A75" i="6"/>
  <c r="A462" i="1"/>
  <c r="AO454" i="1"/>
  <c r="AK459" i="1"/>
  <c r="AM460" i="1"/>
  <c r="AQ455" i="1"/>
  <c r="AQ452" i="1"/>
  <c r="AM457" i="1"/>
  <c r="AO456" i="1"/>
  <c r="AK461" i="1"/>
  <c r="AO455" i="1"/>
  <c r="AK460" i="1"/>
  <c r="AK458" i="1"/>
  <c r="AO453" i="1"/>
  <c r="AM461" i="1"/>
  <c r="AQ456" i="1"/>
  <c r="AM459" i="1"/>
  <c r="AQ454" i="1"/>
  <c r="AQ453" i="1"/>
  <c r="AM458" i="1"/>
  <c r="AO452" i="1"/>
  <c r="AK457" i="1"/>
  <c r="A458" i="1"/>
  <c r="A466" i="1"/>
  <c r="AB75" i="6" l="1"/>
  <c r="AG6" i="7" a="1"/>
  <c r="AG6" i="7" s="1"/>
  <c r="A77" i="6"/>
  <c r="A467" i="1"/>
  <c r="AM466" i="1"/>
  <c r="AQ461" i="1"/>
  <c r="AO461" i="1"/>
  <c r="AK466" i="1"/>
  <c r="AM464" i="1"/>
  <c r="AQ459" i="1"/>
  <c r="AK463" i="1"/>
  <c r="AO458" i="1"/>
  <c r="AQ460" i="1"/>
  <c r="AM465" i="1"/>
  <c r="AO457" i="1"/>
  <c r="AK462" i="1"/>
  <c r="AQ458" i="1"/>
  <c r="AM463" i="1"/>
  <c r="AK465" i="1"/>
  <c r="AO460" i="1"/>
  <c r="AQ457" i="1"/>
  <c r="AM462" i="1"/>
  <c r="AK464" i="1"/>
  <c r="AO459" i="1"/>
  <c r="A463" i="1"/>
  <c r="A471" i="1"/>
  <c r="AB77" i="6" l="1"/>
  <c r="M17" i="7" a="1"/>
  <c r="M17" i="7" s="1"/>
  <c r="A78" i="6"/>
  <c r="A472" i="1"/>
  <c r="AQ464" i="1"/>
  <c r="AM469" i="1"/>
  <c r="AK467" i="1"/>
  <c r="AO462" i="1"/>
  <c r="AK471" i="1"/>
  <c r="AO466" i="1"/>
  <c r="AK469" i="1"/>
  <c r="AO464" i="1"/>
  <c r="AK470" i="1"/>
  <c r="AO465" i="1"/>
  <c r="AO463" i="1"/>
  <c r="AK468" i="1"/>
  <c r="AQ466" i="1"/>
  <c r="AM471" i="1"/>
  <c r="AQ462" i="1"/>
  <c r="AM467" i="1"/>
  <c r="AM468" i="1"/>
  <c r="AQ463" i="1"/>
  <c r="AQ465" i="1"/>
  <c r="AM470" i="1"/>
  <c r="A476" i="1"/>
  <c r="A468" i="1"/>
  <c r="AB78" i="6" l="1"/>
  <c r="U11" i="7" a="1"/>
  <c r="U11" i="7" s="1"/>
  <c r="A79" i="6"/>
  <c r="A477" i="1"/>
  <c r="AQ468" i="1"/>
  <c r="AM473" i="1"/>
  <c r="AK475" i="1"/>
  <c r="AO470" i="1"/>
  <c r="AM475" i="1"/>
  <c r="AQ470" i="1"/>
  <c r="AK473" i="1"/>
  <c r="AO468" i="1"/>
  <c r="AK474" i="1"/>
  <c r="AO469" i="1"/>
  <c r="AK472" i="1"/>
  <c r="AO467" i="1"/>
  <c r="AK476" i="1"/>
  <c r="AO471" i="1"/>
  <c r="AQ467" i="1"/>
  <c r="AM472" i="1"/>
  <c r="AQ471" i="1"/>
  <c r="AM476" i="1"/>
  <c r="AQ469" i="1"/>
  <c r="AM474" i="1"/>
  <c r="A473" i="1"/>
  <c r="A481" i="1"/>
  <c r="AB79" i="6" l="1"/>
  <c r="U12" i="7" a="1"/>
  <c r="U12" i="7" s="1"/>
  <c r="A80" i="6"/>
  <c r="AK479" i="1"/>
  <c r="AO479" i="1" s="1"/>
  <c r="AO474" i="1"/>
  <c r="AM477" i="1"/>
  <c r="AQ477" i="1" s="1"/>
  <c r="AQ472" i="1"/>
  <c r="AO472" i="1"/>
  <c r="AK477" i="1"/>
  <c r="AO477" i="1" s="1"/>
  <c r="AK478" i="1"/>
  <c r="AO478" i="1" s="1"/>
  <c r="AO473" i="1"/>
  <c r="AK480" i="1"/>
  <c r="AO480" i="1" s="1"/>
  <c r="AO475" i="1"/>
  <c r="AO476" i="1"/>
  <c r="AK481" i="1"/>
  <c r="AO481" i="1" s="1"/>
  <c r="AQ475" i="1"/>
  <c r="AM480" i="1"/>
  <c r="AQ480" i="1" s="1"/>
  <c r="AM479" i="1"/>
  <c r="AQ479" i="1" s="1"/>
  <c r="AQ474" i="1"/>
  <c r="AQ476" i="1"/>
  <c r="AM481" i="1"/>
  <c r="AQ481" i="1" s="1"/>
  <c r="AQ473" i="1"/>
  <c r="AM478" i="1"/>
  <c r="AQ478" i="1" s="1"/>
  <c r="A478" i="1"/>
  <c r="AB80" i="6" l="1"/>
  <c r="AK5" i="7" a="1"/>
  <c r="AK5" i="7" s="1"/>
  <c r="U5" i="1"/>
  <c r="T6" i="1"/>
  <c r="S6" i="1"/>
  <c r="T15" i="1"/>
  <c r="S15" i="1"/>
  <c r="T24" i="1"/>
  <c r="S24" i="1"/>
  <c r="T33" i="1"/>
  <c r="S33" i="1"/>
  <c r="T42" i="1"/>
  <c r="S42" i="1"/>
  <c r="T49" i="1"/>
  <c r="S49" i="1"/>
  <c r="T52" i="1"/>
  <c r="S52" i="1"/>
  <c r="T55" i="1"/>
  <c r="S55" i="1"/>
  <c r="T58" i="1"/>
  <c r="S58" i="1"/>
  <c r="T61" i="1"/>
  <c r="S61" i="1"/>
  <c r="T67" i="1"/>
  <c r="S67" i="1"/>
  <c r="T31" i="1"/>
  <c r="S31" i="1"/>
  <c r="T40" i="1"/>
  <c r="S40" i="1"/>
  <c r="U66" i="1"/>
  <c r="U72" i="1"/>
  <c r="U74" i="1"/>
  <c r="U86" i="1"/>
  <c r="U98" i="1"/>
  <c r="U110" i="1"/>
  <c r="U122" i="1"/>
  <c r="U134" i="1"/>
  <c r="U145" i="1"/>
  <c r="U154" i="1"/>
  <c r="U163" i="1"/>
  <c r="U172" i="1"/>
  <c r="U181" i="1"/>
  <c r="U190" i="1"/>
  <c r="U199" i="1"/>
  <c r="T214" i="1"/>
  <c r="S214" i="1"/>
  <c r="U220" i="1"/>
  <c r="U226" i="1"/>
  <c r="U232" i="1"/>
  <c r="U238" i="1"/>
  <c r="U244" i="1"/>
  <c r="U250" i="1"/>
  <c r="U256" i="1"/>
  <c r="U262" i="1"/>
  <c r="U268" i="1"/>
  <c r="U274" i="1"/>
  <c r="U280" i="1"/>
  <c r="U286" i="1"/>
  <c r="U292" i="1"/>
  <c r="U298" i="1"/>
  <c r="U304" i="1"/>
  <c r="U310" i="1"/>
  <c r="U316" i="1"/>
  <c r="U322" i="1"/>
  <c r="U328" i="1"/>
  <c r="U334" i="1"/>
  <c r="U340" i="1"/>
  <c r="U346" i="1"/>
  <c r="U352" i="1"/>
  <c r="U358" i="1"/>
  <c r="U364" i="1"/>
  <c r="U370" i="1"/>
  <c r="U376" i="1"/>
  <c r="U382" i="1"/>
  <c r="U388" i="1"/>
  <c r="U394" i="1"/>
  <c r="U400" i="1"/>
  <c r="U406" i="1"/>
  <c r="U412" i="1"/>
  <c r="U418" i="1"/>
  <c r="U424" i="1"/>
  <c r="T184" i="1"/>
  <c r="S184" i="1"/>
  <c r="U211" i="1"/>
  <c r="U150" i="1"/>
  <c r="U168" i="1"/>
  <c r="U186" i="1"/>
  <c r="U75" i="1"/>
  <c r="U87" i="1"/>
  <c r="U99" i="1"/>
  <c r="U111" i="1"/>
  <c r="U123" i="1"/>
  <c r="U135" i="1"/>
  <c r="U430" i="1"/>
  <c r="U436" i="1"/>
  <c r="U442" i="1"/>
  <c r="U448" i="1"/>
  <c r="U454" i="1"/>
  <c r="U460" i="1"/>
  <c r="U466" i="1"/>
  <c r="U472" i="1"/>
  <c r="U478" i="1"/>
  <c r="T64" i="1"/>
  <c r="S64" i="1"/>
  <c r="T70" i="1"/>
  <c r="S70" i="1"/>
  <c r="T73" i="1"/>
  <c r="S73" i="1"/>
  <c r="T76" i="1"/>
  <c r="S76" i="1"/>
  <c r="T79" i="1"/>
  <c r="S79" i="1"/>
  <c r="T82" i="1"/>
  <c r="S82" i="1"/>
  <c r="T85" i="1"/>
  <c r="S85" i="1"/>
  <c r="T88" i="1"/>
  <c r="S88" i="1"/>
  <c r="T91" i="1"/>
  <c r="S91" i="1"/>
  <c r="T94" i="1"/>
  <c r="S94" i="1"/>
  <c r="T97" i="1"/>
  <c r="S97" i="1"/>
  <c r="T100" i="1"/>
  <c r="S100" i="1"/>
  <c r="T103" i="1"/>
  <c r="S103" i="1"/>
  <c r="T106" i="1"/>
  <c r="S106" i="1"/>
  <c r="T109" i="1"/>
  <c r="S109" i="1"/>
  <c r="T112" i="1"/>
  <c r="S112" i="1"/>
  <c r="T115" i="1"/>
  <c r="S115" i="1"/>
  <c r="T118" i="1"/>
  <c r="S118" i="1"/>
  <c r="T121" i="1"/>
  <c r="S121" i="1"/>
  <c r="T124" i="1"/>
  <c r="S124" i="1"/>
  <c r="T127" i="1"/>
  <c r="S127" i="1"/>
  <c r="T130" i="1"/>
  <c r="S130" i="1"/>
  <c r="T133" i="1"/>
  <c r="S133" i="1"/>
  <c r="T136" i="1"/>
  <c r="S136" i="1"/>
  <c r="T139" i="1"/>
  <c r="S139" i="1"/>
  <c r="T13" i="1"/>
  <c r="S13" i="1"/>
  <c r="T22" i="1"/>
  <c r="S22" i="1"/>
  <c r="U61" i="1"/>
  <c r="U67" i="1"/>
  <c r="U73" i="1"/>
  <c r="T29" i="1"/>
  <c r="S29" i="1"/>
  <c r="U76" i="1"/>
  <c r="U88" i="1"/>
  <c r="U100" i="1"/>
  <c r="U112" i="1"/>
  <c r="U124" i="1"/>
  <c r="U136" i="1"/>
  <c r="U146" i="1"/>
  <c r="U155" i="1"/>
  <c r="U164" i="1"/>
  <c r="U173" i="1"/>
  <c r="U182" i="1"/>
  <c r="U191" i="1"/>
  <c r="U200" i="1"/>
  <c r="T208" i="1"/>
  <c r="S208" i="1"/>
  <c r="U215" i="1"/>
  <c r="U221" i="1"/>
  <c r="U227" i="1"/>
  <c r="U233" i="1"/>
  <c r="U239" i="1"/>
  <c r="U245" i="1"/>
  <c r="U251" i="1"/>
  <c r="U257" i="1"/>
  <c r="U263" i="1"/>
  <c r="U269" i="1"/>
  <c r="U275" i="1"/>
  <c r="U281" i="1"/>
  <c r="U287" i="1"/>
  <c r="U293" i="1"/>
  <c r="U299" i="1"/>
  <c r="U305" i="1"/>
  <c r="U311" i="1"/>
  <c r="U317" i="1"/>
  <c r="U323" i="1"/>
  <c r="U329" i="1"/>
  <c r="U335" i="1"/>
  <c r="U341" i="1"/>
  <c r="U347" i="1"/>
  <c r="U353" i="1"/>
  <c r="U359" i="1"/>
  <c r="U365" i="1"/>
  <c r="U371" i="1"/>
  <c r="U377" i="1"/>
  <c r="U383" i="1"/>
  <c r="U389" i="1"/>
  <c r="U395" i="1"/>
  <c r="U401" i="1"/>
  <c r="U407" i="1"/>
  <c r="U413" i="1"/>
  <c r="U419" i="1"/>
  <c r="U425" i="1"/>
  <c r="T148" i="1"/>
  <c r="S148" i="1"/>
  <c r="T157" i="1"/>
  <c r="S157" i="1"/>
  <c r="T166" i="1"/>
  <c r="S166" i="1"/>
  <c r="T175" i="1"/>
  <c r="S175" i="1"/>
  <c r="T193" i="1"/>
  <c r="S193" i="1"/>
  <c r="T202" i="1"/>
  <c r="S202" i="1"/>
  <c r="T8" i="1"/>
  <c r="S8" i="1"/>
  <c r="T35" i="1"/>
  <c r="S35" i="1"/>
  <c r="U153" i="1"/>
  <c r="U171" i="1"/>
  <c r="U189" i="1"/>
  <c r="T206" i="1"/>
  <c r="S206" i="1"/>
  <c r="U77" i="1"/>
  <c r="U89" i="1"/>
  <c r="U101" i="1"/>
  <c r="U113" i="1"/>
  <c r="U125" i="1"/>
  <c r="U137" i="1"/>
  <c r="T146" i="1"/>
  <c r="S146" i="1"/>
  <c r="T155" i="1"/>
  <c r="S155" i="1"/>
  <c r="T164" i="1"/>
  <c r="S164" i="1"/>
  <c r="T173" i="1"/>
  <c r="S173" i="1"/>
  <c r="T182" i="1"/>
  <c r="S182" i="1"/>
  <c r="T191" i="1"/>
  <c r="S191" i="1"/>
  <c r="T200" i="1"/>
  <c r="S200" i="1"/>
  <c r="T215" i="1"/>
  <c r="S215" i="1"/>
  <c r="U431" i="1"/>
  <c r="U437" i="1"/>
  <c r="T162" i="1"/>
  <c r="S162" i="1"/>
  <c r="T189" i="1"/>
  <c r="S189" i="1"/>
  <c r="T435" i="1"/>
  <c r="S435" i="1"/>
  <c r="U443" i="1"/>
  <c r="U449" i="1"/>
  <c r="U455" i="1"/>
  <c r="U461" i="1"/>
  <c r="U467" i="1"/>
  <c r="U473" i="1"/>
  <c r="U479" i="1"/>
  <c r="T340" i="1"/>
  <c r="S340" i="1"/>
  <c r="T354" i="1"/>
  <c r="S354" i="1"/>
  <c r="T364" i="1"/>
  <c r="S364" i="1"/>
  <c r="T374" i="1"/>
  <c r="S374" i="1"/>
  <c r="T384" i="1"/>
  <c r="S384" i="1"/>
  <c r="T394" i="1"/>
  <c r="S394" i="1"/>
  <c r="T424" i="1"/>
  <c r="S424" i="1"/>
  <c r="T399" i="1"/>
  <c r="S399" i="1"/>
  <c r="T440" i="1"/>
  <c r="S440" i="1"/>
  <c r="T451" i="1"/>
  <c r="S451" i="1"/>
  <c r="U45" i="1"/>
  <c r="U39" i="1"/>
  <c r="U33" i="1"/>
  <c r="U27" i="1"/>
  <c r="U21" i="1"/>
  <c r="U15" i="1"/>
  <c r="U9" i="1"/>
  <c r="U3" i="1"/>
  <c r="T9" i="1"/>
  <c r="S9" i="1"/>
  <c r="T18" i="1"/>
  <c r="S18" i="1"/>
  <c r="T27" i="1"/>
  <c r="S27" i="1"/>
  <c r="T36" i="1"/>
  <c r="S36" i="1"/>
  <c r="T45" i="1"/>
  <c r="S45" i="1"/>
  <c r="T71" i="1"/>
  <c r="S71" i="1"/>
  <c r="T77" i="1"/>
  <c r="S77" i="1"/>
  <c r="T34" i="1"/>
  <c r="S34" i="1"/>
  <c r="T43" i="1"/>
  <c r="S43" i="1"/>
  <c r="U62" i="1"/>
  <c r="U68" i="1"/>
  <c r="U78" i="1"/>
  <c r="U90" i="1"/>
  <c r="U102" i="1"/>
  <c r="U114" i="1"/>
  <c r="U126" i="1"/>
  <c r="U138" i="1"/>
  <c r="U148" i="1"/>
  <c r="U157" i="1"/>
  <c r="U166" i="1"/>
  <c r="U175" i="1"/>
  <c r="U184" i="1"/>
  <c r="U193" i="1"/>
  <c r="U202" i="1"/>
  <c r="U209" i="1"/>
  <c r="U216" i="1"/>
  <c r="U222" i="1"/>
  <c r="U228" i="1"/>
  <c r="U234" i="1"/>
  <c r="U240" i="1"/>
  <c r="U246" i="1"/>
  <c r="U252" i="1"/>
  <c r="U258" i="1"/>
  <c r="U264" i="1"/>
  <c r="U270" i="1"/>
  <c r="U276" i="1"/>
  <c r="U282" i="1"/>
  <c r="U288" i="1"/>
  <c r="U294" i="1"/>
  <c r="U300" i="1"/>
  <c r="U306" i="1"/>
  <c r="U312" i="1"/>
  <c r="U318" i="1"/>
  <c r="U324" i="1"/>
  <c r="U330" i="1"/>
  <c r="U336" i="1"/>
  <c r="U342" i="1"/>
  <c r="U348" i="1"/>
  <c r="U354" i="1"/>
  <c r="U360" i="1"/>
  <c r="U366" i="1"/>
  <c r="U372" i="1"/>
  <c r="U378" i="1"/>
  <c r="U384" i="1"/>
  <c r="U390" i="1"/>
  <c r="U396" i="1"/>
  <c r="U402" i="1"/>
  <c r="U408" i="1"/>
  <c r="U414" i="1"/>
  <c r="U420" i="1"/>
  <c r="U205" i="1"/>
  <c r="T213" i="1"/>
  <c r="S213" i="1"/>
  <c r="U156" i="1"/>
  <c r="U174" i="1"/>
  <c r="U192" i="1"/>
  <c r="U207" i="1"/>
  <c r="U79" i="1"/>
  <c r="U91" i="1"/>
  <c r="U103" i="1"/>
  <c r="U115" i="1"/>
  <c r="U127" i="1"/>
  <c r="U139" i="1"/>
  <c r="U426" i="1"/>
  <c r="U432" i="1"/>
  <c r="U438" i="1"/>
  <c r="U444" i="1"/>
  <c r="U450" i="1"/>
  <c r="U456" i="1"/>
  <c r="U462" i="1"/>
  <c r="U468" i="1"/>
  <c r="U474" i="1"/>
  <c r="U480" i="1"/>
  <c r="U4" i="1"/>
  <c r="U10" i="1"/>
  <c r="U16" i="1"/>
  <c r="U22" i="1"/>
  <c r="U28" i="1"/>
  <c r="U34" i="1"/>
  <c r="U40" i="1"/>
  <c r="U46" i="1"/>
  <c r="U56" i="1"/>
  <c r="U50" i="1"/>
  <c r="U44" i="1"/>
  <c r="U38" i="1"/>
  <c r="U32" i="1"/>
  <c r="U26" i="1"/>
  <c r="U20" i="1"/>
  <c r="U14" i="1"/>
  <c r="U8" i="1"/>
  <c r="T50" i="1"/>
  <c r="S50" i="1"/>
  <c r="T53" i="1"/>
  <c r="S53" i="1"/>
  <c r="T56" i="1"/>
  <c r="S56" i="1"/>
  <c r="T59" i="1"/>
  <c r="S59" i="1"/>
  <c r="T62" i="1"/>
  <c r="S62" i="1"/>
  <c r="T65" i="1"/>
  <c r="S65" i="1"/>
  <c r="T68" i="1"/>
  <c r="S68" i="1"/>
  <c r="T74" i="1"/>
  <c r="S74" i="1"/>
  <c r="T80" i="1"/>
  <c r="S80" i="1"/>
  <c r="T83" i="1"/>
  <c r="S83" i="1"/>
  <c r="T86" i="1"/>
  <c r="S86" i="1"/>
  <c r="T89" i="1"/>
  <c r="S89" i="1"/>
  <c r="T92" i="1"/>
  <c r="S92" i="1"/>
  <c r="T95" i="1"/>
  <c r="S95" i="1"/>
  <c r="T98" i="1"/>
  <c r="S98" i="1"/>
  <c r="T101" i="1"/>
  <c r="S101" i="1"/>
  <c r="T104" i="1"/>
  <c r="S104" i="1"/>
  <c r="T107" i="1"/>
  <c r="S107" i="1"/>
  <c r="T110" i="1"/>
  <c r="S110" i="1"/>
  <c r="T113" i="1"/>
  <c r="S113" i="1"/>
  <c r="T116" i="1"/>
  <c r="S116" i="1"/>
  <c r="T119" i="1"/>
  <c r="S119" i="1"/>
  <c r="T122" i="1"/>
  <c r="S122" i="1"/>
  <c r="T125" i="1"/>
  <c r="S125" i="1"/>
  <c r="T128" i="1"/>
  <c r="S128" i="1"/>
  <c r="T131" i="1"/>
  <c r="S131" i="1"/>
  <c r="T134" i="1"/>
  <c r="S134" i="1"/>
  <c r="T137" i="1"/>
  <c r="S137" i="1"/>
  <c r="T140" i="1"/>
  <c r="S140" i="1"/>
  <c r="T7" i="1"/>
  <c r="S7" i="1"/>
  <c r="T16" i="1"/>
  <c r="S16" i="1"/>
  <c r="T25" i="1"/>
  <c r="S25" i="1"/>
  <c r="U51" i="1"/>
  <c r="U57" i="1"/>
  <c r="U63" i="1"/>
  <c r="U69" i="1"/>
  <c r="T11" i="1"/>
  <c r="S11" i="1"/>
  <c r="T38" i="1"/>
  <c r="S38" i="1"/>
  <c r="U80" i="1"/>
  <c r="U92" i="1"/>
  <c r="U104" i="1"/>
  <c r="U116" i="1"/>
  <c r="U128" i="1"/>
  <c r="U140" i="1"/>
  <c r="U149" i="1"/>
  <c r="U158" i="1"/>
  <c r="U167" i="1"/>
  <c r="U176" i="1"/>
  <c r="U185" i="1"/>
  <c r="U194" i="1"/>
  <c r="U203" i="1"/>
  <c r="U210" i="1"/>
  <c r="U217" i="1"/>
  <c r="U223" i="1"/>
  <c r="U229" i="1"/>
  <c r="U235" i="1"/>
  <c r="U241" i="1"/>
  <c r="U247" i="1"/>
  <c r="U253" i="1"/>
  <c r="U259" i="1"/>
  <c r="U265" i="1"/>
  <c r="U271" i="1"/>
  <c r="U277" i="1"/>
  <c r="U283" i="1"/>
  <c r="U289" i="1"/>
  <c r="U295" i="1"/>
  <c r="U301" i="1"/>
  <c r="U307" i="1"/>
  <c r="U313" i="1"/>
  <c r="U319" i="1"/>
  <c r="U325" i="1"/>
  <c r="U331" i="1"/>
  <c r="U337" i="1"/>
  <c r="U343" i="1"/>
  <c r="U349" i="1"/>
  <c r="U355" i="1"/>
  <c r="U361" i="1"/>
  <c r="U367" i="1"/>
  <c r="U373" i="1"/>
  <c r="U379" i="1"/>
  <c r="U385" i="1"/>
  <c r="U391" i="1"/>
  <c r="U397" i="1"/>
  <c r="U403" i="1"/>
  <c r="U409" i="1"/>
  <c r="U415" i="1"/>
  <c r="U421" i="1"/>
  <c r="T142" i="1"/>
  <c r="S142" i="1"/>
  <c r="T151" i="1"/>
  <c r="S151" i="1"/>
  <c r="T160" i="1"/>
  <c r="S160" i="1"/>
  <c r="T169" i="1"/>
  <c r="S169" i="1"/>
  <c r="T178" i="1"/>
  <c r="S178" i="1"/>
  <c r="T187" i="1"/>
  <c r="S187" i="1"/>
  <c r="T196" i="1"/>
  <c r="S196" i="1"/>
  <c r="U214" i="1"/>
  <c r="T17" i="1"/>
  <c r="S17" i="1"/>
  <c r="T44" i="1"/>
  <c r="S44" i="1"/>
  <c r="U159" i="1"/>
  <c r="U177" i="1"/>
  <c r="U195" i="1"/>
  <c r="U81" i="1"/>
  <c r="U93" i="1"/>
  <c r="U105" i="1"/>
  <c r="U117" i="1"/>
  <c r="U129" i="1"/>
  <c r="U141" i="1"/>
  <c r="T149" i="1"/>
  <c r="S149" i="1"/>
  <c r="T158" i="1"/>
  <c r="S158" i="1"/>
  <c r="T167" i="1"/>
  <c r="S167" i="1"/>
  <c r="T176" i="1"/>
  <c r="S176" i="1"/>
  <c r="T185" i="1"/>
  <c r="S185" i="1"/>
  <c r="T194" i="1"/>
  <c r="S194" i="1"/>
  <c r="T203" i="1"/>
  <c r="S203" i="1"/>
  <c r="U427" i="1"/>
  <c r="U433" i="1"/>
  <c r="T144" i="1"/>
  <c r="S144" i="1"/>
  <c r="T171" i="1"/>
  <c r="S171" i="1"/>
  <c r="T198" i="1"/>
  <c r="S198" i="1"/>
  <c r="U439" i="1"/>
  <c r="U445" i="1"/>
  <c r="U451" i="1"/>
  <c r="U457" i="1"/>
  <c r="U463" i="1"/>
  <c r="U469" i="1"/>
  <c r="U475" i="1"/>
  <c r="U481" i="1"/>
  <c r="T348" i="1"/>
  <c r="S348" i="1"/>
  <c r="T358" i="1"/>
  <c r="S358" i="1"/>
  <c r="T366" i="1"/>
  <c r="S366" i="1"/>
  <c r="T376" i="1"/>
  <c r="S376" i="1"/>
  <c r="T388" i="1"/>
  <c r="S388" i="1"/>
  <c r="T397" i="1"/>
  <c r="S397" i="1"/>
  <c r="T434" i="1"/>
  <c r="S434" i="1"/>
  <c r="T405" i="1"/>
  <c r="S405" i="1"/>
  <c r="T444" i="1"/>
  <c r="S444" i="1"/>
  <c r="T455" i="1"/>
  <c r="S455" i="1"/>
  <c r="U11" i="1"/>
  <c r="U17" i="1"/>
  <c r="U23" i="1"/>
  <c r="U29" i="1"/>
  <c r="U35" i="1"/>
  <c r="U41" i="1"/>
  <c r="U47" i="1"/>
  <c r="U55" i="1"/>
  <c r="U49" i="1"/>
  <c r="U43" i="1"/>
  <c r="U37" i="1"/>
  <c r="U31" i="1"/>
  <c r="U25" i="1"/>
  <c r="U19" i="1"/>
  <c r="U13" i="1"/>
  <c r="U7" i="1"/>
  <c r="T4" i="1"/>
  <c r="S4" i="1"/>
  <c r="T12" i="1"/>
  <c r="S12" i="1"/>
  <c r="T21" i="1"/>
  <c r="S21" i="1"/>
  <c r="T30" i="1"/>
  <c r="S30" i="1"/>
  <c r="T39" i="1"/>
  <c r="S39" i="1"/>
  <c r="T48" i="1"/>
  <c r="S48" i="1"/>
  <c r="T51" i="1"/>
  <c r="S51" i="1"/>
  <c r="T54" i="1"/>
  <c r="S54" i="1"/>
  <c r="T57" i="1"/>
  <c r="S57" i="1"/>
  <c r="T60" i="1"/>
  <c r="S60" i="1"/>
  <c r="T28" i="1"/>
  <c r="S28" i="1"/>
  <c r="T37" i="1"/>
  <c r="S37" i="1"/>
  <c r="T46" i="1"/>
  <c r="S46" i="1"/>
  <c r="U52" i="1"/>
  <c r="U58" i="1"/>
  <c r="U64" i="1"/>
  <c r="U70" i="1"/>
  <c r="U82" i="1"/>
  <c r="U94" i="1"/>
  <c r="U106" i="1"/>
  <c r="U118" i="1"/>
  <c r="U130" i="1"/>
  <c r="U142" i="1"/>
  <c r="U151" i="1"/>
  <c r="U160" i="1"/>
  <c r="U169" i="1"/>
  <c r="U178" i="1"/>
  <c r="U187" i="1"/>
  <c r="U196" i="1"/>
  <c r="U204" i="1"/>
  <c r="U212" i="1"/>
  <c r="U218" i="1"/>
  <c r="U224" i="1"/>
  <c r="U230" i="1"/>
  <c r="U236" i="1"/>
  <c r="U242" i="1"/>
  <c r="U248" i="1"/>
  <c r="U254" i="1"/>
  <c r="U260" i="1"/>
  <c r="U266" i="1"/>
  <c r="U272" i="1"/>
  <c r="U278" i="1"/>
  <c r="U284" i="1"/>
  <c r="U290" i="1"/>
  <c r="U296" i="1"/>
  <c r="U302" i="1"/>
  <c r="U308" i="1"/>
  <c r="U314" i="1"/>
  <c r="U320" i="1"/>
  <c r="U326" i="1"/>
  <c r="U332" i="1"/>
  <c r="U338" i="1"/>
  <c r="U344" i="1"/>
  <c r="U350" i="1"/>
  <c r="U356" i="1"/>
  <c r="U362" i="1"/>
  <c r="U368" i="1"/>
  <c r="U374" i="1"/>
  <c r="U380" i="1"/>
  <c r="U386" i="1"/>
  <c r="U392" i="1"/>
  <c r="U398" i="1"/>
  <c r="U404" i="1"/>
  <c r="U410" i="1"/>
  <c r="U416" i="1"/>
  <c r="U422" i="1"/>
  <c r="T207" i="1"/>
  <c r="S207" i="1"/>
  <c r="U144" i="1"/>
  <c r="U162" i="1"/>
  <c r="U180" i="1"/>
  <c r="U198" i="1"/>
  <c r="T212" i="1"/>
  <c r="S212" i="1"/>
  <c r="U83" i="1"/>
  <c r="U95" i="1"/>
  <c r="U107" i="1"/>
  <c r="U119" i="1"/>
  <c r="U131" i="1"/>
  <c r="U428" i="1"/>
  <c r="U434" i="1"/>
  <c r="U440" i="1"/>
  <c r="U446" i="1"/>
  <c r="U452" i="1"/>
  <c r="U458" i="1"/>
  <c r="U464" i="1"/>
  <c r="U470" i="1"/>
  <c r="U476" i="1"/>
  <c r="U60" i="1"/>
  <c r="U54" i="1"/>
  <c r="U48" i="1"/>
  <c r="U42" i="1"/>
  <c r="U36" i="1"/>
  <c r="U30" i="1"/>
  <c r="U24" i="1"/>
  <c r="U18" i="1"/>
  <c r="U12" i="1"/>
  <c r="U6" i="1"/>
  <c r="T63" i="1"/>
  <c r="S63" i="1"/>
  <c r="T66" i="1"/>
  <c r="S66" i="1"/>
  <c r="T69" i="1"/>
  <c r="S69" i="1"/>
  <c r="T72" i="1"/>
  <c r="S72" i="1"/>
  <c r="T75" i="1"/>
  <c r="S75" i="1"/>
  <c r="T78" i="1"/>
  <c r="S78" i="1"/>
  <c r="T81" i="1"/>
  <c r="S81" i="1"/>
  <c r="T84" i="1"/>
  <c r="S84" i="1"/>
  <c r="T87" i="1"/>
  <c r="S87" i="1"/>
  <c r="T90" i="1"/>
  <c r="S90" i="1"/>
  <c r="T93" i="1"/>
  <c r="S93" i="1"/>
  <c r="T96" i="1"/>
  <c r="S96" i="1"/>
  <c r="T99" i="1"/>
  <c r="S99" i="1"/>
  <c r="T102" i="1"/>
  <c r="S102" i="1"/>
  <c r="T105" i="1"/>
  <c r="S105" i="1"/>
  <c r="T108" i="1"/>
  <c r="S108" i="1"/>
  <c r="T111" i="1"/>
  <c r="S111" i="1"/>
  <c r="T114" i="1"/>
  <c r="S114" i="1"/>
  <c r="T117" i="1"/>
  <c r="S117" i="1"/>
  <c r="T120" i="1"/>
  <c r="S120" i="1"/>
  <c r="T123" i="1"/>
  <c r="S123" i="1"/>
  <c r="T126" i="1"/>
  <c r="S126" i="1"/>
  <c r="T129" i="1"/>
  <c r="S129" i="1"/>
  <c r="T132" i="1"/>
  <c r="S132" i="1"/>
  <c r="T135" i="1"/>
  <c r="S135" i="1"/>
  <c r="T138" i="1"/>
  <c r="S138" i="1"/>
  <c r="T141" i="1"/>
  <c r="S141" i="1"/>
  <c r="T10" i="1"/>
  <c r="S10" i="1"/>
  <c r="T19" i="1"/>
  <c r="S19" i="1"/>
  <c r="U53" i="1"/>
  <c r="U59" i="1"/>
  <c r="U65" i="1"/>
  <c r="U71" i="1"/>
  <c r="T20" i="1"/>
  <c r="S20" i="1"/>
  <c r="T47" i="1"/>
  <c r="S47" i="1"/>
  <c r="U84" i="1"/>
  <c r="U96" i="1"/>
  <c r="U108" i="1"/>
  <c r="U120" i="1"/>
  <c r="U132" i="1"/>
  <c r="U143" i="1"/>
  <c r="U152" i="1"/>
  <c r="U161" i="1"/>
  <c r="U170" i="1"/>
  <c r="U179" i="1"/>
  <c r="U188" i="1"/>
  <c r="U197" i="1"/>
  <c r="U206" i="1"/>
  <c r="U219" i="1"/>
  <c r="U225" i="1"/>
  <c r="U231" i="1"/>
  <c r="U237" i="1"/>
  <c r="U243" i="1"/>
  <c r="U249" i="1"/>
  <c r="U255" i="1"/>
  <c r="U261" i="1"/>
  <c r="U267" i="1"/>
  <c r="U273" i="1"/>
  <c r="U279" i="1"/>
  <c r="U285" i="1"/>
  <c r="U291" i="1"/>
  <c r="U297" i="1"/>
  <c r="U303" i="1"/>
  <c r="U309" i="1"/>
  <c r="U315" i="1"/>
  <c r="U321" i="1"/>
  <c r="U327" i="1"/>
  <c r="U333" i="1"/>
  <c r="U339" i="1"/>
  <c r="U345" i="1"/>
  <c r="U351" i="1"/>
  <c r="U357" i="1"/>
  <c r="U363" i="1"/>
  <c r="U369" i="1"/>
  <c r="U375" i="1"/>
  <c r="U381" i="1"/>
  <c r="U387" i="1"/>
  <c r="U393" i="1"/>
  <c r="U399" i="1"/>
  <c r="U405" i="1"/>
  <c r="U411" i="1"/>
  <c r="U417" i="1"/>
  <c r="U423" i="1"/>
  <c r="T145" i="1"/>
  <c r="S145" i="1"/>
  <c r="T154" i="1"/>
  <c r="S154" i="1"/>
  <c r="T163" i="1"/>
  <c r="S163" i="1"/>
  <c r="T172" i="1"/>
  <c r="S172" i="1"/>
  <c r="T181" i="1"/>
  <c r="S181" i="1"/>
  <c r="T190" i="1"/>
  <c r="S190" i="1"/>
  <c r="T199" i="1"/>
  <c r="S199" i="1"/>
  <c r="U208" i="1"/>
  <c r="T3" i="1"/>
  <c r="S3" i="1"/>
  <c r="T26" i="1"/>
  <c r="S26" i="1"/>
  <c r="U147" i="1"/>
  <c r="U165" i="1"/>
  <c r="U183" i="1"/>
  <c r="U201" i="1"/>
  <c r="U213" i="1"/>
  <c r="U85" i="1"/>
  <c r="U97" i="1"/>
  <c r="U109" i="1"/>
  <c r="U121" i="1"/>
  <c r="U133" i="1"/>
  <c r="T143" i="1"/>
  <c r="S143" i="1"/>
  <c r="T152" i="1"/>
  <c r="S152" i="1"/>
  <c r="T161" i="1"/>
  <c r="S161" i="1"/>
  <c r="T170" i="1"/>
  <c r="S170" i="1"/>
  <c r="T179" i="1"/>
  <c r="S179" i="1"/>
  <c r="T188" i="1"/>
  <c r="S188" i="1"/>
  <c r="T197" i="1"/>
  <c r="S197" i="1"/>
  <c r="T209" i="1"/>
  <c r="S209" i="1"/>
  <c r="U429" i="1"/>
  <c r="U435" i="1"/>
  <c r="T153" i="1"/>
  <c r="S153" i="1"/>
  <c r="T180" i="1"/>
  <c r="S180" i="1"/>
  <c r="T429" i="1"/>
  <c r="S429" i="1"/>
  <c r="U441" i="1"/>
  <c r="U447" i="1"/>
  <c r="U453" i="1"/>
  <c r="U459" i="1"/>
  <c r="U465" i="1"/>
  <c r="U471" i="1"/>
  <c r="U477" i="1"/>
  <c r="T306" i="1"/>
  <c r="S306" i="1"/>
  <c r="T352" i="1"/>
  <c r="S352" i="1"/>
  <c r="T360" i="1"/>
  <c r="S360" i="1"/>
  <c r="T370" i="1"/>
  <c r="S370" i="1"/>
  <c r="T380" i="1"/>
  <c r="S380" i="1"/>
  <c r="T390" i="1"/>
  <c r="S390" i="1"/>
  <c r="T421" i="1"/>
  <c r="S421" i="1"/>
  <c r="T224" i="1"/>
  <c r="S224" i="1"/>
  <c r="T426" i="1"/>
  <c r="S426" i="1"/>
  <c r="T448" i="1"/>
  <c r="S448" i="1"/>
  <c r="T467" i="1"/>
  <c r="S467" i="1"/>
  <c r="T476" i="1"/>
  <c r="S476" i="1"/>
  <c r="T239" i="1"/>
  <c r="S239" i="1"/>
  <c r="T267" i="1"/>
  <c r="S267" i="1"/>
  <c r="T289" i="1"/>
  <c r="S289" i="1"/>
  <c r="T313" i="1"/>
  <c r="S313" i="1"/>
  <c r="T337" i="1"/>
  <c r="S337" i="1"/>
  <c r="T361" i="1"/>
  <c r="S361" i="1"/>
  <c r="T389" i="1"/>
  <c r="S389" i="1"/>
  <c r="T210" i="1"/>
  <c r="S210" i="1"/>
  <c r="T223" i="1"/>
  <c r="S223" i="1"/>
  <c r="T232" i="1"/>
  <c r="S232" i="1"/>
  <c r="T238" i="1"/>
  <c r="S238" i="1"/>
  <c r="T244" i="1"/>
  <c r="S244" i="1"/>
  <c r="T250" i="1"/>
  <c r="S250" i="1"/>
  <c r="T256" i="1"/>
  <c r="S256" i="1"/>
  <c r="T262" i="1"/>
  <c r="S262" i="1"/>
  <c r="T268" i="1"/>
  <c r="S268" i="1"/>
  <c r="T274" i="1"/>
  <c r="S274" i="1"/>
  <c r="T280" i="1"/>
  <c r="S280" i="1"/>
  <c r="T286" i="1"/>
  <c r="S286" i="1"/>
  <c r="T292" i="1"/>
  <c r="S292" i="1"/>
  <c r="T298" i="1"/>
  <c r="S298" i="1"/>
  <c r="T304" i="1"/>
  <c r="S304" i="1"/>
  <c r="T312" i="1"/>
  <c r="S312" i="1"/>
  <c r="T318" i="1"/>
  <c r="S318" i="1"/>
  <c r="T324" i="1"/>
  <c r="S324" i="1"/>
  <c r="T330" i="1"/>
  <c r="S330" i="1"/>
  <c r="T336" i="1"/>
  <c r="S336" i="1"/>
  <c r="T344" i="1"/>
  <c r="S344" i="1"/>
  <c r="T356" i="1"/>
  <c r="S356" i="1"/>
  <c r="T372" i="1"/>
  <c r="S372" i="1"/>
  <c r="T386" i="1"/>
  <c r="S386" i="1"/>
  <c r="T403" i="1"/>
  <c r="S403" i="1"/>
  <c r="T412" i="1"/>
  <c r="S412" i="1"/>
  <c r="T428" i="1"/>
  <c r="S428" i="1"/>
  <c r="T218" i="1"/>
  <c r="S218" i="1"/>
  <c r="T417" i="1"/>
  <c r="S417" i="1"/>
  <c r="T445" i="1"/>
  <c r="S445" i="1"/>
  <c r="T458" i="1"/>
  <c r="S458" i="1"/>
  <c r="T469" i="1"/>
  <c r="S469" i="1"/>
  <c r="T147" i="1"/>
  <c r="S147" i="1"/>
  <c r="T205" i="1"/>
  <c r="S205" i="1"/>
  <c r="T249" i="1"/>
  <c r="S249" i="1"/>
  <c r="T273" i="1"/>
  <c r="S273" i="1"/>
  <c r="T293" i="1"/>
  <c r="S293" i="1"/>
  <c r="T315" i="1"/>
  <c r="S315" i="1"/>
  <c r="T339" i="1"/>
  <c r="S339" i="1"/>
  <c r="T365" i="1"/>
  <c r="S365" i="1"/>
  <c r="T383" i="1"/>
  <c r="S383" i="1"/>
  <c r="T159" i="1"/>
  <c r="S159" i="1"/>
  <c r="T186" i="1"/>
  <c r="S186" i="1"/>
  <c r="T427" i="1"/>
  <c r="S427" i="1"/>
  <c r="T396" i="1"/>
  <c r="S396" i="1"/>
  <c r="T438" i="1"/>
  <c r="S438" i="1"/>
  <c r="T450" i="1"/>
  <c r="S450" i="1"/>
  <c r="T461" i="1"/>
  <c r="S461" i="1"/>
  <c r="T475" i="1"/>
  <c r="S475" i="1"/>
  <c r="T237" i="1"/>
  <c r="S237" i="1"/>
  <c r="T261" i="1"/>
  <c r="S261" i="1"/>
  <c r="T285" i="1"/>
  <c r="S285" i="1"/>
  <c r="T311" i="1"/>
  <c r="S311" i="1"/>
  <c r="T333" i="1"/>
  <c r="S333" i="1"/>
  <c r="T359" i="1"/>
  <c r="S359" i="1"/>
  <c r="T385" i="1"/>
  <c r="S385" i="1"/>
  <c r="T216" i="1"/>
  <c r="S216" i="1"/>
  <c r="T225" i="1"/>
  <c r="S225" i="1"/>
  <c r="T395" i="1"/>
  <c r="S395" i="1"/>
  <c r="T404" i="1"/>
  <c r="S404" i="1"/>
  <c r="T413" i="1"/>
  <c r="S413" i="1"/>
  <c r="T422" i="1"/>
  <c r="S422" i="1"/>
  <c r="T436" i="1"/>
  <c r="S436" i="1"/>
  <c r="T408" i="1"/>
  <c r="S408" i="1"/>
  <c r="T443" i="1"/>
  <c r="S443" i="1"/>
  <c r="T456" i="1"/>
  <c r="S456" i="1"/>
  <c r="T468" i="1"/>
  <c r="S468" i="1"/>
  <c r="T481" i="1"/>
  <c r="S481" i="1"/>
  <c r="T235" i="1"/>
  <c r="S235" i="1"/>
  <c r="T259" i="1"/>
  <c r="S259" i="1"/>
  <c r="T279" i="1"/>
  <c r="S279" i="1"/>
  <c r="T309" i="1"/>
  <c r="S309" i="1"/>
  <c r="T335" i="1"/>
  <c r="S335" i="1"/>
  <c r="T353" i="1"/>
  <c r="S353" i="1"/>
  <c r="T379" i="1"/>
  <c r="S379" i="1"/>
  <c r="T431" i="1"/>
  <c r="S431" i="1"/>
  <c r="T459" i="1"/>
  <c r="S459" i="1"/>
  <c r="T471" i="1"/>
  <c r="S471" i="1"/>
  <c r="T479" i="1"/>
  <c r="S479" i="1"/>
  <c r="T247" i="1"/>
  <c r="S247" i="1"/>
  <c r="T275" i="1"/>
  <c r="S275" i="1"/>
  <c r="T297" i="1"/>
  <c r="S297" i="1"/>
  <c r="T321" i="1"/>
  <c r="S321" i="1"/>
  <c r="T347" i="1"/>
  <c r="S347" i="1"/>
  <c r="T373" i="1"/>
  <c r="S373" i="1"/>
  <c r="T5" i="1"/>
  <c r="S5" i="1"/>
  <c r="T217" i="1"/>
  <c r="S217" i="1"/>
  <c r="T226" i="1"/>
  <c r="S226" i="1"/>
  <c r="T234" i="1"/>
  <c r="S234" i="1"/>
  <c r="T240" i="1"/>
  <c r="S240" i="1"/>
  <c r="T246" i="1"/>
  <c r="S246" i="1"/>
  <c r="T252" i="1"/>
  <c r="S252" i="1"/>
  <c r="T258" i="1"/>
  <c r="S258" i="1"/>
  <c r="T264" i="1"/>
  <c r="S264" i="1"/>
  <c r="T270" i="1"/>
  <c r="S270" i="1"/>
  <c r="T276" i="1"/>
  <c r="S276" i="1"/>
  <c r="T282" i="1"/>
  <c r="S282" i="1"/>
  <c r="T288" i="1"/>
  <c r="S288" i="1"/>
  <c r="T294" i="1"/>
  <c r="S294" i="1"/>
  <c r="T300" i="1"/>
  <c r="S300" i="1"/>
  <c r="T308" i="1"/>
  <c r="S308" i="1"/>
  <c r="T314" i="1"/>
  <c r="S314" i="1"/>
  <c r="T320" i="1"/>
  <c r="S320" i="1"/>
  <c r="T326" i="1"/>
  <c r="S326" i="1"/>
  <c r="T332" i="1"/>
  <c r="S332" i="1"/>
  <c r="T338" i="1"/>
  <c r="S338" i="1"/>
  <c r="T346" i="1"/>
  <c r="S346" i="1"/>
  <c r="T362" i="1"/>
  <c r="S362" i="1"/>
  <c r="T378" i="1"/>
  <c r="S378" i="1"/>
  <c r="T392" i="1"/>
  <c r="S392" i="1"/>
  <c r="T406" i="1"/>
  <c r="S406" i="1"/>
  <c r="T415" i="1"/>
  <c r="S415" i="1"/>
  <c r="T23" i="1"/>
  <c r="S23" i="1"/>
  <c r="T227" i="1"/>
  <c r="S227" i="1"/>
  <c r="T423" i="1"/>
  <c r="S423" i="1"/>
  <c r="T449" i="1"/>
  <c r="S449" i="1"/>
  <c r="T462" i="1"/>
  <c r="S462" i="1"/>
  <c r="T474" i="1"/>
  <c r="S474" i="1"/>
  <c r="T165" i="1"/>
  <c r="S165" i="1"/>
  <c r="T233" i="1"/>
  <c r="S233" i="1"/>
  <c r="T255" i="1"/>
  <c r="S255" i="1"/>
  <c r="T281" i="1"/>
  <c r="S281" i="1"/>
  <c r="T299" i="1"/>
  <c r="S299" i="1"/>
  <c r="T323" i="1"/>
  <c r="S323" i="1"/>
  <c r="T349" i="1"/>
  <c r="S349" i="1"/>
  <c r="T369" i="1"/>
  <c r="S369" i="1"/>
  <c r="T391" i="1"/>
  <c r="S391" i="1"/>
  <c r="T168" i="1"/>
  <c r="S168" i="1"/>
  <c r="T195" i="1"/>
  <c r="S195" i="1"/>
  <c r="T433" i="1"/>
  <c r="S433" i="1"/>
  <c r="T420" i="1"/>
  <c r="S420" i="1"/>
  <c r="T442" i="1"/>
  <c r="S442" i="1"/>
  <c r="T454" i="1"/>
  <c r="S454" i="1"/>
  <c r="T466" i="1"/>
  <c r="S466" i="1"/>
  <c r="T480" i="1"/>
  <c r="S480" i="1"/>
  <c r="T245" i="1"/>
  <c r="S245" i="1"/>
  <c r="T269" i="1"/>
  <c r="S269" i="1"/>
  <c r="T295" i="1"/>
  <c r="S295" i="1"/>
  <c r="T317" i="1"/>
  <c r="S317" i="1"/>
  <c r="T341" i="1"/>
  <c r="S341" i="1"/>
  <c r="T367" i="1"/>
  <c r="S367" i="1"/>
  <c r="T14" i="1"/>
  <c r="S14" i="1"/>
  <c r="T219" i="1"/>
  <c r="S219" i="1"/>
  <c r="T228" i="1"/>
  <c r="S228" i="1"/>
  <c r="T398" i="1"/>
  <c r="S398" i="1"/>
  <c r="T407" i="1"/>
  <c r="S407" i="1"/>
  <c r="T416" i="1"/>
  <c r="S416" i="1"/>
  <c r="T425" i="1"/>
  <c r="S425" i="1"/>
  <c r="T221" i="1"/>
  <c r="S221" i="1"/>
  <c r="T414" i="1"/>
  <c r="S414" i="1"/>
  <c r="T447" i="1"/>
  <c r="S447" i="1"/>
  <c r="T460" i="1"/>
  <c r="S460" i="1"/>
  <c r="T472" i="1"/>
  <c r="S472" i="1"/>
  <c r="T156" i="1"/>
  <c r="S156" i="1"/>
  <c r="T243" i="1"/>
  <c r="S243" i="1"/>
  <c r="T265" i="1"/>
  <c r="S265" i="1"/>
  <c r="T291" i="1"/>
  <c r="S291" i="1"/>
  <c r="T319" i="1"/>
  <c r="S319" i="1"/>
  <c r="T343" i="1"/>
  <c r="S343" i="1"/>
  <c r="T363" i="1"/>
  <c r="S363" i="1"/>
  <c r="T387" i="1"/>
  <c r="S387" i="1"/>
  <c r="T437" i="1"/>
  <c r="S437" i="1"/>
  <c r="T463" i="1"/>
  <c r="S463" i="1"/>
  <c r="T473" i="1"/>
  <c r="S473" i="1"/>
  <c r="T192" i="1"/>
  <c r="S192" i="1"/>
  <c r="T257" i="1"/>
  <c r="S257" i="1"/>
  <c r="T283" i="1"/>
  <c r="S283" i="1"/>
  <c r="T305" i="1"/>
  <c r="S305" i="1"/>
  <c r="T329" i="1"/>
  <c r="S329" i="1"/>
  <c r="T355" i="1"/>
  <c r="S355" i="1"/>
  <c r="T381" i="1"/>
  <c r="S381" i="1"/>
  <c r="T32" i="1"/>
  <c r="S32" i="1"/>
  <c r="T220" i="1"/>
  <c r="S220" i="1"/>
  <c r="T229" i="1"/>
  <c r="S229" i="1"/>
  <c r="T236" i="1"/>
  <c r="S236" i="1"/>
  <c r="T242" i="1"/>
  <c r="S242" i="1"/>
  <c r="T248" i="1"/>
  <c r="S248" i="1"/>
  <c r="T254" i="1"/>
  <c r="S254" i="1"/>
  <c r="T260" i="1"/>
  <c r="S260" i="1"/>
  <c r="T266" i="1"/>
  <c r="S266" i="1"/>
  <c r="T272" i="1"/>
  <c r="S272" i="1"/>
  <c r="T278" i="1"/>
  <c r="S278" i="1"/>
  <c r="T284" i="1"/>
  <c r="S284" i="1"/>
  <c r="T290" i="1"/>
  <c r="S290" i="1"/>
  <c r="T296" i="1"/>
  <c r="S296" i="1"/>
  <c r="T302" i="1"/>
  <c r="S302" i="1"/>
  <c r="T310" i="1"/>
  <c r="S310" i="1"/>
  <c r="T316" i="1"/>
  <c r="S316" i="1"/>
  <c r="T322" i="1"/>
  <c r="S322" i="1"/>
  <c r="T328" i="1"/>
  <c r="S328" i="1"/>
  <c r="T334" i="1"/>
  <c r="S334" i="1"/>
  <c r="T342" i="1"/>
  <c r="S342" i="1"/>
  <c r="T350" i="1"/>
  <c r="S350" i="1"/>
  <c r="T368" i="1"/>
  <c r="S368" i="1"/>
  <c r="T382" i="1"/>
  <c r="S382" i="1"/>
  <c r="T400" i="1"/>
  <c r="S400" i="1"/>
  <c r="T409" i="1"/>
  <c r="S409" i="1"/>
  <c r="T418" i="1"/>
  <c r="S418" i="1"/>
  <c r="T204" i="1"/>
  <c r="S204" i="1"/>
  <c r="T411" i="1"/>
  <c r="S411" i="1"/>
  <c r="T441" i="1"/>
  <c r="S441" i="1"/>
  <c r="T453" i="1"/>
  <c r="S453" i="1"/>
  <c r="T465" i="1"/>
  <c r="S465" i="1"/>
  <c r="T478" i="1"/>
  <c r="S478" i="1"/>
  <c r="T183" i="1"/>
  <c r="S183" i="1"/>
  <c r="T241" i="1"/>
  <c r="S241" i="1"/>
  <c r="T263" i="1"/>
  <c r="S263" i="1"/>
  <c r="T287" i="1"/>
  <c r="S287" i="1"/>
  <c r="T307" i="1"/>
  <c r="S307" i="1"/>
  <c r="T331" i="1"/>
  <c r="S331" i="1"/>
  <c r="T357" i="1"/>
  <c r="S357" i="1"/>
  <c r="T377" i="1"/>
  <c r="S377" i="1"/>
  <c r="T150" i="1"/>
  <c r="S150" i="1"/>
  <c r="T177" i="1"/>
  <c r="S177" i="1"/>
  <c r="T211" i="1"/>
  <c r="S211" i="1"/>
  <c r="T230" i="1"/>
  <c r="S230" i="1"/>
  <c r="T432" i="1"/>
  <c r="S432" i="1"/>
  <c r="T446" i="1"/>
  <c r="S446" i="1"/>
  <c r="T457" i="1"/>
  <c r="S457" i="1"/>
  <c r="T470" i="1"/>
  <c r="S470" i="1"/>
  <c r="T201" i="1"/>
  <c r="S201" i="1"/>
  <c r="T253" i="1"/>
  <c r="S253" i="1"/>
  <c r="T277" i="1"/>
  <c r="S277" i="1"/>
  <c r="T303" i="1"/>
  <c r="S303" i="1"/>
  <c r="T325" i="1"/>
  <c r="S325" i="1"/>
  <c r="T351" i="1"/>
  <c r="S351" i="1"/>
  <c r="T375" i="1"/>
  <c r="S375" i="1"/>
  <c r="T41" i="1"/>
  <c r="S41" i="1"/>
  <c r="T222" i="1"/>
  <c r="S222" i="1"/>
  <c r="T231" i="1"/>
  <c r="S231" i="1"/>
  <c r="T401" i="1"/>
  <c r="S401" i="1"/>
  <c r="T410" i="1"/>
  <c r="S410" i="1"/>
  <c r="T419" i="1"/>
  <c r="S419" i="1"/>
  <c r="T430" i="1"/>
  <c r="S430" i="1"/>
  <c r="T402" i="1"/>
  <c r="S402" i="1"/>
  <c r="T439" i="1"/>
  <c r="S439" i="1"/>
  <c r="T452" i="1"/>
  <c r="S452" i="1"/>
  <c r="T464" i="1"/>
  <c r="S464" i="1"/>
  <c r="T477" i="1"/>
  <c r="S477" i="1"/>
  <c r="T174" i="1"/>
  <c r="S174" i="1"/>
  <c r="T251" i="1"/>
  <c r="S251" i="1"/>
  <c r="T271" i="1"/>
  <c r="S271" i="1"/>
  <c r="T301" i="1"/>
  <c r="S301" i="1"/>
  <c r="T327" i="1"/>
  <c r="S327" i="1"/>
  <c r="T345" i="1"/>
  <c r="S345" i="1"/>
  <c r="T371" i="1"/>
  <c r="S371" i="1"/>
  <c r="T393" i="1"/>
  <c r="S393" i="1"/>
  <c r="V6" i="1"/>
  <c r="V10" i="1"/>
  <c r="V14" i="1"/>
  <c r="V18" i="1"/>
  <c r="V21" i="1"/>
  <c r="V24" i="1"/>
  <c r="V28" i="1"/>
  <c r="V32" i="1"/>
  <c r="V35" i="1"/>
  <c r="V39" i="1"/>
  <c r="V44" i="1"/>
  <c r="V3" i="1"/>
  <c r="V7" i="1"/>
  <c r="V11" i="1"/>
  <c r="V15" i="1"/>
  <c r="V20" i="1"/>
  <c r="V25" i="1"/>
  <c r="V29" i="1"/>
  <c r="V33" i="1"/>
  <c r="V38" i="1"/>
  <c r="V41" i="1"/>
  <c r="V43" i="1"/>
  <c r="V46" i="1"/>
  <c r="Q6" i="1"/>
  <c r="R6" i="1"/>
  <c r="Q10" i="1"/>
  <c r="R10" i="1"/>
  <c r="Q14" i="1"/>
  <c r="R14" i="1"/>
  <c r="Q18" i="1"/>
  <c r="R18" i="1"/>
  <c r="Q20" i="1"/>
  <c r="R20" i="1"/>
  <c r="Q25" i="1"/>
  <c r="R25" i="1"/>
  <c r="Q29" i="1"/>
  <c r="R29" i="1"/>
  <c r="Q38" i="1"/>
  <c r="R38" i="1"/>
  <c r="Q43" i="1"/>
  <c r="R43" i="1"/>
  <c r="Q4" i="1"/>
  <c r="R4" i="1"/>
  <c r="V4" i="1"/>
  <c r="Q8" i="1"/>
  <c r="R8" i="1"/>
  <c r="V8" i="1"/>
  <c r="V13" i="1"/>
  <c r="V17" i="1"/>
  <c r="Q22" i="1"/>
  <c r="R22" i="1"/>
  <c r="V22" i="1"/>
  <c r="V26" i="1"/>
  <c r="Q31" i="1"/>
  <c r="R31" i="1"/>
  <c r="V31" i="1"/>
  <c r="Q36" i="1"/>
  <c r="R36" i="1"/>
  <c r="V36" i="1"/>
  <c r="Q40" i="1"/>
  <c r="R40" i="1"/>
  <c r="V40" i="1"/>
  <c r="Q45" i="1"/>
  <c r="R45" i="1"/>
  <c r="V45" i="1"/>
  <c r="Q3" i="1"/>
  <c r="R3" i="1"/>
  <c r="Q7" i="1"/>
  <c r="R7" i="1"/>
  <c r="Q11" i="1"/>
  <c r="R11" i="1"/>
  <c r="Q13" i="1"/>
  <c r="R13" i="1"/>
  <c r="Q15" i="1"/>
  <c r="R15" i="1"/>
  <c r="Q17" i="1"/>
  <c r="R17" i="1"/>
  <c r="Q21" i="1"/>
  <c r="R21" i="1"/>
  <c r="Q24" i="1"/>
  <c r="R24" i="1"/>
  <c r="Q26" i="1"/>
  <c r="R26" i="1"/>
  <c r="Q28" i="1"/>
  <c r="R28" i="1"/>
  <c r="Q32" i="1"/>
  <c r="R32" i="1"/>
  <c r="Q33" i="1"/>
  <c r="R33" i="1"/>
  <c r="Q35" i="1"/>
  <c r="R35" i="1"/>
  <c r="Q39" i="1"/>
  <c r="R39" i="1"/>
  <c r="Q41" i="1"/>
  <c r="R41" i="1"/>
  <c r="Q44" i="1"/>
  <c r="R44" i="1"/>
  <c r="Q46" i="1"/>
  <c r="R46" i="1"/>
  <c r="Q5" i="1"/>
  <c r="R5" i="1"/>
  <c r="V5" i="1"/>
  <c r="Q9" i="1"/>
  <c r="R9" i="1"/>
  <c r="V9" i="1"/>
  <c r="Q12" i="1"/>
  <c r="R12" i="1"/>
  <c r="V12" i="1"/>
  <c r="Q16" i="1"/>
  <c r="R16" i="1"/>
  <c r="V16" i="1"/>
  <c r="Q19" i="1"/>
  <c r="R19" i="1"/>
  <c r="V19" i="1"/>
  <c r="Q27" i="1"/>
  <c r="R27" i="1"/>
  <c r="V27" i="1"/>
  <c r="Q30" i="1"/>
  <c r="R30" i="1"/>
  <c r="V30" i="1"/>
  <c r="Q34" i="1"/>
  <c r="R34" i="1"/>
  <c r="V34" i="1"/>
  <c r="Q37" i="1"/>
  <c r="R37" i="1"/>
  <c r="V37" i="1"/>
  <c r="Q42" i="1"/>
  <c r="R42" i="1"/>
  <c r="V42" i="1"/>
  <c r="Q23" i="1"/>
  <c r="R23" i="1"/>
  <c r="V23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Q47" i="1"/>
  <c r="R47" i="1"/>
  <c r="Q48" i="1"/>
  <c r="R48" i="1"/>
  <c r="Q49" i="1"/>
  <c r="R49" i="1"/>
  <c r="Q50" i="1"/>
  <c r="R50" i="1"/>
  <c r="Q51" i="1"/>
  <c r="R51" i="1"/>
  <c r="Q52" i="1"/>
  <c r="R52" i="1"/>
  <c r="Q53" i="1"/>
  <c r="R53" i="1"/>
  <c r="Q54" i="1"/>
  <c r="R54" i="1"/>
  <c r="Q55" i="1"/>
  <c r="R55" i="1"/>
  <c r="Q56" i="1"/>
  <c r="R56" i="1"/>
  <c r="Q57" i="1"/>
  <c r="R57" i="1"/>
  <c r="Q58" i="1"/>
  <c r="R58" i="1"/>
  <c r="Q59" i="1"/>
  <c r="R59" i="1"/>
  <c r="Q60" i="1"/>
  <c r="R60" i="1"/>
  <c r="Q61" i="1"/>
  <c r="R61" i="1"/>
  <c r="Q62" i="1"/>
  <c r="R62" i="1"/>
  <c r="Q63" i="1"/>
  <c r="R63" i="1"/>
  <c r="Q64" i="1"/>
  <c r="R64" i="1"/>
  <c r="Q65" i="1"/>
  <c r="R65" i="1"/>
  <c r="Q66" i="1"/>
  <c r="R66" i="1"/>
  <c r="Q67" i="1"/>
  <c r="R67" i="1"/>
  <c r="Q68" i="1"/>
  <c r="R68" i="1"/>
  <c r="Q69" i="1"/>
  <c r="R69" i="1"/>
  <c r="Q70" i="1"/>
  <c r="R70" i="1"/>
  <c r="Q71" i="1"/>
  <c r="R71" i="1"/>
  <c r="Q72" i="1"/>
  <c r="R72" i="1"/>
  <c r="Q73" i="1"/>
  <c r="R73" i="1"/>
  <c r="Q74" i="1"/>
  <c r="R74" i="1"/>
  <c r="Q75" i="1"/>
  <c r="R75" i="1"/>
  <c r="Q76" i="1"/>
  <c r="R76" i="1"/>
  <c r="Q77" i="1"/>
  <c r="R77" i="1"/>
  <c r="V77" i="1"/>
  <c r="Q78" i="1"/>
  <c r="R78" i="1"/>
  <c r="V78" i="1"/>
  <c r="Q79" i="1"/>
  <c r="R79" i="1"/>
  <c r="V79" i="1"/>
  <c r="Q80" i="1"/>
  <c r="R80" i="1"/>
  <c r="V80" i="1"/>
  <c r="Q81" i="1"/>
  <c r="R81" i="1"/>
  <c r="V81" i="1"/>
  <c r="Q82" i="1"/>
  <c r="R82" i="1"/>
  <c r="V82" i="1"/>
  <c r="Q83" i="1"/>
  <c r="R83" i="1"/>
  <c r="V83" i="1"/>
  <c r="Q84" i="1"/>
  <c r="R84" i="1"/>
  <c r="V84" i="1"/>
  <c r="Q85" i="1"/>
  <c r="R85" i="1"/>
  <c r="V85" i="1"/>
  <c r="Q86" i="1"/>
  <c r="R86" i="1"/>
  <c r="V86" i="1"/>
  <c r="Q87" i="1"/>
  <c r="R87" i="1"/>
  <c r="V87" i="1"/>
  <c r="Q88" i="1"/>
  <c r="R88" i="1"/>
  <c r="V88" i="1"/>
  <c r="Q89" i="1"/>
  <c r="R89" i="1"/>
  <c r="V89" i="1"/>
  <c r="Q90" i="1"/>
  <c r="R90" i="1"/>
  <c r="V90" i="1"/>
  <c r="Q91" i="1"/>
  <c r="R91" i="1"/>
  <c r="V91" i="1"/>
  <c r="Q92" i="1"/>
  <c r="R92" i="1"/>
  <c r="V92" i="1"/>
  <c r="Q93" i="1"/>
  <c r="R93" i="1"/>
  <c r="V93" i="1"/>
  <c r="Q94" i="1"/>
  <c r="R94" i="1"/>
  <c r="V94" i="1"/>
  <c r="Q95" i="1"/>
  <c r="R95" i="1"/>
  <c r="V95" i="1"/>
  <c r="Q96" i="1"/>
  <c r="R96" i="1"/>
  <c r="V96" i="1"/>
  <c r="Q97" i="1"/>
  <c r="R97" i="1"/>
  <c r="V97" i="1"/>
  <c r="Q98" i="1"/>
  <c r="R98" i="1"/>
  <c r="V98" i="1"/>
  <c r="Q99" i="1"/>
  <c r="R99" i="1"/>
  <c r="V99" i="1"/>
  <c r="Q100" i="1"/>
  <c r="R100" i="1"/>
  <c r="V100" i="1"/>
  <c r="Q101" i="1"/>
  <c r="R101" i="1"/>
  <c r="V101" i="1"/>
  <c r="Q102" i="1"/>
  <c r="R102" i="1"/>
  <c r="V102" i="1"/>
  <c r="Q103" i="1"/>
  <c r="R103" i="1"/>
  <c r="V103" i="1"/>
  <c r="Q104" i="1"/>
  <c r="R104" i="1"/>
  <c r="V104" i="1"/>
  <c r="Q105" i="1"/>
  <c r="R105" i="1"/>
  <c r="V105" i="1"/>
  <c r="Q106" i="1"/>
  <c r="R106" i="1"/>
  <c r="V106" i="1"/>
  <c r="Q107" i="1"/>
  <c r="R107" i="1"/>
  <c r="V107" i="1"/>
  <c r="Q108" i="1"/>
  <c r="R108" i="1"/>
  <c r="V108" i="1"/>
  <c r="Q109" i="1"/>
  <c r="R109" i="1"/>
  <c r="V109" i="1"/>
  <c r="Q110" i="1"/>
  <c r="R110" i="1"/>
  <c r="V110" i="1"/>
  <c r="Q111" i="1"/>
  <c r="R111" i="1"/>
  <c r="V111" i="1"/>
  <c r="Q112" i="1"/>
  <c r="R112" i="1"/>
  <c r="V112" i="1"/>
  <c r="Q113" i="1"/>
  <c r="R113" i="1"/>
  <c r="V113" i="1"/>
  <c r="Q114" i="1"/>
  <c r="R114" i="1"/>
  <c r="V114" i="1"/>
  <c r="Q115" i="1"/>
  <c r="R115" i="1"/>
  <c r="V115" i="1"/>
  <c r="Q116" i="1"/>
  <c r="R116" i="1"/>
  <c r="V116" i="1"/>
  <c r="Q117" i="1"/>
  <c r="R117" i="1"/>
  <c r="V117" i="1"/>
  <c r="Q118" i="1"/>
  <c r="R118" i="1"/>
  <c r="V118" i="1"/>
  <c r="Q119" i="1"/>
  <c r="R119" i="1"/>
  <c r="V119" i="1"/>
  <c r="Q120" i="1"/>
  <c r="R120" i="1"/>
  <c r="V120" i="1"/>
  <c r="Q121" i="1"/>
  <c r="R121" i="1"/>
  <c r="V121" i="1"/>
  <c r="Q122" i="1"/>
  <c r="R122" i="1"/>
  <c r="V122" i="1"/>
  <c r="Q123" i="1"/>
  <c r="R123" i="1"/>
  <c r="V123" i="1"/>
  <c r="Q124" i="1"/>
  <c r="R124" i="1"/>
  <c r="V124" i="1"/>
  <c r="Q125" i="1"/>
  <c r="R125" i="1"/>
  <c r="V125" i="1"/>
  <c r="Q126" i="1"/>
  <c r="R126" i="1"/>
  <c r="V126" i="1"/>
  <c r="Q127" i="1"/>
  <c r="R127" i="1"/>
  <c r="V127" i="1"/>
  <c r="Q128" i="1"/>
  <c r="R128" i="1"/>
  <c r="V128" i="1"/>
  <c r="Q129" i="1"/>
  <c r="R129" i="1"/>
  <c r="V129" i="1"/>
  <c r="Q130" i="1"/>
  <c r="R130" i="1"/>
  <c r="V130" i="1"/>
  <c r="Q131" i="1"/>
  <c r="R131" i="1"/>
  <c r="V131" i="1"/>
  <c r="Q132" i="1"/>
  <c r="R132" i="1"/>
  <c r="V132" i="1"/>
  <c r="Q133" i="1"/>
  <c r="R133" i="1"/>
  <c r="V133" i="1"/>
  <c r="Q134" i="1"/>
  <c r="R134" i="1"/>
  <c r="V134" i="1"/>
  <c r="Q135" i="1"/>
  <c r="R135" i="1"/>
  <c r="V135" i="1"/>
  <c r="Q136" i="1"/>
  <c r="R136" i="1"/>
  <c r="V136" i="1"/>
  <c r="Q137" i="1"/>
  <c r="R137" i="1"/>
  <c r="V137" i="1"/>
  <c r="Q138" i="1"/>
  <c r="R138" i="1"/>
  <c r="V138" i="1"/>
  <c r="Q139" i="1"/>
  <c r="R139" i="1"/>
  <c r="V139" i="1"/>
  <c r="Q140" i="1"/>
  <c r="R140" i="1"/>
  <c r="V140" i="1"/>
  <c r="Q141" i="1"/>
  <c r="R141" i="1"/>
  <c r="V141" i="1"/>
  <c r="Q142" i="1"/>
  <c r="R142" i="1"/>
  <c r="V142" i="1"/>
  <c r="Q143" i="1"/>
  <c r="R143" i="1"/>
  <c r="V143" i="1"/>
  <c r="Q144" i="1"/>
  <c r="R144" i="1"/>
  <c r="V144" i="1"/>
  <c r="Q145" i="1"/>
  <c r="R145" i="1"/>
  <c r="V145" i="1"/>
  <c r="Q146" i="1"/>
  <c r="R146" i="1"/>
  <c r="V146" i="1"/>
  <c r="Q147" i="1"/>
  <c r="R147" i="1"/>
  <c r="V147" i="1"/>
  <c r="Q148" i="1"/>
  <c r="R148" i="1"/>
  <c r="V148" i="1"/>
  <c r="Q149" i="1"/>
  <c r="R149" i="1"/>
  <c r="V149" i="1"/>
  <c r="Q150" i="1"/>
  <c r="R150" i="1"/>
  <c r="V150" i="1"/>
  <c r="Q151" i="1"/>
  <c r="R151" i="1"/>
  <c r="V151" i="1"/>
  <c r="Q152" i="1"/>
  <c r="R152" i="1"/>
  <c r="V152" i="1"/>
  <c r="Q153" i="1"/>
  <c r="R153" i="1"/>
  <c r="V153" i="1"/>
  <c r="Q154" i="1"/>
  <c r="R154" i="1"/>
  <c r="V154" i="1"/>
  <c r="Q155" i="1"/>
  <c r="R155" i="1"/>
  <c r="V155" i="1"/>
  <c r="Q156" i="1"/>
  <c r="R156" i="1"/>
  <c r="V156" i="1"/>
  <c r="Q157" i="1"/>
  <c r="R157" i="1"/>
  <c r="V157" i="1"/>
  <c r="Q158" i="1"/>
  <c r="R158" i="1"/>
  <c r="V158" i="1"/>
  <c r="Q159" i="1"/>
  <c r="R159" i="1"/>
  <c r="V159" i="1"/>
  <c r="Q160" i="1"/>
  <c r="R160" i="1"/>
  <c r="V160" i="1"/>
  <c r="Q161" i="1"/>
  <c r="R161" i="1"/>
  <c r="V161" i="1"/>
  <c r="Q162" i="1"/>
  <c r="R162" i="1"/>
  <c r="V162" i="1"/>
  <c r="Q163" i="1"/>
  <c r="R163" i="1"/>
  <c r="V163" i="1"/>
  <c r="Q164" i="1"/>
  <c r="R164" i="1"/>
  <c r="V164" i="1"/>
  <c r="Q165" i="1"/>
  <c r="R165" i="1"/>
  <c r="V165" i="1"/>
  <c r="Q166" i="1"/>
  <c r="R166" i="1"/>
  <c r="V166" i="1"/>
  <c r="Q167" i="1"/>
  <c r="R167" i="1"/>
  <c r="V167" i="1"/>
  <c r="Q168" i="1"/>
  <c r="R168" i="1"/>
  <c r="V168" i="1"/>
  <c r="Q169" i="1"/>
  <c r="R169" i="1"/>
  <c r="V169" i="1"/>
  <c r="Q170" i="1"/>
  <c r="R170" i="1"/>
  <c r="V170" i="1"/>
  <c r="Q171" i="1"/>
  <c r="R171" i="1"/>
  <c r="V171" i="1"/>
  <c r="Q172" i="1"/>
  <c r="R172" i="1"/>
  <c r="V172" i="1"/>
  <c r="Q173" i="1"/>
  <c r="R173" i="1"/>
  <c r="V173" i="1"/>
  <c r="Q174" i="1"/>
  <c r="R174" i="1"/>
  <c r="V174" i="1"/>
  <c r="Q175" i="1"/>
  <c r="R175" i="1"/>
  <c r="V175" i="1"/>
  <c r="Q176" i="1"/>
  <c r="R176" i="1"/>
  <c r="V176" i="1"/>
  <c r="Q177" i="1"/>
  <c r="R177" i="1"/>
  <c r="V177" i="1"/>
  <c r="Q178" i="1"/>
  <c r="R178" i="1"/>
  <c r="V178" i="1"/>
  <c r="Q179" i="1"/>
  <c r="R179" i="1"/>
  <c r="V179" i="1"/>
  <c r="Q180" i="1"/>
  <c r="R180" i="1"/>
  <c r="V180" i="1"/>
  <c r="Q181" i="1"/>
  <c r="R181" i="1"/>
  <c r="V181" i="1"/>
  <c r="Q182" i="1"/>
  <c r="R182" i="1"/>
  <c r="V182" i="1"/>
  <c r="Q183" i="1"/>
  <c r="R183" i="1"/>
  <c r="V183" i="1"/>
  <c r="Q184" i="1"/>
  <c r="R184" i="1"/>
  <c r="V184" i="1"/>
  <c r="Q185" i="1"/>
  <c r="R185" i="1"/>
  <c r="V185" i="1"/>
  <c r="Q186" i="1"/>
  <c r="R186" i="1"/>
  <c r="V186" i="1"/>
  <c r="Q187" i="1"/>
  <c r="R187" i="1"/>
  <c r="V187" i="1"/>
  <c r="Q188" i="1"/>
  <c r="R188" i="1"/>
  <c r="V188" i="1"/>
  <c r="Q189" i="1"/>
  <c r="R189" i="1"/>
  <c r="V189" i="1"/>
  <c r="Q190" i="1"/>
  <c r="R190" i="1"/>
  <c r="V190" i="1"/>
  <c r="Q191" i="1"/>
  <c r="R191" i="1"/>
  <c r="V191" i="1"/>
  <c r="Q192" i="1"/>
  <c r="R192" i="1"/>
  <c r="V192" i="1"/>
  <c r="Q193" i="1"/>
  <c r="R193" i="1"/>
  <c r="V193" i="1"/>
  <c r="Q194" i="1"/>
  <c r="R194" i="1"/>
  <c r="V194" i="1"/>
  <c r="Q195" i="1"/>
  <c r="R195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Q196" i="1"/>
  <c r="R196" i="1"/>
  <c r="Q197" i="1"/>
  <c r="R197" i="1"/>
  <c r="Q198" i="1"/>
  <c r="R198" i="1"/>
  <c r="Q199" i="1"/>
  <c r="R199" i="1"/>
  <c r="Q200" i="1"/>
  <c r="R200" i="1"/>
  <c r="Q201" i="1"/>
  <c r="R201" i="1"/>
  <c r="Q202" i="1"/>
  <c r="R202" i="1"/>
  <c r="Q203" i="1"/>
  <c r="R203" i="1"/>
  <c r="Q204" i="1"/>
  <c r="R204" i="1"/>
  <c r="Q205" i="1"/>
  <c r="R205" i="1"/>
  <c r="Q206" i="1"/>
  <c r="R206" i="1"/>
  <c r="Q207" i="1"/>
  <c r="R207" i="1"/>
  <c r="Q208" i="1"/>
  <c r="R208" i="1"/>
  <c r="Q209" i="1"/>
  <c r="R209" i="1"/>
  <c r="Q210" i="1"/>
  <c r="R210" i="1"/>
  <c r="Q211" i="1"/>
  <c r="R211" i="1"/>
  <c r="Q212" i="1"/>
  <c r="R212" i="1"/>
  <c r="Q213" i="1"/>
  <c r="R213" i="1"/>
  <c r="Q214" i="1"/>
  <c r="R214" i="1"/>
  <c r="Q215" i="1"/>
  <c r="R215" i="1"/>
  <c r="Q216" i="1"/>
  <c r="R216" i="1"/>
  <c r="Q217" i="1"/>
  <c r="R217" i="1"/>
  <c r="Q218" i="1"/>
  <c r="R218" i="1"/>
  <c r="Q219" i="1"/>
  <c r="R219" i="1"/>
  <c r="Q220" i="1"/>
  <c r="R220" i="1"/>
  <c r="Q221" i="1"/>
  <c r="R221" i="1"/>
  <c r="Q222" i="1"/>
  <c r="R222" i="1"/>
  <c r="Q223" i="1"/>
  <c r="R223" i="1"/>
  <c r="Q224" i="1"/>
  <c r="R224" i="1"/>
  <c r="Q225" i="1"/>
  <c r="R225" i="1"/>
  <c r="Q226" i="1"/>
  <c r="R226" i="1"/>
  <c r="Q227" i="1"/>
  <c r="R227" i="1"/>
  <c r="Q228" i="1"/>
  <c r="R228" i="1"/>
  <c r="Q229" i="1"/>
  <c r="R229" i="1"/>
  <c r="Q230" i="1"/>
  <c r="R230" i="1"/>
  <c r="Q231" i="1"/>
  <c r="R231" i="1"/>
  <c r="Q232" i="1"/>
  <c r="R232" i="1"/>
  <c r="Q233" i="1"/>
  <c r="R233" i="1"/>
  <c r="Q234" i="1"/>
  <c r="R234" i="1"/>
  <c r="Q235" i="1"/>
  <c r="R235" i="1"/>
  <c r="Q236" i="1"/>
  <c r="R236" i="1"/>
  <c r="Q237" i="1"/>
  <c r="R237" i="1"/>
  <c r="Q238" i="1"/>
  <c r="R238" i="1"/>
  <c r="Q239" i="1"/>
  <c r="R239" i="1"/>
  <c r="Q240" i="1"/>
  <c r="R240" i="1"/>
  <c r="Q241" i="1"/>
  <c r="R241" i="1"/>
  <c r="Q242" i="1"/>
  <c r="R242" i="1"/>
  <c r="Q243" i="1"/>
  <c r="R243" i="1"/>
  <c r="Q244" i="1"/>
  <c r="R244" i="1"/>
  <c r="Q245" i="1"/>
  <c r="R245" i="1"/>
  <c r="Q246" i="1"/>
  <c r="R246" i="1"/>
  <c r="Q247" i="1"/>
  <c r="R247" i="1"/>
  <c r="Q248" i="1"/>
  <c r="R248" i="1"/>
  <c r="Q249" i="1"/>
  <c r="R249" i="1"/>
  <c r="Q250" i="1"/>
  <c r="R250" i="1"/>
  <c r="Q251" i="1"/>
  <c r="R251" i="1"/>
  <c r="Q252" i="1"/>
  <c r="R252" i="1"/>
  <c r="Q253" i="1"/>
  <c r="R253" i="1"/>
  <c r="Q254" i="1"/>
  <c r="R254" i="1"/>
  <c r="Q255" i="1"/>
  <c r="R255" i="1"/>
  <c r="Q256" i="1"/>
  <c r="R256" i="1"/>
  <c r="Q257" i="1"/>
  <c r="R257" i="1"/>
  <c r="Q258" i="1"/>
  <c r="R258" i="1"/>
  <c r="Q259" i="1"/>
  <c r="R259" i="1"/>
  <c r="Q260" i="1"/>
  <c r="R260" i="1"/>
  <c r="Q261" i="1"/>
  <c r="R261" i="1"/>
  <c r="Q262" i="1"/>
  <c r="R262" i="1"/>
  <c r="Q263" i="1"/>
  <c r="R263" i="1"/>
  <c r="Q264" i="1"/>
  <c r="R264" i="1"/>
  <c r="Q265" i="1"/>
  <c r="R265" i="1"/>
  <c r="Q266" i="1"/>
  <c r="R266" i="1"/>
  <c r="Q267" i="1"/>
  <c r="R267" i="1"/>
  <c r="Q268" i="1"/>
  <c r="R268" i="1"/>
  <c r="Q269" i="1"/>
  <c r="R269" i="1"/>
  <c r="Q270" i="1"/>
  <c r="R270" i="1"/>
  <c r="Q271" i="1"/>
  <c r="R271" i="1"/>
  <c r="Q272" i="1"/>
  <c r="R272" i="1"/>
  <c r="Q273" i="1"/>
  <c r="R273" i="1"/>
  <c r="Q274" i="1"/>
  <c r="R274" i="1"/>
  <c r="Q275" i="1"/>
  <c r="R275" i="1"/>
  <c r="Q276" i="1"/>
  <c r="R276" i="1"/>
  <c r="Q277" i="1"/>
  <c r="R277" i="1"/>
  <c r="Q278" i="1"/>
  <c r="R278" i="1"/>
  <c r="Q279" i="1"/>
  <c r="R279" i="1"/>
  <c r="Q280" i="1"/>
  <c r="R280" i="1"/>
  <c r="Q281" i="1"/>
  <c r="R281" i="1"/>
  <c r="Q282" i="1"/>
  <c r="R282" i="1"/>
  <c r="Q283" i="1"/>
  <c r="R283" i="1"/>
  <c r="Q284" i="1"/>
  <c r="R284" i="1"/>
  <c r="V284" i="1"/>
  <c r="Q285" i="1"/>
  <c r="R285" i="1"/>
  <c r="V285" i="1"/>
  <c r="Q286" i="1"/>
  <c r="R286" i="1"/>
  <c r="V286" i="1"/>
  <c r="Q287" i="1"/>
  <c r="R287" i="1"/>
  <c r="V287" i="1"/>
  <c r="Q288" i="1"/>
  <c r="R288" i="1"/>
  <c r="V288" i="1"/>
  <c r="Q289" i="1"/>
  <c r="R289" i="1"/>
  <c r="V289" i="1"/>
  <c r="Q290" i="1"/>
  <c r="R290" i="1"/>
  <c r="V290" i="1"/>
  <c r="Q291" i="1"/>
  <c r="R291" i="1"/>
  <c r="V291" i="1"/>
  <c r="Q292" i="1"/>
  <c r="R292" i="1"/>
  <c r="V292" i="1"/>
  <c r="Q293" i="1"/>
  <c r="R293" i="1"/>
  <c r="V293" i="1"/>
  <c r="Q294" i="1"/>
  <c r="R294" i="1"/>
  <c r="V294" i="1"/>
  <c r="Q295" i="1"/>
  <c r="R295" i="1"/>
  <c r="V295" i="1"/>
  <c r="Q296" i="1"/>
  <c r="R296" i="1"/>
  <c r="V296" i="1"/>
  <c r="Q297" i="1"/>
  <c r="R297" i="1"/>
  <c r="V297" i="1"/>
  <c r="Q298" i="1"/>
  <c r="R298" i="1"/>
  <c r="V298" i="1"/>
  <c r="Q299" i="1"/>
  <c r="R299" i="1"/>
  <c r="V299" i="1"/>
  <c r="Q300" i="1"/>
  <c r="R300" i="1"/>
  <c r="V300" i="1"/>
  <c r="Q301" i="1"/>
  <c r="R301" i="1"/>
  <c r="V301" i="1"/>
  <c r="Q302" i="1"/>
  <c r="R302" i="1"/>
  <c r="V302" i="1"/>
  <c r="Q303" i="1"/>
  <c r="R303" i="1"/>
  <c r="V303" i="1"/>
  <c r="Q304" i="1"/>
  <c r="R304" i="1"/>
  <c r="V304" i="1"/>
  <c r="Q305" i="1"/>
  <c r="R305" i="1"/>
  <c r="V305" i="1"/>
  <c r="Q306" i="1"/>
  <c r="R306" i="1"/>
  <c r="V306" i="1"/>
  <c r="Q307" i="1"/>
  <c r="R307" i="1"/>
  <c r="V307" i="1"/>
  <c r="Q308" i="1"/>
  <c r="R308" i="1"/>
  <c r="V308" i="1"/>
  <c r="Q309" i="1"/>
  <c r="R309" i="1"/>
  <c r="V309" i="1"/>
  <c r="Q310" i="1"/>
  <c r="R310" i="1"/>
  <c r="V310" i="1"/>
  <c r="Q311" i="1"/>
  <c r="R311" i="1"/>
  <c r="V311" i="1"/>
  <c r="Q312" i="1"/>
  <c r="R312" i="1"/>
  <c r="V312" i="1"/>
  <c r="Q313" i="1"/>
  <c r="R313" i="1"/>
  <c r="V313" i="1"/>
  <c r="Q314" i="1"/>
  <c r="R314" i="1"/>
  <c r="V314" i="1"/>
  <c r="Q315" i="1"/>
  <c r="R315" i="1"/>
  <c r="V315" i="1"/>
  <c r="Q316" i="1"/>
  <c r="R316" i="1"/>
  <c r="V316" i="1"/>
  <c r="Q317" i="1"/>
  <c r="R317" i="1"/>
  <c r="V317" i="1"/>
  <c r="Q318" i="1"/>
  <c r="R318" i="1"/>
  <c r="V318" i="1"/>
  <c r="Q319" i="1"/>
  <c r="R319" i="1"/>
  <c r="V319" i="1"/>
  <c r="Q320" i="1"/>
  <c r="R320" i="1"/>
  <c r="V320" i="1"/>
  <c r="Q321" i="1"/>
  <c r="R321" i="1"/>
  <c r="V321" i="1"/>
  <c r="Q322" i="1"/>
  <c r="R322" i="1"/>
  <c r="V322" i="1"/>
  <c r="Q323" i="1"/>
  <c r="R323" i="1"/>
  <c r="V323" i="1"/>
  <c r="Q324" i="1"/>
  <c r="R324" i="1"/>
  <c r="V324" i="1"/>
  <c r="Q325" i="1"/>
  <c r="R325" i="1"/>
  <c r="V325" i="1"/>
  <c r="Q326" i="1"/>
  <c r="R326" i="1"/>
  <c r="V326" i="1"/>
  <c r="Q327" i="1"/>
  <c r="R327" i="1"/>
  <c r="V327" i="1"/>
  <c r="Q328" i="1"/>
  <c r="R328" i="1"/>
  <c r="V328" i="1"/>
  <c r="Q329" i="1"/>
  <c r="R329" i="1"/>
  <c r="V329" i="1"/>
  <c r="Q330" i="1"/>
  <c r="R330" i="1"/>
  <c r="V330" i="1"/>
  <c r="Q331" i="1"/>
  <c r="R331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Q332" i="1"/>
  <c r="R332" i="1"/>
  <c r="Q333" i="1"/>
  <c r="R333" i="1"/>
  <c r="Q334" i="1"/>
  <c r="R334" i="1"/>
  <c r="Q335" i="1"/>
  <c r="R335" i="1"/>
  <c r="Q336" i="1"/>
  <c r="R336" i="1"/>
  <c r="Q337" i="1"/>
  <c r="R337" i="1"/>
  <c r="Q338" i="1"/>
  <c r="R338" i="1"/>
  <c r="Q339" i="1"/>
  <c r="R339" i="1"/>
  <c r="Q340" i="1"/>
  <c r="R340" i="1"/>
  <c r="Q341" i="1"/>
  <c r="R341" i="1"/>
  <c r="Q342" i="1"/>
  <c r="R342" i="1"/>
  <c r="Q343" i="1"/>
  <c r="R343" i="1"/>
  <c r="Q344" i="1"/>
  <c r="R344" i="1"/>
  <c r="Q345" i="1"/>
  <c r="R345" i="1"/>
  <c r="Q346" i="1"/>
  <c r="R346" i="1"/>
  <c r="Q347" i="1"/>
  <c r="R347" i="1"/>
  <c r="Q348" i="1"/>
  <c r="R348" i="1"/>
  <c r="Q349" i="1"/>
  <c r="R349" i="1"/>
  <c r="Q350" i="1"/>
  <c r="R350" i="1"/>
  <c r="Q351" i="1"/>
  <c r="R351" i="1"/>
  <c r="Q352" i="1"/>
  <c r="R352" i="1"/>
  <c r="Q353" i="1"/>
  <c r="R353" i="1"/>
  <c r="Q354" i="1"/>
  <c r="R354" i="1"/>
  <c r="Q355" i="1"/>
  <c r="R355" i="1"/>
  <c r="Q356" i="1"/>
  <c r="R356" i="1"/>
  <c r="Q357" i="1"/>
  <c r="R357" i="1"/>
  <c r="Q358" i="1"/>
  <c r="R358" i="1"/>
  <c r="Q359" i="1"/>
  <c r="R359" i="1"/>
  <c r="Q360" i="1"/>
  <c r="R360" i="1"/>
  <c r="Q361" i="1"/>
  <c r="R361" i="1"/>
  <c r="Q362" i="1"/>
  <c r="R362" i="1"/>
  <c r="Q363" i="1"/>
  <c r="R363" i="1"/>
  <c r="Q364" i="1"/>
  <c r="R364" i="1"/>
  <c r="Q365" i="1"/>
  <c r="R365" i="1"/>
  <c r="Q366" i="1"/>
  <c r="R366" i="1"/>
  <c r="Q367" i="1"/>
  <c r="R367" i="1"/>
  <c r="Q368" i="1"/>
  <c r="R368" i="1"/>
  <c r="Q369" i="1"/>
  <c r="R369" i="1"/>
  <c r="Q370" i="1"/>
  <c r="R370" i="1"/>
  <c r="Q371" i="1"/>
  <c r="R371" i="1"/>
  <c r="Q372" i="1"/>
  <c r="R372" i="1"/>
  <c r="Q373" i="1"/>
  <c r="R373" i="1"/>
  <c r="Q374" i="1"/>
  <c r="R374" i="1"/>
  <c r="Q375" i="1"/>
  <c r="R375" i="1"/>
  <c r="Q376" i="1"/>
  <c r="R376" i="1"/>
  <c r="Q377" i="1"/>
  <c r="R377" i="1"/>
  <c r="Q378" i="1"/>
  <c r="R378" i="1"/>
  <c r="Q379" i="1"/>
  <c r="R379" i="1"/>
  <c r="Q380" i="1"/>
  <c r="R380" i="1"/>
  <c r="Q381" i="1"/>
  <c r="R381" i="1"/>
  <c r="Q382" i="1"/>
  <c r="R382" i="1"/>
  <c r="Q383" i="1"/>
  <c r="R383" i="1"/>
  <c r="Q384" i="1"/>
  <c r="R384" i="1"/>
  <c r="Q385" i="1"/>
  <c r="R385" i="1"/>
  <c r="Q386" i="1"/>
  <c r="R386" i="1"/>
  <c r="Q387" i="1"/>
  <c r="R387" i="1"/>
  <c r="Q388" i="1"/>
  <c r="R388" i="1"/>
  <c r="Q389" i="1"/>
  <c r="R389" i="1"/>
  <c r="Q390" i="1"/>
  <c r="R390" i="1"/>
  <c r="Q391" i="1"/>
  <c r="R391" i="1"/>
  <c r="Q392" i="1"/>
  <c r="R392" i="1"/>
  <c r="Q393" i="1"/>
  <c r="R393" i="1"/>
  <c r="Q394" i="1"/>
  <c r="R394" i="1"/>
  <c r="Q395" i="1"/>
  <c r="R395" i="1"/>
  <c r="Q396" i="1"/>
  <c r="R396" i="1"/>
  <c r="Q397" i="1"/>
  <c r="R397" i="1"/>
  <c r="V397" i="1"/>
  <c r="Q398" i="1"/>
  <c r="R398" i="1"/>
  <c r="V398" i="1"/>
  <c r="Q399" i="1"/>
  <c r="R399" i="1"/>
  <c r="V399" i="1"/>
  <c r="Q400" i="1"/>
  <c r="R400" i="1"/>
  <c r="V400" i="1"/>
  <c r="Q401" i="1"/>
  <c r="R401" i="1"/>
  <c r="V401" i="1"/>
  <c r="Q402" i="1"/>
  <c r="R402" i="1"/>
  <c r="V402" i="1"/>
  <c r="Q403" i="1"/>
  <c r="R403" i="1"/>
  <c r="V403" i="1"/>
  <c r="Q404" i="1"/>
  <c r="R404" i="1"/>
  <c r="V404" i="1"/>
  <c r="Q405" i="1"/>
  <c r="R405" i="1"/>
  <c r="V405" i="1"/>
  <c r="Q406" i="1"/>
  <c r="R406" i="1"/>
  <c r="V406" i="1"/>
  <c r="Q407" i="1"/>
  <c r="R407" i="1"/>
  <c r="V407" i="1"/>
  <c r="Q408" i="1"/>
  <c r="R408" i="1"/>
  <c r="V408" i="1"/>
  <c r="Q409" i="1"/>
  <c r="R409" i="1"/>
  <c r="V409" i="1"/>
  <c r="Q410" i="1"/>
  <c r="R410" i="1"/>
  <c r="V410" i="1"/>
  <c r="Q411" i="1"/>
  <c r="R411" i="1"/>
  <c r="V411" i="1"/>
  <c r="Q412" i="1"/>
  <c r="R412" i="1"/>
  <c r="V412" i="1"/>
  <c r="Q413" i="1"/>
  <c r="R413" i="1"/>
  <c r="V413" i="1"/>
  <c r="Q414" i="1"/>
  <c r="R414" i="1"/>
  <c r="V414" i="1"/>
  <c r="Q415" i="1"/>
  <c r="R415" i="1"/>
  <c r="V415" i="1"/>
  <c r="Q416" i="1"/>
  <c r="R416" i="1"/>
  <c r="V416" i="1"/>
  <c r="Q417" i="1"/>
  <c r="R417" i="1"/>
  <c r="V417" i="1"/>
  <c r="Q418" i="1"/>
  <c r="R418" i="1"/>
  <c r="V418" i="1"/>
  <c r="Q419" i="1"/>
  <c r="R419" i="1"/>
  <c r="V419" i="1"/>
  <c r="Q420" i="1"/>
  <c r="R420" i="1"/>
  <c r="V420" i="1"/>
  <c r="Q421" i="1"/>
  <c r="R421" i="1"/>
  <c r="V421" i="1"/>
  <c r="Q422" i="1"/>
  <c r="R422" i="1"/>
  <c r="V422" i="1"/>
  <c r="Q423" i="1"/>
  <c r="R423" i="1"/>
  <c r="V423" i="1"/>
  <c r="Q424" i="1"/>
  <c r="R424" i="1"/>
  <c r="V424" i="1"/>
  <c r="Q425" i="1"/>
  <c r="R425" i="1"/>
  <c r="V425" i="1"/>
  <c r="Q426" i="1"/>
  <c r="R426" i="1"/>
  <c r="V426" i="1"/>
  <c r="Q427" i="1"/>
  <c r="R427" i="1"/>
  <c r="V427" i="1"/>
  <c r="Q428" i="1"/>
  <c r="R428" i="1"/>
  <c r="V428" i="1"/>
  <c r="Q429" i="1"/>
  <c r="R429" i="1"/>
  <c r="V429" i="1"/>
  <c r="Q430" i="1"/>
  <c r="R430" i="1"/>
  <c r="V430" i="1"/>
  <c r="Q431" i="1"/>
  <c r="R431" i="1"/>
  <c r="V431" i="1"/>
  <c r="Q432" i="1"/>
  <c r="R432" i="1"/>
  <c r="V432" i="1"/>
  <c r="Q433" i="1"/>
  <c r="R433" i="1"/>
  <c r="V433" i="1"/>
  <c r="Q434" i="1"/>
  <c r="R434" i="1"/>
  <c r="V434" i="1"/>
  <c r="Q435" i="1"/>
  <c r="R435" i="1"/>
  <c r="V435" i="1"/>
  <c r="Q436" i="1"/>
  <c r="R436" i="1"/>
  <c r="V436" i="1"/>
  <c r="Q437" i="1"/>
  <c r="R437" i="1"/>
  <c r="V437" i="1"/>
  <c r="Q438" i="1"/>
  <c r="R438" i="1"/>
  <c r="V438" i="1"/>
  <c r="Q439" i="1"/>
  <c r="R439" i="1"/>
  <c r="V439" i="1"/>
  <c r="Q440" i="1"/>
  <c r="R440" i="1"/>
  <c r="V440" i="1"/>
  <c r="Q441" i="1"/>
  <c r="R441" i="1"/>
  <c r="V441" i="1"/>
  <c r="Q442" i="1"/>
  <c r="R442" i="1"/>
  <c r="V442" i="1"/>
  <c r="Q443" i="1"/>
  <c r="R443" i="1"/>
  <c r="V443" i="1"/>
  <c r="Q444" i="1"/>
  <c r="R444" i="1"/>
  <c r="V444" i="1"/>
  <c r="Q445" i="1"/>
  <c r="R445" i="1"/>
  <c r="V445" i="1"/>
  <c r="Q446" i="1"/>
  <c r="R446" i="1"/>
  <c r="V446" i="1"/>
  <c r="Q447" i="1"/>
  <c r="R447" i="1"/>
  <c r="V447" i="1"/>
  <c r="Q448" i="1"/>
  <c r="R448" i="1"/>
  <c r="V448" i="1"/>
  <c r="Q449" i="1"/>
  <c r="R449" i="1"/>
  <c r="V449" i="1"/>
  <c r="Q450" i="1"/>
  <c r="R450" i="1"/>
  <c r="V450" i="1"/>
  <c r="Q451" i="1"/>
  <c r="R451" i="1"/>
  <c r="V451" i="1"/>
  <c r="Q452" i="1"/>
  <c r="R452" i="1"/>
  <c r="V452" i="1"/>
  <c r="Q453" i="1"/>
  <c r="R453" i="1"/>
  <c r="V453" i="1"/>
  <c r="Q454" i="1"/>
  <c r="R454" i="1"/>
  <c r="V454" i="1"/>
  <c r="Q455" i="1"/>
  <c r="R455" i="1"/>
  <c r="V455" i="1"/>
  <c r="Q456" i="1"/>
  <c r="R456" i="1"/>
  <c r="V456" i="1"/>
  <c r="Q457" i="1"/>
  <c r="R457" i="1"/>
  <c r="V457" i="1"/>
  <c r="Q458" i="1"/>
  <c r="R458" i="1"/>
  <c r="V458" i="1"/>
  <c r="Q459" i="1"/>
  <c r="R459" i="1"/>
  <c r="V459" i="1"/>
  <c r="Q460" i="1"/>
  <c r="R460" i="1"/>
  <c r="V460" i="1"/>
  <c r="Q461" i="1"/>
  <c r="R461" i="1"/>
  <c r="V461" i="1"/>
  <c r="Q462" i="1"/>
  <c r="R462" i="1"/>
  <c r="V462" i="1"/>
  <c r="Q463" i="1"/>
  <c r="R463" i="1"/>
  <c r="V463" i="1"/>
  <c r="Q464" i="1"/>
  <c r="R464" i="1"/>
  <c r="V464" i="1"/>
  <c r="Q465" i="1"/>
  <c r="R465" i="1"/>
  <c r="V465" i="1"/>
  <c r="Q466" i="1"/>
  <c r="R466" i="1"/>
  <c r="V466" i="1"/>
  <c r="Q467" i="1"/>
  <c r="R467" i="1"/>
  <c r="V467" i="1"/>
  <c r="Q468" i="1"/>
  <c r="R468" i="1"/>
  <c r="V468" i="1"/>
  <c r="Q469" i="1"/>
  <c r="R469" i="1"/>
  <c r="V469" i="1"/>
  <c r="Q470" i="1"/>
  <c r="R470" i="1"/>
  <c r="V470" i="1"/>
  <c r="Q471" i="1"/>
  <c r="R471" i="1"/>
  <c r="V471" i="1"/>
  <c r="Q472" i="1"/>
  <c r="R472" i="1"/>
  <c r="V472" i="1"/>
  <c r="Q473" i="1"/>
  <c r="R473" i="1"/>
  <c r="V473" i="1"/>
  <c r="Q474" i="1"/>
  <c r="R474" i="1"/>
  <c r="V474" i="1"/>
  <c r="Q475" i="1"/>
  <c r="R475" i="1"/>
  <c r="V475" i="1"/>
  <c r="Q476" i="1"/>
  <c r="R476" i="1"/>
  <c r="V476" i="1"/>
  <c r="Q477" i="1"/>
  <c r="R477" i="1"/>
  <c r="V477" i="1"/>
  <c r="Q478" i="1"/>
  <c r="R478" i="1"/>
  <c r="V478" i="1"/>
  <c r="Q479" i="1"/>
  <c r="R479" i="1"/>
  <c r="V479" i="1"/>
  <c r="Q480" i="1"/>
  <c r="R480" i="1"/>
  <c r="V480" i="1"/>
  <c r="Q481" i="1"/>
  <c r="R481" i="1"/>
  <c r="V481" i="1"/>
  <c r="S2" i="1"/>
  <c r="T2" i="1"/>
  <c r="R2" i="1"/>
  <c r="V2" i="1" l="1"/>
  <c r="Q2" i="1"/>
  <c r="U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</authors>
  <commentList>
    <comment ref="C1" authorId="0" shapeId="0" xr:uid="{00000000-0006-0000-0000-000001000000}">
      <text>
        <r>
          <rPr>
            <sz val="9"/>
            <color indexed="81"/>
            <rFont val="맑은 고딕"/>
            <family val="3"/>
            <charset val="129"/>
            <scheme val="minor"/>
          </rPr>
          <t>40000~49999 : 몬스터 조각
50000~59999 : 몬스터
60000~69999 : 카드
150000~159999 : 언어 아이디</t>
        </r>
      </text>
    </comment>
    <comment ref="AX6" authorId="0" shapeId="0" xr:uid="{00000000-0006-0000-0000-000002000000}">
      <text>
        <r>
          <rPr>
            <sz val="9"/>
            <color indexed="81"/>
            <rFont val="맑은 고딕"/>
            <family val="3"/>
            <charset val="129"/>
            <scheme val="minor"/>
          </rPr>
          <t>40000~49999 : 몬스터 조각
50000~59999 : 몬스터
60000~69999 : 카드
150000~159999 : 언어 아이디</t>
        </r>
      </text>
    </comment>
  </commentList>
</comments>
</file>

<file path=xl/sharedStrings.xml><?xml version="1.0" encoding="utf-8"?>
<sst xmlns="http://schemas.openxmlformats.org/spreadsheetml/2006/main" count="4573" uniqueCount="1152">
  <si>
    <t>id</t>
    <phoneticPr fontId="3" type="noConversion"/>
  </si>
  <si>
    <t>prefab_name</t>
    <phoneticPr fontId="3" type="noConversion"/>
  </si>
  <si>
    <t>piece_id</t>
    <phoneticPr fontId="4" type="noConversion"/>
  </si>
  <si>
    <t>name_id</t>
  </si>
  <si>
    <t>name</t>
    <phoneticPr fontId="3" type="noConversion"/>
  </si>
  <si>
    <t>element_type</t>
  </si>
  <si>
    <t>move_spd</t>
  </si>
  <si>
    <t>atk_spd</t>
  </si>
  <si>
    <t>atk_range</t>
  </si>
  <si>
    <t>cupet_rating</t>
    <phoneticPr fontId="3" type="noConversion"/>
  </si>
  <si>
    <t>hp_coefficient</t>
  </si>
  <si>
    <t>atk_coefficient</t>
  </si>
  <si>
    <t>matk_coefficient</t>
    <phoneticPr fontId="3" type="noConversion"/>
  </si>
  <si>
    <t>def_coefficient</t>
  </si>
  <si>
    <t>mdef_coefficient</t>
    <phoneticPr fontId="3" type="noConversion"/>
  </si>
  <si>
    <t>base_str</t>
  </si>
  <si>
    <t>base_agi</t>
  </si>
  <si>
    <t>base_vit</t>
  </si>
  <si>
    <t>base_int</t>
  </si>
  <si>
    <t>base_dex</t>
  </si>
  <si>
    <t>base_luk</t>
  </si>
  <si>
    <t>cupet_type</t>
    <phoneticPr fontId="3" type="noConversion"/>
  </si>
  <si>
    <t>skill_rate_1</t>
  </si>
  <si>
    <t>skill_id_1</t>
  </si>
  <si>
    <t>skill_rate_2</t>
  </si>
  <si>
    <t>skill_id_2</t>
  </si>
  <si>
    <t>is_log</t>
    <phoneticPr fontId="3" type="noConversion"/>
  </si>
  <si>
    <t>cost</t>
    <phoneticPr fontId="3" type="noConversion"/>
  </si>
  <si>
    <t>basic_active_skill_id</t>
    <phoneticPr fontId="3" type="noConversion"/>
  </si>
  <si>
    <t>icon_name</t>
    <phoneticPr fontId="3" type="noConversion"/>
  </si>
  <si>
    <t>Poring</t>
  </si>
  <si>
    <t>Monster001</t>
    <phoneticPr fontId="3" type="noConversion"/>
  </si>
  <si>
    <t>011.큐펫테이블</t>
    <phoneticPr fontId="3" type="noConversion"/>
  </si>
  <si>
    <t>명칭</t>
    <phoneticPr fontId="3" type="noConversion"/>
  </si>
  <si>
    <t>형식</t>
    <phoneticPr fontId="3" type="noConversion"/>
  </si>
  <si>
    <t>id</t>
  </si>
  <si>
    <t>고유 아이디</t>
  </si>
  <si>
    <t>아이디</t>
  </si>
  <si>
    <t>프리팹 명칭</t>
    <phoneticPr fontId="4" type="noConversion"/>
  </si>
  <si>
    <t>문자열</t>
    <phoneticPr fontId="3" type="noConversion"/>
  </si>
  <si>
    <t>참조.카드 아이디</t>
    <phoneticPr fontId="4" type="noConversion"/>
  </si>
  <si>
    <t>아이디</t>
    <phoneticPr fontId="3" type="noConversion"/>
  </si>
  <si>
    <t>Fabre</t>
  </si>
  <si>
    <t>파브르</t>
  </si>
  <si>
    <t>Monster002</t>
    <phoneticPr fontId="3" type="noConversion"/>
  </si>
  <si>
    <t>몬스터 명칭</t>
  </si>
  <si>
    <t>언어</t>
  </si>
  <si>
    <t>속성 타입</t>
  </si>
  <si>
    <t>인덱스</t>
  </si>
  <si>
    <t>이동 속도</t>
  </si>
  <si>
    <t>정수(0.00)</t>
  </si>
  <si>
    <t>공격 속도</t>
  </si>
  <si>
    <t>공격 사정거리</t>
  </si>
  <si>
    <t>Lunatic</t>
  </si>
  <si>
    <t>루나틱</t>
  </si>
  <si>
    <t>Monster003</t>
    <phoneticPr fontId="3" type="noConversion"/>
  </si>
  <si>
    <t>cupet_rating</t>
  </si>
  <si>
    <t>큐펫 랭크</t>
    <phoneticPr fontId="3" type="noConversion"/>
  </si>
  <si>
    <t>1~5</t>
  </si>
  <si>
    <t>체력 계수</t>
  </si>
  <si>
    <t>정수</t>
  </si>
  <si>
    <t>matk_coefficient</t>
  </si>
  <si>
    <t>마법 공격력 계수</t>
  </si>
  <si>
    <t>물리 방어력 계수</t>
  </si>
  <si>
    <t>RodaFrog</t>
  </si>
  <si>
    <t>로다 프로그</t>
  </si>
  <si>
    <t>Monster004</t>
    <phoneticPr fontId="3" type="noConversion"/>
  </si>
  <si>
    <t>마법 방어력 계수</t>
  </si>
  <si>
    <t>Rocker</t>
  </si>
  <si>
    <t>로커</t>
  </si>
  <si>
    <t>Monster005</t>
    <phoneticPr fontId="3" type="noConversion"/>
  </si>
  <si>
    <t>cupet_type</t>
  </si>
  <si>
    <t>큐펫 타입</t>
  </si>
  <si>
    <t>1번 스킬 발동 확률</t>
  </si>
  <si>
    <t>만분율</t>
  </si>
  <si>
    <t>Index</t>
  </si>
  <si>
    <t>타입</t>
  </si>
  <si>
    <t>참조.스킬 아이디</t>
  </si>
  <si>
    <t>돌진형 물리</t>
  </si>
  <si>
    <t>Vocal</t>
  </si>
  <si>
    <t>보컬</t>
  </si>
  <si>
    <t>Monster006</t>
  </si>
  <si>
    <t>2번 스킬 발동 확률</t>
  </si>
  <si>
    <t>돌진형 마법</t>
  </si>
  <si>
    <t>공격형 물리</t>
  </si>
  <si>
    <t>획득 로그</t>
    <phoneticPr fontId="3" type="noConversion"/>
  </si>
  <si>
    <t>-</t>
    <phoneticPr fontId="3" type="noConversion"/>
  </si>
  <si>
    <t>공격형 마법</t>
  </si>
  <si>
    <t>비용</t>
    <phoneticPr fontId="3" type="noConversion"/>
  </si>
  <si>
    <t>정수</t>
    <phoneticPr fontId="3" type="noConversion"/>
  </si>
  <si>
    <t>방어형 물리</t>
  </si>
  <si>
    <t>basic_active_skill_id</t>
  </si>
  <si>
    <t>몬스터 기본 공격</t>
    <phoneticPr fontId="3" type="noConversion"/>
  </si>
  <si>
    <t>방어형 마법</t>
  </si>
  <si>
    <t>Eclipse</t>
  </si>
  <si>
    <t>이클립스</t>
  </si>
  <si>
    <t>Monster007</t>
    <phoneticPr fontId="3" type="noConversion"/>
  </si>
  <si>
    <t>아이콘 이미지</t>
    <phoneticPr fontId="3" type="noConversion"/>
  </si>
  <si>
    <t>지원형 물리</t>
  </si>
  <si>
    <t>지원형 마법</t>
  </si>
  <si>
    <t>Thiefbug</t>
    <phoneticPr fontId="3" type="noConversion"/>
  </si>
  <si>
    <t>도둑벌레</t>
  </si>
  <si>
    <t>Monster008</t>
    <phoneticPr fontId="3" type="noConversion"/>
  </si>
  <si>
    <t>Farmiliar</t>
  </si>
  <si>
    <t>퍼밀리어</t>
  </si>
  <si>
    <t>Monster009</t>
    <phoneticPr fontId="3" type="noConversion"/>
  </si>
  <si>
    <t>ThiefbugF</t>
    <phoneticPr fontId="3" type="noConversion"/>
  </si>
  <si>
    <t>암컷 도둑벌레</t>
  </si>
  <si>
    <t>Monster010</t>
    <phoneticPr fontId="3" type="noConversion"/>
  </si>
  <si>
    <t>ThiefbugM</t>
    <phoneticPr fontId="3" type="noConversion"/>
  </si>
  <si>
    <t>수컷 도둑벌레</t>
  </si>
  <si>
    <t>Monster011</t>
    <phoneticPr fontId="3" type="noConversion"/>
  </si>
  <si>
    <t>GoldenBug</t>
    <phoneticPr fontId="3" type="noConversion"/>
  </si>
  <si>
    <t>황금 도둑벌레</t>
  </si>
  <si>
    <t>Monster012</t>
    <phoneticPr fontId="3" type="noConversion"/>
  </si>
  <si>
    <t>GoldenBug</t>
  </si>
  <si>
    <t>SavageBabe</t>
  </si>
  <si>
    <t>세비지 베베</t>
  </si>
  <si>
    <t>Monster013</t>
    <phoneticPr fontId="3" type="noConversion"/>
  </si>
  <si>
    <t>Coco</t>
  </si>
  <si>
    <t>코코</t>
  </si>
  <si>
    <t>Monster014</t>
    <phoneticPr fontId="3" type="noConversion"/>
  </si>
  <si>
    <t>Creamy</t>
  </si>
  <si>
    <t>크리미</t>
  </si>
  <si>
    <t>Monster015</t>
    <phoneticPr fontId="3" type="noConversion"/>
  </si>
  <si>
    <t>Horn</t>
  </si>
  <si>
    <t>호른</t>
  </si>
  <si>
    <t>Monster016</t>
    <phoneticPr fontId="3" type="noConversion"/>
  </si>
  <si>
    <t>Hornet</t>
  </si>
  <si>
    <t>호넷</t>
  </si>
  <si>
    <t>Monster017</t>
    <phoneticPr fontId="3" type="noConversion"/>
  </si>
  <si>
    <t>Tarou</t>
  </si>
  <si>
    <t>타로우</t>
  </si>
  <si>
    <t>Monster018</t>
    <phoneticPr fontId="3" type="noConversion"/>
  </si>
  <si>
    <t>Willow</t>
  </si>
  <si>
    <t>윌로우</t>
  </si>
  <si>
    <t>Monster019</t>
    <phoneticPr fontId="3" type="noConversion"/>
  </si>
  <si>
    <t>Spore</t>
  </si>
  <si>
    <t>스포아</t>
  </si>
  <si>
    <t>Monster020</t>
    <phoneticPr fontId="3" type="noConversion"/>
  </si>
  <si>
    <t>Bigfoot</t>
  </si>
  <si>
    <t>빅풋</t>
  </si>
  <si>
    <t>Monster021</t>
    <phoneticPr fontId="3" type="noConversion"/>
  </si>
  <si>
    <t>Picky</t>
  </si>
  <si>
    <t>픽키</t>
  </si>
  <si>
    <t>Monster022</t>
    <phoneticPr fontId="3" type="noConversion"/>
  </si>
  <si>
    <t>Condor</t>
  </si>
  <si>
    <t>콘도르</t>
  </si>
  <si>
    <t>Monster023</t>
    <phoneticPr fontId="3" type="noConversion"/>
  </si>
  <si>
    <t>Chonchon</t>
  </si>
  <si>
    <t>촌촌</t>
  </si>
  <si>
    <t>Monster024</t>
    <phoneticPr fontId="3" type="noConversion"/>
  </si>
  <si>
    <t>Dragonfly</t>
  </si>
  <si>
    <t>드래곤 플라이</t>
  </si>
  <si>
    <t>Monster025</t>
    <phoneticPr fontId="3" type="noConversion"/>
  </si>
  <si>
    <t>Wolf</t>
  </si>
  <si>
    <t>울프</t>
  </si>
  <si>
    <t>Monster026</t>
    <phoneticPr fontId="3" type="noConversion"/>
  </si>
  <si>
    <t>Pecopeco</t>
  </si>
  <si>
    <t>페코페코</t>
  </si>
  <si>
    <t>Monster027</t>
    <phoneticPr fontId="3" type="noConversion"/>
  </si>
  <si>
    <t>Scorpion</t>
  </si>
  <si>
    <t>스콜피온</t>
  </si>
  <si>
    <t>Monster028</t>
    <phoneticPr fontId="3" type="noConversion"/>
  </si>
  <si>
    <t>VagabondWolf</t>
  </si>
  <si>
    <t>떠돌이 늑대</t>
  </si>
  <si>
    <t>Monster029</t>
    <phoneticPr fontId="3" type="noConversion"/>
  </si>
  <si>
    <t>스켈레톤</t>
  </si>
  <si>
    <t>Monster030</t>
    <phoneticPr fontId="3" type="noConversion"/>
  </si>
  <si>
    <t>Monster031</t>
    <phoneticPr fontId="3" type="noConversion"/>
  </si>
  <si>
    <t>Monster032</t>
    <phoneticPr fontId="3" type="noConversion"/>
  </si>
  <si>
    <t>Monster033</t>
    <phoneticPr fontId="3" type="noConversion"/>
  </si>
  <si>
    <t>SteelChonchon</t>
  </si>
  <si>
    <t>스틸 촌촌</t>
  </si>
  <si>
    <t>Monster034</t>
    <phoneticPr fontId="3" type="noConversion"/>
  </si>
  <si>
    <t>Plankton</t>
  </si>
  <si>
    <t>플랑크톤</t>
  </si>
  <si>
    <t>Monster035</t>
    <phoneticPr fontId="3" type="noConversion"/>
  </si>
  <si>
    <t>Poporing</t>
  </si>
  <si>
    <t>포포링</t>
  </si>
  <si>
    <t>Monster036</t>
    <phoneticPr fontId="3" type="noConversion"/>
  </si>
  <si>
    <t>Toad</t>
  </si>
  <si>
    <t>토드</t>
  </si>
  <si>
    <t>Monster037</t>
    <phoneticPr fontId="3" type="noConversion"/>
  </si>
  <si>
    <t>Tharafrog</t>
  </si>
  <si>
    <t>타라 프로그</t>
  </si>
  <si>
    <t>Monster038</t>
    <phoneticPr fontId="3" type="noConversion"/>
  </si>
  <si>
    <t>ElderWillow</t>
  </si>
  <si>
    <t>엘더 윌로우</t>
  </si>
  <si>
    <t>Monster039</t>
    <phoneticPr fontId="3" type="noConversion"/>
  </si>
  <si>
    <t>PoisonSpore</t>
  </si>
  <si>
    <t>포이즌 스포아</t>
  </si>
  <si>
    <t>Monster040</t>
    <phoneticPr fontId="3" type="noConversion"/>
  </si>
  <si>
    <t>Cramp</t>
  </si>
  <si>
    <t>크램프</t>
  </si>
  <si>
    <t>Monster041</t>
    <phoneticPr fontId="3" type="noConversion"/>
  </si>
  <si>
    <t>GoblinMorningstar</t>
  </si>
  <si>
    <t>고블린(모닝스타)</t>
  </si>
  <si>
    <t>Monster042</t>
    <phoneticPr fontId="3" type="noConversion"/>
  </si>
  <si>
    <t>GoblinHammer</t>
  </si>
  <si>
    <t>고블린(해머)</t>
  </si>
  <si>
    <t>Monster043</t>
    <phoneticPr fontId="3" type="noConversion"/>
  </si>
  <si>
    <t>GoblinFlail</t>
  </si>
  <si>
    <t>고블린(플레일)</t>
  </si>
  <si>
    <t>Monster044</t>
    <phoneticPr fontId="3" type="noConversion"/>
  </si>
  <si>
    <t>GoblinDagger</t>
  </si>
  <si>
    <t>고블린(단검)</t>
  </si>
  <si>
    <t>Monster045</t>
    <phoneticPr fontId="3" type="noConversion"/>
  </si>
  <si>
    <t>GoblinAx</t>
  </si>
  <si>
    <t>고블린(도끼)</t>
  </si>
  <si>
    <t>Monster046</t>
    <phoneticPr fontId="3" type="noConversion"/>
  </si>
  <si>
    <t>GoblinAcher</t>
  </si>
  <si>
    <t>Monster047</t>
    <phoneticPr fontId="3" type="noConversion"/>
  </si>
  <si>
    <t>GoblinSteamRider</t>
  </si>
  <si>
    <t>고블린 스팀라이더</t>
  </si>
  <si>
    <t>Monster048</t>
    <phoneticPr fontId="3" type="noConversion"/>
  </si>
  <si>
    <t>PanzerGoblin</t>
  </si>
  <si>
    <t>팬저 고블린</t>
  </si>
  <si>
    <t>Monster049</t>
    <phoneticPr fontId="3" type="noConversion"/>
  </si>
  <si>
    <t>GoblinLeader</t>
  </si>
  <si>
    <t>고블린 리더</t>
  </si>
  <si>
    <t>Monster050</t>
    <phoneticPr fontId="3" type="noConversion"/>
  </si>
  <si>
    <t>Crab</t>
  </si>
  <si>
    <t>게</t>
  </si>
  <si>
    <t>Monster051</t>
    <phoneticPr fontId="3" type="noConversion"/>
  </si>
  <si>
    <t>Yoyo</t>
  </si>
  <si>
    <t>요요</t>
  </si>
  <si>
    <t>Monster052</t>
    <phoneticPr fontId="3" type="noConversion"/>
  </si>
  <si>
    <t>Choco</t>
  </si>
  <si>
    <t>쵸코</t>
  </si>
  <si>
    <t>Monster053</t>
    <phoneticPr fontId="3" type="noConversion"/>
  </si>
  <si>
    <t>MasterRing</t>
  </si>
  <si>
    <t>마스터링</t>
  </si>
  <si>
    <t>Monster054</t>
    <phoneticPr fontId="3" type="noConversion"/>
  </si>
  <si>
    <t>Galapago</t>
  </si>
  <si>
    <t>갈라파고</t>
  </si>
  <si>
    <t>Monster055</t>
    <phoneticPr fontId="3" type="noConversion"/>
  </si>
  <si>
    <t>SeaOtter</t>
  </si>
  <si>
    <t>해달</t>
  </si>
  <si>
    <t>Monster056</t>
    <phoneticPr fontId="3" type="noConversion"/>
  </si>
  <si>
    <t>FurSeal</t>
  </si>
  <si>
    <t>퍼씰</t>
  </si>
  <si>
    <t>Monster057</t>
    <phoneticPr fontId="3" type="noConversion"/>
  </si>
  <si>
    <t>RotarZairo</t>
  </si>
  <si>
    <t>로터 자이로</t>
  </si>
  <si>
    <t>Monster058</t>
    <phoneticPr fontId="3" type="noConversion"/>
  </si>
  <si>
    <t>Gangster</t>
  </si>
  <si>
    <t>폭력배</t>
  </si>
  <si>
    <t>Monster059</t>
    <phoneticPr fontId="3" type="noConversion"/>
  </si>
  <si>
    <t>Drops</t>
  </si>
  <si>
    <t>드롭프스</t>
  </si>
  <si>
    <t>Monster060</t>
    <phoneticPr fontId="3" type="noConversion"/>
  </si>
  <si>
    <t>Aster</t>
  </si>
  <si>
    <t>에스터</t>
  </si>
  <si>
    <t>Monster061</t>
    <phoneticPr fontId="3" type="noConversion"/>
  </si>
  <si>
    <t>Drainliar</t>
  </si>
  <si>
    <t>드레인리어</t>
  </si>
  <si>
    <t>Monster062</t>
    <phoneticPr fontId="3" type="noConversion"/>
  </si>
  <si>
    <t>DesertWolfBaby</t>
  </si>
  <si>
    <t>데저트 울프 새끼</t>
  </si>
  <si>
    <t>Monster063</t>
    <phoneticPr fontId="3" type="noConversion"/>
  </si>
  <si>
    <t>마그마링</t>
  </si>
  <si>
    <t>Monster064</t>
    <phoneticPr fontId="3" type="noConversion"/>
  </si>
  <si>
    <t>Flora</t>
  </si>
  <si>
    <t>플로라</t>
  </si>
  <si>
    <t>Monster065</t>
    <phoneticPr fontId="3" type="noConversion"/>
  </si>
  <si>
    <t>WildRose</t>
  </si>
  <si>
    <t>와일드 로즈</t>
  </si>
  <si>
    <t>Monster066</t>
    <phoneticPr fontId="3" type="noConversion"/>
  </si>
  <si>
    <t>DesertWolf</t>
  </si>
  <si>
    <t>데저트 울프</t>
  </si>
  <si>
    <t>Monster067</t>
    <phoneticPr fontId="3" type="noConversion"/>
  </si>
  <si>
    <t>Whisper</t>
  </si>
  <si>
    <t>위스퍼</t>
  </si>
  <si>
    <t>Monster068</t>
    <phoneticPr fontId="3" type="noConversion"/>
  </si>
  <si>
    <t>Kraben</t>
  </si>
  <si>
    <t>크라벤</t>
  </si>
  <si>
    <t>Monster069</t>
    <phoneticPr fontId="3" type="noConversion"/>
  </si>
  <si>
    <t>Tamruan</t>
  </si>
  <si>
    <t>탐루안</t>
  </si>
  <si>
    <t>Monster070</t>
    <phoneticPr fontId="3" type="noConversion"/>
  </si>
  <si>
    <t>LadyTanee</t>
  </si>
  <si>
    <t>타니 아가씨</t>
  </si>
  <si>
    <t>Monster071</t>
    <phoneticPr fontId="3" type="noConversion"/>
  </si>
  <si>
    <t>OrcBaby</t>
  </si>
  <si>
    <t>오크 베이비</t>
  </si>
  <si>
    <t>Monster072</t>
    <phoneticPr fontId="3" type="noConversion"/>
  </si>
  <si>
    <t>OrcWarrior</t>
  </si>
  <si>
    <t>오크 워리어</t>
  </si>
  <si>
    <t>Monster073</t>
    <phoneticPr fontId="3" type="noConversion"/>
  </si>
  <si>
    <t>OrcLady</t>
  </si>
  <si>
    <t>오크 레이디</t>
  </si>
  <si>
    <t>Monster074</t>
    <phoneticPr fontId="3" type="noConversion"/>
  </si>
  <si>
    <t>OrcArcher</t>
  </si>
  <si>
    <t>Monster075</t>
    <phoneticPr fontId="3" type="noConversion"/>
  </si>
  <si>
    <t>OrcHero</t>
  </si>
  <si>
    <t>오크 히어로</t>
  </si>
  <si>
    <t>Monster076</t>
    <phoneticPr fontId="3" type="noConversion"/>
  </si>
  <si>
    <t>Monster077</t>
    <phoneticPr fontId="3" type="noConversion"/>
  </si>
  <si>
    <t>Monster078</t>
    <phoneticPr fontId="3" type="noConversion"/>
  </si>
  <si>
    <t>Monster079</t>
    <phoneticPr fontId="3" type="noConversion"/>
  </si>
  <si>
    <t>드레이크</t>
  </si>
  <si>
    <t>Monster080</t>
    <phoneticPr fontId="3" type="noConversion"/>
  </si>
  <si>
    <t>Marin</t>
  </si>
  <si>
    <t>마린</t>
  </si>
  <si>
    <t>Monster081</t>
    <phoneticPr fontId="3" type="noConversion"/>
  </si>
  <si>
    <t>Sasquatch</t>
  </si>
  <si>
    <t>사스콰치</t>
  </si>
  <si>
    <t>Monster082</t>
    <phoneticPr fontId="3" type="noConversion"/>
  </si>
  <si>
    <t>HatiBaby</t>
  </si>
  <si>
    <t>하티 베베</t>
  </si>
  <si>
    <t>Monster083</t>
    <phoneticPr fontId="3" type="noConversion"/>
  </si>
  <si>
    <t>Hati</t>
  </si>
  <si>
    <t>하티</t>
  </si>
  <si>
    <t>Monster084</t>
    <phoneticPr fontId="3" type="noConversion"/>
  </si>
  <si>
    <t>des_id</t>
  </si>
  <si>
    <t>des</t>
    <phoneticPr fontId="3" type="noConversion"/>
  </si>
  <si>
    <t>cupet_id_1</t>
    <phoneticPr fontId="3" type="noConversion"/>
  </si>
  <si>
    <t>cupet_id_2</t>
    <phoneticPr fontId="3" type="noConversion"/>
  </si>
  <si>
    <t>cupet_id_3</t>
  </si>
  <si>
    <t>cupet_id_4</t>
  </si>
  <si>
    <t>target_type</t>
  </si>
  <si>
    <t>battle_option_type_1</t>
    <phoneticPr fontId="3" type="noConversion"/>
  </si>
  <si>
    <t>value1_b1</t>
  </si>
  <si>
    <t>value2_b1</t>
  </si>
  <si>
    <t>battle_option_type_2</t>
  </si>
  <si>
    <t>value1_b2</t>
  </si>
  <si>
    <t>value2_b2</t>
  </si>
  <si>
    <t>battle_option_type_3</t>
  </si>
  <si>
    <t>value1_b3</t>
  </si>
  <si>
    <t>value2_b3</t>
  </si>
  <si>
    <t>battle_option_type_4</t>
  </si>
  <si>
    <t>value1_b4</t>
  </si>
  <si>
    <t>value2_b4</t>
  </si>
  <si>
    <t>고유 아이디</t>
    <phoneticPr fontId="3" type="noConversion"/>
  </si>
  <si>
    <t>스킬 명칭</t>
    <phoneticPr fontId="3" type="noConversion"/>
  </si>
  <si>
    <t>언어</t>
    <phoneticPr fontId="3" type="noConversion"/>
  </si>
  <si>
    <t>필요 큐펫</t>
    <phoneticPr fontId="3" type="noConversion"/>
  </si>
  <si>
    <t>대상 타입</t>
    <phoneticPr fontId="3" type="noConversion"/>
  </si>
  <si>
    <t>인덱스</t>
    <phoneticPr fontId="3" type="noConversion"/>
  </si>
  <si>
    <t>전투 옵션 타입</t>
    <phoneticPr fontId="3" type="noConversion"/>
  </si>
  <si>
    <t>값 1</t>
    <phoneticPr fontId="3" type="noConversion"/>
  </si>
  <si>
    <t>값 2</t>
    <phoneticPr fontId="3" type="noConversion"/>
  </si>
  <si>
    <t>들어갈 값</t>
    <phoneticPr fontId="3" type="noConversion"/>
  </si>
  <si>
    <t>화속성 세트</t>
    <phoneticPr fontId="3" type="noConversion"/>
  </si>
  <si>
    <t>icon_name</t>
  </si>
  <si>
    <t>cupet_id_1</t>
  </si>
  <si>
    <t>포링</t>
    <phoneticPr fontId="3" type="noConversion"/>
  </si>
  <si>
    <t>cupet_id_2</t>
  </si>
  <si>
    <t>포포링</t>
    <phoneticPr fontId="3" type="noConversion"/>
  </si>
  <si>
    <t>마스터링</t>
    <phoneticPr fontId="3" type="noConversion"/>
  </si>
  <si>
    <t>마그마링</t>
    <phoneticPr fontId="3" type="noConversion"/>
  </si>
  <si>
    <t>아군 전체</t>
    <phoneticPr fontId="3" type="noConversion"/>
  </si>
  <si>
    <t>battle_option_type_1</t>
  </si>
  <si>
    <t>화속성 증댐</t>
    <phoneticPr fontId="3" type="noConversion"/>
  </si>
  <si>
    <t>group</t>
    <phoneticPr fontId="3" type="noConversion"/>
  </si>
  <si>
    <t>rate</t>
    <phoneticPr fontId="3" type="noConversion"/>
  </si>
  <si>
    <t>battle_option_type</t>
    <phoneticPr fontId="3" type="noConversion"/>
  </si>
  <si>
    <t>value1</t>
    <phoneticPr fontId="3" type="noConversion"/>
  </si>
  <si>
    <t>value2</t>
    <phoneticPr fontId="3" type="noConversion"/>
  </si>
  <si>
    <t>전옵타</t>
    <phoneticPr fontId="3" type="noConversion"/>
  </si>
  <si>
    <t>Index</t>
    <phoneticPr fontId="3" type="noConversion"/>
  </si>
  <si>
    <t>효과 옵션 (immediately_type = 2)</t>
    <phoneticPr fontId="3" type="noConversion"/>
  </si>
  <si>
    <t>[AllStatus] 전체 능력치</t>
  </si>
  <si>
    <t>증감치</t>
    <phoneticPr fontId="3" type="noConversion"/>
  </si>
  <si>
    <t>설명</t>
    <phoneticPr fontId="3" type="noConversion"/>
  </si>
  <si>
    <t>[Str] 근력</t>
  </si>
  <si>
    <t>[Agi] 민첩</t>
  </si>
  <si>
    <t>확률 그룹</t>
    <phoneticPr fontId="3" type="noConversion"/>
  </si>
  <si>
    <t>[Vit] 체력</t>
  </si>
  <si>
    <t>그룹에서 효과 등장 확률</t>
    <phoneticPr fontId="3" type="noConversion"/>
  </si>
  <si>
    <t>[Int] 지력</t>
  </si>
  <si>
    <t>[Dex] 재주</t>
  </si>
  <si>
    <t>값1</t>
    <phoneticPr fontId="3" type="noConversion"/>
  </si>
  <si>
    <t>[Luk] 운</t>
  </si>
  <si>
    <t>값2</t>
    <phoneticPr fontId="3" type="noConversion"/>
  </si>
  <si>
    <t>[MaxHP] 전체 체력</t>
  </si>
  <si>
    <t>증감율</t>
    <phoneticPr fontId="3" type="noConversion"/>
  </si>
  <si>
    <t>[RegenHP] 체력 재생</t>
  </si>
  <si>
    <t>[Atk] 물리 공격력</t>
  </si>
  <si>
    <t>[MAtk] 마법 공격력</t>
  </si>
  <si>
    <t>[Def] 물리 방어력</t>
  </si>
  <si>
    <t>[MDef] 마법 방어력</t>
  </si>
  <si>
    <t>[Hit] 명중률 증감치</t>
  </si>
  <si>
    <t>[Flee] 회피율 증감치</t>
  </si>
  <si>
    <t>[AtkSpd] 공격 속도</t>
  </si>
  <si>
    <t>[CriRate] 치명타 확률</t>
  </si>
  <si>
    <t>[CriRateResist]  치명타 확률 저항율</t>
  </si>
  <si>
    <t>[CriDmgRate] 치명타 대미지</t>
  </si>
  <si>
    <t>[AtkRange] 공격 사정 거리</t>
  </si>
  <si>
    <t>[MoveSpd] 이동 속도</t>
  </si>
  <si>
    <t>[Cooldown] 재사용 대기시간</t>
  </si>
  <si>
    <t>[DmgRate] 전체 대미지</t>
  </si>
  <si>
    <t>[DmgRateResist] 대미지 저항</t>
  </si>
  <si>
    <t>[MeleeDmgRate] 근거리 대미지</t>
  </si>
  <si>
    <t>[MeleeDmgRateResist] 근거리 대미지 저항</t>
  </si>
  <si>
    <t>[RangedDmg] 원거리 대미지</t>
  </si>
  <si>
    <t>[RangedDmgRateResist] 원거리 대미지 저항</t>
  </si>
  <si>
    <t>[NormalDmgRate] 일반 몬스터 대미지</t>
    <phoneticPr fontId="3" type="noConversion"/>
  </si>
  <si>
    <t>[BossDmgRate] 보스 몬스터 대미지</t>
    <phoneticPr fontId="3" type="noConversion"/>
  </si>
  <si>
    <t>[AllStatusEffectRateResist] 모든 상태 이상 저항</t>
  </si>
  <si>
    <t>[NeutralDmgRate] 무속성 대미지</t>
  </si>
  <si>
    <t>[NeutralDmgRateResist] 무속성 대미지 저항</t>
  </si>
  <si>
    <t>[FireDmgRate] 화속성 대미지</t>
  </si>
  <si>
    <t>[FireDmgRateResist] 화속성 대미지 저항</t>
  </si>
  <si>
    <t>[WaterDmgRate] 수속성 대미지</t>
  </si>
  <si>
    <t>[WaterDmgRateResist] 수속성 대미지 저항</t>
  </si>
  <si>
    <t>[WindDmgRate] 풍속성 대미지</t>
  </si>
  <si>
    <t>[WindDmgRateResist] 풍속성 대미지 저항</t>
  </si>
  <si>
    <t>[EarthDmgRate] 지속성 대미지</t>
  </si>
  <si>
    <t>[EarthDmgRateResist] 지속성 대미지 저항</t>
  </si>
  <si>
    <t>[PoisonDmgRate] 독속성 대미지</t>
  </si>
  <si>
    <t>[PoisonDmgRateResist] 독속성 대미지 저항</t>
  </si>
  <si>
    <t>[HolyDmgRate] 성속성 대미지</t>
  </si>
  <si>
    <t>[HolyDmgRateResist] 성속성 대미지 저항</t>
  </si>
  <si>
    <t>[ShadowDmgRate] 암속성 대미지</t>
  </si>
  <si>
    <t>[ShadowDmgRateResist] 암속성 대미지 저항</t>
  </si>
  <si>
    <t>[GhostDmgRate] 염속성 대미지</t>
  </si>
  <si>
    <t>[GhostDmgRateResist] 염속성 대미지 저항</t>
  </si>
  <si>
    <t>[UndeadDmgRate] 언속성 대미지</t>
  </si>
  <si>
    <t>[UndeadDmgRateResist] 언속성 대미지 저항</t>
  </si>
  <si>
    <t>패널 옵션은 100~150번 까지만 쓸 것! (붉은색들도 가급적 주지말 것)</t>
    <phoneticPr fontId="3" type="noConversion"/>
  </si>
  <si>
    <t>패널 옵션은 100~150번 까지만 쓸 것! (119번도 가급적 주지말 것)</t>
    <phoneticPr fontId="3" type="noConversion"/>
  </si>
  <si>
    <t>초심자의 친구</t>
  </si>
  <si>
    <t>우리는 모두 친구</t>
  </si>
  <si>
    <t>당근빛 조각사</t>
  </si>
  <si>
    <t>세상에 믿을건 오직 당근뿐이다</t>
  </si>
  <si>
    <t>젤로피 파티</t>
  </si>
  <si>
    <t>말캉몰캉한 젤로피들</t>
  </si>
  <si>
    <t>파브르 곤충기</t>
  </si>
  <si>
    <t>위인을 기리며</t>
  </si>
  <si>
    <t>배트 케이브</t>
  </si>
  <si>
    <t>팝콘이나 가져와라</t>
  </si>
  <si>
    <t>생존왕</t>
  </si>
  <si>
    <t>제가 한번 먹어보겠습니다</t>
  </si>
  <si>
    <t>비가 오는 날엔</t>
  </si>
  <si>
    <t>눈물 나는 날엔</t>
  </si>
  <si>
    <t>식목일</t>
  </si>
  <si>
    <t>식물을 가꿉시다</t>
  </si>
  <si>
    <t>위잉위잉</t>
  </si>
  <si>
    <t>귀에 맴도는 그 소리</t>
  </si>
  <si>
    <t>무속성 세트</t>
  </si>
  <si>
    <t>무심한 큐펫들</t>
  </si>
  <si>
    <t>화속성 세트</t>
  </si>
  <si>
    <t>뜨거운 큐펫들</t>
  </si>
  <si>
    <t>수속성 세트</t>
  </si>
  <si>
    <t>차가운 큐펫들</t>
  </si>
  <si>
    <t>풍속성 세트</t>
  </si>
  <si>
    <t>시원한 큐펫들</t>
  </si>
  <si>
    <t>지속성 세트</t>
  </si>
  <si>
    <t>단단한 큐펫들</t>
  </si>
  <si>
    <t>독속성 세트</t>
  </si>
  <si>
    <t>중독된 큐펫들</t>
  </si>
  <si>
    <t>암속성 세트</t>
  </si>
  <si>
    <t>어두운 큐펫들</t>
  </si>
  <si>
    <t>염속성 세트</t>
  </si>
  <si>
    <t>호리한 큐펫들</t>
  </si>
  <si>
    <t>파리채가 필요해</t>
  </si>
  <si>
    <t>잡지로도 가능</t>
  </si>
  <si>
    <t>보름달의 하울링</t>
  </si>
  <si>
    <t>아우우우</t>
  </si>
  <si>
    <t>몽키 매직</t>
  </si>
  <si>
    <t>몽키 몽키 매직 몽키매직</t>
  </si>
  <si>
    <t>고블린 슬레이어</t>
  </si>
  <si>
    <t>순수한 마음의 고블린들</t>
  </si>
  <si>
    <t>오크를 위하여</t>
  </si>
  <si>
    <t>우리는 약자가 되지 않는다</t>
  </si>
  <si>
    <t>합계</t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</si>
  <si>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사</t>
    </r>
  </si>
  <si>
    <t>같음</t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</si>
  <si>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사</t>
    </r>
  </si>
  <si>
    <t>(+)</t>
    <phoneticPr fontId="4" type="noConversion"/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</si>
  <si>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염</t>
    </r>
  </si>
  <si>
    <t>마법이 높음</t>
    <phoneticPr fontId="4" type="noConversion"/>
  </si>
  <si>
    <t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</si>
  <si>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염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</si>
  <si>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암</t>
    </r>
  </si>
  <si>
    <t>물리가 높음</t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</si>
  <si>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암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</si>
  <si>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독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</si>
  <si>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독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</si>
  <si>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지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</si>
  <si>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지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</si>
  <si>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풍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</si>
  <si>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풍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</si>
  <si>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수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</si>
  <si>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수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</si>
  <si>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화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</si>
  <si>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화</t>
    </r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</si>
  <si>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무</t>
    </r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</si>
  <si>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무</t>
    </r>
  </si>
  <si>
    <t>합계</t>
    <phoneticPr fontId="4" type="noConversion"/>
  </si>
  <si>
    <t>사</t>
    <phoneticPr fontId="4" type="noConversion"/>
  </si>
  <si>
    <t>염</t>
    <phoneticPr fontId="4" type="noConversion"/>
  </si>
  <si>
    <t>암</t>
    <phoneticPr fontId="4" type="noConversion"/>
  </si>
  <si>
    <t>성</t>
    <phoneticPr fontId="4" type="noConversion"/>
  </si>
  <si>
    <t>독</t>
    <phoneticPr fontId="4" type="noConversion"/>
  </si>
  <si>
    <t>지</t>
    <phoneticPr fontId="4" type="noConversion"/>
  </si>
  <si>
    <t>풍</t>
    <phoneticPr fontId="4" type="noConversion"/>
  </si>
  <si>
    <t>수</t>
    <phoneticPr fontId="4" type="noConversion"/>
  </si>
  <si>
    <t>화</t>
    <phoneticPr fontId="4" type="noConversion"/>
  </si>
  <si>
    <t>무</t>
    <phoneticPr fontId="4" type="noConversion"/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</si>
  <si>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지원</t>
    </r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</si>
  <si>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지원</t>
    </r>
    <phoneticPr fontId="4" type="noConversion"/>
  </si>
  <si>
    <t>하이위자드 카트린느[염]</t>
    <phoneticPr fontId="4" type="noConversion"/>
  </si>
  <si>
    <t>+</t>
    <phoneticPr fontId="4" type="noConversion"/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</si>
  <si>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공격</t>
    </r>
    <phoneticPr fontId="4" type="noConversion"/>
  </si>
  <si>
    <t>스나이퍼 셰실[풍]</t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</si>
  <si>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공격</t>
    </r>
    <phoneticPr fontId="4" type="noConversion"/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</si>
  <si>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방어</t>
    </r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</si>
  <si>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방어</t>
    </r>
    <phoneticPr fontId="4" type="noConversion"/>
  </si>
  <si>
    <t>로드나이트 세이렌[화] Boss</t>
    <phoneticPr fontId="4" type="noConversion"/>
  </si>
  <si>
    <r>
      <rPr>
        <sz val="9"/>
        <color theme="4"/>
        <rFont val="굴림"/>
        <family val="3"/>
        <charset val="129"/>
      </rPr>
      <t>M</t>
    </r>
    <r>
      <rPr>
        <sz val="9"/>
        <color theme="1"/>
        <rFont val="굴림"/>
        <family val="3"/>
        <charset val="129"/>
      </rPr>
      <t>돌진</t>
    </r>
    <phoneticPr fontId="4" type="noConversion"/>
  </si>
  <si>
    <t>어쌔신 크로스 에레메스[독]</t>
    <phoneticPr fontId="4" type="noConversion"/>
  </si>
  <si>
    <r>
      <rPr>
        <sz val="9"/>
        <color theme="5"/>
        <rFont val="굴림"/>
        <family val="3"/>
        <charset val="129"/>
      </rPr>
      <t>A</t>
    </r>
    <r>
      <rPr>
        <sz val="9"/>
        <color theme="1"/>
        <rFont val="굴림"/>
        <family val="3"/>
        <charset val="129"/>
      </rPr>
      <t>돌진</t>
    </r>
    <phoneticPr fontId="4" type="noConversion"/>
  </si>
  <si>
    <t>마딜</t>
    <phoneticPr fontId="4" type="noConversion"/>
  </si>
  <si>
    <t>물딜</t>
    <phoneticPr fontId="4" type="noConversion"/>
  </si>
  <si>
    <t>지원</t>
    <phoneticPr fontId="4" type="noConversion"/>
  </si>
  <si>
    <t>공격</t>
    <phoneticPr fontId="4" type="noConversion"/>
  </si>
  <si>
    <t>방어</t>
    <phoneticPr fontId="4" type="noConversion"/>
  </si>
  <si>
    <t>공격 스킬 + 버프 스킬일 경우 공격 스킬 -&gt; 버프 스킬 순</t>
    <phoneticPr fontId="4" type="noConversion"/>
  </si>
  <si>
    <t>돌진</t>
    <phoneticPr fontId="4" type="noConversion"/>
  </si>
  <si>
    <t>혼합딜 / 원거리 + 광역기 + 화상,빙결,스턴</t>
    <phoneticPr fontId="4" type="noConversion"/>
  </si>
  <si>
    <t>자연재해</t>
    <phoneticPr fontId="4" type="noConversion"/>
  </si>
  <si>
    <t>마법딜 / 원거리 + 광역기 + 화상</t>
    <phoneticPr fontId="4" type="noConversion"/>
  </si>
  <si>
    <t>메테오 스톰</t>
    <phoneticPr fontId="4" type="noConversion"/>
  </si>
  <si>
    <t>공격</t>
  </si>
  <si>
    <t>이프리트</t>
    <phoneticPr fontId="4" type="noConversion"/>
  </si>
  <si>
    <t>물리딜 / 근거리 + 단일기 + 스턴</t>
    <phoneticPr fontId="4" type="noConversion"/>
  </si>
  <si>
    <t>소닉 블로우</t>
    <phoneticPr fontId="4" type="noConversion"/>
  </si>
  <si>
    <t>혼합딜 / 돌진기 + 광역기</t>
    <phoneticPr fontId="4" type="noConversion"/>
  </si>
  <si>
    <t>매그넘 브레이크</t>
    <phoneticPr fontId="4" type="noConversion"/>
  </si>
  <si>
    <t>돌진</t>
  </si>
  <si>
    <t>살라만다</t>
    <phoneticPr fontId="4" type="noConversion"/>
  </si>
  <si>
    <t>마법딜 / 근거리 + 단일기 + 스턴</t>
    <phoneticPr fontId="4" type="noConversion"/>
  </si>
  <si>
    <t>파이어 피어스</t>
    <phoneticPr fontId="4" type="noConversion"/>
  </si>
  <si>
    <t>마법딜 / 중거리 + 광역기 + 화상</t>
    <phoneticPr fontId="4" type="noConversion"/>
  </si>
  <si>
    <t>파이어 브레스</t>
    <phoneticPr fontId="4" type="noConversion"/>
  </si>
  <si>
    <t>카사</t>
    <phoneticPr fontId="4" type="noConversion"/>
  </si>
  <si>
    <t>-</t>
    <phoneticPr fontId="4" type="noConversion"/>
  </si>
  <si>
    <t>자버프 / 공속 + 이속(↑)</t>
    <phoneticPr fontId="4" type="noConversion"/>
  </si>
  <si>
    <t>분노</t>
    <phoneticPr fontId="4" type="noConversion"/>
  </si>
  <si>
    <t>파이어 러쉬</t>
    <phoneticPr fontId="4" type="noConversion"/>
  </si>
  <si>
    <t>임프</t>
    <phoneticPr fontId="4" type="noConversion"/>
  </si>
  <si>
    <t>물리 / 근접 치명타 단일 딜러</t>
    <phoneticPr fontId="4" type="noConversion"/>
  </si>
  <si>
    <t>자버프 / 치명댐 + 치확률(↑)</t>
    <phoneticPr fontId="4" type="noConversion"/>
  </si>
  <si>
    <t>폭기</t>
    <phoneticPr fontId="4" type="noConversion"/>
  </si>
  <si>
    <t>물리딜 / 단일기 + 출혈</t>
    <phoneticPr fontId="4" type="noConversion"/>
  </si>
  <si>
    <t>헤드 크러쉬 - 암</t>
    <phoneticPr fontId="4" type="noConversion"/>
  </si>
  <si>
    <t>아트로스</t>
    <phoneticPr fontId="4" type="noConversion"/>
  </si>
  <si>
    <t>물리딜 / 근접기 + 단일기 + 스턴</t>
    <phoneticPr fontId="4" type="noConversion"/>
  </si>
  <si>
    <t>박치기</t>
    <phoneticPr fontId="4" type="noConversion"/>
  </si>
  <si>
    <t>물리딜 / 원거리 + 단일기 + 연타</t>
    <phoneticPr fontId="4" type="noConversion"/>
  </si>
  <si>
    <t>콤보 공격</t>
    <phoneticPr fontId="4" type="noConversion"/>
  </si>
  <si>
    <t>타오군 카</t>
    <phoneticPr fontId="4" type="noConversion"/>
  </si>
  <si>
    <t>광버프 / 원거리댐+공속(↑)</t>
    <phoneticPr fontId="4" type="noConversion"/>
  </si>
  <si>
    <t>붕붕 냥냥</t>
    <phoneticPr fontId="4" type="noConversion"/>
  </si>
  <si>
    <t>광디벞 / 원거리댐 + 공속(↓)</t>
    <phoneticPr fontId="4" type="noConversion"/>
  </si>
  <si>
    <t>냥냥 붕붕</t>
    <phoneticPr fontId="4" type="noConversion"/>
  </si>
  <si>
    <t>지원</t>
  </si>
  <si>
    <t>와일드 라이더</t>
    <phoneticPr fontId="4" type="noConversion"/>
  </si>
  <si>
    <t>물리딜 / 돌진기 + 광역기 + Cc</t>
    <phoneticPr fontId="4" type="noConversion"/>
  </si>
  <si>
    <t>쉴드 브레이크</t>
    <phoneticPr fontId="4" type="noConversion"/>
  </si>
  <si>
    <t>물리딜 / 근접기 + 광역기 + 스턴</t>
    <phoneticPr fontId="4" type="noConversion"/>
  </si>
  <si>
    <t>기합권</t>
    <phoneticPr fontId="4" type="noConversion"/>
  </si>
  <si>
    <t>오크 로드</t>
    <phoneticPr fontId="4" type="noConversion"/>
  </si>
  <si>
    <t>마법딜 / 원거리 + 광역기 + 스턴</t>
    <phoneticPr fontId="4" type="noConversion"/>
  </si>
  <si>
    <t>다크 선더</t>
    <phoneticPr fontId="4" type="noConversion"/>
  </si>
  <si>
    <t>마법딜 / 원거리 + 광역기 + 중독</t>
    <phoneticPr fontId="4" type="noConversion"/>
  </si>
  <si>
    <t>죽음의 숨결</t>
    <phoneticPr fontId="4" type="noConversion"/>
  </si>
  <si>
    <t>오시리스</t>
    <phoneticPr fontId="4" type="noConversion"/>
  </si>
  <si>
    <t>마법딜 / 근접기 + 광역기 + 스턴</t>
    <phoneticPr fontId="4" type="noConversion"/>
  </si>
  <si>
    <t>헤븐즈 드라이브</t>
    <phoneticPr fontId="4" type="noConversion"/>
  </si>
  <si>
    <t>혼합딜 / 원거리 + 단일기 + 출혈</t>
    <phoneticPr fontId="4" type="noConversion"/>
  </si>
  <si>
    <t>출혈탄</t>
    <phoneticPr fontId="4" type="noConversion"/>
  </si>
  <si>
    <t>프리오니</t>
    <phoneticPr fontId="4" type="noConversion"/>
  </si>
  <si>
    <t>마법딜 / 근접기 + 광역기</t>
    <phoneticPr fontId="4" type="noConversion"/>
  </si>
  <si>
    <t>이그니션 브레이크</t>
    <phoneticPr fontId="4" type="noConversion"/>
  </si>
  <si>
    <t>에드가</t>
    <phoneticPr fontId="4" type="noConversion"/>
  </si>
  <si>
    <t>자버프 / 물방 + 마방 + Cc저항(↑)</t>
    <phoneticPr fontId="4" type="noConversion"/>
  </si>
  <si>
    <t>인듀어</t>
    <phoneticPr fontId="4" type="noConversion"/>
  </si>
  <si>
    <t>배치기</t>
    <phoneticPr fontId="4" type="noConversion"/>
  </si>
  <si>
    <t>방어</t>
  </si>
  <si>
    <t>세비지</t>
    <phoneticPr fontId="4" type="noConversion"/>
  </si>
  <si>
    <t>버서크 / 물공 + 마공 + 이속(↑) 회피(↓)</t>
    <phoneticPr fontId="4" type="noConversion"/>
  </si>
  <si>
    <t>버서크</t>
    <phoneticPr fontId="4" type="noConversion"/>
  </si>
  <si>
    <t>마법딜 / 원거리 + 광역기 + 빙결</t>
    <phoneticPr fontId="4" type="noConversion"/>
  </si>
  <si>
    <t>스톰 가스트</t>
    <phoneticPr fontId="4" type="noConversion"/>
  </si>
  <si>
    <t>하티</t>
    <phoneticPr fontId="4" type="noConversion"/>
  </si>
  <si>
    <t>혼합딜 / 원거리 + 광역기 + 빙결</t>
    <phoneticPr fontId="4" type="noConversion"/>
  </si>
  <si>
    <t>얼음 강타</t>
    <phoneticPr fontId="4" type="noConversion"/>
  </si>
  <si>
    <t>마법딜 / 돌진기 + 단일기 + 스턴</t>
    <phoneticPr fontId="4" type="noConversion"/>
  </si>
  <si>
    <t>광역 스턴 탱커</t>
    <phoneticPr fontId="4" type="noConversion"/>
  </si>
  <si>
    <t>자버프 / 마방 + Cc저항(↑)</t>
    <phoneticPr fontId="4" type="noConversion"/>
  </si>
  <si>
    <t>방어 태세 - 마법</t>
    <phoneticPr fontId="4" type="noConversion"/>
  </si>
  <si>
    <t>벽긁기</t>
    <phoneticPr fontId="4" type="noConversion"/>
  </si>
  <si>
    <t>물리딜 / 원거리 + 단일기 + 빙결</t>
    <phoneticPr fontId="4" type="noConversion"/>
  </si>
  <si>
    <t>빙결탄</t>
    <phoneticPr fontId="4" type="noConversion"/>
  </si>
  <si>
    <t>광디벞 / 물방 + 마방 + 회피 + 크리저항(↓)</t>
    <phoneticPr fontId="4" type="noConversion"/>
  </si>
  <si>
    <t>사형 선고</t>
    <phoneticPr fontId="4" type="noConversion"/>
  </si>
  <si>
    <t>물리딜 / 근거리 + 단일기 + 연타</t>
    <phoneticPr fontId="4" type="noConversion"/>
  </si>
  <si>
    <t>4연격</t>
    <phoneticPr fontId="4" type="noConversion"/>
  </si>
  <si>
    <t>드레이크</t>
    <phoneticPr fontId="4" type="noConversion"/>
  </si>
  <si>
    <t>물리 / 저주 디버퍼 탱커</t>
    <phoneticPr fontId="4" type="noConversion"/>
  </si>
  <si>
    <t>혼합딜 / 근접기 + 단일기 + 저주</t>
    <phoneticPr fontId="4" type="noConversion"/>
  </si>
  <si>
    <t>저주 꽂기</t>
    <phoneticPr fontId="4" type="noConversion"/>
  </si>
  <si>
    <t>저주 베기</t>
    <phoneticPr fontId="4" type="noConversion"/>
  </si>
  <si>
    <t>파이어럿 스켈</t>
    <phoneticPr fontId="4" type="noConversion"/>
  </si>
  <si>
    <t>마법 / 저주 디버퍼 탱커</t>
    <phoneticPr fontId="4" type="noConversion"/>
  </si>
  <si>
    <t>세일러 스컬</t>
    <phoneticPr fontId="4" type="noConversion"/>
  </si>
  <si>
    <t>마법 / 저주 디버퍼 서포터</t>
    <phoneticPr fontId="4" type="noConversion"/>
  </si>
  <si>
    <t>광디벞 / 공속 + 이속(↓)</t>
    <phoneticPr fontId="4" type="noConversion"/>
  </si>
  <si>
    <t>속도 저하</t>
    <phoneticPr fontId="4" type="noConversion"/>
  </si>
  <si>
    <t>광디벞 / 물공 + 마공(↓)</t>
    <phoneticPr fontId="4" type="noConversion"/>
  </si>
  <si>
    <t>공격 약화</t>
    <phoneticPr fontId="4" type="noConversion"/>
  </si>
  <si>
    <t>고스트링</t>
    <phoneticPr fontId="4" type="noConversion"/>
  </si>
  <si>
    <t>물리 평타 딜러</t>
    <phoneticPr fontId="4" type="noConversion"/>
  </si>
  <si>
    <t>광버프 / 공속 + 물방 + 마방(↑)</t>
    <phoneticPr fontId="4" type="noConversion"/>
  </si>
  <si>
    <t>지휘의 외침</t>
    <phoneticPr fontId="4" type="noConversion"/>
  </si>
  <si>
    <t>물리딜 / 원거리 + 광역기</t>
    <phoneticPr fontId="4" type="noConversion"/>
  </si>
  <si>
    <t>대지 가르기</t>
    <phoneticPr fontId="4" type="noConversion"/>
  </si>
  <si>
    <t>광역 물리 공격</t>
    <phoneticPr fontId="4" type="noConversion"/>
  </si>
  <si>
    <t>애로우 붐</t>
    <phoneticPr fontId="4" type="noConversion"/>
  </si>
  <si>
    <t>에임드 볼트 - 지</t>
    <phoneticPr fontId="4" type="noConversion"/>
  </si>
  <si>
    <t>단디벞 / 물방 + 마방(↓)</t>
    <phoneticPr fontId="4" type="noConversion"/>
  </si>
  <si>
    <t>갑옷 해제</t>
    <phoneticPr fontId="4" type="noConversion"/>
  </si>
  <si>
    <t>자버프 / 근거리댐 저항(↑)</t>
    <phoneticPr fontId="4" type="noConversion"/>
  </si>
  <si>
    <t>충격 흡수</t>
    <phoneticPr fontId="4" type="noConversion"/>
  </si>
  <si>
    <t>물리딜 / 근접기 + 광역기 + 저주</t>
    <phoneticPr fontId="4" type="noConversion"/>
  </si>
  <si>
    <t>액스 브레이크</t>
    <phoneticPr fontId="4" type="noConversion"/>
  </si>
  <si>
    <t>탱킹형 서포터</t>
    <phoneticPr fontId="4" type="noConversion"/>
  </si>
  <si>
    <t>광버프 / 물공 + 마공(↑)</t>
    <phoneticPr fontId="4" type="noConversion"/>
  </si>
  <si>
    <t>공격력 지원</t>
    <phoneticPr fontId="4" type="noConversion"/>
  </si>
  <si>
    <t>광버프 / 공속(↑)</t>
    <phoneticPr fontId="4" type="noConversion"/>
  </si>
  <si>
    <t>활력 지원</t>
    <phoneticPr fontId="4" type="noConversion"/>
  </si>
  <si>
    <t>혼합딜러를 위한 서포터</t>
    <phoneticPr fontId="4" type="noConversion"/>
  </si>
  <si>
    <t>별의 축복</t>
    <phoneticPr fontId="4" type="noConversion"/>
  </si>
  <si>
    <t>광버프 / 체력 비례 즉시 회복</t>
    <phoneticPr fontId="4" type="noConversion"/>
  </si>
  <si>
    <t>회복 지원</t>
    <phoneticPr fontId="4" type="noConversion"/>
  </si>
  <si>
    <t>혼합딜 / 근접기 + 광역기 + 저주</t>
    <phoneticPr fontId="4" type="noConversion"/>
  </si>
  <si>
    <t>영혼 방출</t>
    <phoneticPr fontId="4" type="noConversion"/>
  </si>
  <si>
    <t>물리딜 / 근접기 + 단일기</t>
    <phoneticPr fontId="4" type="noConversion"/>
  </si>
  <si>
    <t>귀신 베기</t>
    <phoneticPr fontId="4" type="noConversion"/>
  </si>
  <si>
    <t>굉음</t>
    <phoneticPr fontId="4" type="noConversion"/>
  </si>
  <si>
    <t>혼합딜 / 근접기 + 단일기 + 연타</t>
    <phoneticPr fontId="4" type="noConversion"/>
  </si>
  <si>
    <t>연속 베기 - 염</t>
    <phoneticPr fontId="4" type="noConversion"/>
  </si>
  <si>
    <t>완벽한 디버퍼</t>
    <phoneticPr fontId="4" type="noConversion"/>
  </si>
  <si>
    <t>광디벞 / 치확 + 치댐(↓)</t>
    <phoneticPr fontId="4" type="noConversion"/>
  </si>
  <si>
    <t>빙의</t>
    <phoneticPr fontId="4" type="noConversion"/>
  </si>
  <si>
    <t>광디벞 / 명중 + 치명타 확률(↓)</t>
    <phoneticPr fontId="4" type="noConversion"/>
  </si>
  <si>
    <t>잿빛 안개</t>
    <phoneticPr fontId="4" type="noConversion"/>
  </si>
  <si>
    <t>디버퍼 출혈 탱커</t>
    <phoneticPr fontId="4" type="noConversion"/>
  </si>
  <si>
    <t>광디벞 / 물공 + 마공 + 명중(↓)</t>
    <phoneticPr fontId="4" type="noConversion"/>
  </si>
  <si>
    <t>울부짖기</t>
    <phoneticPr fontId="4" type="noConversion"/>
  </si>
  <si>
    <t>혼합딜 / 근접기 + 단일기 + 출혈</t>
    <phoneticPr fontId="4" type="noConversion"/>
  </si>
  <si>
    <t>물어뜯기</t>
    <phoneticPr fontId="4" type="noConversion"/>
  </si>
  <si>
    <t>마법형 치명타 딜러</t>
    <phoneticPr fontId="4" type="noConversion"/>
  </si>
  <si>
    <t>자버프 / 크확 + 크댐(↑)</t>
    <phoneticPr fontId="4" type="noConversion"/>
  </si>
  <si>
    <t>그루밍</t>
    <phoneticPr fontId="4" type="noConversion"/>
  </si>
  <si>
    <t>혼합딜 / 근접기 + 단일기 + 4연타</t>
    <phoneticPr fontId="4" type="noConversion"/>
  </si>
  <si>
    <t>연속 베기 - 풍</t>
    <phoneticPr fontId="4" type="noConversion"/>
  </si>
  <si>
    <t>흡혈형 탱커</t>
    <phoneticPr fontId="4" type="noConversion"/>
  </si>
  <si>
    <t>자버프 / 체젠 + 회피(↑)</t>
    <phoneticPr fontId="4" type="noConversion"/>
  </si>
  <si>
    <t>아침 햇살</t>
    <phoneticPr fontId="4" type="noConversion"/>
  </si>
  <si>
    <t>혼합딜 / 근접기 + 단일기 + 흡혈</t>
    <phoneticPr fontId="4" type="noConversion"/>
  </si>
  <si>
    <t>생명력 흡수 - 지</t>
    <phoneticPr fontId="4" type="noConversion"/>
  </si>
  <si>
    <t>자버프 / 지속 + 원거리 저항↑</t>
    <phoneticPr fontId="4" type="noConversion"/>
  </si>
  <si>
    <t>용암 방벽</t>
    <phoneticPr fontId="4" type="noConversion"/>
  </si>
  <si>
    <t>마법딜 / 근거리 + 광역기 + 화상</t>
    <phoneticPr fontId="4" type="noConversion"/>
  </si>
  <si>
    <t>화염 폭발</t>
    <phoneticPr fontId="4" type="noConversion"/>
  </si>
  <si>
    <t>마그마링</t>
    <phoneticPr fontId="4" type="noConversion"/>
  </si>
  <si>
    <t>광버프 / 명중 + 회피(↑)</t>
    <phoneticPr fontId="4" type="noConversion"/>
  </si>
  <si>
    <t>집중력 지원</t>
    <phoneticPr fontId="4" type="noConversion"/>
  </si>
  <si>
    <t>광버프 / 이속(↑)</t>
    <phoneticPr fontId="4" type="noConversion"/>
  </si>
  <si>
    <t>신속 - 지원</t>
    <phoneticPr fontId="4" type="noConversion"/>
  </si>
  <si>
    <t>마공형 피흡 딜러</t>
    <phoneticPr fontId="4" type="noConversion"/>
  </si>
  <si>
    <t>혼합딜 / 돌진기 + 단일기 + 저주</t>
    <phoneticPr fontId="4" type="noConversion"/>
  </si>
  <si>
    <t>약화</t>
    <phoneticPr fontId="4" type="noConversion"/>
  </si>
  <si>
    <t>생명력 흡수 - 암</t>
    <phoneticPr fontId="4" type="noConversion"/>
  </si>
  <si>
    <t>저주형 광역체젠+버퍼</t>
    <phoneticPr fontId="4" type="noConversion"/>
  </si>
  <si>
    <t>광버프 / 체젠 + 화속,수속 저항</t>
    <phoneticPr fontId="4" type="noConversion"/>
  </si>
  <si>
    <t>오아시스</t>
    <phoneticPr fontId="4" type="noConversion"/>
  </si>
  <si>
    <t>혼합딜 / 원거리 + 단일기 + 저주</t>
    <phoneticPr fontId="4" type="noConversion"/>
  </si>
  <si>
    <t>저주 포자</t>
    <phoneticPr fontId="4" type="noConversion"/>
  </si>
  <si>
    <t>자버프 / 크확(↑)</t>
    <phoneticPr fontId="4" type="noConversion"/>
  </si>
  <si>
    <t>오렌지 주스</t>
    <phoneticPr fontId="4" type="noConversion"/>
  </si>
  <si>
    <t>마법딜 / 원거리 + 단일기 + 화상</t>
    <phoneticPr fontId="4" type="noConversion"/>
  </si>
  <si>
    <t>화염탄</t>
    <phoneticPr fontId="4" type="noConversion"/>
  </si>
  <si>
    <t>물리형 광역 딜러</t>
    <phoneticPr fontId="4" type="noConversion"/>
  </si>
  <si>
    <t>혼합딜 / 원거리 + 광역기 + 스턴</t>
    <phoneticPr fontId="4" type="noConversion"/>
  </si>
  <si>
    <t>모래뿌리기</t>
    <phoneticPr fontId="4" type="noConversion"/>
  </si>
  <si>
    <t>물리딜 / 돌진기 + 광역기</t>
    <phoneticPr fontId="4" type="noConversion"/>
  </si>
  <si>
    <t>폭렬킥</t>
    <phoneticPr fontId="4" type="noConversion"/>
  </si>
  <si>
    <t>혼합딜 / 근거리 + 광역기 (계수↓)</t>
    <phoneticPr fontId="4" type="noConversion"/>
  </si>
  <si>
    <t>자폭</t>
    <phoneticPr fontId="4" type="noConversion"/>
  </si>
  <si>
    <t>혼합딜 / 원거리 + 광역기 (계수↓)</t>
    <phoneticPr fontId="4" type="noConversion"/>
  </si>
  <si>
    <t>포탄 발포</t>
    <phoneticPr fontId="4" type="noConversion"/>
  </si>
  <si>
    <t>물리형 연타 딜러</t>
    <phoneticPr fontId="4" type="noConversion"/>
  </si>
  <si>
    <t>마법딜 / 근거리 + 광역기 + 연타</t>
    <phoneticPr fontId="4" type="noConversion"/>
  </si>
  <si>
    <t>흙장난</t>
    <phoneticPr fontId="4" type="noConversion"/>
  </si>
  <si>
    <t>마법딜 / 근거리 + 단일기 + 연타</t>
    <phoneticPr fontId="4" type="noConversion"/>
  </si>
  <si>
    <t>뺨치기</t>
    <phoneticPr fontId="4" type="noConversion"/>
  </si>
  <si>
    <t>자버프 / 마공 + 크리 확률(↑)</t>
    <phoneticPr fontId="4" type="noConversion"/>
  </si>
  <si>
    <t>해수 주스</t>
    <phoneticPr fontId="4" type="noConversion"/>
  </si>
  <si>
    <t>조개 찍기</t>
    <phoneticPr fontId="4" type="noConversion"/>
  </si>
  <si>
    <t>마공팟 서폿</t>
    <phoneticPr fontId="4" type="noConversion"/>
  </si>
  <si>
    <t>단버프 / 체젠 + 마공(↑)</t>
    <phoneticPr fontId="4" type="noConversion"/>
  </si>
  <si>
    <t>포션 피쳐 - 마법</t>
    <phoneticPr fontId="4" type="noConversion"/>
  </si>
  <si>
    <t>마법딜 / 원거리 + 단일기 + 스턴</t>
    <phoneticPr fontId="4" type="noConversion"/>
  </si>
  <si>
    <t>머드볼</t>
    <phoneticPr fontId="4" type="noConversion"/>
  </si>
  <si>
    <t>디버퍼 탱커</t>
    <phoneticPr fontId="4" type="noConversion"/>
  </si>
  <si>
    <t>방어 태세 - 혼합</t>
    <phoneticPr fontId="4" type="noConversion"/>
  </si>
  <si>
    <t>젤로피 폭발</t>
    <phoneticPr fontId="4" type="noConversion"/>
  </si>
  <si>
    <t>물공팟 서폿</t>
    <phoneticPr fontId="4" type="noConversion"/>
  </si>
  <si>
    <t>단버프 / 체젠 + 물공(↑)</t>
    <phoneticPr fontId="4" type="noConversion"/>
  </si>
  <si>
    <t>포션 피쳐 - 물리</t>
    <phoneticPr fontId="4" type="noConversion"/>
  </si>
  <si>
    <t>꿀바나나</t>
    <phoneticPr fontId="4" type="noConversion"/>
  </si>
  <si>
    <t>단디벞 / 마방(↓)</t>
    <phoneticPr fontId="4" type="noConversion"/>
  </si>
  <si>
    <t>도발</t>
    <phoneticPr fontId="4" type="noConversion"/>
  </si>
  <si>
    <t>기절탄</t>
    <phoneticPr fontId="4" type="noConversion"/>
  </si>
  <si>
    <t>치확저항+스턴 탱커</t>
    <phoneticPr fontId="4" type="noConversion"/>
  </si>
  <si>
    <t>자버프 / 물방 + 마방 + 크리저항(↑)</t>
    <phoneticPr fontId="4" type="noConversion"/>
  </si>
  <si>
    <t>조개 갑옷</t>
    <phoneticPr fontId="4" type="noConversion"/>
  </si>
  <si>
    <t>찝기</t>
    <phoneticPr fontId="4" type="noConversion"/>
  </si>
  <si>
    <t>물리딜 / 근거리 + 광역기 + 스턴</t>
    <phoneticPr fontId="4" type="noConversion"/>
  </si>
  <si>
    <t>맥시마이즈 파워</t>
    <phoneticPr fontId="4" type="noConversion"/>
  </si>
  <si>
    <t>광풍 찌르기</t>
    <phoneticPr fontId="4" type="noConversion"/>
  </si>
  <si>
    <t>마법형 폭발 원딜러 (평타형)</t>
    <phoneticPr fontId="4" type="noConversion"/>
  </si>
  <si>
    <t>물리형 폭발 원딜러 (스킬형)</t>
    <phoneticPr fontId="4" type="noConversion"/>
  </si>
  <si>
    <t>혼합딜 / 근거리 + 광역기 (계수↑)</t>
    <phoneticPr fontId="4" type="noConversion"/>
  </si>
  <si>
    <t>혼합딜 / 원거리 + 광역기 (계수↑)</t>
    <phoneticPr fontId="4" type="noConversion"/>
  </si>
  <si>
    <t>애로우 샤워</t>
    <phoneticPr fontId="4" type="noConversion"/>
  </si>
  <si>
    <t>물리딜 / 원거리 + 단일기</t>
    <phoneticPr fontId="4" type="noConversion"/>
  </si>
  <si>
    <t>차지 애로우 - 독</t>
    <phoneticPr fontId="4" type="noConversion"/>
  </si>
  <si>
    <t>출혈있는 마딜 탱커</t>
    <phoneticPr fontId="4" type="noConversion"/>
  </si>
  <si>
    <t>자버프 / 대형댐 + 마방(↑)</t>
    <phoneticPr fontId="4" type="noConversion"/>
  </si>
  <si>
    <t>파워 쉴드</t>
    <phoneticPr fontId="4" type="noConversion"/>
  </si>
  <si>
    <t>마법딜 / 근거리 + 단일기 + 출혈</t>
    <phoneticPr fontId="4" type="noConversion"/>
  </si>
  <si>
    <t>상처 찢기</t>
    <phoneticPr fontId="4" type="noConversion"/>
  </si>
  <si>
    <t>Only 딜러</t>
    <phoneticPr fontId="4" type="noConversion"/>
  </si>
  <si>
    <t>자버프 / 명중 + 회피(↑)</t>
    <phoneticPr fontId="4" type="noConversion"/>
  </si>
  <si>
    <t>포커스 업</t>
    <phoneticPr fontId="4" type="noConversion"/>
  </si>
  <si>
    <t>혼합딜 / 근거리 + 단일기 + 4연타</t>
    <phoneticPr fontId="4" type="noConversion"/>
  </si>
  <si>
    <t>자버프 / 대형댐 + 물방(↑)</t>
    <phoneticPr fontId="4" type="noConversion"/>
  </si>
  <si>
    <t>혼합딜 / 근거리 + 단일기</t>
    <phoneticPr fontId="4" type="noConversion"/>
  </si>
  <si>
    <t>휘둘러치기 - 화</t>
    <phoneticPr fontId="4" type="noConversion"/>
  </si>
  <si>
    <t>자버프 / 중형댐 + 마방(↑)</t>
    <phoneticPr fontId="4" type="noConversion"/>
  </si>
  <si>
    <t>혼합딜 / 근거리 + 광역기</t>
    <phoneticPr fontId="4" type="noConversion"/>
  </si>
  <si>
    <t>해머 브레이크</t>
    <phoneticPr fontId="4" type="noConversion"/>
  </si>
  <si>
    <t>마딜 탱커</t>
    <phoneticPr fontId="4" type="noConversion"/>
  </si>
  <si>
    <t>자버프 / 중형댐 + 물방(↑)</t>
    <phoneticPr fontId="4" type="noConversion"/>
  </si>
  <si>
    <t>휘둘러치기 - 수</t>
    <phoneticPr fontId="4" type="noConversion"/>
  </si>
  <si>
    <t>마법형 중독 광역 딜러</t>
    <phoneticPr fontId="4" type="noConversion"/>
  </si>
  <si>
    <t>마법딜 / 근거리 + 광역기 + 연타 + 중독</t>
    <phoneticPr fontId="4" type="noConversion"/>
  </si>
  <si>
    <t>하멜른의 피리</t>
    <phoneticPr fontId="4" type="noConversion"/>
  </si>
  <si>
    <t>박치기 - 독</t>
    <phoneticPr fontId="4" type="noConversion"/>
  </si>
  <si>
    <t>물리형 중독 딜러</t>
    <phoneticPr fontId="4" type="noConversion"/>
  </si>
  <si>
    <t>혼합딜 / 원거리 + 광역기 + 중독</t>
    <phoneticPr fontId="4" type="noConversion"/>
  </si>
  <si>
    <t>맹독 가루</t>
    <phoneticPr fontId="4" type="noConversion"/>
  </si>
  <si>
    <t>자버프 / 무속, 지속 저항↑</t>
    <phoneticPr fontId="4" type="noConversion"/>
  </si>
  <si>
    <t>대지의 보호</t>
    <phoneticPr fontId="4" type="noConversion"/>
  </si>
  <si>
    <t>마법딜 / 근거리 + 광역기 + 스턴</t>
    <phoneticPr fontId="4" type="noConversion"/>
  </si>
  <si>
    <t>폭렬펀치</t>
    <phoneticPr fontId="4" type="noConversion"/>
  </si>
  <si>
    <t>물공팟 힐링 서폿</t>
    <phoneticPr fontId="4" type="noConversion"/>
  </si>
  <si>
    <t>광버프 / 물리 공격력(↑)</t>
    <phoneticPr fontId="4" type="noConversion"/>
  </si>
  <si>
    <t>광버프 / 체력 재생력(↑)</t>
    <phoneticPr fontId="4" type="noConversion"/>
  </si>
  <si>
    <t>재생력 지원</t>
    <phoneticPr fontId="4" type="noConversion"/>
  </si>
  <si>
    <t>마공형 원딜러</t>
    <phoneticPr fontId="4" type="noConversion"/>
  </si>
  <si>
    <t>마법딜 / 원거리 + 단일기</t>
    <phoneticPr fontId="4" type="noConversion"/>
  </si>
  <si>
    <t>워터볼</t>
    <phoneticPr fontId="4" type="noConversion"/>
  </si>
  <si>
    <t>마법딜 / 원거리 + 단일기 + 중독</t>
    <phoneticPr fontId="4" type="noConversion"/>
  </si>
  <si>
    <t>맹독탄</t>
    <phoneticPr fontId="4" type="noConversion"/>
  </si>
  <si>
    <t>중독있는 힐러</t>
    <phoneticPr fontId="4" type="noConversion"/>
  </si>
  <si>
    <t>물리딜 / 근거리 + 광역기 + 중독</t>
    <phoneticPr fontId="4" type="noConversion"/>
  </si>
  <si>
    <t>맹독 폭발</t>
    <phoneticPr fontId="4" type="noConversion"/>
  </si>
  <si>
    <t>힐러+디버퍼</t>
    <phoneticPr fontId="4" type="noConversion"/>
  </si>
  <si>
    <t>광버프 / 체젠 + 근거리 저항(7%) ↑</t>
    <phoneticPr fontId="4" type="noConversion"/>
  </si>
  <si>
    <t>마법딜 / 원거리 + 광역기 + 침묵</t>
    <phoneticPr fontId="4" type="noConversion"/>
  </si>
  <si>
    <t>마력 포자</t>
    <phoneticPr fontId="4" type="noConversion"/>
  </si>
  <si>
    <t>칼바람</t>
    <phoneticPr fontId="4" type="noConversion"/>
  </si>
  <si>
    <t>마법딜 / 원거리 + 단일기 + 침묵</t>
    <phoneticPr fontId="4" type="noConversion"/>
  </si>
  <si>
    <t>마력탄</t>
    <phoneticPr fontId="4" type="noConversion"/>
  </si>
  <si>
    <t>2돌진 저주형 마법 딜러</t>
    <phoneticPr fontId="4" type="noConversion"/>
  </si>
  <si>
    <t>혼합딜 / 돌진기 + 단일기</t>
    <phoneticPr fontId="4" type="noConversion"/>
  </si>
  <si>
    <t>언데드 러쉬</t>
    <phoneticPr fontId="4" type="noConversion"/>
  </si>
  <si>
    <t>미이라</t>
    <phoneticPr fontId="4" type="noConversion"/>
  </si>
  <si>
    <t>물리딜 / 원거리 + 단일기 + 중독</t>
    <phoneticPr fontId="4" type="noConversion"/>
  </si>
  <si>
    <t>맹독 화살</t>
    <phoneticPr fontId="4" type="noConversion"/>
  </si>
  <si>
    <t>물리딜 / 원거리 + 단일기 + 저주</t>
    <phoneticPr fontId="4" type="noConversion"/>
  </si>
  <si>
    <t>저주탄</t>
    <phoneticPr fontId="4" type="noConversion"/>
  </si>
  <si>
    <t>아처 스켈레톤</t>
    <phoneticPr fontId="4" type="noConversion"/>
  </si>
  <si>
    <t>픽키</t>
    <phoneticPr fontId="4" type="noConversion"/>
  </si>
  <si>
    <t>세비지 베베</t>
    <phoneticPr fontId="4" type="noConversion"/>
  </si>
  <si>
    <t>하티 베베</t>
    <phoneticPr fontId="4" type="noConversion"/>
  </si>
  <si>
    <t>오크 베이비</t>
    <phoneticPr fontId="4" type="noConversion"/>
  </si>
  <si>
    <t>물리형 돌진 스턴 딜러</t>
    <phoneticPr fontId="4" type="noConversion"/>
  </si>
  <si>
    <t>혼합딜 / 근거리 + 단일기 + 스턴</t>
    <phoneticPr fontId="4" type="noConversion"/>
  </si>
  <si>
    <t>소닉 블로우 - 사</t>
    <phoneticPr fontId="4" type="noConversion"/>
  </si>
  <si>
    <t>솔저 스켈레톤</t>
    <phoneticPr fontId="4" type="noConversion"/>
  </si>
  <si>
    <t>페코페코</t>
    <phoneticPr fontId="4" type="noConversion"/>
  </si>
  <si>
    <t>오크 레이디</t>
    <phoneticPr fontId="4" type="noConversion"/>
  </si>
  <si>
    <t>­ A,M 통일 / Type 자유</t>
    <phoneticPr fontId="4" type="noConversion"/>
  </si>
  <si>
    <t>마법형 돌진 스턴 딜러</t>
    <phoneticPr fontId="4" type="noConversion"/>
  </si>
  <si>
    <t>스켈레톤</t>
    <phoneticPr fontId="4" type="noConversion"/>
  </si>
  <si>
    <t>M, 방어 지원</t>
    <phoneticPr fontId="4" type="noConversion"/>
  </si>
  <si>
    <t>A, 방어 지원</t>
    <phoneticPr fontId="4" type="noConversion"/>
  </si>
  <si>
    <t>M, 돌진</t>
    <phoneticPr fontId="4" type="noConversion"/>
  </si>
  <si>
    <t>M, 지원</t>
    <phoneticPr fontId="4" type="noConversion"/>
  </si>
  <si>
    <t>[새끼와 부모(어미) 사이]</t>
    <phoneticPr fontId="4" type="noConversion"/>
  </si>
  <si>
    <t>혼합형 돌진 출혈 딜러</t>
    <phoneticPr fontId="4" type="noConversion"/>
  </si>
  <si>
    <t>소닉 러쉬</t>
    <phoneticPr fontId="4" type="noConversion"/>
  </si>
  <si>
    <t>혼합딜 / 근거리 + 단일기 + 출혈</t>
    <phoneticPr fontId="4" type="noConversion"/>
  </si>
  <si>
    <t>Cc 딜러 (화상 + 중독)</t>
    <phoneticPr fontId="4" type="noConversion"/>
  </si>
  <si>
    <t>독 뿌리기</t>
    <phoneticPr fontId="4" type="noConversion"/>
  </si>
  <si>
    <t>물리딜 / 근거리 + 단일기 + 화상</t>
    <phoneticPr fontId="4" type="noConversion"/>
  </si>
  <si>
    <t>화염 찌르기</t>
    <phoneticPr fontId="4" type="noConversion"/>
  </si>
  <si>
    <t>로다 프로그</t>
    <phoneticPr fontId="4" type="noConversion"/>
  </si>
  <si>
    <t>루나틱</t>
    <phoneticPr fontId="4" type="noConversion"/>
  </si>
  <si>
    <t>오토가드+Lv.2 스턴(50%)탱커</t>
    <phoneticPr fontId="4" type="noConversion"/>
  </si>
  <si>
    <t>자버프 / 물방 + 마방↑, 오토가드(20%)</t>
    <phoneticPr fontId="4" type="noConversion"/>
  </si>
  <si>
    <t>몸단장</t>
    <phoneticPr fontId="4" type="noConversion"/>
  </si>
  <si>
    <t>마법딜 / 근거리 + 단일기 + 3연스턴</t>
    <phoneticPr fontId="4" type="noConversion"/>
  </si>
  <si>
    <t>연속 쪼기</t>
    <phoneticPr fontId="4" type="noConversion"/>
  </si>
  <si>
    <t>토드</t>
    <phoneticPr fontId="4" type="noConversion"/>
  </si>
  <si>
    <t>이클립스</t>
    <phoneticPr fontId="4" type="noConversion"/>
  </si>
  <si>
    <t>­ A,M 통일 / Type 상이</t>
    <phoneticPr fontId="4" type="noConversion"/>
  </si>
  <si>
    <t>Cc 딜러 (출혈 + 스턴)</t>
    <phoneticPr fontId="4" type="noConversion"/>
  </si>
  <si>
    <t xml:space="preserve">M, 공격 지원 </t>
    <phoneticPr fontId="4" type="noConversion"/>
  </si>
  <si>
    <t>M, 방어 돌진</t>
    <phoneticPr fontId="4" type="noConversion"/>
  </si>
  <si>
    <t>[속성도 같고 형태도 같지만 이름이 전혀 다른 사이]</t>
    <phoneticPr fontId="4" type="noConversion"/>
  </si>
  <si>
    <t>침묵있는 광역 딜러</t>
    <phoneticPr fontId="4" type="noConversion"/>
  </si>
  <si>
    <t>마법딜 / 원거리 + 광역기 + 연타</t>
    <phoneticPr fontId="4" type="noConversion"/>
  </si>
  <si>
    <t>모래 폭풍</t>
    <phoneticPr fontId="4" type="noConversion"/>
  </si>
  <si>
    <t>마법딜 / 돌진기 + 단일기 + 침묵</t>
    <phoneticPr fontId="4" type="noConversion"/>
  </si>
  <si>
    <t>매직 러쉬</t>
    <phoneticPr fontId="4" type="noConversion"/>
  </si>
  <si>
    <t>피흡있는 광역체젠+버퍼</t>
    <phoneticPr fontId="4" type="noConversion"/>
  </si>
  <si>
    <t>광버프 / 체젠 + 풍속,지속 저항(↑)</t>
    <phoneticPr fontId="4" type="noConversion"/>
  </si>
  <si>
    <t>사막의 날개</t>
    <phoneticPr fontId="4" type="noConversion"/>
  </si>
  <si>
    <t>혼합딜 / 중거리 + 단일기 + 피흡</t>
    <phoneticPr fontId="4" type="noConversion"/>
  </si>
  <si>
    <t>생명력 흡수 - 풍</t>
    <phoneticPr fontId="4" type="noConversion"/>
  </si>
  <si>
    <t>타라 프로그</t>
    <phoneticPr fontId="4" type="noConversion"/>
  </si>
  <si>
    <t>드레인리어</t>
    <phoneticPr fontId="4" type="noConversion"/>
  </si>
  <si>
    <t>수컷 도둑벌레</t>
    <phoneticPr fontId="4" type="noConversion"/>
  </si>
  <si>
    <t>팬저고블린</t>
    <phoneticPr fontId="4" type="noConversion"/>
  </si>
  <si>
    <t>단일 공속 돌진 딜러</t>
    <phoneticPr fontId="4" type="noConversion"/>
  </si>
  <si>
    <t>자버프 / 공속 + 명중률(↑)</t>
    <phoneticPr fontId="4" type="noConversion"/>
  </si>
  <si>
    <t>어질 업</t>
    <phoneticPr fontId="4" type="noConversion"/>
  </si>
  <si>
    <t xml:space="preserve">마법딜 / 돌진기 + 단일기 + 연타 </t>
    <phoneticPr fontId="4" type="noConversion"/>
  </si>
  <si>
    <t>아드레날린 러쉬</t>
    <phoneticPr fontId="4" type="noConversion"/>
  </si>
  <si>
    <t>퍼밀리어</t>
    <phoneticPr fontId="4" type="noConversion"/>
  </si>
  <si>
    <t>암컷 도둑벌레</t>
    <phoneticPr fontId="4" type="noConversion"/>
  </si>
  <si>
    <t>스팀라이더</t>
    <phoneticPr fontId="4" type="noConversion"/>
  </si>
  <si>
    <t>마공팟 마방형 서폿</t>
    <phoneticPr fontId="4" type="noConversion"/>
  </si>
  <si>
    <t>광버프 / 마공(↑)</t>
    <phoneticPr fontId="4" type="noConversion"/>
  </si>
  <si>
    <t>광버프 / 마방(↑)</t>
    <phoneticPr fontId="4" type="noConversion"/>
  </si>
  <si>
    <t>방어력 지원</t>
    <phoneticPr fontId="4" type="noConversion"/>
  </si>
  <si>
    <t>M, A 지원</t>
    <phoneticPr fontId="4" type="noConversion"/>
  </si>
  <si>
    <t>A,M 돌진</t>
    <phoneticPr fontId="4" type="noConversion"/>
  </si>
  <si>
    <t>M,A 돌진</t>
    <phoneticPr fontId="4" type="noConversion"/>
  </si>
  <si>
    <t>A,M 공격</t>
    <phoneticPr fontId="4" type="noConversion"/>
  </si>
  <si>
    <t>물방 탱커</t>
    <phoneticPr fontId="4" type="noConversion"/>
  </si>
  <si>
    <t>자버프 / 물방 + Cc 저항(↑)</t>
    <phoneticPr fontId="4" type="noConversion"/>
  </si>
  <si>
    <t>방어 태세 - 물리</t>
    <phoneticPr fontId="4" type="noConversion"/>
  </si>
  <si>
    <t>물리딜 / 근거리 + 광역기 + 2연스턴</t>
    <phoneticPr fontId="4" type="noConversion"/>
  </si>
  <si>
    <t>벽긁기 - 지</t>
    <phoneticPr fontId="4" type="noConversion"/>
  </si>
  <si>
    <t>Cc 딜러 (빙결 + 수면)</t>
    <phoneticPr fontId="4" type="noConversion"/>
  </si>
  <si>
    <t>마법딜 / 원거리 + 광역기 + 수면</t>
    <phoneticPr fontId="4" type="noConversion"/>
  </si>
  <si>
    <t>수면 가루</t>
    <phoneticPr fontId="4" type="noConversion"/>
  </si>
  <si>
    <t>스포아</t>
    <phoneticPr fontId="4" type="noConversion"/>
  </si>
  <si>
    <t>파이어럿 스컬</t>
    <phoneticPr fontId="4" type="noConversion"/>
  </si>
  <si>
    <t>마스터링</t>
    <phoneticPr fontId="4" type="noConversion"/>
  </si>
  <si>
    <t>떠돌이 늑대</t>
    <phoneticPr fontId="4" type="noConversion"/>
  </si>
  <si>
    <t>스턴형 탱커</t>
    <phoneticPr fontId="4" type="noConversion"/>
  </si>
  <si>
    <t>자버프 / 체젠 + 마방(↑)</t>
    <phoneticPr fontId="4" type="noConversion"/>
  </si>
  <si>
    <t>자연의 보호</t>
    <phoneticPr fontId="4" type="noConversion"/>
  </si>
  <si>
    <t>뿌리박기</t>
    <phoneticPr fontId="4" type="noConversion"/>
  </si>
  <si>
    <t>세일러 스켈</t>
    <phoneticPr fontId="4" type="noConversion"/>
  </si>
  <si>
    <t>포링</t>
    <phoneticPr fontId="4" type="noConversion"/>
  </si>
  <si>
    <t>울프</t>
    <phoneticPr fontId="4" type="noConversion"/>
  </si>
  <si>
    <t>­ A,M 상이 / Type 통일</t>
    <phoneticPr fontId="4" type="noConversion"/>
  </si>
  <si>
    <t>마법형 돌진 출혈 딜러</t>
    <phoneticPr fontId="4" type="noConversion"/>
  </si>
  <si>
    <t>마법딜 / 돌진기 + 단일기</t>
    <phoneticPr fontId="4" type="noConversion"/>
  </si>
  <si>
    <t>스키드 러쉬</t>
    <phoneticPr fontId="4" type="noConversion"/>
  </si>
  <si>
    <t>깨물기</t>
    <phoneticPr fontId="4" type="noConversion"/>
  </si>
  <si>
    <t>M,A 방어</t>
    <phoneticPr fontId="4" type="noConversion"/>
  </si>
  <si>
    <r>
      <t xml:space="preserve">[속성도 같고 형태도 같은 사이] </t>
    </r>
    <r>
      <rPr>
        <sz val="9"/>
        <color theme="0" tint="-0.34998626667073579"/>
        <rFont val="굴림"/>
        <family val="3"/>
        <charset val="129"/>
      </rPr>
      <t>(이름도 비슷)</t>
    </r>
    <phoneticPr fontId="4" type="noConversion"/>
  </si>
  <si>
    <t>단일 크리 돌진 딜러</t>
    <phoneticPr fontId="4" type="noConversion"/>
  </si>
  <si>
    <t>자버프 / 이속 + 치확(↑)</t>
    <phoneticPr fontId="4" type="noConversion"/>
  </si>
  <si>
    <t>신속 - 치명</t>
    <phoneticPr fontId="4" type="noConversion"/>
  </si>
  <si>
    <t>물리딜 / 돌진기 + 단일기</t>
    <phoneticPr fontId="4" type="noConversion"/>
  </si>
  <si>
    <t>피어스 러쉬</t>
    <phoneticPr fontId="4" type="noConversion"/>
  </si>
  <si>
    <t>저주형 딜탱커</t>
    <phoneticPr fontId="4" type="noConversion"/>
  </si>
  <si>
    <t>자버프 / 체젠 + 물방(↑)</t>
    <phoneticPr fontId="4" type="noConversion"/>
  </si>
  <si>
    <t>자연의 보호 - 물리</t>
    <phoneticPr fontId="4" type="noConversion"/>
  </si>
  <si>
    <t>물리딜 / 근거리 + 단일기 + 출혈</t>
    <phoneticPr fontId="4" type="noConversion"/>
  </si>
  <si>
    <t>피어싱 어택</t>
    <phoneticPr fontId="4" type="noConversion"/>
  </si>
  <si>
    <t>사스쿼치</t>
    <phoneticPr fontId="4" type="noConversion"/>
  </si>
  <si>
    <t>크램프</t>
    <phoneticPr fontId="4" type="noConversion"/>
  </si>
  <si>
    <t>엘더 윌로우</t>
    <phoneticPr fontId="4" type="noConversion"/>
  </si>
  <si>
    <t>포이즌 스포아</t>
    <phoneticPr fontId="4" type="noConversion"/>
  </si>
  <si>
    <t>탱킹+cc기형 서폿</t>
    <phoneticPr fontId="4" type="noConversion"/>
  </si>
  <si>
    <t>단버프 / 마방 + 근거리 저항(↑)</t>
    <phoneticPr fontId="4" type="noConversion"/>
  </si>
  <si>
    <t>보호막 생성</t>
    <phoneticPr fontId="4" type="noConversion"/>
  </si>
  <si>
    <t>빅풋</t>
    <phoneticPr fontId="4" type="noConversion"/>
  </si>
  <si>
    <t>타로우</t>
    <phoneticPr fontId="4" type="noConversion"/>
  </si>
  <si>
    <t>윌로우</t>
    <phoneticPr fontId="4" type="noConversion"/>
  </si>
  <si>
    <t xml:space="preserve"> </t>
    <phoneticPr fontId="4" type="noConversion"/>
  </si>
  <si>
    <t>­ A,M 통일 / Type 통일</t>
    <phoneticPr fontId="4" type="noConversion"/>
  </si>
  <si>
    <t>물리형 원딜러</t>
    <phoneticPr fontId="4" type="noConversion"/>
  </si>
  <si>
    <t>딱밤</t>
    <phoneticPr fontId="4" type="noConversion"/>
  </si>
  <si>
    <t>물리딜 / 원거리 + 단일기 + 스턴</t>
    <phoneticPr fontId="4" type="noConversion"/>
  </si>
  <si>
    <t>A, 방어</t>
    <phoneticPr fontId="4" type="noConversion"/>
  </si>
  <si>
    <t>M, 방어</t>
    <phoneticPr fontId="4" type="noConversion"/>
  </si>
  <si>
    <t>A, 돌진</t>
    <phoneticPr fontId="4" type="noConversion"/>
  </si>
  <si>
    <t>[속성이 다르지만 형태가 같은 사이]</t>
    <phoneticPr fontId="4" type="noConversion"/>
  </si>
  <si>
    <t>4속성 지원 서폿</t>
    <phoneticPr fontId="4" type="noConversion"/>
  </si>
  <si>
    <t>단버프 / 4속 대미지(↑)</t>
    <phoneticPr fontId="4" type="noConversion"/>
  </si>
  <si>
    <t>응원</t>
    <phoneticPr fontId="4" type="noConversion"/>
  </si>
  <si>
    <t>광디벞 / 4속 저항(↓)</t>
    <phoneticPr fontId="4" type="noConversion"/>
  </si>
  <si>
    <t>절망</t>
    <phoneticPr fontId="4" type="noConversion"/>
  </si>
  <si>
    <t>마공형 딜탱커</t>
    <phoneticPr fontId="4" type="noConversion"/>
  </si>
  <si>
    <t>자버프 / 물방 + 근거리 저항(↑)</t>
    <phoneticPr fontId="4" type="noConversion"/>
  </si>
  <si>
    <t>리플렉트 쉴드</t>
    <phoneticPr fontId="4" type="noConversion"/>
  </si>
  <si>
    <t>금빛 폭발</t>
    <phoneticPr fontId="4" type="noConversion"/>
  </si>
  <si>
    <t>물리형 돌진 딜러</t>
    <phoneticPr fontId="4" type="noConversion"/>
  </si>
  <si>
    <t>자버프 / 체젠 + 공속 + 이속(↑)</t>
    <phoneticPr fontId="4" type="noConversion"/>
  </si>
  <si>
    <t>생존력 강화</t>
    <phoneticPr fontId="4" type="noConversion"/>
  </si>
  <si>
    <t>마공형 돌진 딜러</t>
    <phoneticPr fontId="4" type="noConversion"/>
  </si>
  <si>
    <t>물리형 피흡 딜러</t>
    <phoneticPr fontId="4" type="noConversion"/>
  </si>
  <si>
    <t>혼합딜 / 원거리 + 단일기 + 피흡</t>
    <phoneticPr fontId="4" type="noConversion"/>
  </si>
  <si>
    <t>끈질긴 회피+저항 탱커</t>
    <phoneticPr fontId="4" type="noConversion"/>
  </si>
  <si>
    <t>자버프 / 체젠 + 무속 저항(↑)</t>
    <phoneticPr fontId="4" type="noConversion"/>
  </si>
  <si>
    <t>자생력</t>
    <phoneticPr fontId="4" type="noConversion"/>
  </si>
  <si>
    <t>자버프 / 이속 + 회피율(↑)</t>
    <phoneticPr fontId="4" type="noConversion"/>
  </si>
  <si>
    <t>신속 - 회피</t>
    <phoneticPr fontId="4" type="noConversion"/>
  </si>
  <si>
    <t>공 디버프+이속증가 탱커</t>
    <phoneticPr fontId="4" type="noConversion"/>
  </si>
  <si>
    <t>위험 감지</t>
    <phoneticPr fontId="4" type="noConversion"/>
  </si>
  <si>
    <t>광디벞 / 공격력 + 공속(↓)</t>
    <phoneticPr fontId="4" type="noConversion"/>
  </si>
  <si>
    <t>혀로 핥기</t>
    <phoneticPr fontId="4" type="noConversion"/>
  </si>
  <si>
    <t>[방어형]방어 버프 1개 = 버프기가 뒤에</t>
    <phoneticPr fontId="4" type="noConversion"/>
  </si>
  <si>
    <t>다양한 힐+버프형 서폿</t>
    <phoneticPr fontId="4" type="noConversion"/>
  </si>
  <si>
    <t>단버프 / 체젠 + 물방 + 마방(↑)</t>
    <phoneticPr fontId="4" type="noConversion"/>
  </si>
  <si>
    <t>전력 지원</t>
    <phoneticPr fontId="4" type="noConversion"/>
  </si>
  <si>
    <t>[돌진형]공격 스킬 2개 = 돌진기가 뒤에 / 공격 스킬 1개 = 돌진기가 앞에</t>
    <phoneticPr fontId="4" type="noConversion"/>
  </si>
  <si>
    <t>힐+마공팟 서폿</t>
    <phoneticPr fontId="4" type="noConversion"/>
  </si>
  <si>
    <t>공격력 지원 - 마법</t>
    <phoneticPr fontId="4" type="noConversion"/>
  </si>
  <si>
    <t>광버프 / 체젠(↑)</t>
    <phoneticPr fontId="4" type="noConversion"/>
  </si>
  <si>
    <t>저항력 서폿</t>
    <phoneticPr fontId="4" type="noConversion"/>
  </si>
  <si>
    <t>광버프 / Cc 저항(↑)</t>
    <phoneticPr fontId="4" type="noConversion"/>
  </si>
  <si>
    <t>저항력 지원 - Cc</t>
    <phoneticPr fontId="4" type="noConversion"/>
  </si>
  <si>
    <t>광버프 / 체젠 + 원거리 저항(14%↑)</t>
    <phoneticPr fontId="4" type="noConversion"/>
  </si>
  <si>
    <t>회피율 단일 딜러 [물딜 도적]</t>
    <phoneticPr fontId="4" type="noConversion"/>
  </si>
  <si>
    <t>자버프 / 회피율(↑)</t>
    <phoneticPr fontId="4" type="noConversion"/>
  </si>
  <si>
    <t>귀쫑긋</t>
    <phoneticPr fontId="4" type="noConversion"/>
  </si>
  <si>
    <t>완벽한 물리 탱커</t>
    <phoneticPr fontId="4" type="noConversion"/>
  </si>
  <si>
    <t>자버프 / 근거리 대미지 저항(↑)</t>
    <phoneticPr fontId="4" type="noConversion"/>
  </si>
  <si>
    <t>자버프 / 물방(↑)</t>
    <phoneticPr fontId="4" type="noConversion"/>
  </si>
  <si>
    <t>껍질 강화</t>
    <phoneticPr fontId="4" type="noConversion"/>
  </si>
  <si>
    <t>19.08.02자로 96마리 최종 완성</t>
    <phoneticPr fontId="4" type="noConversion"/>
  </si>
  <si>
    <t>1차 log</t>
    <phoneticPr fontId="4" type="noConversion"/>
  </si>
  <si>
    <t>자힐 탱커</t>
    <phoneticPr fontId="4" type="noConversion"/>
  </si>
  <si>
    <t>자버프 / 체력 비례 + INT 비례 회복</t>
    <phoneticPr fontId="4" type="noConversion"/>
  </si>
  <si>
    <t>아침 사과</t>
    <phoneticPr fontId="4" type="noConversion"/>
  </si>
  <si>
    <t>혼합딜 / 근거리 + 광역기 + 빙결</t>
    <phoneticPr fontId="4" type="noConversion"/>
  </si>
  <si>
    <t>포지션</t>
    <phoneticPr fontId="4" type="noConversion"/>
  </si>
  <si>
    <t>2속</t>
    <phoneticPr fontId="4" type="noConversion"/>
  </si>
  <si>
    <t>skill2</t>
    <phoneticPr fontId="4" type="noConversion"/>
  </si>
  <si>
    <t>name2</t>
    <phoneticPr fontId="4" type="noConversion"/>
  </si>
  <si>
    <t>1속</t>
    <phoneticPr fontId="4" type="noConversion"/>
  </si>
  <si>
    <t>skill1</t>
    <phoneticPr fontId="4" type="noConversion"/>
  </si>
  <si>
    <t>name1</t>
    <phoneticPr fontId="4" type="noConversion"/>
  </si>
  <si>
    <t>ele</t>
    <phoneticPr fontId="4" type="noConversion"/>
  </si>
  <si>
    <t>type</t>
    <phoneticPr fontId="4" type="noConversion"/>
  </si>
  <si>
    <t>A/M</t>
  </si>
  <si>
    <t>name</t>
    <phoneticPr fontId="4" type="noConversion"/>
  </si>
  <si>
    <t>no</t>
    <phoneticPr fontId="4" type="noConversion"/>
  </si>
  <si>
    <t>[돌진형]패시브</t>
    <phoneticPr fontId="3" type="noConversion"/>
  </si>
  <si>
    <t>[방어형]패시브</t>
    <phoneticPr fontId="3" type="noConversion"/>
  </si>
  <si>
    <t>[공격형]패시브</t>
    <phoneticPr fontId="3" type="noConversion"/>
  </si>
  <si>
    <t>[지원형]패시브</t>
    <phoneticPr fontId="3" type="noConversion"/>
  </si>
  <si>
    <t>치명타 확률 저항↑ / 상태 이상 저항↑</t>
    <phoneticPr fontId="3" type="noConversion"/>
  </si>
  <si>
    <t>치명타 확률↑ / 근거리 대미지↑</t>
    <phoneticPr fontId="3" type="noConversion"/>
  </si>
  <si>
    <t>치명타 대미지↑ / 원거리 대미지↑</t>
    <phoneticPr fontId="3" type="noConversion"/>
  </si>
  <si>
    <t>평타시 스턴확률 10% / 재사용 대기시간 감소↑</t>
    <phoneticPr fontId="3" type="noConversion"/>
  </si>
  <si>
    <t>skill_rate_3</t>
    <phoneticPr fontId="3" type="noConversion"/>
  </si>
  <si>
    <t>skill_id_3</t>
    <phoneticPr fontId="3" type="noConversion"/>
  </si>
  <si>
    <t>skill_rate_4</t>
    <phoneticPr fontId="3" type="noConversion"/>
  </si>
  <si>
    <t>skill_id_4</t>
    <phoneticPr fontId="3" type="noConversion"/>
  </si>
  <si>
    <t>물리 공격력 계수</t>
    <phoneticPr fontId="3" type="noConversion"/>
  </si>
  <si>
    <t>STR 스탯 추가값</t>
    <phoneticPr fontId="3" type="noConversion"/>
  </si>
  <si>
    <t>AGI 스탯 추가값</t>
    <phoneticPr fontId="3" type="noConversion"/>
  </si>
  <si>
    <t>VIT 스탯 추가값</t>
    <phoneticPr fontId="3" type="noConversion"/>
  </si>
  <si>
    <t>INT 스탯 추가값</t>
    <phoneticPr fontId="3" type="noConversion"/>
  </si>
  <si>
    <t>DEX 스탯 추가값</t>
    <phoneticPr fontId="3" type="noConversion"/>
  </si>
  <si>
    <t>LUK 스탯 추가값</t>
    <phoneticPr fontId="3" type="noConversion"/>
  </si>
  <si>
    <t>skill_id_1</t>
    <phoneticPr fontId="3" type="noConversion"/>
  </si>
  <si>
    <t>솔저 스켈레톤</t>
    <phoneticPr fontId="3" type="noConversion"/>
  </si>
  <si>
    <t>미이라</t>
    <phoneticPr fontId="3" type="noConversion"/>
  </si>
  <si>
    <t>고스트링</t>
    <phoneticPr fontId="3" type="noConversion"/>
  </si>
  <si>
    <t>세일러 스컬</t>
    <phoneticPr fontId="3" type="noConversion"/>
  </si>
  <si>
    <t>세비지</t>
    <phoneticPr fontId="3" type="noConversion"/>
  </si>
  <si>
    <t>Savage</t>
    <phoneticPr fontId="3" type="noConversion"/>
  </si>
  <si>
    <t>Eddga</t>
    <phoneticPr fontId="3" type="noConversion"/>
  </si>
  <si>
    <t>Phreeoni</t>
    <phoneticPr fontId="3" type="noConversion"/>
  </si>
  <si>
    <t>Osiris</t>
    <phoneticPr fontId="3" type="noConversion"/>
  </si>
  <si>
    <t>OrcLord</t>
    <phoneticPr fontId="3" type="noConversion"/>
  </si>
  <si>
    <t>WildRider</t>
    <phoneticPr fontId="3" type="noConversion"/>
  </si>
  <si>
    <t>TaoGunka</t>
    <phoneticPr fontId="3" type="noConversion"/>
  </si>
  <si>
    <t>Atroce</t>
    <phoneticPr fontId="3" type="noConversion"/>
  </si>
  <si>
    <t>Imp</t>
    <phoneticPr fontId="3" type="noConversion"/>
  </si>
  <si>
    <t>Kasa</t>
    <phoneticPr fontId="3" type="noConversion"/>
  </si>
  <si>
    <t>Salamander</t>
    <phoneticPr fontId="3" type="noConversion"/>
  </si>
  <si>
    <t>Ifrit</t>
    <phoneticPr fontId="3" type="noConversion"/>
  </si>
  <si>
    <t>에드가</t>
    <phoneticPr fontId="3" type="noConversion"/>
  </si>
  <si>
    <t>프리오니</t>
    <phoneticPr fontId="3" type="noConversion"/>
  </si>
  <si>
    <t>오시리스</t>
    <phoneticPr fontId="3" type="noConversion"/>
  </si>
  <si>
    <t>오크 로드</t>
    <phoneticPr fontId="3" type="noConversion"/>
  </si>
  <si>
    <t>와일드 라이더</t>
    <phoneticPr fontId="3" type="noConversion"/>
  </si>
  <si>
    <t>타오군 카</t>
    <phoneticPr fontId="3" type="noConversion"/>
  </si>
  <si>
    <t>아트로스</t>
    <phoneticPr fontId="3" type="noConversion"/>
  </si>
  <si>
    <t>임프</t>
    <phoneticPr fontId="3" type="noConversion"/>
  </si>
  <si>
    <t>카사</t>
    <phoneticPr fontId="3" type="noConversion"/>
  </si>
  <si>
    <t>살라만다</t>
    <phoneticPr fontId="3" type="noConversion"/>
  </si>
  <si>
    <t>Monster085</t>
    <phoneticPr fontId="3" type="noConversion"/>
  </si>
  <si>
    <t>Monster086</t>
    <phoneticPr fontId="3" type="noConversion"/>
  </si>
  <si>
    <t>Monster087</t>
    <phoneticPr fontId="3" type="noConversion"/>
  </si>
  <si>
    <t>Monster088</t>
    <phoneticPr fontId="3" type="noConversion"/>
  </si>
  <si>
    <t>Monster089</t>
    <phoneticPr fontId="3" type="noConversion"/>
  </si>
  <si>
    <t>Monster090</t>
    <phoneticPr fontId="3" type="noConversion"/>
  </si>
  <si>
    <t>Monster091</t>
    <phoneticPr fontId="3" type="noConversion"/>
  </si>
  <si>
    <t>Monster092</t>
    <phoneticPr fontId="3" type="noConversion"/>
  </si>
  <si>
    <t>Monster093</t>
    <phoneticPr fontId="3" type="noConversion"/>
  </si>
  <si>
    <t>Monster094</t>
    <phoneticPr fontId="3" type="noConversion"/>
  </si>
  <si>
    <t>Monster095</t>
    <phoneticPr fontId="3" type="noConversion"/>
  </si>
  <si>
    <t>Monster096</t>
    <phoneticPr fontId="3" type="noConversion"/>
  </si>
  <si>
    <t>살라만다</t>
    <phoneticPr fontId="3" type="noConversion"/>
  </si>
  <si>
    <t>이프리트</t>
    <phoneticPr fontId="3" type="noConversion"/>
  </si>
  <si>
    <t>Skeleton</t>
  </si>
  <si>
    <t>SoldierSkeleton</t>
  </si>
  <si>
    <t>ArcherSkeleton</t>
  </si>
  <si>
    <t>Mummy</t>
  </si>
  <si>
    <t>Magmaring</t>
    <phoneticPr fontId="3" type="noConversion"/>
  </si>
  <si>
    <t>Ghostring</t>
  </si>
  <si>
    <t>PirateSkeleton</t>
  </si>
  <si>
    <t>Drake</t>
  </si>
  <si>
    <t>name</t>
  </si>
  <si>
    <t>Field</t>
    <phoneticPr fontId="4" type="noConversion"/>
  </si>
  <si>
    <t>MonsterType</t>
    <phoneticPr fontId="4" type="noConversion"/>
  </si>
  <si>
    <t>PositionType</t>
    <phoneticPr fontId="4" type="noConversion"/>
  </si>
  <si>
    <t>Tier</t>
    <phoneticPr fontId="4" type="noConversion"/>
  </si>
  <si>
    <t>고스트링</t>
  </si>
  <si>
    <t>Nomal</t>
    <phoneticPr fontId="4" type="noConversion"/>
  </si>
  <si>
    <t>세일러 스컬</t>
  </si>
  <si>
    <t>파이어럿 스켈</t>
  </si>
  <si>
    <t>Boss</t>
    <phoneticPr fontId="4" type="noConversion"/>
  </si>
  <si>
    <t>에드가</t>
  </si>
  <si>
    <t>프리오니</t>
  </si>
  <si>
    <t>솔저 스켈레톤</t>
  </si>
  <si>
    <t>아처 스켈레톤</t>
  </si>
  <si>
    <t>미이라</t>
  </si>
  <si>
    <t>오시리스</t>
  </si>
  <si>
    <t>오크 로드</t>
  </si>
  <si>
    <t>오크 아처</t>
    <phoneticPr fontId="4" type="noConversion"/>
  </si>
  <si>
    <t>오크 히어로</t>
    <phoneticPr fontId="4" type="noConversion"/>
  </si>
  <si>
    <t>와일드 라이더</t>
  </si>
  <si>
    <t>타오군 카</t>
  </si>
  <si>
    <t>데저트 울프</t>
    <phoneticPr fontId="4" type="noConversion"/>
  </si>
  <si>
    <t>아트로스</t>
  </si>
  <si>
    <t>임프</t>
  </si>
  <si>
    <t>카사</t>
  </si>
  <si>
    <t>살라만다</t>
  </si>
  <si>
    <t>이프리트</t>
  </si>
  <si>
    <t>위스퍼</t>
    <phoneticPr fontId="4" type="noConversion"/>
  </si>
  <si>
    <t>경험치 던전</t>
    <phoneticPr fontId="4" type="noConversion"/>
  </si>
  <si>
    <t>크라벤</t>
    <phoneticPr fontId="4" type="noConversion"/>
  </si>
  <si>
    <t>탐루안</t>
    <phoneticPr fontId="4" type="noConversion"/>
  </si>
  <si>
    <t>타니 아가씨</t>
    <phoneticPr fontId="4" type="noConversion"/>
  </si>
  <si>
    <t>장비 던전</t>
    <phoneticPr fontId="4" type="noConversion"/>
  </si>
  <si>
    <t>마린</t>
    <phoneticPr fontId="4" type="noConversion"/>
  </si>
  <si>
    <t>재료 던전</t>
    <phoneticPr fontId="4" type="noConversion"/>
  </si>
  <si>
    <t>포링</t>
  </si>
  <si>
    <t>포링</t>
    <phoneticPr fontId="3" type="noConversion"/>
  </si>
  <si>
    <t>DamageType</t>
    <phoneticPr fontId="3" type="noConversion"/>
  </si>
  <si>
    <t>마법</t>
  </si>
  <si>
    <t>물리</t>
  </si>
  <si>
    <t>MonsterId</t>
    <phoneticPr fontId="3" type="noConversion"/>
  </si>
  <si>
    <t>오크 아처</t>
  </si>
  <si>
    <t>고블린 아처</t>
  </si>
  <si>
    <t>세비지</t>
  </si>
  <si>
    <t>파이어럿 스켈</t>
    <phoneticPr fontId="3" type="noConversion"/>
  </si>
  <si>
    <t>고블린 아처</t>
    <phoneticPr fontId="3" type="noConversion"/>
  </si>
  <si>
    <t>오크 아처</t>
    <phoneticPr fontId="3" type="noConversion"/>
  </si>
  <si>
    <t>아처 스켈레톤</t>
    <phoneticPr fontId="3" type="noConversion"/>
  </si>
  <si>
    <t>CupetId</t>
    <phoneticPr fontId="3" type="noConversion"/>
  </si>
  <si>
    <t>Name</t>
    <phoneticPr fontId="3" type="noConversion"/>
  </si>
  <si>
    <t>물리</t>
    <phoneticPr fontId="3" type="noConversion"/>
  </si>
  <si>
    <t>마법</t>
    <phoneticPr fontId="3" type="noConversion"/>
  </si>
  <si>
    <t>Count</t>
  </si>
  <si>
    <t>Count</t>
    <phoneticPr fontId="3" type="noConversion"/>
  </si>
  <si>
    <t>PositionType</t>
    <phoneticPr fontId="3" type="noConversion"/>
  </si>
  <si>
    <t>돌진</t>
    <phoneticPr fontId="3" type="noConversion"/>
  </si>
  <si>
    <t>공격</t>
    <phoneticPr fontId="3" type="noConversion"/>
  </si>
  <si>
    <t>방어</t>
    <phoneticPr fontId="3" type="noConversion"/>
  </si>
  <si>
    <t>지원</t>
    <phoneticPr fontId="3" type="noConversion"/>
  </si>
  <si>
    <t>Field</t>
  </si>
  <si>
    <t>경험치 던전</t>
  </si>
  <si>
    <t>장비 던전</t>
  </si>
  <si>
    <t>재료 던전</t>
  </si>
  <si>
    <t>Sum 용도</t>
    <phoneticPr fontId="3" type="noConversion"/>
  </si>
  <si>
    <t>Boss</t>
    <phoneticPr fontId="3" type="noConversion"/>
  </si>
  <si>
    <t>보스, 티어</t>
    <phoneticPr fontId="3" type="noConversion"/>
  </si>
  <si>
    <t>방어 4티어, 이름</t>
    <phoneticPr fontId="3" type="noConversion"/>
  </si>
  <si>
    <t>s</t>
    <phoneticPr fontId="3" type="noConversion"/>
  </si>
  <si>
    <t>s1</t>
    <phoneticPr fontId="3" type="noConversion"/>
  </si>
  <si>
    <t>s2</t>
    <phoneticPr fontId="3" type="noConversion"/>
  </si>
  <si>
    <t>같음</t>
    <phoneticPr fontId="3" type="noConversion"/>
  </si>
  <si>
    <t>Memo</t>
    <phoneticPr fontId="3" type="noConversion"/>
  </si>
  <si>
    <t>강함은 6티어</t>
    <phoneticPr fontId="3" type="noConversion"/>
  </si>
  <si>
    <t>tier</t>
    <phoneticPr fontId="3" type="noConversion"/>
  </si>
  <si>
    <t>field</t>
    <phoneticPr fontId="3" type="noConversion"/>
  </si>
  <si>
    <t>skill_id_2</t>
    <phoneticPr fontId="3" type="noConversion"/>
  </si>
  <si>
    <t>큐펫세트효과테이블</t>
    <phoneticPr fontId="3" type="noConversion"/>
  </si>
  <si>
    <t>mdef</t>
    <phoneticPr fontId="3" type="noConversion"/>
  </si>
  <si>
    <t>hp</t>
    <phoneticPr fontId="3" type="noConversion"/>
  </si>
  <si>
    <t>atk</t>
    <phoneticPr fontId="3" type="noConversion"/>
  </si>
  <si>
    <t>def</t>
    <phoneticPr fontId="3" type="noConversion"/>
  </si>
  <si>
    <t>matk</t>
    <phoneticPr fontId="3" type="noConversion"/>
  </si>
  <si>
    <t>레벨</t>
    <phoneticPr fontId="3" type="noConversion"/>
  </si>
  <si>
    <t>체력</t>
    <phoneticPr fontId="3" type="noConversion"/>
  </si>
  <si>
    <t>근물공</t>
    <phoneticPr fontId="3" type="noConversion"/>
  </si>
  <si>
    <t>원물공</t>
    <phoneticPr fontId="3" type="noConversion"/>
  </si>
  <si>
    <t>마공</t>
    <phoneticPr fontId="3" type="noConversion"/>
  </si>
  <si>
    <t>물방</t>
    <phoneticPr fontId="3" type="noConversion"/>
  </si>
  <si>
    <t>마방</t>
    <phoneticPr fontId="3" type="noConversion"/>
  </si>
  <si>
    <t>cupet_type_id</t>
  </si>
  <si>
    <t>guide_str</t>
  </si>
  <si>
    <t>guide_agi</t>
  </si>
  <si>
    <t>guide_vit</t>
  </si>
  <si>
    <t>guide_int</t>
  </si>
  <si>
    <t>guide_dex</t>
  </si>
  <si>
    <t>guide_luk</t>
  </si>
  <si>
    <t>add_str</t>
  </si>
  <si>
    <t>add_agi</t>
  </si>
  <si>
    <t>add_vit</t>
  </si>
  <si>
    <t>add_int</t>
  </si>
  <si>
    <t>add_dex</t>
  </si>
  <si>
    <t>add_luk</t>
  </si>
  <si>
    <t>고블린 아쳐</t>
    <phoneticPr fontId="3" type="noConversion"/>
  </si>
  <si>
    <t>고블린 아쳐</t>
    <phoneticPr fontId="3" type="noConversion"/>
  </si>
  <si>
    <t>데저트 울프</t>
    <phoneticPr fontId="3" type="noConversion"/>
  </si>
  <si>
    <t>오크 아처</t>
    <phoneticPr fontId="3" type="noConversion"/>
  </si>
  <si>
    <t>포링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</si>
</sst>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9"/>
      <color theme="5"/>
      <name val="굴림"/>
      <family val="3"/>
      <charset val="129"/>
    </font>
    <font>
      <sz val="9"/>
      <name val="굴림"/>
      <family val="3"/>
      <charset val="129"/>
    </font>
    <font>
      <sz val="9"/>
      <color theme="0" tint="-0.34998626667073579"/>
      <name val="굴림"/>
      <family val="3"/>
      <charset val="129"/>
    </font>
    <font>
      <sz val="9"/>
      <color theme="0"/>
      <name val="굴림"/>
      <family val="3"/>
      <charset val="129"/>
    </font>
    <font>
      <sz val="10"/>
      <color rgb="FF000000"/>
      <name val="Arial"/>
      <family val="2"/>
    </font>
    <font>
      <sz val="11"/>
      <color indexed="8"/>
      <name val="맑은 고딕"/>
      <family val="2"/>
      <scheme val="minor"/>
    </font>
    <font>
      <sz val="9"/>
      <color theme="1"/>
      <name val="맑은 고딕"/>
      <family val="2"/>
      <scheme val="minor"/>
    </font>
    <font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sz val="9"/>
      <color rgb="FF000000"/>
      <name val="맑은 고딕"/>
      <family val="2"/>
      <charset val="129"/>
    </font>
  </fonts>
  <fills count="37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339966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theme="0" tint="-0.249977111117893"/>
      </bottom>
      <diagonal/>
    </border>
  </borders>
  <cellStyleXfs count="51">
    <xf numFmtId="0" fontId="0" fillId="0" borderId="0">
      <alignment vertical="center"/>
    </xf>
    <xf numFmtId="0" fontId="2" fillId="0" borderId="0">
      <alignment vertical="center"/>
    </xf>
    <xf numFmtId="0" fontId="11" fillId="0" borderId="0"/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18" fillId="0" borderId="0"/>
    <xf numFmtId="0" fontId="11" fillId="0" borderId="0"/>
    <xf numFmtId="0" fontId="2" fillId="0" borderId="0">
      <alignment vertical="center"/>
    </xf>
    <xf numFmtId="0" fontId="1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8" fillId="0" borderId="0"/>
    <xf numFmtId="0" fontId="11" fillId="0" borderId="0"/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" fillId="0" borderId="0">
      <alignment vertical="center"/>
    </xf>
    <xf numFmtId="0" fontId="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</cellStyleXfs>
  <cellXfs count="235">
    <xf numFmtId="0" fontId="0" fillId="0" borderId="0" xfId="0">
      <alignment vertical="center"/>
    </xf>
    <xf numFmtId="0" fontId="6" fillId="2" borderId="1" xfId="0" applyFont="1" applyFill="1" applyBorder="1" applyAlignment="1"/>
    <xf numFmtId="0" fontId="8" fillId="5" borderId="0" xfId="0" applyFont="1" applyFill="1" applyAlignment="1"/>
    <xf numFmtId="0" fontId="8" fillId="6" borderId="0" xfId="0" applyFont="1" applyFill="1" applyAlignment="1"/>
    <xf numFmtId="0" fontId="8" fillId="0" borderId="0" xfId="0" applyFont="1" applyAlignment="1"/>
    <xf numFmtId="0" fontId="8" fillId="0" borderId="1" xfId="0" applyFont="1" applyBorder="1" applyAlignment="1"/>
    <xf numFmtId="0" fontId="8" fillId="6" borderId="0" xfId="0" applyFont="1" applyFill="1">
      <alignment vertical="center"/>
    </xf>
    <xf numFmtId="0" fontId="9" fillId="6" borderId="0" xfId="0" applyFont="1" applyFill="1">
      <alignment vertical="center"/>
    </xf>
    <xf numFmtId="0" fontId="9" fillId="6" borderId="0" xfId="0" applyFont="1" applyFill="1" applyAlignment="1">
      <alignment horizontal="left" vertical="center"/>
    </xf>
    <xf numFmtId="0" fontId="7" fillId="6" borderId="0" xfId="0" applyFont="1" applyFill="1" applyAlignment="1"/>
    <xf numFmtId="0" fontId="8" fillId="0" borderId="5" xfId="0" applyFont="1" applyBorder="1" applyAlignment="1"/>
    <xf numFmtId="0" fontId="8" fillId="0" borderId="5" xfId="0" applyFont="1" applyBorder="1" applyAlignment="1">
      <alignment horizontal="left"/>
    </xf>
    <xf numFmtId="0" fontId="8" fillId="6" borderId="1" xfId="0" applyFont="1" applyFill="1" applyBorder="1" applyAlignment="1"/>
    <xf numFmtId="0" fontId="8" fillId="0" borderId="1" xfId="0" applyFont="1" applyBorder="1" applyAlignment="1">
      <alignment horizontal="left"/>
    </xf>
    <xf numFmtId="0" fontId="8" fillId="13" borderId="1" xfId="0" applyFont="1" applyFill="1" applyBorder="1" applyAlignment="1"/>
    <xf numFmtId="0" fontId="7" fillId="0" borderId="1" xfId="0" applyFont="1" applyBorder="1" applyAlignment="1"/>
    <xf numFmtId="0" fontId="10" fillId="14" borderId="1" xfId="0" applyFont="1" applyFill="1" applyBorder="1">
      <alignment vertical="center"/>
    </xf>
    <xf numFmtId="0" fontId="10" fillId="5" borderId="0" xfId="0" applyFont="1" applyFill="1">
      <alignment vertical="center"/>
    </xf>
    <xf numFmtId="0" fontId="10" fillId="1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6" fillId="2" borderId="0" xfId="0" applyFont="1" applyFill="1" applyAlignment="1"/>
    <xf numFmtId="0" fontId="6" fillId="7" borderId="1" xfId="0" applyFont="1" applyFill="1" applyBorder="1" applyAlignment="1">
      <alignment horizontal="center"/>
    </xf>
    <xf numFmtId="0" fontId="9" fillId="14" borderId="1" xfId="0" applyFont="1" applyFill="1" applyBorder="1" applyAlignment="1"/>
    <xf numFmtId="0" fontId="9" fillId="14" borderId="1" xfId="0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/>
    </xf>
    <xf numFmtId="0" fontId="9" fillId="12" borderId="1" xfId="0" applyFont="1" applyFill="1" applyBorder="1" applyAlignment="1"/>
    <xf numFmtId="0" fontId="6" fillId="17" borderId="1" xfId="0" applyFont="1" applyFill="1" applyBorder="1" applyAlignment="1">
      <alignment horizontal="center"/>
    </xf>
    <xf numFmtId="0" fontId="12" fillId="0" borderId="0" xfId="1" applyFont="1">
      <alignment vertical="center"/>
    </xf>
    <xf numFmtId="0" fontId="12" fillId="6" borderId="0" xfId="1" applyFont="1" applyFill="1">
      <alignment vertical="center"/>
    </xf>
    <xf numFmtId="0" fontId="12" fillId="6" borderId="0" xfId="1" applyFont="1" applyFill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6" borderId="0" xfId="1" applyFont="1" applyFill="1" applyBorder="1">
      <alignment vertical="center"/>
    </xf>
    <xf numFmtId="0" fontId="12" fillId="16" borderId="1" xfId="1" applyFont="1" applyFill="1" applyBorder="1" applyAlignment="1">
      <alignment horizontal="center" vertical="center"/>
    </xf>
    <xf numFmtId="176" fontId="12" fillId="0" borderId="6" xfId="1" applyNumberFormat="1" applyFont="1" applyBorder="1">
      <alignment vertical="center"/>
    </xf>
    <xf numFmtId="0" fontId="12" fillId="0" borderId="7" xfId="1" applyFont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0" fontId="12" fillId="19" borderId="1" xfId="1" applyFont="1" applyFill="1" applyBorder="1" applyAlignment="1">
      <alignment horizontal="center" vertical="center"/>
    </xf>
    <xf numFmtId="176" fontId="12" fillId="0" borderId="8" xfId="1" applyNumberFormat="1" applyFont="1" applyBorder="1">
      <alignment vertical="center"/>
    </xf>
    <xf numFmtId="0" fontId="12" fillId="0" borderId="9" xfId="1" applyFont="1" applyBorder="1" applyAlignment="1">
      <alignment horizontal="center" vertical="center"/>
    </xf>
    <xf numFmtId="0" fontId="12" fillId="20" borderId="1" xfId="1" applyFont="1" applyFill="1" applyBorder="1" applyAlignment="1">
      <alignment horizontal="center" vertical="center"/>
    </xf>
    <xf numFmtId="0" fontId="12" fillId="6" borderId="0" xfId="1" quotePrefix="1" applyFont="1" applyFill="1" applyBorder="1">
      <alignment vertical="center"/>
    </xf>
    <xf numFmtId="0" fontId="12" fillId="2" borderId="1" xfId="1" applyFont="1" applyFill="1" applyBorder="1" applyAlignment="1">
      <alignment horizontal="center" vertical="center"/>
    </xf>
    <xf numFmtId="0" fontId="12" fillId="21" borderId="1" xfId="1" applyFont="1" applyFill="1" applyBorder="1" applyAlignment="1">
      <alignment horizontal="center" vertical="center"/>
    </xf>
    <xf numFmtId="0" fontId="12" fillId="22" borderId="1" xfId="1" applyFont="1" applyFill="1" applyBorder="1" applyAlignment="1">
      <alignment horizontal="center" vertical="center"/>
    </xf>
    <xf numFmtId="0" fontId="12" fillId="23" borderId="1" xfId="1" applyFont="1" applyFill="1" applyBorder="1" applyAlignment="1">
      <alignment horizontal="center" vertical="center"/>
    </xf>
    <xf numFmtId="0" fontId="12" fillId="0" borderId="9" xfId="1" applyFont="1" applyFill="1" applyBorder="1" applyAlignment="1">
      <alignment horizontal="center" vertical="center"/>
    </xf>
    <xf numFmtId="0" fontId="12" fillId="24" borderId="1" xfId="1" applyFont="1" applyFill="1" applyBorder="1" applyAlignment="1">
      <alignment horizontal="center" vertical="center"/>
    </xf>
    <xf numFmtId="0" fontId="12" fillId="25" borderId="1" xfId="1" applyFont="1" applyFill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2" fillId="26" borderId="1" xfId="1" applyFont="1" applyFill="1" applyBorder="1" applyAlignment="1">
      <alignment horizontal="center" vertical="center"/>
    </xf>
    <xf numFmtId="0" fontId="12" fillId="27" borderId="1" xfId="1" applyFont="1" applyFill="1" applyBorder="1" applyAlignment="1">
      <alignment horizontal="center" vertical="center"/>
    </xf>
    <xf numFmtId="0" fontId="12" fillId="10" borderId="1" xfId="1" applyFont="1" applyFill="1" applyBorder="1" applyAlignment="1">
      <alignment horizontal="center" vertical="center"/>
    </xf>
    <xf numFmtId="0" fontId="12" fillId="28" borderId="1" xfId="1" applyFont="1" applyFill="1" applyBorder="1" applyAlignment="1">
      <alignment horizontal="center" vertical="center"/>
    </xf>
    <xf numFmtId="0" fontId="12" fillId="29" borderId="1" xfId="1" applyFont="1" applyFill="1" applyBorder="1" applyAlignment="1">
      <alignment horizontal="center" vertical="center"/>
    </xf>
    <xf numFmtId="0" fontId="12" fillId="0" borderId="0" xfId="1" applyFont="1" applyAlignment="1">
      <alignment horizontal="left" vertical="center"/>
    </xf>
    <xf numFmtId="0" fontId="12" fillId="0" borderId="0" xfId="1" applyFont="1" applyAlignment="1">
      <alignment horizontal="right" vertical="center"/>
    </xf>
    <xf numFmtId="0" fontId="12" fillId="0" borderId="0" xfId="1" applyFont="1" applyBorder="1">
      <alignment vertical="center"/>
    </xf>
    <xf numFmtId="0" fontId="12" fillId="0" borderId="0" xfId="1" applyFont="1" applyFill="1">
      <alignment vertical="center"/>
    </xf>
    <xf numFmtId="0" fontId="12" fillId="0" borderId="0" xfId="1" applyFont="1" applyFill="1" applyBorder="1">
      <alignment vertical="center"/>
    </xf>
    <xf numFmtId="0" fontId="12" fillId="0" borderId="0" xfId="1" applyFont="1" applyBorder="1" applyAlignment="1">
      <alignment horizontal="center" vertical="center"/>
    </xf>
    <xf numFmtId="0" fontId="12" fillId="0" borderId="1" xfId="1" applyFont="1" applyBorder="1">
      <alignment vertical="center"/>
    </xf>
    <xf numFmtId="0" fontId="12" fillId="13" borderId="1" xfId="1" applyFont="1" applyFill="1" applyBorder="1" applyAlignment="1">
      <alignment horizontal="center" vertical="center"/>
    </xf>
    <xf numFmtId="0" fontId="13" fillId="0" borderId="1" xfId="2" applyFont="1" applyFill="1" applyBorder="1" applyAlignment="1">
      <alignment horizontal="center"/>
    </xf>
    <xf numFmtId="0" fontId="12" fillId="9" borderId="1" xfId="1" applyFont="1" applyFill="1" applyBorder="1" applyAlignment="1">
      <alignment horizontal="center" vertical="center"/>
    </xf>
    <xf numFmtId="0" fontId="14" fillId="0" borderId="1" xfId="2" applyFont="1" applyFill="1" applyBorder="1" applyAlignment="1">
      <alignment horizontal="center"/>
    </xf>
    <xf numFmtId="0" fontId="12" fillId="30" borderId="1" xfId="1" applyFont="1" applyFill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0" fontId="12" fillId="0" borderId="5" xfId="1" applyFont="1" applyBorder="1">
      <alignment vertical="center"/>
    </xf>
    <xf numFmtId="0" fontId="12" fillId="0" borderId="5" xfId="1" applyFont="1" applyBorder="1" applyAlignment="1">
      <alignment horizontal="center" vertical="center"/>
    </xf>
    <xf numFmtId="0" fontId="12" fillId="8" borderId="5" xfId="1" applyFont="1" applyFill="1" applyBorder="1" applyAlignment="1">
      <alignment horizontal="center" vertical="center"/>
    </xf>
    <xf numFmtId="0" fontId="14" fillId="0" borderId="5" xfId="2" applyFont="1" applyFill="1" applyBorder="1" applyAlignment="1">
      <alignment horizontal="center"/>
    </xf>
    <xf numFmtId="0" fontId="12" fillId="6" borderId="10" xfId="1" applyFont="1" applyFill="1" applyBorder="1">
      <alignment vertical="center"/>
    </xf>
    <xf numFmtId="0" fontId="12" fillId="4" borderId="11" xfId="1" applyFont="1" applyFill="1" applyBorder="1">
      <alignment vertical="center"/>
    </xf>
    <xf numFmtId="0" fontId="12" fillId="6" borderId="12" xfId="1" applyFont="1" applyFill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2" fillId="0" borderId="14" xfId="1" applyFont="1" applyBorder="1">
      <alignment vertical="center"/>
    </xf>
    <xf numFmtId="0" fontId="12" fillId="0" borderId="14" xfId="1" applyFont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2" fillId="9" borderId="14" xfId="1" applyFont="1" applyFill="1" applyBorder="1" applyAlignment="1">
      <alignment horizontal="center" vertical="center"/>
    </xf>
    <xf numFmtId="0" fontId="13" fillId="0" borderId="14" xfId="2" applyFont="1" applyFill="1" applyBorder="1" applyAlignment="1">
      <alignment horizontal="center"/>
    </xf>
    <xf numFmtId="0" fontId="12" fillId="0" borderId="14" xfId="2" applyFont="1" applyFill="1" applyBorder="1"/>
    <xf numFmtId="0" fontId="12" fillId="0" borderId="16" xfId="1" applyFont="1" applyBorder="1">
      <alignment vertical="center"/>
    </xf>
    <xf numFmtId="0" fontId="12" fillId="0" borderId="3" xfId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" xfId="1" applyFont="1" applyFill="1" applyBorder="1">
      <alignment vertical="center"/>
    </xf>
    <xf numFmtId="0" fontId="12" fillId="0" borderId="4" xfId="1" applyFont="1" applyFill="1" applyBorder="1" applyAlignment="1">
      <alignment horizontal="center" vertical="center"/>
    </xf>
    <xf numFmtId="0" fontId="15" fillId="0" borderId="1" xfId="2" applyFont="1" applyFill="1" applyBorder="1"/>
    <xf numFmtId="0" fontId="12" fillId="0" borderId="17" xfId="1" applyFont="1" applyFill="1" applyBorder="1">
      <alignment vertical="center"/>
    </xf>
    <xf numFmtId="0" fontId="12" fillId="4" borderId="3" xfId="1" applyFont="1" applyFill="1" applyBorder="1">
      <alignment vertical="center"/>
    </xf>
    <xf numFmtId="0" fontId="12" fillId="0" borderId="2" xfId="1" applyFont="1" applyBorder="1" applyAlignment="1">
      <alignment horizontal="center" vertical="center"/>
    </xf>
    <xf numFmtId="0" fontId="12" fillId="0" borderId="4" xfId="1" applyFont="1" applyBorder="1" applyAlignment="1">
      <alignment horizontal="center" vertical="center"/>
    </xf>
    <xf numFmtId="0" fontId="12" fillId="8" borderId="1" xfId="1" applyFont="1" applyFill="1" applyBorder="1" applyAlignment="1">
      <alignment horizontal="center" vertical="center"/>
    </xf>
    <xf numFmtId="0" fontId="12" fillId="0" borderId="17" xfId="1" applyFont="1" applyBorder="1">
      <alignment vertical="center"/>
    </xf>
    <xf numFmtId="0" fontId="12" fillId="4" borderId="18" xfId="1" applyFont="1" applyFill="1" applyBorder="1">
      <alignment vertical="center"/>
    </xf>
    <xf numFmtId="0" fontId="12" fillId="0" borderId="19" xfId="1" applyFont="1" applyBorder="1" applyAlignment="1">
      <alignment horizontal="center" vertical="center"/>
    </xf>
    <xf numFmtId="0" fontId="12" fillId="0" borderId="20" xfId="1" applyFont="1" applyBorder="1">
      <alignment vertical="center"/>
    </xf>
    <xf numFmtId="0" fontId="12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2" fillId="13" borderId="20" xfId="1" applyFont="1" applyFill="1" applyBorder="1" applyAlignment="1">
      <alignment horizontal="center" vertical="center"/>
    </xf>
    <xf numFmtId="0" fontId="14" fillId="0" borderId="20" xfId="2" applyFont="1" applyFill="1" applyBorder="1" applyAlignment="1">
      <alignment horizontal="center"/>
    </xf>
    <xf numFmtId="0" fontId="15" fillId="0" borderId="20" xfId="2" applyFont="1" applyFill="1" applyBorder="1"/>
    <xf numFmtId="0" fontId="12" fillId="0" borderId="22" xfId="1" applyFont="1" applyBorder="1">
      <alignment vertical="center"/>
    </xf>
    <xf numFmtId="0" fontId="12" fillId="0" borderId="23" xfId="1" applyFont="1" applyBorder="1">
      <alignment vertical="center"/>
    </xf>
    <xf numFmtId="0" fontId="12" fillId="19" borderId="14" xfId="1" applyFont="1" applyFill="1" applyBorder="1" applyAlignment="1">
      <alignment horizontal="center" vertical="center"/>
    </xf>
    <xf numFmtId="0" fontId="14" fillId="0" borderId="14" xfId="2" applyFont="1" applyFill="1" applyBorder="1" applyAlignment="1">
      <alignment horizontal="center"/>
    </xf>
    <xf numFmtId="0" fontId="12" fillId="0" borderId="24" xfId="1" applyFont="1" applyBorder="1">
      <alignment vertical="center"/>
    </xf>
    <xf numFmtId="0" fontId="12" fillId="0" borderId="25" xfId="1" applyFont="1" applyBorder="1">
      <alignment vertical="center"/>
    </xf>
    <xf numFmtId="0" fontId="12" fillId="30" borderId="20" xfId="1" applyFont="1" applyFill="1" applyBorder="1" applyAlignment="1">
      <alignment horizontal="center" vertical="center"/>
    </xf>
    <xf numFmtId="0" fontId="13" fillId="0" borderId="20" xfId="2" applyFont="1" applyFill="1" applyBorder="1" applyAlignment="1">
      <alignment horizontal="center"/>
    </xf>
    <xf numFmtId="0" fontId="12" fillId="4" borderId="23" xfId="1" applyFont="1" applyFill="1" applyBorder="1">
      <alignment vertical="center"/>
    </xf>
    <xf numFmtId="0" fontId="12" fillId="8" borderId="14" xfId="1" applyFont="1" applyFill="1" applyBorder="1" applyAlignment="1">
      <alignment horizontal="center" vertical="center"/>
    </xf>
    <xf numFmtId="0" fontId="15" fillId="0" borderId="14" xfId="2" applyFont="1" applyFill="1" applyBorder="1"/>
    <xf numFmtId="0" fontId="12" fillId="4" borderId="24" xfId="1" applyFont="1" applyFill="1" applyBorder="1">
      <alignment vertical="center"/>
    </xf>
    <xf numFmtId="0" fontId="12" fillId="4" borderId="25" xfId="1" applyFont="1" applyFill="1" applyBorder="1">
      <alignment vertical="center"/>
    </xf>
    <xf numFmtId="0" fontId="12" fillId="30" borderId="14" xfId="1" applyFont="1" applyFill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2" fillId="8" borderId="20" xfId="1" applyFont="1" applyFill="1" applyBorder="1" applyAlignment="1">
      <alignment horizontal="center" vertical="center"/>
    </xf>
    <xf numFmtId="0" fontId="12" fillId="0" borderId="26" xfId="1" applyFont="1" applyBorder="1">
      <alignment vertical="center"/>
    </xf>
    <xf numFmtId="0" fontId="12" fillId="0" borderId="7" xfId="1" applyFont="1" applyBorder="1">
      <alignment vertical="center"/>
    </xf>
    <xf numFmtId="0" fontId="12" fillId="0" borderId="27" xfId="1" applyFont="1" applyBorder="1">
      <alignment vertical="center"/>
    </xf>
    <xf numFmtId="0" fontId="12" fillId="19" borderId="20" xfId="1" applyFont="1" applyFill="1" applyBorder="1" applyAlignment="1">
      <alignment horizontal="center" vertical="center"/>
    </xf>
    <xf numFmtId="0" fontId="12" fillId="9" borderId="20" xfId="1" applyFont="1" applyFill="1" applyBorder="1" applyAlignment="1">
      <alignment horizontal="center" vertical="center"/>
    </xf>
    <xf numFmtId="0" fontId="12" fillId="31" borderId="25" xfId="1" applyFont="1" applyFill="1" applyBorder="1">
      <alignment vertical="center"/>
    </xf>
    <xf numFmtId="0" fontId="12" fillId="31" borderId="20" xfId="1" applyFont="1" applyFill="1" applyBorder="1">
      <alignment vertical="center"/>
    </xf>
    <xf numFmtId="0" fontId="12" fillId="0" borderId="28" xfId="1" applyFont="1" applyBorder="1">
      <alignment vertical="center"/>
    </xf>
    <xf numFmtId="0" fontId="12" fillId="0" borderId="9" xfId="1" applyFont="1" applyBorder="1">
      <alignment vertical="center"/>
    </xf>
    <xf numFmtId="0" fontId="12" fillId="31" borderId="24" xfId="1" applyFont="1" applyFill="1" applyBorder="1">
      <alignment vertical="center"/>
    </xf>
    <xf numFmtId="0" fontId="12" fillId="31" borderId="1" xfId="1" applyFont="1" applyFill="1" applyBorder="1">
      <alignment vertical="center"/>
    </xf>
    <xf numFmtId="0" fontId="12" fillId="0" borderId="29" xfId="1" applyFont="1" applyBorder="1">
      <alignment vertical="center"/>
    </xf>
    <xf numFmtId="0" fontId="17" fillId="32" borderId="0" xfId="1" applyFont="1" applyFill="1">
      <alignment vertical="center"/>
    </xf>
    <xf numFmtId="0" fontId="17" fillId="6" borderId="0" xfId="1" applyFont="1" applyFill="1">
      <alignment vertical="center"/>
    </xf>
    <xf numFmtId="0" fontId="17" fillId="6" borderId="0" xfId="1" applyFont="1" applyFill="1" applyBorder="1" applyAlignment="1">
      <alignment horizontal="center" vertical="center"/>
    </xf>
    <xf numFmtId="0" fontId="17" fillId="32" borderId="0" xfId="1" applyFont="1" applyFill="1" applyAlignment="1">
      <alignment horizontal="center" vertical="center"/>
    </xf>
    <xf numFmtId="0" fontId="17" fillId="32" borderId="10" xfId="1" applyFont="1" applyFill="1" applyBorder="1" applyAlignment="1">
      <alignment horizontal="center" vertical="center"/>
    </xf>
    <xf numFmtId="0" fontId="17" fillId="32" borderId="30" xfId="1" applyFont="1" applyFill="1" applyBorder="1" applyAlignment="1">
      <alignment horizontal="center" vertical="center"/>
    </xf>
    <xf numFmtId="0" fontId="17" fillId="32" borderId="30" xfId="1" applyFont="1" applyFill="1" applyBorder="1">
      <alignment vertical="center"/>
    </xf>
    <xf numFmtId="0" fontId="8" fillId="0" borderId="0" xfId="0" applyNumberFormat="1" applyFont="1" applyAlignment="1"/>
    <xf numFmtId="0" fontId="7" fillId="6" borderId="0" xfId="0" applyFont="1" applyFill="1">
      <alignment vertical="center"/>
    </xf>
    <xf numFmtId="0" fontId="7" fillId="6" borderId="31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8" fillId="6" borderId="31" xfId="0" applyFont="1" applyFill="1" applyBorder="1" applyAlignment="1">
      <alignment horizontal="center" vertical="center"/>
    </xf>
    <xf numFmtId="0" fontId="0" fillId="6" borderId="0" xfId="0" applyFill="1">
      <alignment vertical="center"/>
    </xf>
    <xf numFmtId="0" fontId="8" fillId="6" borderId="31" xfId="0" applyFont="1" applyFill="1" applyBorder="1">
      <alignment vertical="center"/>
    </xf>
    <xf numFmtId="0" fontId="7" fillId="11" borderId="31" xfId="0" applyFont="1" applyFill="1" applyBorder="1">
      <alignment vertical="center"/>
    </xf>
    <xf numFmtId="0" fontId="20" fillId="6" borderId="0" xfId="0" applyFont="1" applyFill="1">
      <alignment vertical="center"/>
    </xf>
    <xf numFmtId="0" fontId="21" fillId="6" borderId="0" xfId="0" applyFont="1" applyFill="1" applyAlignment="1">
      <alignment horizontal="center" vertical="center"/>
    </xf>
    <xf numFmtId="0" fontId="8" fillId="11" borderId="31" xfId="0" applyFont="1" applyFill="1" applyBorder="1">
      <alignment vertical="center"/>
    </xf>
    <xf numFmtId="0" fontId="8" fillId="33" borderId="31" xfId="0" applyFont="1" applyFill="1" applyBorder="1">
      <alignment vertical="center"/>
    </xf>
    <xf numFmtId="0" fontId="8" fillId="33" borderId="0" xfId="0" applyFont="1" applyFill="1">
      <alignment vertical="center"/>
    </xf>
    <xf numFmtId="0" fontId="7" fillId="16" borderId="31" xfId="0" applyFont="1" applyFill="1" applyBorder="1" applyAlignment="1">
      <alignment horizontal="center" vertical="center"/>
    </xf>
    <xf numFmtId="0" fontId="8" fillId="16" borderId="31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right" vertical="center"/>
    </xf>
    <xf numFmtId="0" fontId="7" fillId="16" borderId="0" xfId="0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0" fontId="10" fillId="6" borderId="31" xfId="0" applyFont="1" applyFill="1" applyBorder="1">
      <alignment vertical="center"/>
    </xf>
    <xf numFmtId="0" fontId="10" fillId="11" borderId="31" xfId="0" applyFont="1" applyFill="1" applyBorder="1">
      <alignment vertical="center"/>
    </xf>
    <xf numFmtId="0" fontId="9" fillId="6" borderId="31" xfId="0" applyFont="1" applyFill="1" applyBorder="1">
      <alignment vertical="center"/>
    </xf>
    <xf numFmtId="0" fontId="9" fillId="11" borderId="31" xfId="0" applyFont="1" applyFill="1" applyBorder="1">
      <alignment vertical="center"/>
    </xf>
    <xf numFmtId="0" fontId="9" fillId="33" borderId="31" xfId="0" applyFont="1" applyFill="1" applyBorder="1">
      <alignment vertical="center"/>
    </xf>
    <xf numFmtId="0" fontId="20" fillId="0" borderId="0" xfId="0" applyFont="1">
      <alignment vertical="center"/>
    </xf>
    <xf numFmtId="0" fontId="7" fillId="7" borderId="0" xfId="0" applyFont="1" applyFill="1">
      <alignment vertical="center"/>
    </xf>
    <xf numFmtId="0" fontId="20" fillId="7" borderId="0" xfId="0" applyFont="1" applyFill="1">
      <alignment vertical="center"/>
    </xf>
    <xf numFmtId="0" fontId="8" fillId="5" borderId="0" xfId="0" applyNumberFormat="1" applyFont="1" applyFill="1" applyAlignment="1"/>
    <xf numFmtId="0" fontId="8" fillId="6" borderId="1" xfId="0" applyNumberFormat="1" applyFont="1" applyFill="1" applyBorder="1" applyAlignment="1"/>
    <xf numFmtId="0" fontId="8" fillId="0" borderId="1" xfId="0" applyNumberFormat="1" applyFont="1" applyFill="1" applyBorder="1" applyAlignment="1"/>
    <xf numFmtId="0" fontId="8" fillId="6" borderId="1" xfId="0" applyNumberFormat="1" applyFont="1" applyFill="1" applyBorder="1">
      <alignment vertical="center"/>
    </xf>
    <xf numFmtId="0" fontId="8" fillId="6" borderId="1" xfId="0" applyNumberFormat="1" applyFont="1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NumberFormat="1" applyFont="1" applyFill="1" applyAlignment="1"/>
    <xf numFmtId="0" fontId="8" fillId="6" borderId="0" xfId="0" applyNumberFormat="1" applyFont="1" applyFill="1" applyAlignment="1"/>
    <xf numFmtId="0" fontId="8" fillId="6" borderId="0" xfId="0" applyNumberFormat="1" applyFont="1" applyFill="1" applyAlignment="1">
      <alignment horizontal="center"/>
    </xf>
    <xf numFmtId="0" fontId="8" fillId="0" borderId="0" xfId="0" applyNumberFormat="1" applyFont="1" applyBorder="1" applyAlignment="1"/>
    <xf numFmtId="0" fontId="8" fillId="0" borderId="0" xfId="0" applyNumberFormat="1" applyFont="1" applyFill="1" applyBorder="1" applyAlignment="1"/>
    <xf numFmtId="0" fontId="8" fillId="0" borderId="0" xfId="0" applyNumberFormat="1" applyFont="1" applyBorder="1">
      <alignment vertical="center"/>
    </xf>
    <xf numFmtId="0" fontId="12" fillId="0" borderId="0" xfId="37" applyNumberFormat="1" applyFont="1" applyBorder="1"/>
    <xf numFmtId="0" fontId="12" fillId="0" borderId="0" xfId="45" applyNumberFormat="1" applyFont="1" applyBorder="1"/>
    <xf numFmtId="0" fontId="12" fillId="0" borderId="0" xfId="46" applyNumberFormat="1" applyFont="1" applyBorder="1"/>
    <xf numFmtId="0" fontId="12" fillId="0" borderId="0" xfId="47" applyNumberFormat="1" applyFont="1" applyBorder="1"/>
    <xf numFmtId="0" fontId="12" fillId="0" borderId="0" xfId="48" applyNumberFormat="1" applyFont="1" applyBorder="1"/>
    <xf numFmtId="0" fontId="12" fillId="0" borderId="0" xfId="49" applyNumberFormat="1" applyFont="1" applyBorder="1"/>
    <xf numFmtId="0" fontId="12" fillId="0" borderId="0" xfId="50" applyNumberFormat="1" applyFont="1" applyBorder="1"/>
    <xf numFmtId="0" fontId="10" fillId="0" borderId="0" xfId="0" applyNumberFormat="1" applyFont="1" applyFill="1" applyBorder="1" applyAlignment="1">
      <alignment horizontal="left" vertical="center"/>
    </xf>
    <xf numFmtId="0" fontId="10" fillId="0" borderId="0" xfId="0" applyNumberFormat="1" applyFont="1" applyFill="1" applyBorder="1" applyAlignment="1">
      <alignment horizontal="left"/>
    </xf>
    <xf numFmtId="0" fontId="8" fillId="0" borderId="0" xfId="0" applyFont="1" applyFill="1" applyBorder="1" applyAlignment="1"/>
    <xf numFmtId="0" fontId="10" fillId="0" borderId="0" xfId="0" applyFont="1" applyFill="1" applyBorder="1">
      <alignment vertical="center"/>
    </xf>
    <xf numFmtId="0" fontId="10" fillId="0" borderId="0" xfId="0" applyFont="1" applyFill="1" applyBorder="1" applyAlignment="1"/>
    <xf numFmtId="0" fontId="9" fillId="0" borderId="1" xfId="0" applyFont="1" applyFill="1" applyBorder="1">
      <alignment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/>
    <xf numFmtId="0" fontId="8" fillId="0" borderId="0" xfId="0" applyNumberFormat="1" applyFont="1" applyBorder="1" applyAlignment="1">
      <alignment horizontal="right"/>
    </xf>
    <xf numFmtId="0" fontId="8" fillId="0" borderId="0" xfId="0" applyNumberFormat="1" applyFont="1" applyFill="1" applyBorder="1" applyAlignment="1">
      <alignment horizontal="right"/>
    </xf>
    <xf numFmtId="0" fontId="10" fillId="34" borderId="31" xfId="0" applyNumberFormat="1" applyFont="1" applyFill="1" applyBorder="1" applyAlignment="1">
      <alignment horizontal="left" vertical="center"/>
    </xf>
    <xf numFmtId="0" fontId="10" fillId="35" borderId="31" xfId="0" applyNumberFormat="1" applyFont="1" applyFill="1" applyBorder="1" applyAlignment="1">
      <alignment horizontal="left"/>
    </xf>
    <xf numFmtId="0" fontId="8" fillId="14" borderId="31" xfId="0" applyNumberFormat="1" applyFont="1" applyFill="1" applyBorder="1">
      <alignment vertical="center"/>
    </xf>
    <xf numFmtId="0" fontId="8" fillId="14" borderId="31" xfId="0" applyNumberFormat="1" applyFont="1" applyFill="1" applyBorder="1" applyAlignment="1"/>
    <xf numFmtId="0" fontId="8" fillId="14" borderId="31" xfId="0" applyNumberFormat="1" applyFont="1" applyFill="1" applyBorder="1" applyAlignment="1">
      <alignment horizontal="left"/>
    </xf>
    <xf numFmtId="0" fontId="8" fillId="0" borderId="31" xfId="0" applyNumberFormat="1" applyFont="1" applyBorder="1" applyAlignment="1"/>
    <xf numFmtId="0" fontId="8" fillId="14" borderId="31" xfId="0" applyNumberFormat="1" applyFont="1" applyFill="1" applyBorder="1" applyAlignment="1">
      <alignment horizontal="right" vertical="center"/>
    </xf>
    <xf numFmtId="0" fontId="8" fillId="14" borderId="31" xfId="0" applyNumberFormat="1" applyFont="1" applyFill="1" applyBorder="1" applyAlignment="1">
      <alignment horizontal="right"/>
    </xf>
    <xf numFmtId="0" fontId="8" fillId="0" borderId="1" xfId="0" applyNumberFormat="1" applyFont="1" applyFill="1" applyBorder="1">
      <alignment vertical="center"/>
    </xf>
    <xf numFmtId="0" fontId="10" fillId="14" borderId="1" xfId="0" applyNumberFormat="1" applyFont="1" applyFill="1" applyBorder="1" applyAlignment="1">
      <alignment horizontal="center"/>
    </xf>
    <xf numFmtId="0" fontId="9" fillId="0" borderId="1" xfId="0" applyNumberFormat="1" applyFont="1" applyFill="1" applyBorder="1" applyAlignment="1"/>
    <xf numFmtId="0" fontId="7" fillId="34" borderId="1" xfId="0" applyNumberFormat="1" applyFont="1" applyFill="1" applyBorder="1" applyAlignment="1"/>
    <xf numFmtId="0" fontId="7" fillId="35" borderId="1" xfId="0" applyNumberFormat="1" applyFont="1" applyFill="1" applyBorder="1" applyAlignment="1"/>
    <xf numFmtId="0" fontId="10" fillId="0" borderId="31" xfId="0" applyNumberFormat="1" applyFont="1" applyFill="1" applyBorder="1" applyAlignment="1">
      <alignment horizontal="left" vertical="center"/>
    </xf>
    <xf numFmtId="0" fontId="8" fillId="8" borderId="31" xfId="0" applyNumberFormat="1" applyFont="1" applyFill="1" applyBorder="1" applyAlignment="1"/>
    <xf numFmtId="0" fontId="8" fillId="3" borderId="31" xfId="0" applyNumberFormat="1" applyFont="1" applyFill="1" applyBorder="1" applyAlignment="1"/>
    <xf numFmtId="0" fontId="8" fillId="3" borderId="31" xfId="0" applyNumberFormat="1" applyFont="1" applyFill="1" applyBorder="1" applyAlignment="1">
      <alignment horizontal="right"/>
    </xf>
    <xf numFmtId="0" fontId="10" fillId="35" borderId="32" xfId="0" applyNumberFormat="1" applyFont="1" applyFill="1" applyBorder="1" applyAlignment="1">
      <alignment horizontal="left"/>
    </xf>
    <xf numFmtId="0" fontId="22" fillId="0" borderId="0" xfId="0" applyFont="1" applyBorder="1" applyAlignment="1"/>
    <xf numFmtId="0" fontId="15" fillId="6" borderId="0" xfId="1" applyFont="1" applyFill="1" applyAlignment="1">
      <alignment horizontal="center" vertical="center"/>
    </xf>
    <xf numFmtId="0" fontId="17" fillId="10" borderId="0" xfId="1" applyFont="1" applyFill="1" applyAlignment="1">
      <alignment horizontal="center" vertical="center"/>
    </xf>
    <xf numFmtId="0" fontId="17" fillId="6" borderId="0" xfId="1" applyFont="1" applyFill="1" applyAlignment="1">
      <alignment horizontal="center" vertical="center"/>
    </xf>
    <xf numFmtId="0" fontId="12" fillId="10" borderId="0" xfId="1" applyFont="1" applyFill="1" applyBorder="1" applyAlignment="1">
      <alignment horizontal="center" vertical="center"/>
    </xf>
    <xf numFmtId="0" fontId="12" fillId="6" borderId="0" xfId="1" applyFont="1" applyFill="1" applyAlignment="1">
      <alignment horizontal="center" vertical="center"/>
    </xf>
    <xf numFmtId="0" fontId="12" fillId="10" borderId="0" xfId="1" applyFont="1" applyFill="1" applyAlignment="1">
      <alignment horizontal="center" vertical="center"/>
    </xf>
    <xf numFmtId="0" fontId="9" fillId="14" borderId="33" xfId="0" applyFont="1" applyFill="1" applyBorder="1" applyAlignment="1"/>
    <xf numFmtId="0" fontId="6" fillId="36" borderId="31" xfId="0" applyFont="1" applyFill="1" applyBorder="1" applyAlignment="1"/>
    <xf numFmtId="0" fontId="23" fillId="0" borderId="34" xfId="0" applyFont="1" applyBorder="1">
      <alignment vertical="center"/>
    </xf>
    <xf numFmtId="0" fontId="24" fillId="0" borderId="34" xfId="0" applyFont="1" applyBorder="1">
      <alignment vertical="center"/>
    </xf>
    <xf numFmtId="0" fontId="10" fillId="14" borderId="2" xfId="0" applyNumberFormat="1" applyFont="1" applyFill="1" applyBorder="1" applyAlignment="1">
      <alignment horizontal="center"/>
    </xf>
    <xf numFmtId="0" fontId="10" fillId="14" borderId="3" xfId="0" applyNumberFormat="1" applyFont="1" applyFill="1" applyBorder="1" applyAlignment="1">
      <alignment horizontal="center"/>
    </xf>
    <xf numFmtId="0" fontId="10" fillId="14" borderId="4" xfId="0" applyNumberFormat="1" applyFont="1" applyFill="1" applyBorder="1" applyAlignment="1">
      <alignment horizontal="center"/>
    </xf>
    <xf numFmtId="0" fontId="7" fillId="14" borderId="1" xfId="0" applyNumberFormat="1" applyFont="1" applyFill="1" applyBorder="1" applyAlignment="1">
      <alignment horizontal="center"/>
    </xf>
    <xf numFmtId="0" fontId="0" fillId="0" borderId="35" xfId="0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0" fontId="10" fillId="14" borderId="1" xfId="0" applyFont="1" applyFill="1" applyBorder="1" applyAlignment="1">
      <alignment horizontal="center"/>
    </xf>
    <xf numFmtId="0" fontId="7" fillId="10" borderId="1" xfId="0" applyFont="1" applyFill="1" applyBorder="1" applyAlignment="1">
      <alignment horizontal="center"/>
    </xf>
    <xf numFmtId="0" fontId="6" fillId="15" borderId="2" xfId="0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/>
    </xf>
    <xf numFmtId="0" fontId="6" fillId="15" borderId="4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</cellXfs>
  <cellStyles count="51">
    <cellStyle name="60% - 강조색4 2" xfId="3" xr:uid="{00000000-0005-0000-0000-000000000000}"/>
    <cellStyle name="60% - 강조색4 3" xfId="4" xr:uid="{00000000-0005-0000-0000-000001000000}"/>
    <cellStyle name="60% - 강조색4 4" xfId="5" xr:uid="{00000000-0005-0000-0000-000002000000}"/>
    <cellStyle name="표준" xfId="0" builtinId="0"/>
    <cellStyle name="표준 10" xfId="6" xr:uid="{00000000-0005-0000-0000-000004000000}"/>
    <cellStyle name="표준 11" xfId="7" xr:uid="{00000000-0005-0000-0000-000005000000}"/>
    <cellStyle name="표준 12" xfId="8" xr:uid="{00000000-0005-0000-0000-000006000000}"/>
    <cellStyle name="표준 13" xfId="2" xr:uid="{00000000-0005-0000-0000-000007000000}"/>
    <cellStyle name="표준 14" xfId="37" xr:uid="{00000000-0005-0000-0000-000008000000}"/>
    <cellStyle name="표준 15" xfId="9" xr:uid="{00000000-0005-0000-0000-000009000000}"/>
    <cellStyle name="표준 16" xfId="45" xr:uid="{00000000-0005-0000-0000-00000A000000}"/>
    <cellStyle name="표준 17" xfId="46" xr:uid="{00000000-0005-0000-0000-00000B000000}"/>
    <cellStyle name="표준 18" xfId="47" xr:uid="{00000000-0005-0000-0000-00000C000000}"/>
    <cellStyle name="표준 19" xfId="48" xr:uid="{00000000-0005-0000-0000-00000D000000}"/>
    <cellStyle name="표준 2" xfId="1" xr:uid="{00000000-0005-0000-0000-00000E000000}"/>
    <cellStyle name="표준 2 2" xfId="10" xr:uid="{00000000-0005-0000-0000-00000F000000}"/>
    <cellStyle name="표준 2 2 2" xfId="11" xr:uid="{00000000-0005-0000-0000-000010000000}"/>
    <cellStyle name="표준 2 2 2 2" xfId="12" xr:uid="{00000000-0005-0000-0000-000011000000}"/>
    <cellStyle name="표준 2 2 2 3" xfId="13" xr:uid="{00000000-0005-0000-0000-000012000000}"/>
    <cellStyle name="표준 2 2 3" xfId="14" xr:uid="{00000000-0005-0000-0000-000013000000}"/>
    <cellStyle name="표준 2 2 4" xfId="15" xr:uid="{00000000-0005-0000-0000-000014000000}"/>
    <cellStyle name="표준 2 2 5" xfId="42" xr:uid="{00000000-0005-0000-0000-000015000000}"/>
    <cellStyle name="표준 2 3" xfId="16" xr:uid="{00000000-0005-0000-0000-000016000000}"/>
    <cellStyle name="표준 2 3 2" xfId="17" xr:uid="{00000000-0005-0000-0000-000017000000}"/>
    <cellStyle name="표준 2 3 3" xfId="18" xr:uid="{00000000-0005-0000-0000-000018000000}"/>
    <cellStyle name="표준 2 4" xfId="19" xr:uid="{00000000-0005-0000-0000-000019000000}"/>
    <cellStyle name="표준 2 5" xfId="20" xr:uid="{00000000-0005-0000-0000-00001A000000}"/>
    <cellStyle name="표준 2 6" xfId="40" xr:uid="{00000000-0005-0000-0000-00001B000000}"/>
    <cellStyle name="표준 20" xfId="49" xr:uid="{00000000-0005-0000-0000-00001C000000}"/>
    <cellStyle name="표준 21" xfId="50" xr:uid="{00000000-0005-0000-0000-00001D000000}"/>
    <cellStyle name="표준 3" xfId="21" xr:uid="{00000000-0005-0000-0000-00001E000000}"/>
    <cellStyle name="표준 3 2" xfId="22" xr:uid="{00000000-0005-0000-0000-00001F000000}"/>
    <cellStyle name="표준 3 2 2" xfId="23" xr:uid="{00000000-0005-0000-0000-000020000000}"/>
    <cellStyle name="표준 3 2 3" xfId="24" xr:uid="{00000000-0005-0000-0000-000021000000}"/>
    <cellStyle name="표준 3 2 4" xfId="43" xr:uid="{00000000-0005-0000-0000-000022000000}"/>
    <cellStyle name="표준 3 3" xfId="25" xr:uid="{00000000-0005-0000-0000-000023000000}"/>
    <cellStyle name="표준 3 4" xfId="26" xr:uid="{00000000-0005-0000-0000-000024000000}"/>
    <cellStyle name="표준 3 5" xfId="39" xr:uid="{00000000-0005-0000-0000-000025000000}"/>
    <cellStyle name="표준 4" xfId="27" xr:uid="{00000000-0005-0000-0000-000026000000}"/>
    <cellStyle name="표준 4 2" xfId="41" xr:uid="{00000000-0005-0000-0000-000027000000}"/>
    <cellStyle name="표준 5" xfId="28" xr:uid="{00000000-0005-0000-0000-000028000000}"/>
    <cellStyle name="표준 5 2" xfId="29" xr:uid="{00000000-0005-0000-0000-000029000000}"/>
    <cellStyle name="표준 5 2 2" xfId="44" xr:uid="{00000000-0005-0000-0000-00002A000000}"/>
    <cellStyle name="표준 5 2 3" xfId="38" xr:uid="{00000000-0005-0000-0000-00002B000000}"/>
    <cellStyle name="표준 5 3" xfId="30" xr:uid="{00000000-0005-0000-0000-00002C000000}"/>
    <cellStyle name="표준 6" xfId="31" xr:uid="{00000000-0005-0000-0000-00002D000000}"/>
    <cellStyle name="표준 7" xfId="32" xr:uid="{00000000-0005-0000-0000-00002E000000}"/>
    <cellStyle name="표준 7 2" xfId="33" xr:uid="{00000000-0005-0000-0000-00002F000000}"/>
    <cellStyle name="표준 7 3" xfId="34" xr:uid="{00000000-0005-0000-0000-000030000000}"/>
    <cellStyle name="표준 8" xfId="35" xr:uid="{00000000-0005-0000-0000-000031000000}"/>
    <cellStyle name="표준 9" xfId="36" xr:uid="{00000000-0005-0000-0000-000032000000}"/>
  </cellStyles>
  <dxfs count="101"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C0C0C0"/>
        </patternFill>
      </fill>
    </dxf>
    <dxf>
      <fill>
        <patternFill>
          <bgColor rgb="FFFF9999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966FF"/>
        </patternFill>
      </fill>
    </dxf>
    <dxf>
      <fill>
        <patternFill>
          <bgColor rgb="FFFFFF00"/>
        </patternFill>
      </fill>
    </dxf>
    <dxf>
      <fill>
        <patternFill>
          <bgColor rgb="FF5F5F5F"/>
        </patternFill>
      </fill>
    </dxf>
    <dxf>
      <fill>
        <patternFill>
          <bgColor rgb="FFFF99FF"/>
        </patternFill>
      </fill>
    </dxf>
    <dxf>
      <fill>
        <patternFill>
          <bgColor rgb="FF339966"/>
        </patternFill>
      </fill>
    </dxf>
    <dxf>
      <fill>
        <patternFill>
          <bgColor rgb="FFFFFF00"/>
        </patternFill>
      </fill>
    </dxf>
    <dxf>
      <font>
        <color theme="0" tint="-0.34998626667073579"/>
      </font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ont>
        <b/>
        <i val="0"/>
      </font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CC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909705037465584E-2"/>
          <c:y val="0.14382631215602293"/>
          <c:w val="0.86596025522002662"/>
          <c:h val="0.70628531028220043"/>
        </c:manualLayout>
      </c:layout>
      <c:lineChart>
        <c:grouping val="standard"/>
        <c:varyColors val="0"/>
        <c:ser>
          <c:idx val="1"/>
          <c:order val="1"/>
          <c:tx>
            <c:strRef>
              <c:f>Sheet1!$B$1:$B$2</c:f>
              <c:strCache>
                <c:ptCount val="2"/>
                <c:pt idx="0">
                  <c:v>1</c:v>
                </c:pt>
                <c:pt idx="1">
                  <c:v>체력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Sheet1!$B$3:$B$102</c:f>
              <c:numCache>
                <c:formatCode>General</c:formatCode>
                <c:ptCount val="100"/>
                <c:pt idx="0">
                  <c:v>4452</c:v>
                </c:pt>
                <c:pt idx="1">
                  <c:v>5404</c:v>
                </c:pt>
                <c:pt idx="2">
                  <c:v>6356</c:v>
                </c:pt>
                <c:pt idx="3">
                  <c:v>7336</c:v>
                </c:pt>
                <c:pt idx="4">
                  <c:v>8295</c:v>
                </c:pt>
                <c:pt idx="5">
                  <c:v>9254</c:v>
                </c:pt>
                <c:pt idx="6">
                  <c:v>10213</c:v>
                </c:pt>
                <c:pt idx="7">
                  <c:v>11172</c:v>
                </c:pt>
                <c:pt idx="8">
                  <c:v>12131</c:v>
                </c:pt>
                <c:pt idx="9">
                  <c:v>13090</c:v>
                </c:pt>
                <c:pt idx="10">
                  <c:v>14049</c:v>
                </c:pt>
                <c:pt idx="11">
                  <c:v>15092</c:v>
                </c:pt>
                <c:pt idx="12">
                  <c:v>16058</c:v>
                </c:pt>
                <c:pt idx="13">
                  <c:v>17024</c:v>
                </c:pt>
                <c:pt idx="14">
                  <c:v>17990</c:v>
                </c:pt>
                <c:pt idx="15">
                  <c:v>18956</c:v>
                </c:pt>
                <c:pt idx="16">
                  <c:v>19922</c:v>
                </c:pt>
                <c:pt idx="17">
                  <c:v>20888</c:v>
                </c:pt>
                <c:pt idx="18">
                  <c:v>21854</c:v>
                </c:pt>
                <c:pt idx="19">
                  <c:v>22960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B-4F2F-9CD4-F403992F3986}"/>
            </c:ext>
          </c:extLst>
        </c:ser>
        <c:ser>
          <c:idx val="8"/>
          <c:order val="8"/>
          <c:tx>
            <c:strRef>
              <c:f>Sheet1!$I$1:$I$2</c:f>
              <c:strCache>
                <c:ptCount val="2"/>
                <c:pt idx="0">
                  <c:v>2</c:v>
                </c:pt>
                <c:pt idx="1">
                  <c:v>체력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Sheet1!$I$3:$I$102</c:f>
              <c:numCache>
                <c:formatCode>General</c:formatCode>
                <c:ptCount val="100"/>
                <c:pt idx="0">
                  <c:v>5516</c:v>
                </c:pt>
                <c:pt idx="1">
                  <c:v>6732</c:v>
                </c:pt>
                <c:pt idx="2">
                  <c:v>7948</c:v>
                </c:pt>
                <c:pt idx="3">
                  <c:v>9200</c:v>
                </c:pt>
                <c:pt idx="4">
                  <c:v>10425</c:v>
                </c:pt>
                <c:pt idx="5">
                  <c:v>11650</c:v>
                </c:pt>
                <c:pt idx="6">
                  <c:v>12875</c:v>
                </c:pt>
                <c:pt idx="7">
                  <c:v>14100</c:v>
                </c:pt>
                <c:pt idx="8">
                  <c:v>15325</c:v>
                </c:pt>
                <c:pt idx="9">
                  <c:v>16550</c:v>
                </c:pt>
                <c:pt idx="10">
                  <c:v>17775</c:v>
                </c:pt>
                <c:pt idx="11">
                  <c:v>19105</c:v>
                </c:pt>
                <c:pt idx="12">
                  <c:v>20338</c:v>
                </c:pt>
                <c:pt idx="13">
                  <c:v>21572</c:v>
                </c:pt>
                <c:pt idx="14">
                  <c:v>22806</c:v>
                </c:pt>
                <c:pt idx="15">
                  <c:v>24040</c:v>
                </c:pt>
                <c:pt idx="16">
                  <c:v>25273</c:v>
                </c:pt>
                <c:pt idx="17">
                  <c:v>26507</c:v>
                </c:pt>
                <c:pt idx="18">
                  <c:v>27741</c:v>
                </c:pt>
                <c:pt idx="19">
                  <c:v>29150</c:v>
                </c:pt>
                <c:pt idx="20">
                  <c:v>30392</c:v>
                </c:pt>
                <c:pt idx="21">
                  <c:v>31635</c:v>
                </c:pt>
                <c:pt idx="22">
                  <c:v>32877</c:v>
                </c:pt>
                <c:pt idx="23">
                  <c:v>34120</c:v>
                </c:pt>
                <c:pt idx="24">
                  <c:v>35362</c:v>
                </c:pt>
                <c:pt idx="25">
                  <c:v>36605</c:v>
                </c:pt>
                <c:pt idx="26">
                  <c:v>38083</c:v>
                </c:pt>
                <c:pt idx="27">
                  <c:v>39335</c:v>
                </c:pt>
                <c:pt idx="28">
                  <c:v>40586</c:v>
                </c:pt>
                <c:pt idx="29">
                  <c:v>41837</c:v>
                </c:pt>
                <c:pt idx="30">
                  <c:v>43088</c:v>
                </c:pt>
                <c:pt idx="31">
                  <c:v>44340</c:v>
                </c:pt>
                <c:pt idx="32">
                  <c:v>45591</c:v>
                </c:pt>
                <c:pt idx="33">
                  <c:v>46842</c:v>
                </c:pt>
                <c:pt idx="34">
                  <c:v>48400</c:v>
                </c:pt>
                <c:pt idx="35">
                  <c:v>49660</c:v>
                </c:pt>
                <c:pt idx="36">
                  <c:v>50920</c:v>
                </c:pt>
                <c:pt idx="37">
                  <c:v>52180</c:v>
                </c:pt>
                <c:pt idx="38">
                  <c:v>53440</c:v>
                </c:pt>
                <c:pt idx="39">
                  <c:v>54700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EB-4F2F-9CD4-F403992F3986}"/>
            </c:ext>
          </c:extLst>
        </c:ser>
        <c:ser>
          <c:idx val="15"/>
          <c:order val="15"/>
          <c:tx>
            <c:strRef>
              <c:f>Sheet1!$P$1:$P$2</c:f>
              <c:strCache>
                <c:ptCount val="2"/>
                <c:pt idx="0">
                  <c:v>3</c:v>
                </c:pt>
                <c:pt idx="1">
                  <c:v>체력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Sheet1!$P$3:$P$102</c:f>
              <c:numCache>
                <c:formatCode>General</c:formatCode>
                <c:ptCount val="100"/>
                <c:pt idx="0">
                  <c:v>7340</c:v>
                </c:pt>
                <c:pt idx="1">
                  <c:v>8980</c:v>
                </c:pt>
                <c:pt idx="2">
                  <c:v>10620</c:v>
                </c:pt>
                <c:pt idx="3">
                  <c:v>12306</c:v>
                </c:pt>
                <c:pt idx="4">
                  <c:v>13958</c:v>
                </c:pt>
                <c:pt idx="5">
                  <c:v>15609</c:v>
                </c:pt>
                <c:pt idx="6">
                  <c:v>17261</c:v>
                </c:pt>
                <c:pt idx="7">
                  <c:v>18913</c:v>
                </c:pt>
                <c:pt idx="8">
                  <c:v>20564</c:v>
                </c:pt>
                <c:pt idx="9">
                  <c:v>22216</c:v>
                </c:pt>
                <c:pt idx="10">
                  <c:v>23868</c:v>
                </c:pt>
                <c:pt idx="11">
                  <c:v>25658</c:v>
                </c:pt>
                <c:pt idx="12">
                  <c:v>27321</c:v>
                </c:pt>
                <c:pt idx="13">
                  <c:v>28984</c:v>
                </c:pt>
                <c:pt idx="14">
                  <c:v>30648</c:v>
                </c:pt>
                <c:pt idx="15">
                  <c:v>32311</c:v>
                </c:pt>
                <c:pt idx="16">
                  <c:v>33974</c:v>
                </c:pt>
                <c:pt idx="17">
                  <c:v>35637</c:v>
                </c:pt>
                <c:pt idx="18">
                  <c:v>37300</c:v>
                </c:pt>
                <c:pt idx="19">
                  <c:v>39195</c:v>
                </c:pt>
                <c:pt idx="20">
                  <c:v>40869</c:v>
                </c:pt>
                <c:pt idx="21">
                  <c:v>42544</c:v>
                </c:pt>
                <c:pt idx="22">
                  <c:v>44219</c:v>
                </c:pt>
                <c:pt idx="23">
                  <c:v>45894</c:v>
                </c:pt>
                <c:pt idx="24">
                  <c:v>47568</c:v>
                </c:pt>
                <c:pt idx="25">
                  <c:v>49243</c:v>
                </c:pt>
                <c:pt idx="26">
                  <c:v>51230</c:v>
                </c:pt>
                <c:pt idx="27">
                  <c:v>52916</c:v>
                </c:pt>
                <c:pt idx="28">
                  <c:v>54602</c:v>
                </c:pt>
                <c:pt idx="29">
                  <c:v>56289</c:v>
                </c:pt>
                <c:pt idx="30">
                  <c:v>57975</c:v>
                </c:pt>
                <c:pt idx="31">
                  <c:v>59661</c:v>
                </c:pt>
                <c:pt idx="32">
                  <c:v>61347</c:v>
                </c:pt>
                <c:pt idx="33">
                  <c:v>63034</c:v>
                </c:pt>
                <c:pt idx="34">
                  <c:v>65124</c:v>
                </c:pt>
                <c:pt idx="35">
                  <c:v>66822</c:v>
                </c:pt>
                <c:pt idx="36">
                  <c:v>68520</c:v>
                </c:pt>
                <c:pt idx="37">
                  <c:v>70218</c:v>
                </c:pt>
                <c:pt idx="38">
                  <c:v>71916</c:v>
                </c:pt>
                <c:pt idx="39">
                  <c:v>73614</c:v>
                </c:pt>
                <c:pt idx="40">
                  <c:v>75311</c:v>
                </c:pt>
                <c:pt idx="41">
                  <c:v>77009</c:v>
                </c:pt>
                <c:pt idx="42">
                  <c:v>79204</c:v>
                </c:pt>
                <c:pt idx="43">
                  <c:v>80913</c:v>
                </c:pt>
                <c:pt idx="44">
                  <c:v>82623</c:v>
                </c:pt>
                <c:pt idx="45">
                  <c:v>84332</c:v>
                </c:pt>
                <c:pt idx="46">
                  <c:v>86041</c:v>
                </c:pt>
                <c:pt idx="47">
                  <c:v>87751</c:v>
                </c:pt>
                <c:pt idx="48">
                  <c:v>89460</c:v>
                </c:pt>
                <c:pt idx="49">
                  <c:v>91747</c:v>
                </c:pt>
                <c:pt idx="50">
                  <c:v>93468</c:v>
                </c:pt>
                <c:pt idx="51">
                  <c:v>95189</c:v>
                </c:pt>
                <c:pt idx="52">
                  <c:v>96910</c:v>
                </c:pt>
                <c:pt idx="53">
                  <c:v>98631</c:v>
                </c:pt>
                <c:pt idx="54">
                  <c:v>100352</c:v>
                </c:pt>
                <c:pt idx="55">
                  <c:v>102073</c:v>
                </c:pt>
                <c:pt idx="56">
                  <c:v>103794</c:v>
                </c:pt>
                <c:pt idx="57">
                  <c:v>106185</c:v>
                </c:pt>
                <c:pt idx="58">
                  <c:v>107917</c:v>
                </c:pt>
                <c:pt idx="59">
                  <c:v>109650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EB-4F2F-9CD4-F403992F3986}"/>
            </c:ext>
          </c:extLst>
        </c:ser>
        <c:ser>
          <c:idx val="22"/>
          <c:order val="22"/>
          <c:tx>
            <c:strRef>
              <c:f>Sheet1!$W$1:$W$2</c:f>
              <c:strCache>
                <c:ptCount val="2"/>
                <c:pt idx="0">
                  <c:v>4</c:v>
                </c:pt>
                <c:pt idx="1">
                  <c:v>체력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Sheet1!$W$3:$W$102</c:f>
              <c:numCache>
                <c:formatCode>General</c:formatCode>
                <c:ptCount val="100"/>
                <c:pt idx="0">
                  <c:v>10068</c:v>
                </c:pt>
                <c:pt idx="1">
                  <c:v>12336</c:v>
                </c:pt>
                <c:pt idx="2">
                  <c:v>14604</c:v>
                </c:pt>
                <c:pt idx="3">
                  <c:v>16935</c:v>
                </c:pt>
                <c:pt idx="4">
                  <c:v>19218</c:v>
                </c:pt>
                <c:pt idx="5">
                  <c:v>21502</c:v>
                </c:pt>
                <c:pt idx="6">
                  <c:v>23786</c:v>
                </c:pt>
                <c:pt idx="7">
                  <c:v>26070</c:v>
                </c:pt>
                <c:pt idx="8">
                  <c:v>28353</c:v>
                </c:pt>
                <c:pt idx="9">
                  <c:v>30637</c:v>
                </c:pt>
                <c:pt idx="10">
                  <c:v>32921</c:v>
                </c:pt>
                <c:pt idx="11">
                  <c:v>35394</c:v>
                </c:pt>
                <c:pt idx="12">
                  <c:v>37693</c:v>
                </c:pt>
                <c:pt idx="13">
                  <c:v>39993</c:v>
                </c:pt>
                <c:pt idx="14">
                  <c:v>42292</c:v>
                </c:pt>
                <c:pt idx="15">
                  <c:v>44592</c:v>
                </c:pt>
                <c:pt idx="16">
                  <c:v>46891</c:v>
                </c:pt>
                <c:pt idx="17">
                  <c:v>49191</c:v>
                </c:pt>
                <c:pt idx="18">
                  <c:v>51490</c:v>
                </c:pt>
                <c:pt idx="19">
                  <c:v>54105</c:v>
                </c:pt>
                <c:pt idx="20">
                  <c:v>56420</c:v>
                </c:pt>
                <c:pt idx="21">
                  <c:v>58735</c:v>
                </c:pt>
                <c:pt idx="22">
                  <c:v>61050</c:v>
                </c:pt>
                <c:pt idx="23">
                  <c:v>63366</c:v>
                </c:pt>
                <c:pt idx="24">
                  <c:v>65681</c:v>
                </c:pt>
                <c:pt idx="25">
                  <c:v>67996</c:v>
                </c:pt>
                <c:pt idx="26">
                  <c:v>70737</c:v>
                </c:pt>
                <c:pt idx="27">
                  <c:v>73068</c:v>
                </c:pt>
                <c:pt idx="28">
                  <c:v>75399</c:v>
                </c:pt>
                <c:pt idx="29">
                  <c:v>77730</c:v>
                </c:pt>
                <c:pt idx="30">
                  <c:v>80061</c:v>
                </c:pt>
                <c:pt idx="31">
                  <c:v>82392</c:v>
                </c:pt>
                <c:pt idx="32">
                  <c:v>84723</c:v>
                </c:pt>
                <c:pt idx="33">
                  <c:v>87054</c:v>
                </c:pt>
                <c:pt idx="34">
                  <c:v>89936</c:v>
                </c:pt>
                <c:pt idx="35">
                  <c:v>92283</c:v>
                </c:pt>
                <c:pt idx="36">
                  <c:v>94629</c:v>
                </c:pt>
                <c:pt idx="37">
                  <c:v>96976</c:v>
                </c:pt>
                <c:pt idx="38">
                  <c:v>99323</c:v>
                </c:pt>
                <c:pt idx="39">
                  <c:v>101670</c:v>
                </c:pt>
                <c:pt idx="40">
                  <c:v>104016</c:v>
                </c:pt>
                <c:pt idx="41">
                  <c:v>106363</c:v>
                </c:pt>
                <c:pt idx="42">
                  <c:v>109387</c:v>
                </c:pt>
                <c:pt idx="43">
                  <c:v>111750</c:v>
                </c:pt>
                <c:pt idx="44">
                  <c:v>114112</c:v>
                </c:pt>
                <c:pt idx="45">
                  <c:v>116475</c:v>
                </c:pt>
                <c:pt idx="46">
                  <c:v>118837</c:v>
                </c:pt>
                <c:pt idx="47">
                  <c:v>121200</c:v>
                </c:pt>
                <c:pt idx="48">
                  <c:v>123562</c:v>
                </c:pt>
                <c:pt idx="49">
                  <c:v>126712</c:v>
                </c:pt>
                <c:pt idx="50">
                  <c:v>129090</c:v>
                </c:pt>
                <c:pt idx="51">
                  <c:v>131469</c:v>
                </c:pt>
                <c:pt idx="52">
                  <c:v>133847</c:v>
                </c:pt>
                <c:pt idx="53">
                  <c:v>136225</c:v>
                </c:pt>
                <c:pt idx="54">
                  <c:v>138603</c:v>
                </c:pt>
                <c:pt idx="55">
                  <c:v>140982</c:v>
                </c:pt>
                <c:pt idx="56">
                  <c:v>143360</c:v>
                </c:pt>
                <c:pt idx="57">
                  <c:v>146652</c:v>
                </c:pt>
                <c:pt idx="58">
                  <c:v>149046</c:v>
                </c:pt>
                <c:pt idx="59">
                  <c:v>151440</c:v>
                </c:pt>
                <c:pt idx="60">
                  <c:v>153834</c:v>
                </c:pt>
                <c:pt idx="61">
                  <c:v>156228</c:v>
                </c:pt>
                <c:pt idx="62">
                  <c:v>158622</c:v>
                </c:pt>
                <c:pt idx="63">
                  <c:v>161016</c:v>
                </c:pt>
                <c:pt idx="64">
                  <c:v>163410</c:v>
                </c:pt>
                <c:pt idx="65">
                  <c:v>166843</c:v>
                </c:pt>
                <c:pt idx="66">
                  <c:v>169253</c:v>
                </c:pt>
                <c:pt idx="67">
                  <c:v>171663</c:v>
                </c:pt>
                <c:pt idx="68">
                  <c:v>174072</c:v>
                </c:pt>
                <c:pt idx="69">
                  <c:v>176482</c:v>
                </c:pt>
                <c:pt idx="70">
                  <c:v>178892</c:v>
                </c:pt>
                <c:pt idx="71">
                  <c:v>181302</c:v>
                </c:pt>
                <c:pt idx="72">
                  <c:v>183711</c:v>
                </c:pt>
                <c:pt idx="73">
                  <c:v>187287</c:v>
                </c:pt>
                <c:pt idx="74">
                  <c:v>189712</c:v>
                </c:pt>
                <c:pt idx="75">
                  <c:v>192138</c:v>
                </c:pt>
                <c:pt idx="76">
                  <c:v>194563</c:v>
                </c:pt>
                <c:pt idx="77">
                  <c:v>196989</c:v>
                </c:pt>
                <c:pt idx="78">
                  <c:v>199414</c:v>
                </c:pt>
                <c:pt idx="79">
                  <c:v>201840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3EB-4F2F-9CD4-F403992F3986}"/>
            </c:ext>
          </c:extLst>
        </c:ser>
        <c:ser>
          <c:idx val="29"/>
          <c:order val="29"/>
          <c:tx>
            <c:strRef>
              <c:f>Sheet1!$AD$1:$AD$2</c:f>
              <c:strCache>
                <c:ptCount val="2"/>
                <c:pt idx="0">
                  <c:v>5</c:v>
                </c:pt>
                <c:pt idx="1">
                  <c:v>체력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Sheet1!$AD$3:$AD$102</c:f>
              <c:numCache>
                <c:formatCode>General</c:formatCode>
                <c:ptCount val="100"/>
                <c:pt idx="0">
                  <c:v>12429</c:v>
                </c:pt>
                <c:pt idx="1">
                  <c:v>15259</c:v>
                </c:pt>
                <c:pt idx="2">
                  <c:v>18089</c:v>
                </c:pt>
                <c:pt idx="3">
                  <c:v>20996</c:v>
                </c:pt>
                <c:pt idx="4">
                  <c:v>23845</c:v>
                </c:pt>
                <c:pt idx="5">
                  <c:v>26694</c:v>
                </c:pt>
                <c:pt idx="6">
                  <c:v>29543</c:v>
                </c:pt>
                <c:pt idx="7">
                  <c:v>32392</c:v>
                </c:pt>
                <c:pt idx="8">
                  <c:v>35241</c:v>
                </c:pt>
                <c:pt idx="9">
                  <c:v>38090</c:v>
                </c:pt>
                <c:pt idx="10">
                  <c:v>40939</c:v>
                </c:pt>
                <c:pt idx="11">
                  <c:v>44019</c:v>
                </c:pt>
                <c:pt idx="12">
                  <c:v>46887</c:v>
                </c:pt>
                <c:pt idx="13">
                  <c:v>49755</c:v>
                </c:pt>
                <c:pt idx="14">
                  <c:v>52623</c:v>
                </c:pt>
                <c:pt idx="15">
                  <c:v>55492</c:v>
                </c:pt>
                <c:pt idx="16">
                  <c:v>58360</c:v>
                </c:pt>
                <c:pt idx="17">
                  <c:v>61228</c:v>
                </c:pt>
                <c:pt idx="18">
                  <c:v>64096</c:v>
                </c:pt>
                <c:pt idx="19">
                  <c:v>67350</c:v>
                </c:pt>
                <c:pt idx="20">
                  <c:v>70237</c:v>
                </c:pt>
                <c:pt idx="21">
                  <c:v>73125</c:v>
                </c:pt>
                <c:pt idx="22">
                  <c:v>76012</c:v>
                </c:pt>
                <c:pt idx="23">
                  <c:v>78900</c:v>
                </c:pt>
                <c:pt idx="24">
                  <c:v>81787</c:v>
                </c:pt>
                <c:pt idx="25">
                  <c:v>84675</c:v>
                </c:pt>
                <c:pt idx="26">
                  <c:v>88082</c:v>
                </c:pt>
                <c:pt idx="27">
                  <c:v>90989</c:v>
                </c:pt>
                <c:pt idx="28">
                  <c:v>93895</c:v>
                </c:pt>
                <c:pt idx="29">
                  <c:v>96802</c:v>
                </c:pt>
                <c:pt idx="30">
                  <c:v>99709</c:v>
                </c:pt>
                <c:pt idx="31">
                  <c:v>102616</c:v>
                </c:pt>
                <c:pt idx="32">
                  <c:v>105522</c:v>
                </c:pt>
                <c:pt idx="33">
                  <c:v>108429</c:v>
                </c:pt>
                <c:pt idx="34">
                  <c:v>112010</c:v>
                </c:pt>
                <c:pt idx="35">
                  <c:v>114936</c:v>
                </c:pt>
                <c:pt idx="36">
                  <c:v>117862</c:v>
                </c:pt>
                <c:pt idx="37">
                  <c:v>120788</c:v>
                </c:pt>
                <c:pt idx="38">
                  <c:v>123714</c:v>
                </c:pt>
                <c:pt idx="39">
                  <c:v>126640</c:v>
                </c:pt>
                <c:pt idx="40">
                  <c:v>129566</c:v>
                </c:pt>
                <c:pt idx="41">
                  <c:v>132492</c:v>
                </c:pt>
                <c:pt idx="42">
                  <c:v>136245</c:v>
                </c:pt>
                <c:pt idx="43">
                  <c:v>139191</c:v>
                </c:pt>
                <c:pt idx="44">
                  <c:v>142136</c:v>
                </c:pt>
                <c:pt idx="45">
                  <c:v>145081</c:v>
                </c:pt>
                <c:pt idx="46">
                  <c:v>148026</c:v>
                </c:pt>
                <c:pt idx="47">
                  <c:v>150972</c:v>
                </c:pt>
                <c:pt idx="48">
                  <c:v>153917</c:v>
                </c:pt>
                <c:pt idx="49">
                  <c:v>157825</c:v>
                </c:pt>
                <c:pt idx="50">
                  <c:v>160789</c:v>
                </c:pt>
                <c:pt idx="51">
                  <c:v>163754</c:v>
                </c:pt>
                <c:pt idx="52">
                  <c:v>166718</c:v>
                </c:pt>
                <c:pt idx="53">
                  <c:v>169683</c:v>
                </c:pt>
                <c:pt idx="54">
                  <c:v>172647</c:v>
                </c:pt>
                <c:pt idx="55">
                  <c:v>175612</c:v>
                </c:pt>
                <c:pt idx="56">
                  <c:v>178576</c:v>
                </c:pt>
                <c:pt idx="57">
                  <c:v>182657</c:v>
                </c:pt>
                <c:pt idx="58">
                  <c:v>185641</c:v>
                </c:pt>
                <c:pt idx="59">
                  <c:v>188625</c:v>
                </c:pt>
                <c:pt idx="60">
                  <c:v>191608</c:v>
                </c:pt>
                <c:pt idx="61">
                  <c:v>194592</c:v>
                </c:pt>
                <c:pt idx="62">
                  <c:v>197576</c:v>
                </c:pt>
                <c:pt idx="63">
                  <c:v>200560</c:v>
                </c:pt>
                <c:pt idx="64">
                  <c:v>203543</c:v>
                </c:pt>
                <c:pt idx="65">
                  <c:v>207798</c:v>
                </c:pt>
                <c:pt idx="66">
                  <c:v>210801</c:v>
                </c:pt>
                <c:pt idx="67">
                  <c:v>213804</c:v>
                </c:pt>
                <c:pt idx="68">
                  <c:v>216807</c:v>
                </c:pt>
                <c:pt idx="69">
                  <c:v>219810</c:v>
                </c:pt>
                <c:pt idx="70">
                  <c:v>222813</c:v>
                </c:pt>
                <c:pt idx="71">
                  <c:v>225816</c:v>
                </c:pt>
                <c:pt idx="72">
                  <c:v>228819</c:v>
                </c:pt>
                <c:pt idx="73">
                  <c:v>233246</c:v>
                </c:pt>
                <c:pt idx="74">
                  <c:v>236268</c:v>
                </c:pt>
                <c:pt idx="75">
                  <c:v>239291</c:v>
                </c:pt>
                <c:pt idx="76">
                  <c:v>242313</c:v>
                </c:pt>
                <c:pt idx="77">
                  <c:v>245335</c:v>
                </c:pt>
                <c:pt idx="78">
                  <c:v>248357</c:v>
                </c:pt>
                <c:pt idx="79">
                  <c:v>251380</c:v>
                </c:pt>
                <c:pt idx="80">
                  <c:v>255961</c:v>
                </c:pt>
                <c:pt idx="81">
                  <c:v>259003</c:v>
                </c:pt>
                <c:pt idx="82">
                  <c:v>262044</c:v>
                </c:pt>
                <c:pt idx="83">
                  <c:v>265086</c:v>
                </c:pt>
                <c:pt idx="84">
                  <c:v>268127</c:v>
                </c:pt>
                <c:pt idx="85">
                  <c:v>271169</c:v>
                </c:pt>
                <c:pt idx="86">
                  <c:v>274210</c:v>
                </c:pt>
                <c:pt idx="87">
                  <c:v>277252</c:v>
                </c:pt>
                <c:pt idx="88">
                  <c:v>282006</c:v>
                </c:pt>
                <c:pt idx="89">
                  <c:v>285067</c:v>
                </c:pt>
                <c:pt idx="90">
                  <c:v>288128</c:v>
                </c:pt>
                <c:pt idx="91">
                  <c:v>291189</c:v>
                </c:pt>
                <c:pt idx="92">
                  <c:v>294249</c:v>
                </c:pt>
                <c:pt idx="93">
                  <c:v>297310</c:v>
                </c:pt>
                <c:pt idx="94">
                  <c:v>300371</c:v>
                </c:pt>
                <c:pt idx="95">
                  <c:v>303432</c:v>
                </c:pt>
                <c:pt idx="96">
                  <c:v>308360</c:v>
                </c:pt>
                <c:pt idx="97">
                  <c:v>311440</c:v>
                </c:pt>
                <c:pt idx="98">
                  <c:v>314520</c:v>
                </c:pt>
                <c:pt idx="99">
                  <c:v>317600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3EB-4F2F-9CD4-F403992F3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878640"/>
        <c:axId val="6308789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Sheet1!$A$1:$A$2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Sheet1!$A$3:$A$102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EB-4F2F-9CD4-F403992F39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Sheet1!$C$1:$C$2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Sheet1!$C$3:$C$102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268</c:v>
                      </c:pt>
                      <c:pt idx="1">
                        <c:v>268</c:v>
                      </c:pt>
                      <c:pt idx="2">
                        <c:v>269</c:v>
                      </c:pt>
                      <c:pt idx="3">
                        <c:v>270</c:v>
                      </c:pt>
                      <c:pt idx="4">
                        <c:v>304</c:v>
                      </c:pt>
                      <c:pt idx="5">
                        <c:v>304</c:v>
                      </c:pt>
                      <c:pt idx="6">
                        <c:v>305</c:v>
                      </c:pt>
                      <c:pt idx="7">
                        <c:v>305</c:v>
                      </c:pt>
                      <c:pt idx="8">
                        <c:v>306</c:v>
                      </c:pt>
                      <c:pt idx="9">
                        <c:v>306</c:v>
                      </c:pt>
                      <c:pt idx="10">
                        <c:v>307</c:v>
                      </c:pt>
                      <c:pt idx="11">
                        <c:v>308</c:v>
                      </c:pt>
                      <c:pt idx="12">
                        <c:v>308</c:v>
                      </c:pt>
                      <c:pt idx="13">
                        <c:v>344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346</c:v>
                      </c:pt>
                      <c:pt idx="17">
                        <c:v>346</c:v>
                      </c:pt>
                      <c:pt idx="18">
                        <c:v>347</c:v>
                      </c:pt>
                      <c:pt idx="19">
                        <c:v>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EB-4F2F-9CD4-F403992F398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Sheet1!$D$1:$D$2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Sheet1!$D$3:$D$102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336</c:v>
                      </c:pt>
                      <c:pt idx="1">
                        <c:v>337</c:v>
                      </c:pt>
                      <c:pt idx="2">
                        <c:v>337</c:v>
                      </c:pt>
                      <c:pt idx="3">
                        <c:v>338</c:v>
                      </c:pt>
                      <c:pt idx="4">
                        <c:v>376</c:v>
                      </c:pt>
                      <c:pt idx="5">
                        <c:v>376</c:v>
                      </c:pt>
                      <c:pt idx="6">
                        <c:v>377</c:v>
                      </c:pt>
                      <c:pt idx="7">
                        <c:v>378</c:v>
                      </c:pt>
                      <c:pt idx="8">
                        <c:v>378</c:v>
                      </c:pt>
                      <c:pt idx="9">
                        <c:v>379</c:v>
                      </c:pt>
                      <c:pt idx="10">
                        <c:v>379</c:v>
                      </c:pt>
                      <c:pt idx="11">
                        <c:v>380</c:v>
                      </c:pt>
                      <c:pt idx="12">
                        <c:v>420</c:v>
                      </c:pt>
                      <c:pt idx="13">
                        <c:v>420</c:v>
                      </c:pt>
                      <c:pt idx="14">
                        <c:v>421</c:v>
                      </c:pt>
                      <c:pt idx="15">
                        <c:v>421</c:v>
                      </c:pt>
                      <c:pt idx="16">
                        <c:v>422</c:v>
                      </c:pt>
                      <c:pt idx="17">
                        <c:v>423</c:v>
                      </c:pt>
                      <c:pt idx="18">
                        <c:v>423</c:v>
                      </c:pt>
                      <c:pt idx="19">
                        <c:v>424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EB-4F2F-9CD4-F403992F398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Sheet1!$E$1:$E$2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Sheet1!$E$3:$E$102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2506</c:v>
                      </c:pt>
                      <c:pt idx="1">
                        <c:v>2506</c:v>
                      </c:pt>
                      <c:pt idx="2">
                        <c:v>2645</c:v>
                      </c:pt>
                      <c:pt idx="3">
                        <c:v>2646</c:v>
                      </c:pt>
                      <c:pt idx="4">
                        <c:v>2647</c:v>
                      </c:pt>
                      <c:pt idx="5">
                        <c:v>2647</c:v>
                      </c:pt>
                      <c:pt idx="6">
                        <c:v>2790</c:v>
                      </c:pt>
                      <c:pt idx="7">
                        <c:v>2791</c:v>
                      </c:pt>
                      <c:pt idx="8">
                        <c:v>2791</c:v>
                      </c:pt>
                      <c:pt idx="9">
                        <c:v>2792</c:v>
                      </c:pt>
                      <c:pt idx="10">
                        <c:v>2938</c:v>
                      </c:pt>
                      <c:pt idx="11">
                        <c:v>2939</c:v>
                      </c:pt>
                      <c:pt idx="12">
                        <c:v>2939</c:v>
                      </c:pt>
                      <c:pt idx="13">
                        <c:v>2940</c:v>
                      </c:pt>
                      <c:pt idx="14">
                        <c:v>3090</c:v>
                      </c:pt>
                      <c:pt idx="15">
                        <c:v>3091</c:v>
                      </c:pt>
                      <c:pt idx="16">
                        <c:v>3091</c:v>
                      </c:pt>
                      <c:pt idx="17">
                        <c:v>3092</c:v>
                      </c:pt>
                      <c:pt idx="18">
                        <c:v>3246</c:v>
                      </c:pt>
                      <c:pt idx="19">
                        <c:v>3246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EB-4F2F-9CD4-F403992F398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Sheet1!$F$1:$F$2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Sheet1!$F$3:$F$102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7793</c:v>
                      </c:pt>
                      <c:pt idx="1">
                        <c:v>8004</c:v>
                      </c:pt>
                      <c:pt idx="2">
                        <c:v>8214</c:v>
                      </c:pt>
                      <c:pt idx="3">
                        <c:v>8635</c:v>
                      </c:pt>
                      <c:pt idx="4">
                        <c:v>8847</c:v>
                      </c:pt>
                      <c:pt idx="5">
                        <c:v>9057</c:v>
                      </c:pt>
                      <c:pt idx="6">
                        <c:v>9268</c:v>
                      </c:pt>
                      <c:pt idx="7">
                        <c:v>9479</c:v>
                      </c:pt>
                      <c:pt idx="8">
                        <c:v>9690</c:v>
                      </c:pt>
                      <c:pt idx="9">
                        <c:v>9900</c:v>
                      </c:pt>
                      <c:pt idx="10">
                        <c:v>10111</c:v>
                      </c:pt>
                      <c:pt idx="11">
                        <c:v>10532</c:v>
                      </c:pt>
                      <c:pt idx="12">
                        <c:v>10742</c:v>
                      </c:pt>
                      <c:pt idx="13">
                        <c:v>10953</c:v>
                      </c:pt>
                      <c:pt idx="14">
                        <c:v>11163</c:v>
                      </c:pt>
                      <c:pt idx="15">
                        <c:v>11374</c:v>
                      </c:pt>
                      <c:pt idx="16">
                        <c:v>11584</c:v>
                      </c:pt>
                      <c:pt idx="17">
                        <c:v>11795</c:v>
                      </c:pt>
                      <c:pt idx="18">
                        <c:v>12005</c:v>
                      </c:pt>
                      <c:pt idx="19">
                        <c:v>12426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EB-4F2F-9CD4-F403992F398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Sheet1!$G$1:$G$2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Sheet1!$G$3:$G$102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5882</c:v>
                      </c:pt>
                      <c:pt idx="1">
                        <c:v>6040</c:v>
                      </c:pt>
                      <c:pt idx="2">
                        <c:v>6199</c:v>
                      </c:pt>
                      <c:pt idx="3">
                        <c:v>6515</c:v>
                      </c:pt>
                      <c:pt idx="4">
                        <c:v>6673</c:v>
                      </c:pt>
                      <c:pt idx="5">
                        <c:v>6831</c:v>
                      </c:pt>
                      <c:pt idx="6">
                        <c:v>6990</c:v>
                      </c:pt>
                      <c:pt idx="7">
                        <c:v>7148</c:v>
                      </c:pt>
                      <c:pt idx="8">
                        <c:v>7306</c:v>
                      </c:pt>
                      <c:pt idx="9">
                        <c:v>7464</c:v>
                      </c:pt>
                      <c:pt idx="10">
                        <c:v>7623</c:v>
                      </c:pt>
                      <c:pt idx="11">
                        <c:v>7939</c:v>
                      </c:pt>
                      <c:pt idx="12">
                        <c:v>8097</c:v>
                      </c:pt>
                      <c:pt idx="13">
                        <c:v>8255</c:v>
                      </c:pt>
                      <c:pt idx="14">
                        <c:v>8414</c:v>
                      </c:pt>
                      <c:pt idx="15">
                        <c:v>8572</c:v>
                      </c:pt>
                      <c:pt idx="16">
                        <c:v>8730</c:v>
                      </c:pt>
                      <c:pt idx="17">
                        <c:v>8888</c:v>
                      </c:pt>
                      <c:pt idx="18">
                        <c:v>9047</c:v>
                      </c:pt>
                      <c:pt idx="19">
                        <c:v>9363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EB-4F2F-9CD4-F403992F398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Sheet1!$H$1:$H$2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Sheet1!$H$3:$H$102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EB-4F2F-9CD4-F403992F398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Sheet1!$J$1:$J$2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Sheet1!$J$3:$J$102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410</c:v>
                      </c:pt>
                      <c:pt idx="1">
                        <c:v>411</c:v>
                      </c:pt>
                      <c:pt idx="2">
                        <c:v>411</c:v>
                      </c:pt>
                      <c:pt idx="3">
                        <c:v>412</c:v>
                      </c:pt>
                      <c:pt idx="4">
                        <c:v>459</c:v>
                      </c:pt>
                      <c:pt idx="5">
                        <c:v>459</c:v>
                      </c:pt>
                      <c:pt idx="6">
                        <c:v>460</c:v>
                      </c:pt>
                      <c:pt idx="7">
                        <c:v>460</c:v>
                      </c:pt>
                      <c:pt idx="8">
                        <c:v>461</c:v>
                      </c:pt>
                      <c:pt idx="9">
                        <c:v>461</c:v>
                      </c:pt>
                      <c:pt idx="10">
                        <c:v>462</c:v>
                      </c:pt>
                      <c:pt idx="11">
                        <c:v>463</c:v>
                      </c:pt>
                      <c:pt idx="12">
                        <c:v>463</c:v>
                      </c:pt>
                      <c:pt idx="13">
                        <c:v>512</c:v>
                      </c:pt>
                      <c:pt idx="14">
                        <c:v>513</c:v>
                      </c:pt>
                      <c:pt idx="15">
                        <c:v>513</c:v>
                      </c:pt>
                      <c:pt idx="16">
                        <c:v>514</c:v>
                      </c:pt>
                      <c:pt idx="17">
                        <c:v>515</c:v>
                      </c:pt>
                      <c:pt idx="18">
                        <c:v>515</c:v>
                      </c:pt>
                      <c:pt idx="19">
                        <c:v>516</c:v>
                      </c:pt>
                      <c:pt idx="20">
                        <c:v>516</c:v>
                      </c:pt>
                      <c:pt idx="21">
                        <c:v>517</c:v>
                      </c:pt>
                      <c:pt idx="22">
                        <c:v>569</c:v>
                      </c:pt>
                      <c:pt idx="23">
                        <c:v>569</c:v>
                      </c:pt>
                      <c:pt idx="24">
                        <c:v>570</c:v>
                      </c:pt>
                      <c:pt idx="25">
                        <c:v>570</c:v>
                      </c:pt>
                      <c:pt idx="26">
                        <c:v>571</c:v>
                      </c:pt>
                      <c:pt idx="27">
                        <c:v>571</c:v>
                      </c:pt>
                      <c:pt idx="28">
                        <c:v>572</c:v>
                      </c:pt>
                      <c:pt idx="29">
                        <c:v>573</c:v>
                      </c:pt>
                      <c:pt idx="30">
                        <c:v>573</c:v>
                      </c:pt>
                      <c:pt idx="31">
                        <c:v>628</c:v>
                      </c:pt>
                      <c:pt idx="32">
                        <c:v>628</c:v>
                      </c:pt>
                      <c:pt idx="33">
                        <c:v>629</c:v>
                      </c:pt>
                      <c:pt idx="34">
                        <c:v>629</c:v>
                      </c:pt>
                      <c:pt idx="35">
                        <c:v>630</c:v>
                      </c:pt>
                      <c:pt idx="36">
                        <c:v>630</c:v>
                      </c:pt>
                      <c:pt idx="37">
                        <c:v>631</c:v>
                      </c:pt>
                      <c:pt idx="38">
                        <c:v>631</c:v>
                      </c:pt>
                      <c:pt idx="39">
                        <c:v>632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EB-4F2F-9CD4-F403992F3986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Sheet1!$K$1:$K$2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Sheet1!$K$3:$K$102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504</c:v>
                      </c:pt>
                      <c:pt idx="1">
                        <c:v>505</c:v>
                      </c:pt>
                      <c:pt idx="2">
                        <c:v>506</c:v>
                      </c:pt>
                      <c:pt idx="3">
                        <c:v>506</c:v>
                      </c:pt>
                      <c:pt idx="4">
                        <c:v>558</c:v>
                      </c:pt>
                      <c:pt idx="5">
                        <c:v>558</c:v>
                      </c:pt>
                      <c:pt idx="6">
                        <c:v>559</c:v>
                      </c:pt>
                      <c:pt idx="7">
                        <c:v>560</c:v>
                      </c:pt>
                      <c:pt idx="8">
                        <c:v>560</c:v>
                      </c:pt>
                      <c:pt idx="9">
                        <c:v>561</c:v>
                      </c:pt>
                      <c:pt idx="10">
                        <c:v>561</c:v>
                      </c:pt>
                      <c:pt idx="11">
                        <c:v>562</c:v>
                      </c:pt>
                      <c:pt idx="12">
                        <c:v>616</c:v>
                      </c:pt>
                      <c:pt idx="13">
                        <c:v>617</c:v>
                      </c:pt>
                      <c:pt idx="14">
                        <c:v>617</c:v>
                      </c:pt>
                      <c:pt idx="15">
                        <c:v>618</c:v>
                      </c:pt>
                      <c:pt idx="16">
                        <c:v>618</c:v>
                      </c:pt>
                      <c:pt idx="17">
                        <c:v>619</c:v>
                      </c:pt>
                      <c:pt idx="18">
                        <c:v>619</c:v>
                      </c:pt>
                      <c:pt idx="19">
                        <c:v>620</c:v>
                      </c:pt>
                      <c:pt idx="20">
                        <c:v>677</c:v>
                      </c:pt>
                      <c:pt idx="21">
                        <c:v>677</c:v>
                      </c:pt>
                      <c:pt idx="22">
                        <c:v>678</c:v>
                      </c:pt>
                      <c:pt idx="23">
                        <c:v>679</c:v>
                      </c:pt>
                      <c:pt idx="24">
                        <c:v>679</c:v>
                      </c:pt>
                      <c:pt idx="25">
                        <c:v>680</c:v>
                      </c:pt>
                      <c:pt idx="26">
                        <c:v>680</c:v>
                      </c:pt>
                      <c:pt idx="27">
                        <c:v>681</c:v>
                      </c:pt>
                      <c:pt idx="28">
                        <c:v>681</c:v>
                      </c:pt>
                      <c:pt idx="29">
                        <c:v>740</c:v>
                      </c:pt>
                      <c:pt idx="30">
                        <c:v>741</c:v>
                      </c:pt>
                      <c:pt idx="31">
                        <c:v>742</c:v>
                      </c:pt>
                      <c:pt idx="32">
                        <c:v>742</c:v>
                      </c:pt>
                      <c:pt idx="33">
                        <c:v>743</c:v>
                      </c:pt>
                      <c:pt idx="34">
                        <c:v>743</c:v>
                      </c:pt>
                      <c:pt idx="35">
                        <c:v>744</c:v>
                      </c:pt>
                      <c:pt idx="36">
                        <c:v>745</c:v>
                      </c:pt>
                      <c:pt idx="37">
                        <c:v>806</c:v>
                      </c:pt>
                      <c:pt idx="38">
                        <c:v>807</c:v>
                      </c:pt>
                      <c:pt idx="39">
                        <c:v>807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3EB-4F2F-9CD4-F403992F3986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Sheet1!$L$1:$L$2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Sheet1!$L$3:$L$102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4027</c:v>
                      </c:pt>
                      <c:pt idx="1">
                        <c:v>4027</c:v>
                      </c:pt>
                      <c:pt idx="2">
                        <c:v>4224</c:v>
                      </c:pt>
                      <c:pt idx="3">
                        <c:v>4225</c:v>
                      </c:pt>
                      <c:pt idx="4">
                        <c:v>4226</c:v>
                      </c:pt>
                      <c:pt idx="5">
                        <c:v>4226</c:v>
                      </c:pt>
                      <c:pt idx="6">
                        <c:v>4427</c:v>
                      </c:pt>
                      <c:pt idx="7">
                        <c:v>4428</c:v>
                      </c:pt>
                      <c:pt idx="8">
                        <c:v>4429</c:v>
                      </c:pt>
                      <c:pt idx="9">
                        <c:v>4429</c:v>
                      </c:pt>
                      <c:pt idx="10">
                        <c:v>4635</c:v>
                      </c:pt>
                      <c:pt idx="11">
                        <c:v>4636</c:v>
                      </c:pt>
                      <c:pt idx="12">
                        <c:v>4637</c:v>
                      </c:pt>
                      <c:pt idx="13">
                        <c:v>4637</c:v>
                      </c:pt>
                      <c:pt idx="14">
                        <c:v>4848</c:v>
                      </c:pt>
                      <c:pt idx="15">
                        <c:v>4848</c:v>
                      </c:pt>
                      <c:pt idx="16">
                        <c:v>4849</c:v>
                      </c:pt>
                      <c:pt idx="17">
                        <c:v>4850</c:v>
                      </c:pt>
                      <c:pt idx="18">
                        <c:v>5065</c:v>
                      </c:pt>
                      <c:pt idx="19">
                        <c:v>5066</c:v>
                      </c:pt>
                      <c:pt idx="20">
                        <c:v>5066</c:v>
                      </c:pt>
                      <c:pt idx="21">
                        <c:v>5067</c:v>
                      </c:pt>
                      <c:pt idx="22">
                        <c:v>5287</c:v>
                      </c:pt>
                      <c:pt idx="23">
                        <c:v>5288</c:v>
                      </c:pt>
                      <c:pt idx="24">
                        <c:v>5288</c:v>
                      </c:pt>
                      <c:pt idx="25">
                        <c:v>5289</c:v>
                      </c:pt>
                      <c:pt idx="26">
                        <c:v>5289</c:v>
                      </c:pt>
                      <c:pt idx="27">
                        <c:v>5514</c:v>
                      </c:pt>
                      <c:pt idx="28">
                        <c:v>5515</c:v>
                      </c:pt>
                      <c:pt idx="29">
                        <c:v>5515</c:v>
                      </c:pt>
                      <c:pt idx="30">
                        <c:v>5516</c:v>
                      </c:pt>
                      <c:pt idx="31">
                        <c:v>5745</c:v>
                      </c:pt>
                      <c:pt idx="32">
                        <c:v>5746</c:v>
                      </c:pt>
                      <c:pt idx="33">
                        <c:v>5746</c:v>
                      </c:pt>
                      <c:pt idx="34">
                        <c:v>5747</c:v>
                      </c:pt>
                      <c:pt idx="35">
                        <c:v>5981</c:v>
                      </c:pt>
                      <c:pt idx="36">
                        <c:v>5982</c:v>
                      </c:pt>
                      <c:pt idx="37">
                        <c:v>5983</c:v>
                      </c:pt>
                      <c:pt idx="38">
                        <c:v>5983</c:v>
                      </c:pt>
                      <c:pt idx="39">
                        <c:v>6222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3EB-4F2F-9CD4-F403992F398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Sheet1!$M$1:$M$2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Sheet1!$M$3:$M$102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10547</c:v>
                      </c:pt>
                      <c:pt idx="1">
                        <c:v>10810</c:v>
                      </c:pt>
                      <c:pt idx="2">
                        <c:v>11074</c:v>
                      </c:pt>
                      <c:pt idx="3">
                        <c:v>11601</c:v>
                      </c:pt>
                      <c:pt idx="4">
                        <c:v>11864</c:v>
                      </c:pt>
                      <c:pt idx="5">
                        <c:v>12128</c:v>
                      </c:pt>
                      <c:pt idx="6">
                        <c:v>12391</c:v>
                      </c:pt>
                      <c:pt idx="7">
                        <c:v>12655</c:v>
                      </c:pt>
                      <c:pt idx="8">
                        <c:v>12918</c:v>
                      </c:pt>
                      <c:pt idx="9">
                        <c:v>13182</c:v>
                      </c:pt>
                      <c:pt idx="10">
                        <c:v>13445</c:v>
                      </c:pt>
                      <c:pt idx="11">
                        <c:v>13972</c:v>
                      </c:pt>
                      <c:pt idx="12">
                        <c:v>14236</c:v>
                      </c:pt>
                      <c:pt idx="13">
                        <c:v>14499</c:v>
                      </c:pt>
                      <c:pt idx="14">
                        <c:v>14763</c:v>
                      </c:pt>
                      <c:pt idx="15">
                        <c:v>15026</c:v>
                      </c:pt>
                      <c:pt idx="16">
                        <c:v>15290</c:v>
                      </c:pt>
                      <c:pt idx="17">
                        <c:v>15553</c:v>
                      </c:pt>
                      <c:pt idx="18">
                        <c:v>15817</c:v>
                      </c:pt>
                      <c:pt idx="19">
                        <c:v>16344</c:v>
                      </c:pt>
                      <c:pt idx="20">
                        <c:v>16607</c:v>
                      </c:pt>
                      <c:pt idx="21">
                        <c:v>16871</c:v>
                      </c:pt>
                      <c:pt idx="22">
                        <c:v>17135</c:v>
                      </c:pt>
                      <c:pt idx="23">
                        <c:v>17399</c:v>
                      </c:pt>
                      <c:pt idx="24">
                        <c:v>17662</c:v>
                      </c:pt>
                      <c:pt idx="25">
                        <c:v>17926</c:v>
                      </c:pt>
                      <c:pt idx="26">
                        <c:v>18453</c:v>
                      </c:pt>
                      <c:pt idx="27">
                        <c:v>18716</c:v>
                      </c:pt>
                      <c:pt idx="28">
                        <c:v>18980</c:v>
                      </c:pt>
                      <c:pt idx="29">
                        <c:v>19243</c:v>
                      </c:pt>
                      <c:pt idx="30">
                        <c:v>19507</c:v>
                      </c:pt>
                      <c:pt idx="31">
                        <c:v>19770</c:v>
                      </c:pt>
                      <c:pt idx="32">
                        <c:v>20034</c:v>
                      </c:pt>
                      <c:pt idx="33">
                        <c:v>20297</c:v>
                      </c:pt>
                      <c:pt idx="34">
                        <c:v>20824</c:v>
                      </c:pt>
                      <c:pt idx="35">
                        <c:v>21088</c:v>
                      </c:pt>
                      <c:pt idx="36">
                        <c:v>21351</c:v>
                      </c:pt>
                      <c:pt idx="37">
                        <c:v>21615</c:v>
                      </c:pt>
                      <c:pt idx="38">
                        <c:v>21878</c:v>
                      </c:pt>
                      <c:pt idx="39">
                        <c:v>22143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3EB-4F2F-9CD4-F403992F3986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Sheet1!$N$1:$N$2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Sheet1!$N$3:$N$102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7941</c:v>
                      </c:pt>
                      <c:pt idx="1">
                        <c:v>8138</c:v>
                      </c:pt>
                      <c:pt idx="2">
                        <c:v>8337</c:v>
                      </c:pt>
                      <c:pt idx="3">
                        <c:v>8732</c:v>
                      </c:pt>
                      <c:pt idx="4">
                        <c:v>8929</c:v>
                      </c:pt>
                      <c:pt idx="5">
                        <c:v>9127</c:v>
                      </c:pt>
                      <c:pt idx="6">
                        <c:v>9325</c:v>
                      </c:pt>
                      <c:pt idx="7">
                        <c:v>9523</c:v>
                      </c:pt>
                      <c:pt idx="8">
                        <c:v>9720</c:v>
                      </c:pt>
                      <c:pt idx="9">
                        <c:v>9918</c:v>
                      </c:pt>
                      <c:pt idx="10">
                        <c:v>10116</c:v>
                      </c:pt>
                      <c:pt idx="11">
                        <c:v>10511</c:v>
                      </c:pt>
                      <c:pt idx="12">
                        <c:v>10709</c:v>
                      </c:pt>
                      <c:pt idx="13">
                        <c:v>10906</c:v>
                      </c:pt>
                      <c:pt idx="14">
                        <c:v>11105</c:v>
                      </c:pt>
                      <c:pt idx="15">
                        <c:v>11302</c:v>
                      </c:pt>
                      <c:pt idx="16">
                        <c:v>11500</c:v>
                      </c:pt>
                      <c:pt idx="17">
                        <c:v>11697</c:v>
                      </c:pt>
                      <c:pt idx="18">
                        <c:v>11896</c:v>
                      </c:pt>
                      <c:pt idx="19">
                        <c:v>12291</c:v>
                      </c:pt>
                      <c:pt idx="20">
                        <c:v>12488</c:v>
                      </c:pt>
                      <c:pt idx="21">
                        <c:v>12686</c:v>
                      </c:pt>
                      <c:pt idx="22">
                        <c:v>12884</c:v>
                      </c:pt>
                      <c:pt idx="23">
                        <c:v>13082</c:v>
                      </c:pt>
                      <c:pt idx="24">
                        <c:v>13279</c:v>
                      </c:pt>
                      <c:pt idx="25">
                        <c:v>13477</c:v>
                      </c:pt>
                      <c:pt idx="26">
                        <c:v>13872</c:v>
                      </c:pt>
                      <c:pt idx="27">
                        <c:v>14070</c:v>
                      </c:pt>
                      <c:pt idx="28">
                        <c:v>14268</c:v>
                      </c:pt>
                      <c:pt idx="29">
                        <c:v>14465</c:v>
                      </c:pt>
                      <c:pt idx="30">
                        <c:v>14663</c:v>
                      </c:pt>
                      <c:pt idx="31">
                        <c:v>14861</c:v>
                      </c:pt>
                      <c:pt idx="32">
                        <c:v>15059</c:v>
                      </c:pt>
                      <c:pt idx="33">
                        <c:v>15256</c:v>
                      </c:pt>
                      <c:pt idx="34">
                        <c:v>15651</c:v>
                      </c:pt>
                      <c:pt idx="35">
                        <c:v>15850</c:v>
                      </c:pt>
                      <c:pt idx="36">
                        <c:v>16047</c:v>
                      </c:pt>
                      <c:pt idx="37">
                        <c:v>16245</c:v>
                      </c:pt>
                      <c:pt idx="38">
                        <c:v>16442</c:v>
                      </c:pt>
                      <c:pt idx="39">
                        <c:v>16641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3EB-4F2F-9CD4-F403992F3986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Sheet1!$O$1:$O$2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Sheet1!$O$3:$O$102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EB-4F2F-9CD4-F403992F3986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Sheet1!$Q$1:$Q$2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Sheet1!$Q$3:$Q$102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654</c:v>
                      </c:pt>
                      <c:pt idx="1">
                        <c:v>655</c:v>
                      </c:pt>
                      <c:pt idx="2">
                        <c:v>655</c:v>
                      </c:pt>
                      <c:pt idx="3">
                        <c:v>656</c:v>
                      </c:pt>
                      <c:pt idx="4">
                        <c:v>724</c:v>
                      </c:pt>
                      <c:pt idx="5">
                        <c:v>724</c:v>
                      </c:pt>
                      <c:pt idx="6">
                        <c:v>725</c:v>
                      </c:pt>
                      <c:pt idx="7">
                        <c:v>725</c:v>
                      </c:pt>
                      <c:pt idx="8">
                        <c:v>726</c:v>
                      </c:pt>
                      <c:pt idx="9">
                        <c:v>726</c:v>
                      </c:pt>
                      <c:pt idx="10">
                        <c:v>727</c:v>
                      </c:pt>
                      <c:pt idx="11">
                        <c:v>728</c:v>
                      </c:pt>
                      <c:pt idx="12">
                        <c:v>728</c:v>
                      </c:pt>
                      <c:pt idx="13">
                        <c:v>799</c:v>
                      </c:pt>
                      <c:pt idx="14">
                        <c:v>800</c:v>
                      </c:pt>
                      <c:pt idx="15">
                        <c:v>800</c:v>
                      </c:pt>
                      <c:pt idx="16">
                        <c:v>801</c:v>
                      </c:pt>
                      <c:pt idx="17">
                        <c:v>802</c:v>
                      </c:pt>
                      <c:pt idx="18">
                        <c:v>802</c:v>
                      </c:pt>
                      <c:pt idx="19">
                        <c:v>803</c:v>
                      </c:pt>
                      <c:pt idx="20">
                        <c:v>803</c:v>
                      </c:pt>
                      <c:pt idx="21">
                        <c:v>804</c:v>
                      </c:pt>
                      <c:pt idx="22">
                        <c:v>878</c:v>
                      </c:pt>
                      <c:pt idx="23">
                        <c:v>879</c:v>
                      </c:pt>
                      <c:pt idx="24">
                        <c:v>879</c:v>
                      </c:pt>
                      <c:pt idx="25">
                        <c:v>880</c:v>
                      </c:pt>
                      <c:pt idx="26">
                        <c:v>880</c:v>
                      </c:pt>
                      <c:pt idx="27">
                        <c:v>881</c:v>
                      </c:pt>
                      <c:pt idx="28">
                        <c:v>881</c:v>
                      </c:pt>
                      <c:pt idx="29">
                        <c:v>882</c:v>
                      </c:pt>
                      <c:pt idx="30">
                        <c:v>883</c:v>
                      </c:pt>
                      <c:pt idx="31">
                        <c:v>961</c:v>
                      </c:pt>
                      <c:pt idx="32">
                        <c:v>961</c:v>
                      </c:pt>
                      <c:pt idx="33">
                        <c:v>962</c:v>
                      </c:pt>
                      <c:pt idx="34">
                        <c:v>962</c:v>
                      </c:pt>
                      <c:pt idx="35">
                        <c:v>963</c:v>
                      </c:pt>
                      <c:pt idx="36">
                        <c:v>963</c:v>
                      </c:pt>
                      <c:pt idx="37">
                        <c:v>964</c:v>
                      </c:pt>
                      <c:pt idx="38">
                        <c:v>965</c:v>
                      </c:pt>
                      <c:pt idx="39">
                        <c:v>965</c:v>
                      </c:pt>
                      <c:pt idx="40">
                        <c:v>1046</c:v>
                      </c:pt>
                      <c:pt idx="41">
                        <c:v>1047</c:v>
                      </c:pt>
                      <c:pt idx="42">
                        <c:v>1047</c:v>
                      </c:pt>
                      <c:pt idx="43">
                        <c:v>1048</c:v>
                      </c:pt>
                      <c:pt idx="44">
                        <c:v>1048</c:v>
                      </c:pt>
                      <c:pt idx="45">
                        <c:v>1049</c:v>
                      </c:pt>
                      <c:pt idx="46">
                        <c:v>1050</c:v>
                      </c:pt>
                      <c:pt idx="47">
                        <c:v>1050</c:v>
                      </c:pt>
                      <c:pt idx="48">
                        <c:v>1051</c:v>
                      </c:pt>
                      <c:pt idx="49">
                        <c:v>1135</c:v>
                      </c:pt>
                      <c:pt idx="50">
                        <c:v>1136</c:v>
                      </c:pt>
                      <c:pt idx="51">
                        <c:v>1136</c:v>
                      </c:pt>
                      <c:pt idx="52">
                        <c:v>1137</c:v>
                      </c:pt>
                      <c:pt idx="53">
                        <c:v>1137</c:v>
                      </c:pt>
                      <c:pt idx="54">
                        <c:v>1138</c:v>
                      </c:pt>
                      <c:pt idx="55">
                        <c:v>1139</c:v>
                      </c:pt>
                      <c:pt idx="56">
                        <c:v>1139</c:v>
                      </c:pt>
                      <c:pt idx="57">
                        <c:v>1140</c:v>
                      </c:pt>
                      <c:pt idx="58">
                        <c:v>1140</c:v>
                      </c:pt>
                      <c:pt idx="59">
                        <c:v>1228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EB-4F2F-9CD4-F403992F3986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Sheet1!$R$1:$R$2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Sheet1!$R$3:$R$102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791</c:v>
                      </c:pt>
                      <c:pt idx="1">
                        <c:v>792</c:v>
                      </c:pt>
                      <c:pt idx="2">
                        <c:v>792</c:v>
                      </c:pt>
                      <c:pt idx="3">
                        <c:v>793</c:v>
                      </c:pt>
                      <c:pt idx="4">
                        <c:v>867</c:v>
                      </c:pt>
                      <c:pt idx="5">
                        <c:v>868</c:v>
                      </c:pt>
                      <c:pt idx="6">
                        <c:v>868</c:v>
                      </c:pt>
                      <c:pt idx="7">
                        <c:v>869</c:v>
                      </c:pt>
                      <c:pt idx="8">
                        <c:v>870</c:v>
                      </c:pt>
                      <c:pt idx="9">
                        <c:v>870</c:v>
                      </c:pt>
                      <c:pt idx="10">
                        <c:v>871</c:v>
                      </c:pt>
                      <c:pt idx="11">
                        <c:v>871</c:v>
                      </c:pt>
                      <c:pt idx="12">
                        <c:v>949</c:v>
                      </c:pt>
                      <c:pt idx="13">
                        <c:v>950</c:v>
                      </c:pt>
                      <c:pt idx="14">
                        <c:v>950</c:v>
                      </c:pt>
                      <c:pt idx="15">
                        <c:v>951</c:v>
                      </c:pt>
                      <c:pt idx="16">
                        <c:v>951</c:v>
                      </c:pt>
                      <c:pt idx="17">
                        <c:v>952</c:v>
                      </c:pt>
                      <c:pt idx="18">
                        <c:v>952</c:v>
                      </c:pt>
                      <c:pt idx="19">
                        <c:v>953</c:v>
                      </c:pt>
                      <c:pt idx="20">
                        <c:v>1034</c:v>
                      </c:pt>
                      <c:pt idx="21">
                        <c:v>1035</c:v>
                      </c:pt>
                      <c:pt idx="22">
                        <c:v>1035</c:v>
                      </c:pt>
                      <c:pt idx="23">
                        <c:v>1036</c:v>
                      </c:pt>
                      <c:pt idx="24">
                        <c:v>1036</c:v>
                      </c:pt>
                      <c:pt idx="25">
                        <c:v>1037</c:v>
                      </c:pt>
                      <c:pt idx="26">
                        <c:v>1038</c:v>
                      </c:pt>
                      <c:pt idx="27">
                        <c:v>1038</c:v>
                      </c:pt>
                      <c:pt idx="28">
                        <c:v>1039</c:v>
                      </c:pt>
                      <c:pt idx="29">
                        <c:v>1123</c:v>
                      </c:pt>
                      <c:pt idx="30">
                        <c:v>1124</c:v>
                      </c:pt>
                      <c:pt idx="31">
                        <c:v>1124</c:v>
                      </c:pt>
                      <c:pt idx="32">
                        <c:v>1125</c:v>
                      </c:pt>
                      <c:pt idx="33">
                        <c:v>1125</c:v>
                      </c:pt>
                      <c:pt idx="34">
                        <c:v>1126</c:v>
                      </c:pt>
                      <c:pt idx="35">
                        <c:v>1127</c:v>
                      </c:pt>
                      <c:pt idx="36">
                        <c:v>1127</c:v>
                      </c:pt>
                      <c:pt idx="37">
                        <c:v>1215</c:v>
                      </c:pt>
                      <c:pt idx="38">
                        <c:v>1215</c:v>
                      </c:pt>
                      <c:pt idx="39">
                        <c:v>1216</c:v>
                      </c:pt>
                      <c:pt idx="40">
                        <c:v>1217</c:v>
                      </c:pt>
                      <c:pt idx="41">
                        <c:v>1217</c:v>
                      </c:pt>
                      <c:pt idx="42">
                        <c:v>1218</c:v>
                      </c:pt>
                      <c:pt idx="43">
                        <c:v>1218</c:v>
                      </c:pt>
                      <c:pt idx="44">
                        <c:v>1219</c:v>
                      </c:pt>
                      <c:pt idx="45">
                        <c:v>1310</c:v>
                      </c:pt>
                      <c:pt idx="46">
                        <c:v>1310</c:v>
                      </c:pt>
                      <c:pt idx="47">
                        <c:v>1311</c:v>
                      </c:pt>
                      <c:pt idx="48">
                        <c:v>1311</c:v>
                      </c:pt>
                      <c:pt idx="49">
                        <c:v>1312</c:v>
                      </c:pt>
                      <c:pt idx="50">
                        <c:v>1313</c:v>
                      </c:pt>
                      <c:pt idx="51">
                        <c:v>1313</c:v>
                      </c:pt>
                      <c:pt idx="52">
                        <c:v>1314</c:v>
                      </c:pt>
                      <c:pt idx="53">
                        <c:v>1314</c:v>
                      </c:pt>
                      <c:pt idx="54">
                        <c:v>1409</c:v>
                      </c:pt>
                      <c:pt idx="55">
                        <c:v>1409</c:v>
                      </c:pt>
                      <c:pt idx="56">
                        <c:v>1410</c:v>
                      </c:pt>
                      <c:pt idx="57">
                        <c:v>1410</c:v>
                      </c:pt>
                      <c:pt idx="58">
                        <c:v>1411</c:v>
                      </c:pt>
                      <c:pt idx="59">
                        <c:v>1412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3EB-4F2F-9CD4-F403992F3986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Sheet1!$S$1:$S$2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Sheet1!$S$3:$S$102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6622</c:v>
                      </c:pt>
                      <c:pt idx="1">
                        <c:v>6622</c:v>
                      </c:pt>
                      <c:pt idx="2">
                        <c:v>6912</c:v>
                      </c:pt>
                      <c:pt idx="3">
                        <c:v>6912</c:v>
                      </c:pt>
                      <c:pt idx="4">
                        <c:v>6913</c:v>
                      </c:pt>
                      <c:pt idx="5">
                        <c:v>6913</c:v>
                      </c:pt>
                      <c:pt idx="6">
                        <c:v>7208</c:v>
                      </c:pt>
                      <c:pt idx="7">
                        <c:v>7209</c:v>
                      </c:pt>
                      <c:pt idx="8">
                        <c:v>7210</c:v>
                      </c:pt>
                      <c:pt idx="9">
                        <c:v>7210</c:v>
                      </c:pt>
                      <c:pt idx="10">
                        <c:v>7511</c:v>
                      </c:pt>
                      <c:pt idx="11">
                        <c:v>7512</c:v>
                      </c:pt>
                      <c:pt idx="12">
                        <c:v>7513</c:v>
                      </c:pt>
                      <c:pt idx="13">
                        <c:v>7513</c:v>
                      </c:pt>
                      <c:pt idx="14">
                        <c:v>7821</c:v>
                      </c:pt>
                      <c:pt idx="15">
                        <c:v>7821</c:v>
                      </c:pt>
                      <c:pt idx="16">
                        <c:v>7822</c:v>
                      </c:pt>
                      <c:pt idx="17">
                        <c:v>7822</c:v>
                      </c:pt>
                      <c:pt idx="18">
                        <c:v>8136</c:v>
                      </c:pt>
                      <c:pt idx="19">
                        <c:v>8136</c:v>
                      </c:pt>
                      <c:pt idx="20">
                        <c:v>8137</c:v>
                      </c:pt>
                      <c:pt idx="21">
                        <c:v>8138</c:v>
                      </c:pt>
                      <c:pt idx="22">
                        <c:v>8458</c:v>
                      </c:pt>
                      <c:pt idx="23">
                        <c:v>8458</c:v>
                      </c:pt>
                      <c:pt idx="24">
                        <c:v>8459</c:v>
                      </c:pt>
                      <c:pt idx="25">
                        <c:v>8459</c:v>
                      </c:pt>
                      <c:pt idx="26">
                        <c:v>8460</c:v>
                      </c:pt>
                      <c:pt idx="27">
                        <c:v>8786</c:v>
                      </c:pt>
                      <c:pt idx="28">
                        <c:v>8786</c:v>
                      </c:pt>
                      <c:pt idx="29">
                        <c:v>8787</c:v>
                      </c:pt>
                      <c:pt idx="30">
                        <c:v>8788</c:v>
                      </c:pt>
                      <c:pt idx="31">
                        <c:v>9120</c:v>
                      </c:pt>
                      <c:pt idx="32">
                        <c:v>9120</c:v>
                      </c:pt>
                      <c:pt idx="33">
                        <c:v>9121</c:v>
                      </c:pt>
                      <c:pt idx="34">
                        <c:v>9121</c:v>
                      </c:pt>
                      <c:pt idx="35">
                        <c:v>9460</c:v>
                      </c:pt>
                      <c:pt idx="36">
                        <c:v>9460</c:v>
                      </c:pt>
                      <c:pt idx="37">
                        <c:v>9461</c:v>
                      </c:pt>
                      <c:pt idx="38">
                        <c:v>9461</c:v>
                      </c:pt>
                      <c:pt idx="39">
                        <c:v>9806</c:v>
                      </c:pt>
                      <c:pt idx="40">
                        <c:v>9806</c:v>
                      </c:pt>
                      <c:pt idx="41">
                        <c:v>9807</c:v>
                      </c:pt>
                      <c:pt idx="42">
                        <c:v>9807</c:v>
                      </c:pt>
                      <c:pt idx="43">
                        <c:v>10158</c:v>
                      </c:pt>
                      <c:pt idx="44">
                        <c:v>10158</c:v>
                      </c:pt>
                      <c:pt idx="45">
                        <c:v>10159</c:v>
                      </c:pt>
                      <c:pt idx="46">
                        <c:v>10160</c:v>
                      </c:pt>
                      <c:pt idx="47">
                        <c:v>10516</c:v>
                      </c:pt>
                      <c:pt idx="48">
                        <c:v>10517</c:v>
                      </c:pt>
                      <c:pt idx="49">
                        <c:v>10518</c:v>
                      </c:pt>
                      <c:pt idx="50">
                        <c:v>10518</c:v>
                      </c:pt>
                      <c:pt idx="51">
                        <c:v>10519</c:v>
                      </c:pt>
                      <c:pt idx="52">
                        <c:v>10882</c:v>
                      </c:pt>
                      <c:pt idx="53">
                        <c:v>10882</c:v>
                      </c:pt>
                      <c:pt idx="54">
                        <c:v>10883</c:v>
                      </c:pt>
                      <c:pt idx="55">
                        <c:v>10883</c:v>
                      </c:pt>
                      <c:pt idx="56">
                        <c:v>11253</c:v>
                      </c:pt>
                      <c:pt idx="57">
                        <c:v>11253</c:v>
                      </c:pt>
                      <c:pt idx="58">
                        <c:v>11254</c:v>
                      </c:pt>
                      <c:pt idx="59">
                        <c:v>11254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3EB-4F2F-9CD4-F403992F3986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Sheet1!$T$1:$T$2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Sheet1!$T$3:$T$102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14949</c:v>
                      </c:pt>
                      <c:pt idx="1">
                        <c:v>15297</c:v>
                      </c:pt>
                      <c:pt idx="2">
                        <c:v>15644</c:v>
                      </c:pt>
                      <c:pt idx="3">
                        <c:v>16339</c:v>
                      </c:pt>
                      <c:pt idx="4">
                        <c:v>16688</c:v>
                      </c:pt>
                      <c:pt idx="5">
                        <c:v>17035</c:v>
                      </c:pt>
                      <c:pt idx="6">
                        <c:v>17383</c:v>
                      </c:pt>
                      <c:pt idx="7">
                        <c:v>17730</c:v>
                      </c:pt>
                      <c:pt idx="8">
                        <c:v>18078</c:v>
                      </c:pt>
                      <c:pt idx="9">
                        <c:v>18425</c:v>
                      </c:pt>
                      <c:pt idx="10">
                        <c:v>18773</c:v>
                      </c:pt>
                      <c:pt idx="11">
                        <c:v>19468</c:v>
                      </c:pt>
                      <c:pt idx="12">
                        <c:v>19815</c:v>
                      </c:pt>
                      <c:pt idx="13">
                        <c:v>20163</c:v>
                      </c:pt>
                      <c:pt idx="14">
                        <c:v>20510</c:v>
                      </c:pt>
                      <c:pt idx="15">
                        <c:v>20858</c:v>
                      </c:pt>
                      <c:pt idx="16">
                        <c:v>21205</c:v>
                      </c:pt>
                      <c:pt idx="17">
                        <c:v>21553</c:v>
                      </c:pt>
                      <c:pt idx="18">
                        <c:v>21901</c:v>
                      </c:pt>
                      <c:pt idx="19">
                        <c:v>22596</c:v>
                      </c:pt>
                      <c:pt idx="20">
                        <c:v>22944</c:v>
                      </c:pt>
                      <c:pt idx="21">
                        <c:v>23291</c:v>
                      </c:pt>
                      <c:pt idx="22">
                        <c:v>23639</c:v>
                      </c:pt>
                      <c:pt idx="23">
                        <c:v>23986</c:v>
                      </c:pt>
                      <c:pt idx="24">
                        <c:v>24334</c:v>
                      </c:pt>
                      <c:pt idx="25">
                        <c:v>24681</c:v>
                      </c:pt>
                      <c:pt idx="26">
                        <c:v>25376</c:v>
                      </c:pt>
                      <c:pt idx="27">
                        <c:v>25724</c:v>
                      </c:pt>
                      <c:pt idx="28">
                        <c:v>26071</c:v>
                      </c:pt>
                      <c:pt idx="29">
                        <c:v>26419</c:v>
                      </c:pt>
                      <c:pt idx="30">
                        <c:v>26766</c:v>
                      </c:pt>
                      <c:pt idx="31">
                        <c:v>27114</c:v>
                      </c:pt>
                      <c:pt idx="32">
                        <c:v>27461</c:v>
                      </c:pt>
                      <c:pt idx="33">
                        <c:v>27809</c:v>
                      </c:pt>
                      <c:pt idx="34">
                        <c:v>28504</c:v>
                      </c:pt>
                      <c:pt idx="35">
                        <c:v>28851</c:v>
                      </c:pt>
                      <c:pt idx="36">
                        <c:v>29199</c:v>
                      </c:pt>
                      <c:pt idx="37">
                        <c:v>29546</c:v>
                      </c:pt>
                      <c:pt idx="38">
                        <c:v>29894</c:v>
                      </c:pt>
                      <c:pt idx="39">
                        <c:v>30241</c:v>
                      </c:pt>
                      <c:pt idx="40">
                        <c:v>30590</c:v>
                      </c:pt>
                      <c:pt idx="41">
                        <c:v>30937</c:v>
                      </c:pt>
                      <c:pt idx="42">
                        <c:v>31632</c:v>
                      </c:pt>
                      <c:pt idx="43">
                        <c:v>31980</c:v>
                      </c:pt>
                      <c:pt idx="44">
                        <c:v>32327</c:v>
                      </c:pt>
                      <c:pt idx="45">
                        <c:v>32675</c:v>
                      </c:pt>
                      <c:pt idx="46">
                        <c:v>33022</c:v>
                      </c:pt>
                      <c:pt idx="47">
                        <c:v>33370</c:v>
                      </c:pt>
                      <c:pt idx="48">
                        <c:v>33717</c:v>
                      </c:pt>
                      <c:pt idx="49">
                        <c:v>34412</c:v>
                      </c:pt>
                      <c:pt idx="50">
                        <c:v>34760</c:v>
                      </c:pt>
                      <c:pt idx="51">
                        <c:v>35107</c:v>
                      </c:pt>
                      <c:pt idx="52">
                        <c:v>35455</c:v>
                      </c:pt>
                      <c:pt idx="53">
                        <c:v>35802</c:v>
                      </c:pt>
                      <c:pt idx="54">
                        <c:v>36150</c:v>
                      </c:pt>
                      <c:pt idx="55">
                        <c:v>36497</c:v>
                      </c:pt>
                      <c:pt idx="56">
                        <c:v>36845</c:v>
                      </c:pt>
                      <c:pt idx="57">
                        <c:v>37540</c:v>
                      </c:pt>
                      <c:pt idx="58">
                        <c:v>37887</c:v>
                      </c:pt>
                      <c:pt idx="59">
                        <c:v>38235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3EB-4F2F-9CD4-F403992F3986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Sheet1!$U$1:$U$2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Sheet1!$U$3:$U$102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11247</c:v>
                      </c:pt>
                      <c:pt idx="1">
                        <c:v>11508</c:v>
                      </c:pt>
                      <c:pt idx="2">
                        <c:v>11769</c:v>
                      </c:pt>
                      <c:pt idx="3">
                        <c:v>12290</c:v>
                      </c:pt>
                      <c:pt idx="4">
                        <c:v>12551</c:v>
                      </c:pt>
                      <c:pt idx="5">
                        <c:v>12811</c:v>
                      </c:pt>
                      <c:pt idx="6">
                        <c:v>13073</c:v>
                      </c:pt>
                      <c:pt idx="7">
                        <c:v>13333</c:v>
                      </c:pt>
                      <c:pt idx="8">
                        <c:v>13594</c:v>
                      </c:pt>
                      <c:pt idx="9">
                        <c:v>13854</c:v>
                      </c:pt>
                      <c:pt idx="10">
                        <c:v>14116</c:v>
                      </c:pt>
                      <c:pt idx="11">
                        <c:v>14637</c:v>
                      </c:pt>
                      <c:pt idx="12">
                        <c:v>14897</c:v>
                      </c:pt>
                      <c:pt idx="13">
                        <c:v>15158</c:v>
                      </c:pt>
                      <c:pt idx="14">
                        <c:v>15419</c:v>
                      </c:pt>
                      <c:pt idx="15">
                        <c:v>15680</c:v>
                      </c:pt>
                      <c:pt idx="16">
                        <c:v>15940</c:v>
                      </c:pt>
                      <c:pt idx="17">
                        <c:v>16201</c:v>
                      </c:pt>
                      <c:pt idx="18">
                        <c:v>16462</c:v>
                      </c:pt>
                      <c:pt idx="19">
                        <c:v>16983</c:v>
                      </c:pt>
                      <c:pt idx="20">
                        <c:v>17244</c:v>
                      </c:pt>
                      <c:pt idx="21">
                        <c:v>17504</c:v>
                      </c:pt>
                      <c:pt idx="22">
                        <c:v>17766</c:v>
                      </c:pt>
                      <c:pt idx="23">
                        <c:v>18026</c:v>
                      </c:pt>
                      <c:pt idx="24">
                        <c:v>18287</c:v>
                      </c:pt>
                      <c:pt idx="25">
                        <c:v>18547</c:v>
                      </c:pt>
                      <c:pt idx="26">
                        <c:v>19068</c:v>
                      </c:pt>
                      <c:pt idx="27">
                        <c:v>19330</c:v>
                      </c:pt>
                      <c:pt idx="28">
                        <c:v>19590</c:v>
                      </c:pt>
                      <c:pt idx="29">
                        <c:v>19851</c:v>
                      </c:pt>
                      <c:pt idx="30">
                        <c:v>20111</c:v>
                      </c:pt>
                      <c:pt idx="31">
                        <c:v>20373</c:v>
                      </c:pt>
                      <c:pt idx="32">
                        <c:v>20633</c:v>
                      </c:pt>
                      <c:pt idx="33">
                        <c:v>20894</c:v>
                      </c:pt>
                      <c:pt idx="34">
                        <c:v>21415</c:v>
                      </c:pt>
                      <c:pt idx="35">
                        <c:v>21676</c:v>
                      </c:pt>
                      <c:pt idx="36">
                        <c:v>21937</c:v>
                      </c:pt>
                      <c:pt idx="37">
                        <c:v>22197</c:v>
                      </c:pt>
                      <c:pt idx="38">
                        <c:v>22458</c:v>
                      </c:pt>
                      <c:pt idx="39">
                        <c:v>22719</c:v>
                      </c:pt>
                      <c:pt idx="40">
                        <c:v>22980</c:v>
                      </c:pt>
                      <c:pt idx="41">
                        <c:v>23240</c:v>
                      </c:pt>
                      <c:pt idx="42">
                        <c:v>23761</c:v>
                      </c:pt>
                      <c:pt idx="43">
                        <c:v>24023</c:v>
                      </c:pt>
                      <c:pt idx="44">
                        <c:v>24283</c:v>
                      </c:pt>
                      <c:pt idx="45">
                        <c:v>24544</c:v>
                      </c:pt>
                      <c:pt idx="46">
                        <c:v>24804</c:v>
                      </c:pt>
                      <c:pt idx="47">
                        <c:v>25066</c:v>
                      </c:pt>
                      <c:pt idx="48">
                        <c:v>25326</c:v>
                      </c:pt>
                      <c:pt idx="49">
                        <c:v>25847</c:v>
                      </c:pt>
                      <c:pt idx="50">
                        <c:v>26108</c:v>
                      </c:pt>
                      <c:pt idx="51">
                        <c:v>26368</c:v>
                      </c:pt>
                      <c:pt idx="52">
                        <c:v>26630</c:v>
                      </c:pt>
                      <c:pt idx="53">
                        <c:v>26890</c:v>
                      </c:pt>
                      <c:pt idx="54">
                        <c:v>27151</c:v>
                      </c:pt>
                      <c:pt idx="55">
                        <c:v>27411</c:v>
                      </c:pt>
                      <c:pt idx="56">
                        <c:v>27673</c:v>
                      </c:pt>
                      <c:pt idx="57">
                        <c:v>28194</c:v>
                      </c:pt>
                      <c:pt idx="58">
                        <c:v>28454</c:v>
                      </c:pt>
                      <c:pt idx="59">
                        <c:v>28715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3EB-4F2F-9CD4-F403992F3986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Sheet1!$V$1:$V$2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Sheet1!$V$3:$V$102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EB-4F2F-9CD4-F403992F3986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Sheet1!$X$1:$X$2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Sheet1!$X$3:$X$102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1157</c:v>
                      </c:pt>
                      <c:pt idx="1">
                        <c:v>1158</c:v>
                      </c:pt>
                      <c:pt idx="2">
                        <c:v>1159</c:v>
                      </c:pt>
                      <c:pt idx="3">
                        <c:v>1159</c:v>
                      </c:pt>
                      <c:pt idx="4">
                        <c:v>1264</c:v>
                      </c:pt>
                      <c:pt idx="5">
                        <c:v>1265</c:v>
                      </c:pt>
                      <c:pt idx="6">
                        <c:v>1265</c:v>
                      </c:pt>
                      <c:pt idx="7">
                        <c:v>1266</c:v>
                      </c:pt>
                      <c:pt idx="8">
                        <c:v>1266</c:v>
                      </c:pt>
                      <c:pt idx="9">
                        <c:v>1267</c:v>
                      </c:pt>
                      <c:pt idx="10">
                        <c:v>1267</c:v>
                      </c:pt>
                      <c:pt idx="11">
                        <c:v>1268</c:v>
                      </c:pt>
                      <c:pt idx="12">
                        <c:v>1269</c:v>
                      </c:pt>
                      <c:pt idx="13">
                        <c:v>1378</c:v>
                      </c:pt>
                      <c:pt idx="14">
                        <c:v>1378</c:v>
                      </c:pt>
                      <c:pt idx="15">
                        <c:v>1379</c:v>
                      </c:pt>
                      <c:pt idx="16">
                        <c:v>1380</c:v>
                      </c:pt>
                      <c:pt idx="17">
                        <c:v>1380</c:v>
                      </c:pt>
                      <c:pt idx="18">
                        <c:v>1381</c:v>
                      </c:pt>
                      <c:pt idx="19">
                        <c:v>1381</c:v>
                      </c:pt>
                      <c:pt idx="20">
                        <c:v>1382</c:v>
                      </c:pt>
                      <c:pt idx="21">
                        <c:v>1383</c:v>
                      </c:pt>
                      <c:pt idx="22">
                        <c:v>1496</c:v>
                      </c:pt>
                      <c:pt idx="23">
                        <c:v>1497</c:v>
                      </c:pt>
                      <c:pt idx="24">
                        <c:v>1497</c:v>
                      </c:pt>
                      <c:pt idx="25">
                        <c:v>1498</c:v>
                      </c:pt>
                      <c:pt idx="26">
                        <c:v>1499</c:v>
                      </c:pt>
                      <c:pt idx="27">
                        <c:v>1499</c:v>
                      </c:pt>
                      <c:pt idx="28">
                        <c:v>1500</c:v>
                      </c:pt>
                      <c:pt idx="29">
                        <c:v>1500</c:v>
                      </c:pt>
                      <c:pt idx="30">
                        <c:v>1501</c:v>
                      </c:pt>
                      <c:pt idx="31">
                        <c:v>1619</c:v>
                      </c:pt>
                      <c:pt idx="32">
                        <c:v>1620</c:v>
                      </c:pt>
                      <c:pt idx="33">
                        <c:v>1620</c:v>
                      </c:pt>
                      <c:pt idx="34">
                        <c:v>1621</c:v>
                      </c:pt>
                      <c:pt idx="35">
                        <c:v>1621</c:v>
                      </c:pt>
                      <c:pt idx="36">
                        <c:v>1622</c:v>
                      </c:pt>
                      <c:pt idx="37">
                        <c:v>1623</c:v>
                      </c:pt>
                      <c:pt idx="38">
                        <c:v>1623</c:v>
                      </c:pt>
                      <c:pt idx="39">
                        <c:v>1624</c:v>
                      </c:pt>
                      <c:pt idx="40">
                        <c:v>1747</c:v>
                      </c:pt>
                      <c:pt idx="41">
                        <c:v>1747</c:v>
                      </c:pt>
                      <c:pt idx="42">
                        <c:v>1748</c:v>
                      </c:pt>
                      <c:pt idx="43">
                        <c:v>1748</c:v>
                      </c:pt>
                      <c:pt idx="44">
                        <c:v>1749</c:v>
                      </c:pt>
                      <c:pt idx="45">
                        <c:v>1750</c:v>
                      </c:pt>
                      <c:pt idx="46">
                        <c:v>1750</c:v>
                      </c:pt>
                      <c:pt idx="47">
                        <c:v>1751</c:v>
                      </c:pt>
                      <c:pt idx="48">
                        <c:v>1751</c:v>
                      </c:pt>
                      <c:pt idx="49">
                        <c:v>1879</c:v>
                      </c:pt>
                      <c:pt idx="50">
                        <c:v>1879</c:v>
                      </c:pt>
                      <c:pt idx="51">
                        <c:v>1880</c:v>
                      </c:pt>
                      <c:pt idx="52">
                        <c:v>1880</c:v>
                      </c:pt>
                      <c:pt idx="53">
                        <c:v>1881</c:v>
                      </c:pt>
                      <c:pt idx="54">
                        <c:v>1882</c:v>
                      </c:pt>
                      <c:pt idx="55">
                        <c:v>1882</c:v>
                      </c:pt>
                      <c:pt idx="56">
                        <c:v>1883</c:v>
                      </c:pt>
                      <c:pt idx="57">
                        <c:v>1883</c:v>
                      </c:pt>
                      <c:pt idx="58">
                        <c:v>1884</c:v>
                      </c:pt>
                      <c:pt idx="59">
                        <c:v>2016</c:v>
                      </c:pt>
                      <c:pt idx="60">
                        <c:v>2016</c:v>
                      </c:pt>
                      <c:pt idx="61">
                        <c:v>2017</c:v>
                      </c:pt>
                      <c:pt idx="62">
                        <c:v>2017</c:v>
                      </c:pt>
                      <c:pt idx="63">
                        <c:v>2018</c:v>
                      </c:pt>
                      <c:pt idx="64">
                        <c:v>2019</c:v>
                      </c:pt>
                      <c:pt idx="65">
                        <c:v>2019</c:v>
                      </c:pt>
                      <c:pt idx="66">
                        <c:v>2020</c:v>
                      </c:pt>
                      <c:pt idx="67">
                        <c:v>2020</c:v>
                      </c:pt>
                      <c:pt idx="68">
                        <c:v>2157</c:v>
                      </c:pt>
                      <c:pt idx="69">
                        <c:v>2157</c:v>
                      </c:pt>
                      <c:pt idx="70">
                        <c:v>2158</c:v>
                      </c:pt>
                      <c:pt idx="71">
                        <c:v>2159</c:v>
                      </c:pt>
                      <c:pt idx="72">
                        <c:v>2159</c:v>
                      </c:pt>
                      <c:pt idx="73">
                        <c:v>2160</c:v>
                      </c:pt>
                      <c:pt idx="74">
                        <c:v>2160</c:v>
                      </c:pt>
                      <c:pt idx="75">
                        <c:v>2161</c:v>
                      </c:pt>
                      <c:pt idx="76">
                        <c:v>2161</c:v>
                      </c:pt>
                      <c:pt idx="77">
                        <c:v>2302</c:v>
                      </c:pt>
                      <c:pt idx="78">
                        <c:v>2303</c:v>
                      </c:pt>
                      <c:pt idx="79">
                        <c:v>2304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3EB-4F2F-9CD4-F403992F3986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Sheet1!$Y$1:$Y$2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Sheet1!$Y$3:$Y$102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1370</c:v>
                      </c:pt>
                      <c:pt idx="1">
                        <c:v>1370</c:v>
                      </c:pt>
                      <c:pt idx="2">
                        <c:v>1371</c:v>
                      </c:pt>
                      <c:pt idx="3">
                        <c:v>1372</c:v>
                      </c:pt>
                      <c:pt idx="4">
                        <c:v>1486</c:v>
                      </c:pt>
                      <c:pt idx="5">
                        <c:v>1486</c:v>
                      </c:pt>
                      <c:pt idx="6">
                        <c:v>1487</c:v>
                      </c:pt>
                      <c:pt idx="7">
                        <c:v>1487</c:v>
                      </c:pt>
                      <c:pt idx="8">
                        <c:v>1488</c:v>
                      </c:pt>
                      <c:pt idx="9">
                        <c:v>1488</c:v>
                      </c:pt>
                      <c:pt idx="10">
                        <c:v>1489</c:v>
                      </c:pt>
                      <c:pt idx="11">
                        <c:v>1489</c:v>
                      </c:pt>
                      <c:pt idx="12">
                        <c:v>1608</c:v>
                      </c:pt>
                      <c:pt idx="13">
                        <c:v>1608</c:v>
                      </c:pt>
                      <c:pt idx="14">
                        <c:v>1609</c:v>
                      </c:pt>
                      <c:pt idx="15">
                        <c:v>1609</c:v>
                      </c:pt>
                      <c:pt idx="16">
                        <c:v>1610</c:v>
                      </c:pt>
                      <c:pt idx="17">
                        <c:v>1611</c:v>
                      </c:pt>
                      <c:pt idx="18">
                        <c:v>1611</c:v>
                      </c:pt>
                      <c:pt idx="19">
                        <c:v>1612</c:v>
                      </c:pt>
                      <c:pt idx="20">
                        <c:v>1734</c:v>
                      </c:pt>
                      <c:pt idx="21">
                        <c:v>1735</c:v>
                      </c:pt>
                      <c:pt idx="22">
                        <c:v>1736</c:v>
                      </c:pt>
                      <c:pt idx="23">
                        <c:v>1736</c:v>
                      </c:pt>
                      <c:pt idx="24">
                        <c:v>1737</c:v>
                      </c:pt>
                      <c:pt idx="25">
                        <c:v>1737</c:v>
                      </c:pt>
                      <c:pt idx="26">
                        <c:v>1738</c:v>
                      </c:pt>
                      <c:pt idx="27">
                        <c:v>1739</c:v>
                      </c:pt>
                      <c:pt idx="28">
                        <c:v>1739</c:v>
                      </c:pt>
                      <c:pt idx="29">
                        <c:v>1866</c:v>
                      </c:pt>
                      <c:pt idx="30">
                        <c:v>1867</c:v>
                      </c:pt>
                      <c:pt idx="31">
                        <c:v>1868</c:v>
                      </c:pt>
                      <c:pt idx="32">
                        <c:v>1868</c:v>
                      </c:pt>
                      <c:pt idx="33">
                        <c:v>1869</c:v>
                      </c:pt>
                      <c:pt idx="34">
                        <c:v>1869</c:v>
                      </c:pt>
                      <c:pt idx="35">
                        <c:v>1870</c:v>
                      </c:pt>
                      <c:pt idx="36">
                        <c:v>1871</c:v>
                      </c:pt>
                      <c:pt idx="37">
                        <c:v>2002</c:v>
                      </c:pt>
                      <c:pt idx="38">
                        <c:v>2003</c:v>
                      </c:pt>
                      <c:pt idx="39">
                        <c:v>2003</c:v>
                      </c:pt>
                      <c:pt idx="40">
                        <c:v>2004</c:v>
                      </c:pt>
                      <c:pt idx="41">
                        <c:v>2005</c:v>
                      </c:pt>
                      <c:pt idx="42">
                        <c:v>2005</c:v>
                      </c:pt>
                      <c:pt idx="43">
                        <c:v>2006</c:v>
                      </c:pt>
                      <c:pt idx="44">
                        <c:v>2006</c:v>
                      </c:pt>
                      <c:pt idx="45">
                        <c:v>2143</c:v>
                      </c:pt>
                      <c:pt idx="46">
                        <c:v>2144</c:v>
                      </c:pt>
                      <c:pt idx="47">
                        <c:v>2144</c:v>
                      </c:pt>
                      <c:pt idx="48">
                        <c:v>2145</c:v>
                      </c:pt>
                      <c:pt idx="49">
                        <c:v>2146</c:v>
                      </c:pt>
                      <c:pt idx="50">
                        <c:v>2146</c:v>
                      </c:pt>
                      <c:pt idx="51">
                        <c:v>2147</c:v>
                      </c:pt>
                      <c:pt idx="52">
                        <c:v>2147</c:v>
                      </c:pt>
                      <c:pt idx="53">
                        <c:v>2148</c:v>
                      </c:pt>
                      <c:pt idx="54">
                        <c:v>2289</c:v>
                      </c:pt>
                      <c:pt idx="55">
                        <c:v>2289</c:v>
                      </c:pt>
                      <c:pt idx="56">
                        <c:v>2290</c:v>
                      </c:pt>
                      <c:pt idx="57">
                        <c:v>2290</c:v>
                      </c:pt>
                      <c:pt idx="58">
                        <c:v>2291</c:v>
                      </c:pt>
                      <c:pt idx="59">
                        <c:v>2292</c:v>
                      </c:pt>
                      <c:pt idx="60">
                        <c:v>2292</c:v>
                      </c:pt>
                      <c:pt idx="61">
                        <c:v>2293</c:v>
                      </c:pt>
                      <c:pt idx="62">
                        <c:v>2438</c:v>
                      </c:pt>
                      <c:pt idx="63">
                        <c:v>2439</c:v>
                      </c:pt>
                      <c:pt idx="64">
                        <c:v>2439</c:v>
                      </c:pt>
                      <c:pt idx="65">
                        <c:v>2440</c:v>
                      </c:pt>
                      <c:pt idx="66">
                        <c:v>2440</c:v>
                      </c:pt>
                      <c:pt idx="67">
                        <c:v>2441</c:v>
                      </c:pt>
                      <c:pt idx="68">
                        <c:v>2442</c:v>
                      </c:pt>
                      <c:pt idx="69">
                        <c:v>2442</c:v>
                      </c:pt>
                      <c:pt idx="70">
                        <c:v>2592</c:v>
                      </c:pt>
                      <c:pt idx="71">
                        <c:v>2593</c:v>
                      </c:pt>
                      <c:pt idx="72">
                        <c:v>2593</c:v>
                      </c:pt>
                      <c:pt idx="73">
                        <c:v>2594</c:v>
                      </c:pt>
                      <c:pt idx="74">
                        <c:v>2595</c:v>
                      </c:pt>
                      <c:pt idx="75">
                        <c:v>2595</c:v>
                      </c:pt>
                      <c:pt idx="76">
                        <c:v>2596</c:v>
                      </c:pt>
                      <c:pt idx="77">
                        <c:v>2596</c:v>
                      </c:pt>
                      <c:pt idx="78">
                        <c:v>2597</c:v>
                      </c:pt>
                      <c:pt idx="79">
                        <c:v>2752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3EB-4F2F-9CD4-F403992F3986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Sheet1!$Z$1:$Z$2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Sheet1!$Z$3:$Z$102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11066</c:v>
                      </c:pt>
                      <c:pt idx="1">
                        <c:v>11067</c:v>
                      </c:pt>
                      <c:pt idx="2">
                        <c:v>11503</c:v>
                      </c:pt>
                      <c:pt idx="3">
                        <c:v>11504</c:v>
                      </c:pt>
                      <c:pt idx="4">
                        <c:v>11504</c:v>
                      </c:pt>
                      <c:pt idx="5">
                        <c:v>11505</c:v>
                      </c:pt>
                      <c:pt idx="6">
                        <c:v>11949</c:v>
                      </c:pt>
                      <c:pt idx="7">
                        <c:v>11950</c:v>
                      </c:pt>
                      <c:pt idx="8">
                        <c:v>11951</c:v>
                      </c:pt>
                      <c:pt idx="9">
                        <c:v>11951</c:v>
                      </c:pt>
                      <c:pt idx="10">
                        <c:v>12404</c:v>
                      </c:pt>
                      <c:pt idx="11">
                        <c:v>12405</c:v>
                      </c:pt>
                      <c:pt idx="12">
                        <c:v>12405</c:v>
                      </c:pt>
                      <c:pt idx="13">
                        <c:v>12406</c:v>
                      </c:pt>
                      <c:pt idx="14">
                        <c:v>12867</c:v>
                      </c:pt>
                      <c:pt idx="15">
                        <c:v>12868</c:v>
                      </c:pt>
                      <c:pt idx="16">
                        <c:v>12869</c:v>
                      </c:pt>
                      <c:pt idx="17">
                        <c:v>12869</c:v>
                      </c:pt>
                      <c:pt idx="18">
                        <c:v>13339</c:v>
                      </c:pt>
                      <c:pt idx="19">
                        <c:v>13339</c:v>
                      </c:pt>
                      <c:pt idx="20">
                        <c:v>13340</c:v>
                      </c:pt>
                      <c:pt idx="21">
                        <c:v>13341</c:v>
                      </c:pt>
                      <c:pt idx="22">
                        <c:v>13819</c:v>
                      </c:pt>
                      <c:pt idx="23">
                        <c:v>13819</c:v>
                      </c:pt>
                      <c:pt idx="24">
                        <c:v>13820</c:v>
                      </c:pt>
                      <c:pt idx="25">
                        <c:v>13820</c:v>
                      </c:pt>
                      <c:pt idx="26">
                        <c:v>13821</c:v>
                      </c:pt>
                      <c:pt idx="27">
                        <c:v>14308</c:v>
                      </c:pt>
                      <c:pt idx="28">
                        <c:v>14308</c:v>
                      </c:pt>
                      <c:pt idx="29">
                        <c:v>14309</c:v>
                      </c:pt>
                      <c:pt idx="30">
                        <c:v>14310</c:v>
                      </c:pt>
                      <c:pt idx="31">
                        <c:v>14805</c:v>
                      </c:pt>
                      <c:pt idx="32">
                        <c:v>14805</c:v>
                      </c:pt>
                      <c:pt idx="33">
                        <c:v>14806</c:v>
                      </c:pt>
                      <c:pt idx="34">
                        <c:v>14806</c:v>
                      </c:pt>
                      <c:pt idx="35">
                        <c:v>15310</c:v>
                      </c:pt>
                      <c:pt idx="36">
                        <c:v>15311</c:v>
                      </c:pt>
                      <c:pt idx="37">
                        <c:v>15311</c:v>
                      </c:pt>
                      <c:pt idx="38">
                        <c:v>15312</c:v>
                      </c:pt>
                      <c:pt idx="39">
                        <c:v>15824</c:v>
                      </c:pt>
                      <c:pt idx="40">
                        <c:v>15824</c:v>
                      </c:pt>
                      <c:pt idx="41">
                        <c:v>15825</c:v>
                      </c:pt>
                      <c:pt idx="42">
                        <c:v>15825</c:v>
                      </c:pt>
                      <c:pt idx="43">
                        <c:v>16346</c:v>
                      </c:pt>
                      <c:pt idx="44">
                        <c:v>16346</c:v>
                      </c:pt>
                      <c:pt idx="45">
                        <c:v>16347</c:v>
                      </c:pt>
                      <c:pt idx="46">
                        <c:v>16347</c:v>
                      </c:pt>
                      <c:pt idx="47">
                        <c:v>16876</c:v>
                      </c:pt>
                      <c:pt idx="48">
                        <c:v>16877</c:v>
                      </c:pt>
                      <c:pt idx="49">
                        <c:v>16877</c:v>
                      </c:pt>
                      <c:pt idx="50">
                        <c:v>16878</c:v>
                      </c:pt>
                      <c:pt idx="51">
                        <c:v>16878</c:v>
                      </c:pt>
                      <c:pt idx="52">
                        <c:v>17416</c:v>
                      </c:pt>
                      <c:pt idx="53">
                        <c:v>17416</c:v>
                      </c:pt>
                      <c:pt idx="54">
                        <c:v>17417</c:v>
                      </c:pt>
                      <c:pt idx="55">
                        <c:v>17418</c:v>
                      </c:pt>
                      <c:pt idx="56">
                        <c:v>17963</c:v>
                      </c:pt>
                      <c:pt idx="57">
                        <c:v>17964</c:v>
                      </c:pt>
                      <c:pt idx="58">
                        <c:v>17964</c:v>
                      </c:pt>
                      <c:pt idx="59">
                        <c:v>17965</c:v>
                      </c:pt>
                      <c:pt idx="60">
                        <c:v>18519</c:v>
                      </c:pt>
                      <c:pt idx="61">
                        <c:v>18519</c:v>
                      </c:pt>
                      <c:pt idx="62">
                        <c:v>18520</c:v>
                      </c:pt>
                      <c:pt idx="63">
                        <c:v>18521</c:v>
                      </c:pt>
                      <c:pt idx="64">
                        <c:v>19083</c:v>
                      </c:pt>
                      <c:pt idx="65">
                        <c:v>19084</c:v>
                      </c:pt>
                      <c:pt idx="66">
                        <c:v>19084</c:v>
                      </c:pt>
                      <c:pt idx="67">
                        <c:v>19085</c:v>
                      </c:pt>
                      <c:pt idx="68">
                        <c:v>19656</c:v>
                      </c:pt>
                      <c:pt idx="69">
                        <c:v>19656</c:v>
                      </c:pt>
                      <c:pt idx="70">
                        <c:v>19657</c:v>
                      </c:pt>
                      <c:pt idx="71">
                        <c:v>19657</c:v>
                      </c:pt>
                      <c:pt idx="72">
                        <c:v>20237</c:v>
                      </c:pt>
                      <c:pt idx="73">
                        <c:v>20237</c:v>
                      </c:pt>
                      <c:pt idx="74">
                        <c:v>20238</c:v>
                      </c:pt>
                      <c:pt idx="75">
                        <c:v>20238</c:v>
                      </c:pt>
                      <c:pt idx="76">
                        <c:v>20239</c:v>
                      </c:pt>
                      <c:pt idx="77">
                        <c:v>20827</c:v>
                      </c:pt>
                      <c:pt idx="78">
                        <c:v>20827</c:v>
                      </c:pt>
                      <c:pt idx="79">
                        <c:v>20828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3EB-4F2F-9CD4-F403992F3986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Sheet1!$AA$1:$AA$2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Sheet1!$AA$3:$AA$102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21338</c:v>
                      </c:pt>
                      <c:pt idx="1">
                        <c:v>21812</c:v>
                      </c:pt>
                      <c:pt idx="2">
                        <c:v>22287</c:v>
                      </c:pt>
                      <c:pt idx="3">
                        <c:v>23235</c:v>
                      </c:pt>
                      <c:pt idx="4">
                        <c:v>23709</c:v>
                      </c:pt>
                      <c:pt idx="5">
                        <c:v>24183</c:v>
                      </c:pt>
                      <c:pt idx="6">
                        <c:v>24657</c:v>
                      </c:pt>
                      <c:pt idx="7">
                        <c:v>25131</c:v>
                      </c:pt>
                      <c:pt idx="8">
                        <c:v>25605</c:v>
                      </c:pt>
                      <c:pt idx="9">
                        <c:v>26079</c:v>
                      </c:pt>
                      <c:pt idx="10">
                        <c:v>26553</c:v>
                      </c:pt>
                      <c:pt idx="11">
                        <c:v>27501</c:v>
                      </c:pt>
                      <c:pt idx="12">
                        <c:v>27975</c:v>
                      </c:pt>
                      <c:pt idx="13">
                        <c:v>28450</c:v>
                      </c:pt>
                      <c:pt idx="14">
                        <c:v>28924</c:v>
                      </c:pt>
                      <c:pt idx="15">
                        <c:v>29398</c:v>
                      </c:pt>
                      <c:pt idx="16">
                        <c:v>29872</c:v>
                      </c:pt>
                      <c:pt idx="17">
                        <c:v>30346</c:v>
                      </c:pt>
                      <c:pt idx="18">
                        <c:v>30820</c:v>
                      </c:pt>
                      <c:pt idx="19">
                        <c:v>31768</c:v>
                      </c:pt>
                      <c:pt idx="20">
                        <c:v>32242</c:v>
                      </c:pt>
                      <c:pt idx="21">
                        <c:v>32716</c:v>
                      </c:pt>
                      <c:pt idx="22">
                        <c:v>33190</c:v>
                      </c:pt>
                      <c:pt idx="23">
                        <c:v>33664</c:v>
                      </c:pt>
                      <c:pt idx="24">
                        <c:v>34138</c:v>
                      </c:pt>
                      <c:pt idx="25">
                        <c:v>34612</c:v>
                      </c:pt>
                      <c:pt idx="26">
                        <c:v>35560</c:v>
                      </c:pt>
                      <c:pt idx="27">
                        <c:v>36034</c:v>
                      </c:pt>
                      <c:pt idx="28">
                        <c:v>36508</c:v>
                      </c:pt>
                      <c:pt idx="29">
                        <c:v>36982</c:v>
                      </c:pt>
                      <c:pt idx="30">
                        <c:v>37456</c:v>
                      </c:pt>
                      <c:pt idx="31">
                        <c:v>37930</c:v>
                      </c:pt>
                      <c:pt idx="32">
                        <c:v>38404</c:v>
                      </c:pt>
                      <c:pt idx="33">
                        <c:v>38878</c:v>
                      </c:pt>
                      <c:pt idx="34">
                        <c:v>39826</c:v>
                      </c:pt>
                      <c:pt idx="35">
                        <c:v>40300</c:v>
                      </c:pt>
                      <c:pt idx="36">
                        <c:v>40774</c:v>
                      </c:pt>
                      <c:pt idx="37">
                        <c:v>41248</c:v>
                      </c:pt>
                      <c:pt idx="38">
                        <c:v>41722</c:v>
                      </c:pt>
                      <c:pt idx="39">
                        <c:v>42196</c:v>
                      </c:pt>
                      <c:pt idx="40">
                        <c:v>42670</c:v>
                      </c:pt>
                      <c:pt idx="41">
                        <c:v>43144</c:v>
                      </c:pt>
                      <c:pt idx="42">
                        <c:v>44092</c:v>
                      </c:pt>
                      <c:pt idx="43">
                        <c:v>44566</c:v>
                      </c:pt>
                      <c:pt idx="44">
                        <c:v>45040</c:v>
                      </c:pt>
                      <c:pt idx="45">
                        <c:v>45514</c:v>
                      </c:pt>
                      <c:pt idx="46">
                        <c:v>45988</c:v>
                      </c:pt>
                      <c:pt idx="47">
                        <c:v>46462</c:v>
                      </c:pt>
                      <c:pt idx="48">
                        <c:v>46936</c:v>
                      </c:pt>
                      <c:pt idx="49">
                        <c:v>47885</c:v>
                      </c:pt>
                      <c:pt idx="50">
                        <c:v>48359</c:v>
                      </c:pt>
                      <c:pt idx="51">
                        <c:v>48833</c:v>
                      </c:pt>
                      <c:pt idx="52">
                        <c:v>49307</c:v>
                      </c:pt>
                      <c:pt idx="53">
                        <c:v>49781</c:v>
                      </c:pt>
                      <c:pt idx="54">
                        <c:v>50255</c:v>
                      </c:pt>
                      <c:pt idx="55">
                        <c:v>50730</c:v>
                      </c:pt>
                      <c:pt idx="56">
                        <c:v>51204</c:v>
                      </c:pt>
                      <c:pt idx="57">
                        <c:v>52152</c:v>
                      </c:pt>
                      <c:pt idx="58">
                        <c:v>52626</c:v>
                      </c:pt>
                      <c:pt idx="59">
                        <c:v>53100</c:v>
                      </c:pt>
                      <c:pt idx="60">
                        <c:v>53574</c:v>
                      </c:pt>
                      <c:pt idx="61">
                        <c:v>54048</c:v>
                      </c:pt>
                      <c:pt idx="62">
                        <c:v>54522</c:v>
                      </c:pt>
                      <c:pt idx="63">
                        <c:v>54996</c:v>
                      </c:pt>
                      <c:pt idx="64">
                        <c:v>55470</c:v>
                      </c:pt>
                      <c:pt idx="65">
                        <c:v>56418</c:v>
                      </c:pt>
                      <c:pt idx="66">
                        <c:v>56892</c:v>
                      </c:pt>
                      <c:pt idx="67">
                        <c:v>57366</c:v>
                      </c:pt>
                      <c:pt idx="68">
                        <c:v>57840</c:v>
                      </c:pt>
                      <c:pt idx="69">
                        <c:v>58314</c:v>
                      </c:pt>
                      <c:pt idx="70">
                        <c:v>58788</c:v>
                      </c:pt>
                      <c:pt idx="71">
                        <c:v>59262</c:v>
                      </c:pt>
                      <c:pt idx="72">
                        <c:v>59736</c:v>
                      </c:pt>
                      <c:pt idx="73">
                        <c:v>60684</c:v>
                      </c:pt>
                      <c:pt idx="74">
                        <c:v>61158</c:v>
                      </c:pt>
                      <c:pt idx="75">
                        <c:v>61632</c:v>
                      </c:pt>
                      <c:pt idx="76">
                        <c:v>62106</c:v>
                      </c:pt>
                      <c:pt idx="77">
                        <c:v>62580</c:v>
                      </c:pt>
                      <c:pt idx="78">
                        <c:v>63054</c:v>
                      </c:pt>
                      <c:pt idx="79">
                        <c:v>63528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3EB-4F2F-9CD4-F403992F3986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Sheet1!$AB$1:$AB$2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Sheet1!$AB$3:$AB$102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16048</c:v>
                      </c:pt>
                      <c:pt idx="1">
                        <c:v>16404</c:v>
                      </c:pt>
                      <c:pt idx="2">
                        <c:v>16760</c:v>
                      </c:pt>
                      <c:pt idx="3">
                        <c:v>17471</c:v>
                      </c:pt>
                      <c:pt idx="4">
                        <c:v>17827</c:v>
                      </c:pt>
                      <c:pt idx="5">
                        <c:v>18182</c:v>
                      </c:pt>
                      <c:pt idx="6">
                        <c:v>18539</c:v>
                      </c:pt>
                      <c:pt idx="7">
                        <c:v>18894</c:v>
                      </c:pt>
                      <c:pt idx="8">
                        <c:v>19250</c:v>
                      </c:pt>
                      <c:pt idx="9">
                        <c:v>19605</c:v>
                      </c:pt>
                      <c:pt idx="10">
                        <c:v>19962</c:v>
                      </c:pt>
                      <c:pt idx="11">
                        <c:v>20673</c:v>
                      </c:pt>
                      <c:pt idx="12">
                        <c:v>21028</c:v>
                      </c:pt>
                      <c:pt idx="13">
                        <c:v>21384</c:v>
                      </c:pt>
                      <c:pt idx="14">
                        <c:v>21740</c:v>
                      </c:pt>
                      <c:pt idx="15">
                        <c:v>22096</c:v>
                      </c:pt>
                      <c:pt idx="16">
                        <c:v>22451</c:v>
                      </c:pt>
                      <c:pt idx="17">
                        <c:v>22807</c:v>
                      </c:pt>
                      <c:pt idx="18">
                        <c:v>23163</c:v>
                      </c:pt>
                      <c:pt idx="19">
                        <c:v>23874</c:v>
                      </c:pt>
                      <c:pt idx="20">
                        <c:v>24230</c:v>
                      </c:pt>
                      <c:pt idx="21">
                        <c:v>24585</c:v>
                      </c:pt>
                      <c:pt idx="22">
                        <c:v>24942</c:v>
                      </c:pt>
                      <c:pt idx="23">
                        <c:v>25297</c:v>
                      </c:pt>
                      <c:pt idx="24">
                        <c:v>25653</c:v>
                      </c:pt>
                      <c:pt idx="25">
                        <c:v>26008</c:v>
                      </c:pt>
                      <c:pt idx="26">
                        <c:v>26719</c:v>
                      </c:pt>
                      <c:pt idx="27">
                        <c:v>27076</c:v>
                      </c:pt>
                      <c:pt idx="28">
                        <c:v>27431</c:v>
                      </c:pt>
                      <c:pt idx="29">
                        <c:v>27787</c:v>
                      </c:pt>
                      <c:pt idx="30">
                        <c:v>28142</c:v>
                      </c:pt>
                      <c:pt idx="31">
                        <c:v>28499</c:v>
                      </c:pt>
                      <c:pt idx="32">
                        <c:v>28854</c:v>
                      </c:pt>
                      <c:pt idx="33">
                        <c:v>29210</c:v>
                      </c:pt>
                      <c:pt idx="34">
                        <c:v>29921</c:v>
                      </c:pt>
                      <c:pt idx="35">
                        <c:v>30277</c:v>
                      </c:pt>
                      <c:pt idx="36">
                        <c:v>30633</c:v>
                      </c:pt>
                      <c:pt idx="37">
                        <c:v>30988</c:v>
                      </c:pt>
                      <c:pt idx="38">
                        <c:v>31344</c:v>
                      </c:pt>
                      <c:pt idx="39">
                        <c:v>31700</c:v>
                      </c:pt>
                      <c:pt idx="40">
                        <c:v>32056</c:v>
                      </c:pt>
                      <c:pt idx="41">
                        <c:v>32411</c:v>
                      </c:pt>
                      <c:pt idx="42">
                        <c:v>33122</c:v>
                      </c:pt>
                      <c:pt idx="43">
                        <c:v>33479</c:v>
                      </c:pt>
                      <c:pt idx="44">
                        <c:v>33834</c:v>
                      </c:pt>
                      <c:pt idx="45">
                        <c:v>34190</c:v>
                      </c:pt>
                      <c:pt idx="46">
                        <c:v>34545</c:v>
                      </c:pt>
                      <c:pt idx="47">
                        <c:v>34902</c:v>
                      </c:pt>
                      <c:pt idx="48">
                        <c:v>35257</c:v>
                      </c:pt>
                      <c:pt idx="49">
                        <c:v>35968</c:v>
                      </c:pt>
                      <c:pt idx="50">
                        <c:v>36324</c:v>
                      </c:pt>
                      <c:pt idx="51">
                        <c:v>36679</c:v>
                      </c:pt>
                      <c:pt idx="52">
                        <c:v>37036</c:v>
                      </c:pt>
                      <c:pt idx="53">
                        <c:v>37391</c:v>
                      </c:pt>
                      <c:pt idx="54">
                        <c:v>37747</c:v>
                      </c:pt>
                      <c:pt idx="55">
                        <c:v>38102</c:v>
                      </c:pt>
                      <c:pt idx="56">
                        <c:v>38459</c:v>
                      </c:pt>
                      <c:pt idx="57">
                        <c:v>39170</c:v>
                      </c:pt>
                      <c:pt idx="58">
                        <c:v>39525</c:v>
                      </c:pt>
                      <c:pt idx="59">
                        <c:v>39881</c:v>
                      </c:pt>
                      <c:pt idx="60">
                        <c:v>40237</c:v>
                      </c:pt>
                      <c:pt idx="61">
                        <c:v>40593</c:v>
                      </c:pt>
                      <c:pt idx="62">
                        <c:v>40948</c:v>
                      </c:pt>
                      <c:pt idx="63">
                        <c:v>41304</c:v>
                      </c:pt>
                      <c:pt idx="64">
                        <c:v>41660</c:v>
                      </c:pt>
                      <c:pt idx="65">
                        <c:v>42371</c:v>
                      </c:pt>
                      <c:pt idx="66">
                        <c:v>42727</c:v>
                      </c:pt>
                      <c:pt idx="67">
                        <c:v>43082</c:v>
                      </c:pt>
                      <c:pt idx="68">
                        <c:v>43439</c:v>
                      </c:pt>
                      <c:pt idx="69">
                        <c:v>43794</c:v>
                      </c:pt>
                      <c:pt idx="70">
                        <c:v>44150</c:v>
                      </c:pt>
                      <c:pt idx="71">
                        <c:v>44505</c:v>
                      </c:pt>
                      <c:pt idx="72">
                        <c:v>44862</c:v>
                      </c:pt>
                      <c:pt idx="73">
                        <c:v>45573</c:v>
                      </c:pt>
                      <c:pt idx="74">
                        <c:v>45928</c:v>
                      </c:pt>
                      <c:pt idx="75">
                        <c:v>46284</c:v>
                      </c:pt>
                      <c:pt idx="76">
                        <c:v>46639</c:v>
                      </c:pt>
                      <c:pt idx="77">
                        <c:v>46996</c:v>
                      </c:pt>
                      <c:pt idx="78">
                        <c:v>47351</c:v>
                      </c:pt>
                      <c:pt idx="79">
                        <c:v>47707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3EB-4F2F-9CD4-F403992F398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Sheet1!$AC$1:$AC$2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Sheet1!$AC$3:$AC$102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3EB-4F2F-9CD4-F403992F398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Sheet1!$AE$1:$AE$2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Sheet1!$AE$3:$AE$102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1660</c:v>
                      </c:pt>
                      <c:pt idx="1">
                        <c:v>1660</c:v>
                      </c:pt>
                      <c:pt idx="2">
                        <c:v>1661</c:v>
                      </c:pt>
                      <c:pt idx="3">
                        <c:v>1661</c:v>
                      </c:pt>
                      <c:pt idx="4">
                        <c:v>1800</c:v>
                      </c:pt>
                      <c:pt idx="5">
                        <c:v>1800</c:v>
                      </c:pt>
                      <c:pt idx="6">
                        <c:v>1801</c:v>
                      </c:pt>
                      <c:pt idx="7">
                        <c:v>1802</c:v>
                      </c:pt>
                      <c:pt idx="8">
                        <c:v>1802</c:v>
                      </c:pt>
                      <c:pt idx="9">
                        <c:v>1803</c:v>
                      </c:pt>
                      <c:pt idx="10">
                        <c:v>1803</c:v>
                      </c:pt>
                      <c:pt idx="11">
                        <c:v>1804</c:v>
                      </c:pt>
                      <c:pt idx="12">
                        <c:v>1804</c:v>
                      </c:pt>
                      <c:pt idx="13">
                        <c:v>1948</c:v>
                      </c:pt>
                      <c:pt idx="14">
                        <c:v>1949</c:v>
                      </c:pt>
                      <c:pt idx="15">
                        <c:v>1949</c:v>
                      </c:pt>
                      <c:pt idx="16">
                        <c:v>1950</c:v>
                      </c:pt>
                      <c:pt idx="17">
                        <c:v>1950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1952</c:v>
                      </c:pt>
                      <c:pt idx="21">
                        <c:v>1953</c:v>
                      </c:pt>
                      <c:pt idx="22">
                        <c:v>2102</c:v>
                      </c:pt>
                      <c:pt idx="23">
                        <c:v>2103</c:v>
                      </c:pt>
                      <c:pt idx="24">
                        <c:v>2103</c:v>
                      </c:pt>
                      <c:pt idx="25">
                        <c:v>2104</c:v>
                      </c:pt>
                      <c:pt idx="26">
                        <c:v>2104</c:v>
                      </c:pt>
                      <c:pt idx="27">
                        <c:v>2105</c:v>
                      </c:pt>
                      <c:pt idx="28">
                        <c:v>2105</c:v>
                      </c:pt>
                      <c:pt idx="29">
                        <c:v>2106</c:v>
                      </c:pt>
                      <c:pt idx="30">
                        <c:v>2107</c:v>
                      </c:pt>
                      <c:pt idx="31">
                        <c:v>2262</c:v>
                      </c:pt>
                      <c:pt idx="32">
                        <c:v>2262</c:v>
                      </c:pt>
                      <c:pt idx="33">
                        <c:v>2263</c:v>
                      </c:pt>
                      <c:pt idx="34">
                        <c:v>2263</c:v>
                      </c:pt>
                      <c:pt idx="35">
                        <c:v>2264</c:v>
                      </c:pt>
                      <c:pt idx="36">
                        <c:v>2264</c:v>
                      </c:pt>
                      <c:pt idx="37">
                        <c:v>2265</c:v>
                      </c:pt>
                      <c:pt idx="38">
                        <c:v>2266</c:v>
                      </c:pt>
                      <c:pt idx="39">
                        <c:v>2266</c:v>
                      </c:pt>
                      <c:pt idx="40">
                        <c:v>2427</c:v>
                      </c:pt>
                      <c:pt idx="41">
                        <c:v>2427</c:v>
                      </c:pt>
                      <c:pt idx="42">
                        <c:v>2428</c:v>
                      </c:pt>
                      <c:pt idx="43">
                        <c:v>2428</c:v>
                      </c:pt>
                      <c:pt idx="44">
                        <c:v>2429</c:v>
                      </c:pt>
                      <c:pt idx="45">
                        <c:v>2430</c:v>
                      </c:pt>
                      <c:pt idx="46">
                        <c:v>2430</c:v>
                      </c:pt>
                      <c:pt idx="47">
                        <c:v>2431</c:v>
                      </c:pt>
                      <c:pt idx="48">
                        <c:v>2431</c:v>
                      </c:pt>
                      <c:pt idx="49">
                        <c:v>2597</c:v>
                      </c:pt>
                      <c:pt idx="50">
                        <c:v>2598</c:v>
                      </c:pt>
                      <c:pt idx="51">
                        <c:v>2598</c:v>
                      </c:pt>
                      <c:pt idx="52">
                        <c:v>2599</c:v>
                      </c:pt>
                      <c:pt idx="53">
                        <c:v>2599</c:v>
                      </c:pt>
                      <c:pt idx="54">
                        <c:v>2600</c:v>
                      </c:pt>
                      <c:pt idx="55">
                        <c:v>2601</c:v>
                      </c:pt>
                      <c:pt idx="56">
                        <c:v>2601</c:v>
                      </c:pt>
                      <c:pt idx="57">
                        <c:v>2602</c:v>
                      </c:pt>
                      <c:pt idx="58">
                        <c:v>2602</c:v>
                      </c:pt>
                      <c:pt idx="59">
                        <c:v>2774</c:v>
                      </c:pt>
                      <c:pt idx="60">
                        <c:v>2774</c:v>
                      </c:pt>
                      <c:pt idx="61">
                        <c:v>2775</c:v>
                      </c:pt>
                      <c:pt idx="62">
                        <c:v>2776</c:v>
                      </c:pt>
                      <c:pt idx="63">
                        <c:v>2776</c:v>
                      </c:pt>
                      <c:pt idx="64">
                        <c:v>2777</c:v>
                      </c:pt>
                      <c:pt idx="65">
                        <c:v>2777</c:v>
                      </c:pt>
                      <c:pt idx="66">
                        <c:v>2778</c:v>
                      </c:pt>
                      <c:pt idx="67">
                        <c:v>2778</c:v>
                      </c:pt>
                      <c:pt idx="68">
                        <c:v>2955</c:v>
                      </c:pt>
                      <c:pt idx="69">
                        <c:v>2956</c:v>
                      </c:pt>
                      <c:pt idx="70">
                        <c:v>2957</c:v>
                      </c:pt>
                      <c:pt idx="71">
                        <c:v>2957</c:v>
                      </c:pt>
                      <c:pt idx="72">
                        <c:v>2958</c:v>
                      </c:pt>
                      <c:pt idx="73">
                        <c:v>2959</c:v>
                      </c:pt>
                      <c:pt idx="74">
                        <c:v>2959</c:v>
                      </c:pt>
                      <c:pt idx="75">
                        <c:v>2960</c:v>
                      </c:pt>
                      <c:pt idx="76">
                        <c:v>2960</c:v>
                      </c:pt>
                      <c:pt idx="77">
                        <c:v>3143</c:v>
                      </c:pt>
                      <c:pt idx="78">
                        <c:v>3143</c:v>
                      </c:pt>
                      <c:pt idx="79">
                        <c:v>3144</c:v>
                      </c:pt>
                      <c:pt idx="80">
                        <c:v>3145</c:v>
                      </c:pt>
                      <c:pt idx="81">
                        <c:v>3145</c:v>
                      </c:pt>
                      <c:pt idx="82">
                        <c:v>3146</c:v>
                      </c:pt>
                      <c:pt idx="83">
                        <c:v>3146</c:v>
                      </c:pt>
                      <c:pt idx="84">
                        <c:v>3147</c:v>
                      </c:pt>
                      <c:pt idx="85">
                        <c:v>3147</c:v>
                      </c:pt>
                      <c:pt idx="86">
                        <c:v>3335</c:v>
                      </c:pt>
                      <c:pt idx="87">
                        <c:v>3336</c:v>
                      </c:pt>
                      <c:pt idx="88">
                        <c:v>3337</c:v>
                      </c:pt>
                      <c:pt idx="89">
                        <c:v>3337</c:v>
                      </c:pt>
                      <c:pt idx="90">
                        <c:v>3338</c:v>
                      </c:pt>
                      <c:pt idx="91">
                        <c:v>3338</c:v>
                      </c:pt>
                      <c:pt idx="92">
                        <c:v>3339</c:v>
                      </c:pt>
                      <c:pt idx="93">
                        <c:v>3339</c:v>
                      </c:pt>
                      <c:pt idx="94">
                        <c:v>3340</c:v>
                      </c:pt>
                      <c:pt idx="95">
                        <c:v>3534</c:v>
                      </c:pt>
                      <c:pt idx="96">
                        <c:v>3534</c:v>
                      </c:pt>
                      <c:pt idx="97">
                        <c:v>3535</c:v>
                      </c:pt>
                      <c:pt idx="98">
                        <c:v>3536</c:v>
                      </c:pt>
                      <c:pt idx="99">
                        <c:v>3536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3EB-4F2F-9CD4-F403992F3986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Sheet1!$AF$1:$AF$2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Sheet1!$AF$3:$AF$102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1940</c:v>
                      </c:pt>
                      <c:pt idx="1">
                        <c:v>1941</c:v>
                      </c:pt>
                      <c:pt idx="2">
                        <c:v>1941</c:v>
                      </c:pt>
                      <c:pt idx="3">
                        <c:v>1942</c:v>
                      </c:pt>
                      <c:pt idx="4">
                        <c:v>2091</c:v>
                      </c:pt>
                      <c:pt idx="5">
                        <c:v>2092</c:v>
                      </c:pt>
                      <c:pt idx="6">
                        <c:v>2092</c:v>
                      </c:pt>
                      <c:pt idx="7">
                        <c:v>2093</c:v>
                      </c:pt>
                      <c:pt idx="8">
                        <c:v>2094</c:v>
                      </c:pt>
                      <c:pt idx="9">
                        <c:v>2094</c:v>
                      </c:pt>
                      <c:pt idx="10">
                        <c:v>2095</c:v>
                      </c:pt>
                      <c:pt idx="11">
                        <c:v>2095</c:v>
                      </c:pt>
                      <c:pt idx="12">
                        <c:v>2250</c:v>
                      </c:pt>
                      <c:pt idx="13">
                        <c:v>2251</c:v>
                      </c:pt>
                      <c:pt idx="14">
                        <c:v>2251</c:v>
                      </c:pt>
                      <c:pt idx="15">
                        <c:v>2252</c:v>
                      </c:pt>
                      <c:pt idx="16">
                        <c:v>2253</c:v>
                      </c:pt>
                      <c:pt idx="17">
                        <c:v>2253</c:v>
                      </c:pt>
                      <c:pt idx="18">
                        <c:v>2254</c:v>
                      </c:pt>
                      <c:pt idx="19">
                        <c:v>2254</c:v>
                      </c:pt>
                      <c:pt idx="20">
                        <c:v>2414</c:v>
                      </c:pt>
                      <c:pt idx="21">
                        <c:v>2415</c:v>
                      </c:pt>
                      <c:pt idx="22">
                        <c:v>2416</c:v>
                      </c:pt>
                      <c:pt idx="23">
                        <c:v>2416</c:v>
                      </c:pt>
                      <c:pt idx="24">
                        <c:v>2417</c:v>
                      </c:pt>
                      <c:pt idx="25">
                        <c:v>2417</c:v>
                      </c:pt>
                      <c:pt idx="26">
                        <c:v>2418</c:v>
                      </c:pt>
                      <c:pt idx="27">
                        <c:v>2419</c:v>
                      </c:pt>
                      <c:pt idx="28">
                        <c:v>2419</c:v>
                      </c:pt>
                      <c:pt idx="29">
                        <c:v>2585</c:v>
                      </c:pt>
                      <c:pt idx="30">
                        <c:v>2586</c:v>
                      </c:pt>
                      <c:pt idx="31">
                        <c:v>2587</c:v>
                      </c:pt>
                      <c:pt idx="32">
                        <c:v>2587</c:v>
                      </c:pt>
                      <c:pt idx="33">
                        <c:v>2588</c:v>
                      </c:pt>
                      <c:pt idx="34">
                        <c:v>2588</c:v>
                      </c:pt>
                      <c:pt idx="35">
                        <c:v>2589</c:v>
                      </c:pt>
                      <c:pt idx="36">
                        <c:v>2589</c:v>
                      </c:pt>
                      <c:pt idx="37">
                        <c:v>2761</c:v>
                      </c:pt>
                      <c:pt idx="38">
                        <c:v>2761</c:v>
                      </c:pt>
                      <c:pt idx="39">
                        <c:v>2762</c:v>
                      </c:pt>
                      <c:pt idx="40">
                        <c:v>2763</c:v>
                      </c:pt>
                      <c:pt idx="41">
                        <c:v>2763</c:v>
                      </c:pt>
                      <c:pt idx="42">
                        <c:v>2764</c:v>
                      </c:pt>
                      <c:pt idx="43">
                        <c:v>2764</c:v>
                      </c:pt>
                      <c:pt idx="44">
                        <c:v>2765</c:v>
                      </c:pt>
                      <c:pt idx="45">
                        <c:v>2942</c:v>
                      </c:pt>
                      <c:pt idx="46">
                        <c:v>2942</c:v>
                      </c:pt>
                      <c:pt idx="47">
                        <c:v>2943</c:v>
                      </c:pt>
                      <c:pt idx="48">
                        <c:v>2943</c:v>
                      </c:pt>
                      <c:pt idx="49">
                        <c:v>2944</c:v>
                      </c:pt>
                      <c:pt idx="50">
                        <c:v>2945</c:v>
                      </c:pt>
                      <c:pt idx="51">
                        <c:v>2945</c:v>
                      </c:pt>
                      <c:pt idx="52">
                        <c:v>2946</c:v>
                      </c:pt>
                      <c:pt idx="53">
                        <c:v>2946</c:v>
                      </c:pt>
                      <c:pt idx="54">
                        <c:v>3129</c:v>
                      </c:pt>
                      <c:pt idx="55">
                        <c:v>3130</c:v>
                      </c:pt>
                      <c:pt idx="56">
                        <c:v>3130</c:v>
                      </c:pt>
                      <c:pt idx="57">
                        <c:v>3131</c:v>
                      </c:pt>
                      <c:pt idx="58">
                        <c:v>3131</c:v>
                      </c:pt>
                      <c:pt idx="59">
                        <c:v>3132</c:v>
                      </c:pt>
                      <c:pt idx="60">
                        <c:v>3132</c:v>
                      </c:pt>
                      <c:pt idx="61">
                        <c:v>3133</c:v>
                      </c:pt>
                      <c:pt idx="62">
                        <c:v>3321</c:v>
                      </c:pt>
                      <c:pt idx="63">
                        <c:v>3322</c:v>
                      </c:pt>
                      <c:pt idx="64">
                        <c:v>3322</c:v>
                      </c:pt>
                      <c:pt idx="65">
                        <c:v>3323</c:v>
                      </c:pt>
                      <c:pt idx="66">
                        <c:v>3323</c:v>
                      </c:pt>
                      <c:pt idx="67">
                        <c:v>3324</c:v>
                      </c:pt>
                      <c:pt idx="68">
                        <c:v>3325</c:v>
                      </c:pt>
                      <c:pt idx="69">
                        <c:v>3325</c:v>
                      </c:pt>
                      <c:pt idx="70">
                        <c:v>3519</c:v>
                      </c:pt>
                      <c:pt idx="71">
                        <c:v>3519</c:v>
                      </c:pt>
                      <c:pt idx="72">
                        <c:v>3520</c:v>
                      </c:pt>
                      <c:pt idx="73">
                        <c:v>3521</c:v>
                      </c:pt>
                      <c:pt idx="74">
                        <c:v>3521</c:v>
                      </c:pt>
                      <c:pt idx="75">
                        <c:v>3522</c:v>
                      </c:pt>
                      <c:pt idx="76">
                        <c:v>3522</c:v>
                      </c:pt>
                      <c:pt idx="77">
                        <c:v>3523</c:v>
                      </c:pt>
                      <c:pt idx="78">
                        <c:v>3524</c:v>
                      </c:pt>
                      <c:pt idx="79">
                        <c:v>3723</c:v>
                      </c:pt>
                      <c:pt idx="80">
                        <c:v>3723</c:v>
                      </c:pt>
                      <c:pt idx="81">
                        <c:v>3724</c:v>
                      </c:pt>
                      <c:pt idx="82">
                        <c:v>3724</c:v>
                      </c:pt>
                      <c:pt idx="83">
                        <c:v>3725</c:v>
                      </c:pt>
                      <c:pt idx="84">
                        <c:v>3725</c:v>
                      </c:pt>
                      <c:pt idx="85">
                        <c:v>3726</c:v>
                      </c:pt>
                      <c:pt idx="86">
                        <c:v>3727</c:v>
                      </c:pt>
                      <c:pt idx="87">
                        <c:v>3931</c:v>
                      </c:pt>
                      <c:pt idx="88">
                        <c:v>3932</c:v>
                      </c:pt>
                      <c:pt idx="89">
                        <c:v>3933</c:v>
                      </c:pt>
                      <c:pt idx="90">
                        <c:v>3933</c:v>
                      </c:pt>
                      <c:pt idx="91">
                        <c:v>3934</c:v>
                      </c:pt>
                      <c:pt idx="92">
                        <c:v>3934</c:v>
                      </c:pt>
                      <c:pt idx="93">
                        <c:v>3935</c:v>
                      </c:pt>
                      <c:pt idx="94">
                        <c:v>3935</c:v>
                      </c:pt>
                      <c:pt idx="95">
                        <c:v>4146</c:v>
                      </c:pt>
                      <c:pt idx="96">
                        <c:v>4146</c:v>
                      </c:pt>
                      <c:pt idx="97">
                        <c:v>4147</c:v>
                      </c:pt>
                      <c:pt idx="98">
                        <c:v>4147</c:v>
                      </c:pt>
                      <c:pt idx="99">
                        <c:v>4148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3EB-4F2F-9CD4-F403992F3986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Sheet1!$AG$1:$AG$2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Sheet1!$AG$3:$AG$102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16278</c:v>
                      </c:pt>
                      <c:pt idx="1">
                        <c:v>16278</c:v>
                      </c:pt>
                      <c:pt idx="2">
                        <c:v>16863</c:v>
                      </c:pt>
                      <c:pt idx="3">
                        <c:v>16863</c:v>
                      </c:pt>
                      <c:pt idx="4">
                        <c:v>16864</c:v>
                      </c:pt>
                      <c:pt idx="5">
                        <c:v>16864</c:v>
                      </c:pt>
                      <c:pt idx="6">
                        <c:v>17459</c:v>
                      </c:pt>
                      <c:pt idx="7">
                        <c:v>17460</c:v>
                      </c:pt>
                      <c:pt idx="8">
                        <c:v>17460</c:v>
                      </c:pt>
                      <c:pt idx="9">
                        <c:v>17461</c:v>
                      </c:pt>
                      <c:pt idx="10">
                        <c:v>18066</c:v>
                      </c:pt>
                      <c:pt idx="11">
                        <c:v>18067</c:v>
                      </c:pt>
                      <c:pt idx="12">
                        <c:v>18067</c:v>
                      </c:pt>
                      <c:pt idx="13">
                        <c:v>18068</c:v>
                      </c:pt>
                      <c:pt idx="14">
                        <c:v>18683</c:v>
                      </c:pt>
                      <c:pt idx="15">
                        <c:v>18684</c:v>
                      </c:pt>
                      <c:pt idx="16">
                        <c:v>18685</c:v>
                      </c:pt>
                      <c:pt idx="17">
                        <c:v>18685</c:v>
                      </c:pt>
                      <c:pt idx="18">
                        <c:v>19311</c:v>
                      </c:pt>
                      <c:pt idx="19">
                        <c:v>19311</c:v>
                      </c:pt>
                      <c:pt idx="20">
                        <c:v>19312</c:v>
                      </c:pt>
                      <c:pt idx="21">
                        <c:v>19313</c:v>
                      </c:pt>
                      <c:pt idx="22">
                        <c:v>19948</c:v>
                      </c:pt>
                      <c:pt idx="23">
                        <c:v>19949</c:v>
                      </c:pt>
                      <c:pt idx="24">
                        <c:v>19949</c:v>
                      </c:pt>
                      <c:pt idx="25">
                        <c:v>19950</c:v>
                      </c:pt>
                      <c:pt idx="26">
                        <c:v>19951</c:v>
                      </c:pt>
                      <c:pt idx="27">
                        <c:v>20597</c:v>
                      </c:pt>
                      <c:pt idx="28">
                        <c:v>20597</c:v>
                      </c:pt>
                      <c:pt idx="29">
                        <c:v>20598</c:v>
                      </c:pt>
                      <c:pt idx="30">
                        <c:v>20599</c:v>
                      </c:pt>
                      <c:pt idx="31">
                        <c:v>21255</c:v>
                      </c:pt>
                      <c:pt idx="32">
                        <c:v>21256</c:v>
                      </c:pt>
                      <c:pt idx="33">
                        <c:v>21256</c:v>
                      </c:pt>
                      <c:pt idx="34">
                        <c:v>21257</c:v>
                      </c:pt>
                      <c:pt idx="35">
                        <c:v>21924</c:v>
                      </c:pt>
                      <c:pt idx="36">
                        <c:v>21925</c:v>
                      </c:pt>
                      <c:pt idx="37">
                        <c:v>21925</c:v>
                      </c:pt>
                      <c:pt idx="38">
                        <c:v>21926</c:v>
                      </c:pt>
                      <c:pt idx="39">
                        <c:v>22603</c:v>
                      </c:pt>
                      <c:pt idx="40">
                        <c:v>22604</c:v>
                      </c:pt>
                      <c:pt idx="41">
                        <c:v>22604</c:v>
                      </c:pt>
                      <c:pt idx="42">
                        <c:v>22605</c:v>
                      </c:pt>
                      <c:pt idx="43">
                        <c:v>23292</c:v>
                      </c:pt>
                      <c:pt idx="44">
                        <c:v>23292</c:v>
                      </c:pt>
                      <c:pt idx="45">
                        <c:v>23293</c:v>
                      </c:pt>
                      <c:pt idx="46">
                        <c:v>23294</c:v>
                      </c:pt>
                      <c:pt idx="47">
                        <c:v>23992</c:v>
                      </c:pt>
                      <c:pt idx="48">
                        <c:v>23992</c:v>
                      </c:pt>
                      <c:pt idx="49">
                        <c:v>23993</c:v>
                      </c:pt>
                      <c:pt idx="50">
                        <c:v>23993</c:v>
                      </c:pt>
                      <c:pt idx="51">
                        <c:v>23994</c:v>
                      </c:pt>
                      <c:pt idx="52">
                        <c:v>24702</c:v>
                      </c:pt>
                      <c:pt idx="53">
                        <c:v>24702</c:v>
                      </c:pt>
                      <c:pt idx="54">
                        <c:v>24703</c:v>
                      </c:pt>
                      <c:pt idx="55">
                        <c:v>24704</c:v>
                      </c:pt>
                      <c:pt idx="56">
                        <c:v>25422</c:v>
                      </c:pt>
                      <c:pt idx="57">
                        <c:v>25423</c:v>
                      </c:pt>
                      <c:pt idx="58">
                        <c:v>25423</c:v>
                      </c:pt>
                      <c:pt idx="59">
                        <c:v>25424</c:v>
                      </c:pt>
                      <c:pt idx="60">
                        <c:v>26153</c:v>
                      </c:pt>
                      <c:pt idx="61">
                        <c:v>26153</c:v>
                      </c:pt>
                      <c:pt idx="62">
                        <c:v>26154</c:v>
                      </c:pt>
                      <c:pt idx="63">
                        <c:v>26154</c:v>
                      </c:pt>
                      <c:pt idx="64">
                        <c:v>26893</c:v>
                      </c:pt>
                      <c:pt idx="65">
                        <c:v>26894</c:v>
                      </c:pt>
                      <c:pt idx="66">
                        <c:v>26894</c:v>
                      </c:pt>
                      <c:pt idx="67">
                        <c:v>26895</c:v>
                      </c:pt>
                      <c:pt idx="68">
                        <c:v>27644</c:v>
                      </c:pt>
                      <c:pt idx="69">
                        <c:v>27645</c:v>
                      </c:pt>
                      <c:pt idx="70">
                        <c:v>27645</c:v>
                      </c:pt>
                      <c:pt idx="71">
                        <c:v>27646</c:v>
                      </c:pt>
                      <c:pt idx="72">
                        <c:v>28406</c:v>
                      </c:pt>
                      <c:pt idx="73">
                        <c:v>28406</c:v>
                      </c:pt>
                      <c:pt idx="74">
                        <c:v>28407</c:v>
                      </c:pt>
                      <c:pt idx="75">
                        <c:v>28407</c:v>
                      </c:pt>
                      <c:pt idx="76">
                        <c:v>28408</c:v>
                      </c:pt>
                      <c:pt idx="77">
                        <c:v>29178</c:v>
                      </c:pt>
                      <c:pt idx="78">
                        <c:v>29178</c:v>
                      </c:pt>
                      <c:pt idx="79">
                        <c:v>29179</c:v>
                      </c:pt>
                      <c:pt idx="80">
                        <c:v>29180</c:v>
                      </c:pt>
                      <c:pt idx="81">
                        <c:v>29960</c:v>
                      </c:pt>
                      <c:pt idx="82">
                        <c:v>29960</c:v>
                      </c:pt>
                      <c:pt idx="83">
                        <c:v>29961</c:v>
                      </c:pt>
                      <c:pt idx="84">
                        <c:v>29961</c:v>
                      </c:pt>
                      <c:pt idx="85">
                        <c:v>30752</c:v>
                      </c:pt>
                      <c:pt idx="86">
                        <c:v>30752</c:v>
                      </c:pt>
                      <c:pt idx="87">
                        <c:v>30753</c:v>
                      </c:pt>
                      <c:pt idx="88">
                        <c:v>30754</c:v>
                      </c:pt>
                      <c:pt idx="89">
                        <c:v>31554</c:v>
                      </c:pt>
                      <c:pt idx="90">
                        <c:v>31555</c:v>
                      </c:pt>
                      <c:pt idx="91">
                        <c:v>31555</c:v>
                      </c:pt>
                      <c:pt idx="92">
                        <c:v>31556</c:v>
                      </c:pt>
                      <c:pt idx="93">
                        <c:v>32367</c:v>
                      </c:pt>
                      <c:pt idx="94">
                        <c:v>32368</c:v>
                      </c:pt>
                      <c:pt idx="95">
                        <c:v>32368</c:v>
                      </c:pt>
                      <c:pt idx="96">
                        <c:v>32369</c:v>
                      </c:pt>
                      <c:pt idx="97">
                        <c:v>33191</c:v>
                      </c:pt>
                      <c:pt idx="98">
                        <c:v>33191</c:v>
                      </c:pt>
                      <c:pt idx="99">
                        <c:v>33192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3EB-4F2F-9CD4-F403992F3986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Sheet1!$AH$1:$AH$2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Sheet1!$AH$3:$AH$102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27802</c:v>
                      </c:pt>
                      <c:pt idx="1">
                        <c:v>28381</c:v>
                      </c:pt>
                      <c:pt idx="2">
                        <c:v>28960</c:v>
                      </c:pt>
                      <c:pt idx="3">
                        <c:v>30118</c:v>
                      </c:pt>
                      <c:pt idx="4">
                        <c:v>30697</c:v>
                      </c:pt>
                      <c:pt idx="5">
                        <c:v>31276</c:v>
                      </c:pt>
                      <c:pt idx="6">
                        <c:v>31855</c:v>
                      </c:pt>
                      <c:pt idx="7">
                        <c:v>32434</c:v>
                      </c:pt>
                      <c:pt idx="8">
                        <c:v>33013</c:v>
                      </c:pt>
                      <c:pt idx="9">
                        <c:v>33592</c:v>
                      </c:pt>
                      <c:pt idx="10">
                        <c:v>34171</c:v>
                      </c:pt>
                      <c:pt idx="11">
                        <c:v>35329</c:v>
                      </c:pt>
                      <c:pt idx="12">
                        <c:v>35908</c:v>
                      </c:pt>
                      <c:pt idx="13">
                        <c:v>36487</c:v>
                      </c:pt>
                      <c:pt idx="14">
                        <c:v>37066</c:v>
                      </c:pt>
                      <c:pt idx="15">
                        <c:v>37645</c:v>
                      </c:pt>
                      <c:pt idx="16">
                        <c:v>38224</c:v>
                      </c:pt>
                      <c:pt idx="17">
                        <c:v>38803</c:v>
                      </c:pt>
                      <c:pt idx="18">
                        <c:v>39382</c:v>
                      </c:pt>
                      <c:pt idx="19">
                        <c:v>40540</c:v>
                      </c:pt>
                      <c:pt idx="20">
                        <c:v>41119</c:v>
                      </c:pt>
                      <c:pt idx="21">
                        <c:v>41698</c:v>
                      </c:pt>
                      <c:pt idx="22">
                        <c:v>42277</c:v>
                      </c:pt>
                      <c:pt idx="23">
                        <c:v>42856</c:v>
                      </c:pt>
                      <c:pt idx="24">
                        <c:v>43435</c:v>
                      </c:pt>
                      <c:pt idx="25">
                        <c:v>44014</c:v>
                      </c:pt>
                      <c:pt idx="26">
                        <c:v>45172</c:v>
                      </c:pt>
                      <c:pt idx="27">
                        <c:v>45751</c:v>
                      </c:pt>
                      <c:pt idx="28">
                        <c:v>46330</c:v>
                      </c:pt>
                      <c:pt idx="29">
                        <c:v>46909</c:v>
                      </c:pt>
                      <c:pt idx="30">
                        <c:v>47488</c:v>
                      </c:pt>
                      <c:pt idx="31">
                        <c:v>48068</c:v>
                      </c:pt>
                      <c:pt idx="32">
                        <c:v>48647</c:v>
                      </c:pt>
                      <c:pt idx="33">
                        <c:v>49226</c:v>
                      </c:pt>
                      <c:pt idx="34">
                        <c:v>50385</c:v>
                      </c:pt>
                      <c:pt idx="35">
                        <c:v>50964</c:v>
                      </c:pt>
                      <c:pt idx="36">
                        <c:v>51543</c:v>
                      </c:pt>
                      <c:pt idx="37">
                        <c:v>52122</c:v>
                      </c:pt>
                      <c:pt idx="38">
                        <c:v>52701</c:v>
                      </c:pt>
                      <c:pt idx="39">
                        <c:v>53280</c:v>
                      </c:pt>
                      <c:pt idx="40">
                        <c:v>53859</c:v>
                      </c:pt>
                      <c:pt idx="41">
                        <c:v>54438</c:v>
                      </c:pt>
                      <c:pt idx="42">
                        <c:v>55596</c:v>
                      </c:pt>
                      <c:pt idx="43">
                        <c:v>56175</c:v>
                      </c:pt>
                      <c:pt idx="44">
                        <c:v>56754</c:v>
                      </c:pt>
                      <c:pt idx="45">
                        <c:v>57333</c:v>
                      </c:pt>
                      <c:pt idx="46">
                        <c:v>57912</c:v>
                      </c:pt>
                      <c:pt idx="47">
                        <c:v>58491</c:v>
                      </c:pt>
                      <c:pt idx="48">
                        <c:v>59070</c:v>
                      </c:pt>
                      <c:pt idx="49">
                        <c:v>60228</c:v>
                      </c:pt>
                      <c:pt idx="50">
                        <c:v>60807</c:v>
                      </c:pt>
                      <c:pt idx="51">
                        <c:v>61386</c:v>
                      </c:pt>
                      <c:pt idx="52">
                        <c:v>61965</c:v>
                      </c:pt>
                      <c:pt idx="53">
                        <c:v>62544</c:v>
                      </c:pt>
                      <c:pt idx="54">
                        <c:v>63123</c:v>
                      </c:pt>
                      <c:pt idx="55">
                        <c:v>63702</c:v>
                      </c:pt>
                      <c:pt idx="56">
                        <c:v>64281</c:v>
                      </c:pt>
                      <c:pt idx="57">
                        <c:v>65439</c:v>
                      </c:pt>
                      <c:pt idx="58">
                        <c:v>66018</c:v>
                      </c:pt>
                      <c:pt idx="59">
                        <c:v>66597</c:v>
                      </c:pt>
                      <c:pt idx="60">
                        <c:v>67176</c:v>
                      </c:pt>
                      <c:pt idx="61">
                        <c:v>67755</c:v>
                      </c:pt>
                      <c:pt idx="62">
                        <c:v>68334</c:v>
                      </c:pt>
                      <c:pt idx="63">
                        <c:v>68913</c:v>
                      </c:pt>
                      <c:pt idx="64">
                        <c:v>69492</c:v>
                      </c:pt>
                      <c:pt idx="65">
                        <c:v>70650</c:v>
                      </c:pt>
                      <c:pt idx="66">
                        <c:v>71229</c:v>
                      </c:pt>
                      <c:pt idx="67">
                        <c:v>71808</c:v>
                      </c:pt>
                      <c:pt idx="68">
                        <c:v>72388</c:v>
                      </c:pt>
                      <c:pt idx="69">
                        <c:v>72967</c:v>
                      </c:pt>
                      <c:pt idx="70">
                        <c:v>73546</c:v>
                      </c:pt>
                      <c:pt idx="71">
                        <c:v>74125</c:v>
                      </c:pt>
                      <c:pt idx="72">
                        <c:v>74704</c:v>
                      </c:pt>
                      <c:pt idx="73">
                        <c:v>75862</c:v>
                      </c:pt>
                      <c:pt idx="74">
                        <c:v>76441</c:v>
                      </c:pt>
                      <c:pt idx="75">
                        <c:v>77020</c:v>
                      </c:pt>
                      <c:pt idx="76">
                        <c:v>77599</c:v>
                      </c:pt>
                      <c:pt idx="77">
                        <c:v>78178</c:v>
                      </c:pt>
                      <c:pt idx="78">
                        <c:v>78757</c:v>
                      </c:pt>
                      <c:pt idx="79">
                        <c:v>79336</c:v>
                      </c:pt>
                      <c:pt idx="80">
                        <c:v>80494</c:v>
                      </c:pt>
                      <c:pt idx="81">
                        <c:v>81073</c:v>
                      </c:pt>
                      <c:pt idx="82">
                        <c:v>81652</c:v>
                      </c:pt>
                      <c:pt idx="83">
                        <c:v>82231</c:v>
                      </c:pt>
                      <c:pt idx="84">
                        <c:v>82810</c:v>
                      </c:pt>
                      <c:pt idx="85">
                        <c:v>83389</c:v>
                      </c:pt>
                      <c:pt idx="86">
                        <c:v>83969</c:v>
                      </c:pt>
                      <c:pt idx="87">
                        <c:v>84548</c:v>
                      </c:pt>
                      <c:pt idx="88">
                        <c:v>85706</c:v>
                      </c:pt>
                      <c:pt idx="89">
                        <c:v>86285</c:v>
                      </c:pt>
                      <c:pt idx="90">
                        <c:v>86864</c:v>
                      </c:pt>
                      <c:pt idx="91">
                        <c:v>87443</c:v>
                      </c:pt>
                      <c:pt idx="92">
                        <c:v>88022</c:v>
                      </c:pt>
                      <c:pt idx="93">
                        <c:v>88601</c:v>
                      </c:pt>
                      <c:pt idx="94">
                        <c:v>89180</c:v>
                      </c:pt>
                      <c:pt idx="95">
                        <c:v>89759</c:v>
                      </c:pt>
                      <c:pt idx="96">
                        <c:v>90917</c:v>
                      </c:pt>
                      <c:pt idx="97">
                        <c:v>91496</c:v>
                      </c:pt>
                      <c:pt idx="98">
                        <c:v>92075</c:v>
                      </c:pt>
                      <c:pt idx="99">
                        <c:v>92654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3EB-4F2F-9CD4-F403992F3986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Sheet1!$AI$1:$AI$2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Sheet1!$AI$3:$AI$102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20912</c:v>
                      </c:pt>
                      <c:pt idx="1">
                        <c:v>21346</c:v>
                      </c:pt>
                      <c:pt idx="2">
                        <c:v>21782</c:v>
                      </c:pt>
                      <c:pt idx="3">
                        <c:v>22651</c:v>
                      </c:pt>
                      <c:pt idx="4">
                        <c:v>23085</c:v>
                      </c:pt>
                      <c:pt idx="5">
                        <c:v>23520</c:v>
                      </c:pt>
                      <c:pt idx="6">
                        <c:v>23955</c:v>
                      </c:pt>
                      <c:pt idx="7">
                        <c:v>24390</c:v>
                      </c:pt>
                      <c:pt idx="8">
                        <c:v>24824</c:v>
                      </c:pt>
                      <c:pt idx="9">
                        <c:v>25259</c:v>
                      </c:pt>
                      <c:pt idx="10">
                        <c:v>25694</c:v>
                      </c:pt>
                      <c:pt idx="11">
                        <c:v>26563</c:v>
                      </c:pt>
                      <c:pt idx="12">
                        <c:v>26998</c:v>
                      </c:pt>
                      <c:pt idx="13">
                        <c:v>27432</c:v>
                      </c:pt>
                      <c:pt idx="14">
                        <c:v>27868</c:v>
                      </c:pt>
                      <c:pt idx="15">
                        <c:v>28302</c:v>
                      </c:pt>
                      <c:pt idx="16">
                        <c:v>28737</c:v>
                      </c:pt>
                      <c:pt idx="17">
                        <c:v>29171</c:v>
                      </c:pt>
                      <c:pt idx="18">
                        <c:v>29607</c:v>
                      </c:pt>
                      <c:pt idx="19">
                        <c:v>30476</c:v>
                      </c:pt>
                      <c:pt idx="20">
                        <c:v>30910</c:v>
                      </c:pt>
                      <c:pt idx="21">
                        <c:v>31345</c:v>
                      </c:pt>
                      <c:pt idx="22">
                        <c:v>31780</c:v>
                      </c:pt>
                      <c:pt idx="23">
                        <c:v>32215</c:v>
                      </c:pt>
                      <c:pt idx="24">
                        <c:v>32649</c:v>
                      </c:pt>
                      <c:pt idx="25">
                        <c:v>33084</c:v>
                      </c:pt>
                      <c:pt idx="26">
                        <c:v>33953</c:v>
                      </c:pt>
                      <c:pt idx="27">
                        <c:v>34388</c:v>
                      </c:pt>
                      <c:pt idx="28">
                        <c:v>34823</c:v>
                      </c:pt>
                      <c:pt idx="29">
                        <c:v>35257</c:v>
                      </c:pt>
                      <c:pt idx="30">
                        <c:v>35692</c:v>
                      </c:pt>
                      <c:pt idx="31">
                        <c:v>36127</c:v>
                      </c:pt>
                      <c:pt idx="32">
                        <c:v>36562</c:v>
                      </c:pt>
                      <c:pt idx="33">
                        <c:v>36996</c:v>
                      </c:pt>
                      <c:pt idx="34">
                        <c:v>37865</c:v>
                      </c:pt>
                      <c:pt idx="35">
                        <c:v>38301</c:v>
                      </c:pt>
                      <c:pt idx="36">
                        <c:v>38735</c:v>
                      </c:pt>
                      <c:pt idx="37">
                        <c:v>39170</c:v>
                      </c:pt>
                      <c:pt idx="38">
                        <c:v>39604</c:v>
                      </c:pt>
                      <c:pt idx="39">
                        <c:v>40040</c:v>
                      </c:pt>
                      <c:pt idx="40">
                        <c:v>40474</c:v>
                      </c:pt>
                      <c:pt idx="41">
                        <c:v>40909</c:v>
                      </c:pt>
                      <c:pt idx="42">
                        <c:v>41778</c:v>
                      </c:pt>
                      <c:pt idx="43">
                        <c:v>42213</c:v>
                      </c:pt>
                      <c:pt idx="44">
                        <c:v>42648</c:v>
                      </c:pt>
                      <c:pt idx="45">
                        <c:v>43082</c:v>
                      </c:pt>
                      <c:pt idx="46">
                        <c:v>43517</c:v>
                      </c:pt>
                      <c:pt idx="47">
                        <c:v>43952</c:v>
                      </c:pt>
                      <c:pt idx="48">
                        <c:v>44387</c:v>
                      </c:pt>
                      <c:pt idx="49">
                        <c:v>45256</c:v>
                      </c:pt>
                      <c:pt idx="50">
                        <c:v>45690</c:v>
                      </c:pt>
                      <c:pt idx="51">
                        <c:v>46125</c:v>
                      </c:pt>
                      <c:pt idx="52">
                        <c:v>46560</c:v>
                      </c:pt>
                      <c:pt idx="53">
                        <c:v>46995</c:v>
                      </c:pt>
                      <c:pt idx="54">
                        <c:v>47429</c:v>
                      </c:pt>
                      <c:pt idx="55">
                        <c:v>47864</c:v>
                      </c:pt>
                      <c:pt idx="56">
                        <c:v>48299</c:v>
                      </c:pt>
                      <c:pt idx="57">
                        <c:v>49168</c:v>
                      </c:pt>
                      <c:pt idx="58">
                        <c:v>49603</c:v>
                      </c:pt>
                      <c:pt idx="59">
                        <c:v>50037</c:v>
                      </c:pt>
                      <c:pt idx="60">
                        <c:v>50473</c:v>
                      </c:pt>
                      <c:pt idx="61">
                        <c:v>50907</c:v>
                      </c:pt>
                      <c:pt idx="62">
                        <c:v>51342</c:v>
                      </c:pt>
                      <c:pt idx="63">
                        <c:v>51776</c:v>
                      </c:pt>
                      <c:pt idx="64">
                        <c:v>52212</c:v>
                      </c:pt>
                      <c:pt idx="65">
                        <c:v>53081</c:v>
                      </c:pt>
                      <c:pt idx="66">
                        <c:v>53515</c:v>
                      </c:pt>
                      <c:pt idx="67">
                        <c:v>53950</c:v>
                      </c:pt>
                      <c:pt idx="68">
                        <c:v>54385</c:v>
                      </c:pt>
                      <c:pt idx="69">
                        <c:v>54820</c:v>
                      </c:pt>
                      <c:pt idx="70">
                        <c:v>55254</c:v>
                      </c:pt>
                      <c:pt idx="71">
                        <c:v>55689</c:v>
                      </c:pt>
                      <c:pt idx="72">
                        <c:v>56124</c:v>
                      </c:pt>
                      <c:pt idx="73">
                        <c:v>56993</c:v>
                      </c:pt>
                      <c:pt idx="74">
                        <c:v>57428</c:v>
                      </c:pt>
                      <c:pt idx="75">
                        <c:v>57862</c:v>
                      </c:pt>
                      <c:pt idx="76">
                        <c:v>58297</c:v>
                      </c:pt>
                      <c:pt idx="77">
                        <c:v>58732</c:v>
                      </c:pt>
                      <c:pt idx="78">
                        <c:v>59167</c:v>
                      </c:pt>
                      <c:pt idx="79">
                        <c:v>59601</c:v>
                      </c:pt>
                      <c:pt idx="80">
                        <c:v>60470</c:v>
                      </c:pt>
                      <c:pt idx="81">
                        <c:v>60906</c:v>
                      </c:pt>
                      <c:pt idx="82">
                        <c:v>61340</c:v>
                      </c:pt>
                      <c:pt idx="83">
                        <c:v>61775</c:v>
                      </c:pt>
                      <c:pt idx="84">
                        <c:v>62209</c:v>
                      </c:pt>
                      <c:pt idx="85">
                        <c:v>62645</c:v>
                      </c:pt>
                      <c:pt idx="86">
                        <c:v>63079</c:v>
                      </c:pt>
                      <c:pt idx="87">
                        <c:v>63514</c:v>
                      </c:pt>
                      <c:pt idx="88">
                        <c:v>64383</c:v>
                      </c:pt>
                      <c:pt idx="89">
                        <c:v>64818</c:v>
                      </c:pt>
                      <c:pt idx="90">
                        <c:v>65253</c:v>
                      </c:pt>
                      <c:pt idx="91">
                        <c:v>65687</c:v>
                      </c:pt>
                      <c:pt idx="92">
                        <c:v>66122</c:v>
                      </c:pt>
                      <c:pt idx="93">
                        <c:v>66557</c:v>
                      </c:pt>
                      <c:pt idx="94">
                        <c:v>66992</c:v>
                      </c:pt>
                      <c:pt idx="95">
                        <c:v>67426</c:v>
                      </c:pt>
                      <c:pt idx="96">
                        <c:v>68295</c:v>
                      </c:pt>
                      <c:pt idx="97">
                        <c:v>68731</c:v>
                      </c:pt>
                      <c:pt idx="98">
                        <c:v>69165</c:v>
                      </c:pt>
                      <c:pt idx="99">
                        <c:v>69600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3EB-4F2F-9CD4-F403992F3986}"/>
                  </c:ext>
                </c:extLst>
              </c15:ser>
            </c15:filteredLineSeries>
          </c:ext>
        </c:extLst>
      </c:lineChart>
      <c:catAx>
        <c:axId val="63087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968"/>
        <c:crosses val="autoZero"/>
        <c:auto val="1"/>
        <c:lblAlgn val="ctr"/>
        <c:lblOffset val="100"/>
        <c:noMultiLvlLbl val="0"/>
      </c:catAx>
      <c:valAx>
        <c:axId val="63087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640"/>
        <c:crosses val="autoZero"/>
        <c:crossBetween val="between"/>
        <c:majorUnit val="3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909705037465584E-2"/>
          <c:y val="0.14382631215602293"/>
          <c:w val="0.86596025522002662"/>
          <c:h val="0.70628531028220043"/>
        </c:manualLayout>
      </c:layout>
      <c:lineChart>
        <c:grouping val="standard"/>
        <c:varyColors val="0"/>
        <c:ser>
          <c:idx val="3"/>
          <c:order val="3"/>
          <c:tx>
            <c:strRef>
              <c:f>Sheet1!$D$1:$D$2</c:f>
              <c:strCache>
                <c:ptCount val="2"/>
                <c:pt idx="0">
                  <c:v>1</c:v>
                </c:pt>
                <c:pt idx="1">
                  <c:v>원물공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Sheet1!$D$3:$D$102</c:f>
              <c:numCache>
                <c:formatCode>General</c:formatCode>
                <c:ptCount val="100"/>
                <c:pt idx="0">
                  <c:v>336</c:v>
                </c:pt>
                <c:pt idx="1">
                  <c:v>337</c:v>
                </c:pt>
                <c:pt idx="2">
                  <c:v>337</c:v>
                </c:pt>
                <c:pt idx="3">
                  <c:v>338</c:v>
                </c:pt>
                <c:pt idx="4">
                  <c:v>376</c:v>
                </c:pt>
                <c:pt idx="5">
                  <c:v>376</c:v>
                </c:pt>
                <c:pt idx="6">
                  <c:v>377</c:v>
                </c:pt>
                <c:pt idx="7">
                  <c:v>378</c:v>
                </c:pt>
                <c:pt idx="8">
                  <c:v>378</c:v>
                </c:pt>
                <c:pt idx="9">
                  <c:v>379</c:v>
                </c:pt>
                <c:pt idx="10">
                  <c:v>379</c:v>
                </c:pt>
                <c:pt idx="11">
                  <c:v>380</c:v>
                </c:pt>
                <c:pt idx="12">
                  <c:v>420</c:v>
                </c:pt>
                <c:pt idx="13">
                  <c:v>420</c:v>
                </c:pt>
                <c:pt idx="14">
                  <c:v>421</c:v>
                </c:pt>
                <c:pt idx="15">
                  <c:v>421</c:v>
                </c:pt>
                <c:pt idx="16">
                  <c:v>422</c:v>
                </c:pt>
                <c:pt idx="17">
                  <c:v>423</c:v>
                </c:pt>
                <c:pt idx="18">
                  <c:v>423</c:v>
                </c:pt>
                <c:pt idx="19">
                  <c:v>424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3EB-4F2F-9CD4-F403992F3986}"/>
            </c:ext>
          </c:extLst>
        </c:ser>
        <c:ser>
          <c:idx val="10"/>
          <c:order val="10"/>
          <c:tx>
            <c:strRef>
              <c:f>Sheet1!$K$1:$K$2</c:f>
              <c:strCache>
                <c:ptCount val="2"/>
                <c:pt idx="0">
                  <c:v>2</c:v>
                </c:pt>
                <c:pt idx="1">
                  <c:v>원물공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Sheet1!$K$3:$K$102</c:f>
              <c:numCache>
                <c:formatCode>General</c:formatCode>
                <c:ptCount val="100"/>
                <c:pt idx="0">
                  <c:v>504</c:v>
                </c:pt>
                <c:pt idx="1">
                  <c:v>505</c:v>
                </c:pt>
                <c:pt idx="2">
                  <c:v>506</c:v>
                </c:pt>
                <c:pt idx="3">
                  <c:v>506</c:v>
                </c:pt>
                <c:pt idx="4">
                  <c:v>558</c:v>
                </c:pt>
                <c:pt idx="5">
                  <c:v>558</c:v>
                </c:pt>
                <c:pt idx="6">
                  <c:v>559</c:v>
                </c:pt>
                <c:pt idx="7">
                  <c:v>560</c:v>
                </c:pt>
                <c:pt idx="8">
                  <c:v>560</c:v>
                </c:pt>
                <c:pt idx="9">
                  <c:v>561</c:v>
                </c:pt>
                <c:pt idx="10">
                  <c:v>561</c:v>
                </c:pt>
                <c:pt idx="11">
                  <c:v>562</c:v>
                </c:pt>
                <c:pt idx="12">
                  <c:v>616</c:v>
                </c:pt>
                <c:pt idx="13">
                  <c:v>617</c:v>
                </c:pt>
                <c:pt idx="14">
                  <c:v>617</c:v>
                </c:pt>
                <c:pt idx="15">
                  <c:v>618</c:v>
                </c:pt>
                <c:pt idx="16">
                  <c:v>618</c:v>
                </c:pt>
                <c:pt idx="17">
                  <c:v>619</c:v>
                </c:pt>
                <c:pt idx="18">
                  <c:v>619</c:v>
                </c:pt>
                <c:pt idx="19">
                  <c:v>620</c:v>
                </c:pt>
                <c:pt idx="20">
                  <c:v>677</c:v>
                </c:pt>
                <c:pt idx="21">
                  <c:v>677</c:v>
                </c:pt>
                <c:pt idx="22">
                  <c:v>678</c:v>
                </c:pt>
                <c:pt idx="23">
                  <c:v>679</c:v>
                </c:pt>
                <c:pt idx="24">
                  <c:v>679</c:v>
                </c:pt>
                <c:pt idx="25">
                  <c:v>680</c:v>
                </c:pt>
                <c:pt idx="26">
                  <c:v>680</c:v>
                </c:pt>
                <c:pt idx="27">
                  <c:v>681</c:v>
                </c:pt>
                <c:pt idx="28">
                  <c:v>681</c:v>
                </c:pt>
                <c:pt idx="29">
                  <c:v>740</c:v>
                </c:pt>
                <c:pt idx="30">
                  <c:v>741</c:v>
                </c:pt>
                <c:pt idx="31">
                  <c:v>742</c:v>
                </c:pt>
                <c:pt idx="32">
                  <c:v>742</c:v>
                </c:pt>
                <c:pt idx="33">
                  <c:v>743</c:v>
                </c:pt>
                <c:pt idx="34">
                  <c:v>743</c:v>
                </c:pt>
                <c:pt idx="35">
                  <c:v>744</c:v>
                </c:pt>
                <c:pt idx="36">
                  <c:v>745</c:v>
                </c:pt>
                <c:pt idx="37">
                  <c:v>806</c:v>
                </c:pt>
                <c:pt idx="38">
                  <c:v>807</c:v>
                </c:pt>
                <c:pt idx="39">
                  <c:v>807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3EB-4F2F-9CD4-F403992F3986}"/>
            </c:ext>
          </c:extLst>
        </c:ser>
        <c:ser>
          <c:idx val="17"/>
          <c:order val="17"/>
          <c:tx>
            <c:strRef>
              <c:f>Sheet1!$R$1:$R$2</c:f>
              <c:strCache>
                <c:ptCount val="2"/>
                <c:pt idx="0">
                  <c:v>3</c:v>
                </c:pt>
                <c:pt idx="1">
                  <c:v>원물공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Sheet1!$R$3:$R$102</c:f>
              <c:numCache>
                <c:formatCode>General</c:formatCode>
                <c:ptCount val="100"/>
                <c:pt idx="0">
                  <c:v>791</c:v>
                </c:pt>
                <c:pt idx="1">
                  <c:v>792</c:v>
                </c:pt>
                <c:pt idx="2">
                  <c:v>792</c:v>
                </c:pt>
                <c:pt idx="3">
                  <c:v>793</c:v>
                </c:pt>
                <c:pt idx="4">
                  <c:v>867</c:v>
                </c:pt>
                <c:pt idx="5">
                  <c:v>868</c:v>
                </c:pt>
                <c:pt idx="6">
                  <c:v>868</c:v>
                </c:pt>
                <c:pt idx="7">
                  <c:v>869</c:v>
                </c:pt>
                <c:pt idx="8">
                  <c:v>870</c:v>
                </c:pt>
                <c:pt idx="9">
                  <c:v>870</c:v>
                </c:pt>
                <c:pt idx="10">
                  <c:v>871</c:v>
                </c:pt>
                <c:pt idx="11">
                  <c:v>871</c:v>
                </c:pt>
                <c:pt idx="12">
                  <c:v>949</c:v>
                </c:pt>
                <c:pt idx="13">
                  <c:v>950</c:v>
                </c:pt>
                <c:pt idx="14">
                  <c:v>950</c:v>
                </c:pt>
                <c:pt idx="15">
                  <c:v>951</c:v>
                </c:pt>
                <c:pt idx="16">
                  <c:v>951</c:v>
                </c:pt>
                <c:pt idx="17">
                  <c:v>952</c:v>
                </c:pt>
                <c:pt idx="18">
                  <c:v>952</c:v>
                </c:pt>
                <c:pt idx="19">
                  <c:v>953</c:v>
                </c:pt>
                <c:pt idx="20">
                  <c:v>1034</c:v>
                </c:pt>
                <c:pt idx="21">
                  <c:v>1035</c:v>
                </c:pt>
                <c:pt idx="22">
                  <c:v>1035</c:v>
                </c:pt>
                <c:pt idx="23">
                  <c:v>1036</c:v>
                </c:pt>
                <c:pt idx="24">
                  <c:v>1036</c:v>
                </c:pt>
                <c:pt idx="25">
                  <c:v>1037</c:v>
                </c:pt>
                <c:pt idx="26">
                  <c:v>1038</c:v>
                </c:pt>
                <c:pt idx="27">
                  <c:v>1038</c:v>
                </c:pt>
                <c:pt idx="28">
                  <c:v>1039</c:v>
                </c:pt>
                <c:pt idx="29">
                  <c:v>1123</c:v>
                </c:pt>
                <c:pt idx="30">
                  <c:v>1124</c:v>
                </c:pt>
                <c:pt idx="31">
                  <c:v>1124</c:v>
                </c:pt>
                <c:pt idx="32">
                  <c:v>1125</c:v>
                </c:pt>
                <c:pt idx="33">
                  <c:v>1125</c:v>
                </c:pt>
                <c:pt idx="34">
                  <c:v>1126</c:v>
                </c:pt>
                <c:pt idx="35">
                  <c:v>1127</c:v>
                </c:pt>
                <c:pt idx="36">
                  <c:v>1127</c:v>
                </c:pt>
                <c:pt idx="37">
                  <c:v>1215</c:v>
                </c:pt>
                <c:pt idx="38">
                  <c:v>1215</c:v>
                </c:pt>
                <c:pt idx="39">
                  <c:v>1216</c:v>
                </c:pt>
                <c:pt idx="40">
                  <c:v>1217</c:v>
                </c:pt>
                <c:pt idx="41">
                  <c:v>1217</c:v>
                </c:pt>
                <c:pt idx="42">
                  <c:v>1218</c:v>
                </c:pt>
                <c:pt idx="43">
                  <c:v>1218</c:v>
                </c:pt>
                <c:pt idx="44">
                  <c:v>1219</c:v>
                </c:pt>
                <c:pt idx="45">
                  <c:v>1310</c:v>
                </c:pt>
                <c:pt idx="46">
                  <c:v>1310</c:v>
                </c:pt>
                <c:pt idx="47">
                  <c:v>1311</c:v>
                </c:pt>
                <c:pt idx="48">
                  <c:v>1311</c:v>
                </c:pt>
                <c:pt idx="49">
                  <c:v>1312</c:v>
                </c:pt>
                <c:pt idx="50">
                  <c:v>1313</c:v>
                </c:pt>
                <c:pt idx="51">
                  <c:v>1313</c:v>
                </c:pt>
                <c:pt idx="52">
                  <c:v>1314</c:v>
                </c:pt>
                <c:pt idx="53">
                  <c:v>1314</c:v>
                </c:pt>
                <c:pt idx="54">
                  <c:v>1409</c:v>
                </c:pt>
                <c:pt idx="55">
                  <c:v>1409</c:v>
                </c:pt>
                <c:pt idx="56">
                  <c:v>1410</c:v>
                </c:pt>
                <c:pt idx="57">
                  <c:v>1410</c:v>
                </c:pt>
                <c:pt idx="58">
                  <c:v>1411</c:v>
                </c:pt>
                <c:pt idx="59">
                  <c:v>1412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3EB-4F2F-9CD4-F403992F3986}"/>
            </c:ext>
          </c:extLst>
        </c:ser>
        <c:ser>
          <c:idx val="24"/>
          <c:order val="24"/>
          <c:tx>
            <c:strRef>
              <c:f>Sheet1!$Y$1:$Y$2</c:f>
              <c:strCache>
                <c:ptCount val="2"/>
                <c:pt idx="0">
                  <c:v>4</c:v>
                </c:pt>
                <c:pt idx="1">
                  <c:v>원물공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Sheet1!$Y$3:$Y$102</c:f>
              <c:numCache>
                <c:formatCode>General</c:formatCode>
                <c:ptCount val="100"/>
                <c:pt idx="0">
                  <c:v>1370</c:v>
                </c:pt>
                <c:pt idx="1">
                  <c:v>1370</c:v>
                </c:pt>
                <c:pt idx="2">
                  <c:v>1371</c:v>
                </c:pt>
                <c:pt idx="3">
                  <c:v>1372</c:v>
                </c:pt>
                <c:pt idx="4">
                  <c:v>1486</c:v>
                </c:pt>
                <c:pt idx="5">
                  <c:v>1486</c:v>
                </c:pt>
                <c:pt idx="6">
                  <c:v>1487</c:v>
                </c:pt>
                <c:pt idx="7">
                  <c:v>1487</c:v>
                </c:pt>
                <c:pt idx="8">
                  <c:v>1488</c:v>
                </c:pt>
                <c:pt idx="9">
                  <c:v>1488</c:v>
                </c:pt>
                <c:pt idx="10">
                  <c:v>1489</c:v>
                </c:pt>
                <c:pt idx="11">
                  <c:v>1489</c:v>
                </c:pt>
                <c:pt idx="12">
                  <c:v>1608</c:v>
                </c:pt>
                <c:pt idx="13">
                  <c:v>1608</c:v>
                </c:pt>
                <c:pt idx="14">
                  <c:v>1609</c:v>
                </c:pt>
                <c:pt idx="15">
                  <c:v>1609</c:v>
                </c:pt>
                <c:pt idx="16">
                  <c:v>1610</c:v>
                </c:pt>
                <c:pt idx="17">
                  <c:v>1611</c:v>
                </c:pt>
                <c:pt idx="18">
                  <c:v>1611</c:v>
                </c:pt>
                <c:pt idx="19">
                  <c:v>1612</c:v>
                </c:pt>
                <c:pt idx="20">
                  <c:v>1734</c:v>
                </c:pt>
                <c:pt idx="21">
                  <c:v>1735</c:v>
                </c:pt>
                <c:pt idx="22">
                  <c:v>1736</c:v>
                </c:pt>
                <c:pt idx="23">
                  <c:v>1736</c:v>
                </c:pt>
                <c:pt idx="24">
                  <c:v>1737</c:v>
                </c:pt>
                <c:pt idx="25">
                  <c:v>1737</c:v>
                </c:pt>
                <c:pt idx="26">
                  <c:v>1738</c:v>
                </c:pt>
                <c:pt idx="27">
                  <c:v>1739</c:v>
                </c:pt>
                <c:pt idx="28">
                  <c:v>1739</c:v>
                </c:pt>
                <c:pt idx="29">
                  <c:v>1866</c:v>
                </c:pt>
                <c:pt idx="30">
                  <c:v>1867</c:v>
                </c:pt>
                <c:pt idx="31">
                  <c:v>1868</c:v>
                </c:pt>
                <c:pt idx="32">
                  <c:v>1868</c:v>
                </c:pt>
                <c:pt idx="33">
                  <c:v>1869</c:v>
                </c:pt>
                <c:pt idx="34">
                  <c:v>1869</c:v>
                </c:pt>
                <c:pt idx="35">
                  <c:v>1870</c:v>
                </c:pt>
                <c:pt idx="36">
                  <c:v>1871</c:v>
                </c:pt>
                <c:pt idx="37">
                  <c:v>2002</c:v>
                </c:pt>
                <c:pt idx="38">
                  <c:v>2003</c:v>
                </c:pt>
                <c:pt idx="39">
                  <c:v>2003</c:v>
                </c:pt>
                <c:pt idx="40">
                  <c:v>2004</c:v>
                </c:pt>
                <c:pt idx="41">
                  <c:v>2005</c:v>
                </c:pt>
                <c:pt idx="42">
                  <c:v>2005</c:v>
                </c:pt>
                <c:pt idx="43">
                  <c:v>2006</c:v>
                </c:pt>
                <c:pt idx="44">
                  <c:v>2006</c:v>
                </c:pt>
                <c:pt idx="45">
                  <c:v>2143</c:v>
                </c:pt>
                <c:pt idx="46">
                  <c:v>2144</c:v>
                </c:pt>
                <c:pt idx="47">
                  <c:v>2144</c:v>
                </c:pt>
                <c:pt idx="48">
                  <c:v>2145</c:v>
                </c:pt>
                <c:pt idx="49">
                  <c:v>2146</c:v>
                </c:pt>
                <c:pt idx="50">
                  <c:v>2146</c:v>
                </c:pt>
                <c:pt idx="51">
                  <c:v>2147</c:v>
                </c:pt>
                <c:pt idx="52">
                  <c:v>2147</c:v>
                </c:pt>
                <c:pt idx="53">
                  <c:v>2148</c:v>
                </c:pt>
                <c:pt idx="54">
                  <c:v>2289</c:v>
                </c:pt>
                <c:pt idx="55">
                  <c:v>2289</c:v>
                </c:pt>
                <c:pt idx="56">
                  <c:v>2290</c:v>
                </c:pt>
                <c:pt idx="57">
                  <c:v>2290</c:v>
                </c:pt>
                <c:pt idx="58">
                  <c:v>2291</c:v>
                </c:pt>
                <c:pt idx="59">
                  <c:v>2292</c:v>
                </c:pt>
                <c:pt idx="60">
                  <c:v>2292</c:v>
                </c:pt>
                <c:pt idx="61">
                  <c:v>2293</c:v>
                </c:pt>
                <c:pt idx="62">
                  <c:v>2438</c:v>
                </c:pt>
                <c:pt idx="63">
                  <c:v>2439</c:v>
                </c:pt>
                <c:pt idx="64">
                  <c:v>2439</c:v>
                </c:pt>
                <c:pt idx="65">
                  <c:v>2440</c:v>
                </c:pt>
                <c:pt idx="66">
                  <c:v>2440</c:v>
                </c:pt>
                <c:pt idx="67">
                  <c:v>2441</c:v>
                </c:pt>
                <c:pt idx="68">
                  <c:v>2442</c:v>
                </c:pt>
                <c:pt idx="69">
                  <c:v>2442</c:v>
                </c:pt>
                <c:pt idx="70">
                  <c:v>2592</c:v>
                </c:pt>
                <c:pt idx="71">
                  <c:v>2593</c:v>
                </c:pt>
                <c:pt idx="72">
                  <c:v>2593</c:v>
                </c:pt>
                <c:pt idx="73">
                  <c:v>2594</c:v>
                </c:pt>
                <c:pt idx="74">
                  <c:v>2595</c:v>
                </c:pt>
                <c:pt idx="75">
                  <c:v>2595</c:v>
                </c:pt>
                <c:pt idx="76">
                  <c:v>2596</c:v>
                </c:pt>
                <c:pt idx="77">
                  <c:v>2596</c:v>
                </c:pt>
                <c:pt idx="78">
                  <c:v>2597</c:v>
                </c:pt>
                <c:pt idx="79">
                  <c:v>2752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3EB-4F2F-9CD4-F403992F3986}"/>
            </c:ext>
          </c:extLst>
        </c:ser>
        <c:ser>
          <c:idx val="31"/>
          <c:order val="31"/>
          <c:tx>
            <c:strRef>
              <c:f>Sheet1!$AF$1:$AF$2</c:f>
              <c:strCache>
                <c:ptCount val="2"/>
                <c:pt idx="0">
                  <c:v>5</c:v>
                </c:pt>
                <c:pt idx="1">
                  <c:v>원물공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Sheet1!$AF$3:$AF$102</c:f>
              <c:numCache>
                <c:formatCode>General</c:formatCode>
                <c:ptCount val="100"/>
                <c:pt idx="0">
                  <c:v>1940</c:v>
                </c:pt>
                <c:pt idx="1">
                  <c:v>1941</c:v>
                </c:pt>
                <c:pt idx="2">
                  <c:v>1941</c:v>
                </c:pt>
                <c:pt idx="3">
                  <c:v>1942</c:v>
                </c:pt>
                <c:pt idx="4">
                  <c:v>2091</c:v>
                </c:pt>
                <c:pt idx="5">
                  <c:v>2092</c:v>
                </c:pt>
                <c:pt idx="6">
                  <c:v>2092</c:v>
                </c:pt>
                <c:pt idx="7">
                  <c:v>2093</c:v>
                </c:pt>
                <c:pt idx="8">
                  <c:v>2094</c:v>
                </c:pt>
                <c:pt idx="9">
                  <c:v>2094</c:v>
                </c:pt>
                <c:pt idx="10">
                  <c:v>2095</c:v>
                </c:pt>
                <c:pt idx="11">
                  <c:v>2095</c:v>
                </c:pt>
                <c:pt idx="12">
                  <c:v>2250</c:v>
                </c:pt>
                <c:pt idx="13">
                  <c:v>2251</c:v>
                </c:pt>
                <c:pt idx="14">
                  <c:v>2251</c:v>
                </c:pt>
                <c:pt idx="15">
                  <c:v>2252</c:v>
                </c:pt>
                <c:pt idx="16">
                  <c:v>2253</c:v>
                </c:pt>
                <c:pt idx="17">
                  <c:v>2253</c:v>
                </c:pt>
                <c:pt idx="18">
                  <c:v>2254</c:v>
                </c:pt>
                <c:pt idx="19">
                  <c:v>2254</c:v>
                </c:pt>
                <c:pt idx="20">
                  <c:v>2414</c:v>
                </c:pt>
                <c:pt idx="21">
                  <c:v>2415</c:v>
                </c:pt>
                <c:pt idx="22">
                  <c:v>2416</c:v>
                </c:pt>
                <c:pt idx="23">
                  <c:v>2416</c:v>
                </c:pt>
                <c:pt idx="24">
                  <c:v>2417</c:v>
                </c:pt>
                <c:pt idx="25">
                  <c:v>2417</c:v>
                </c:pt>
                <c:pt idx="26">
                  <c:v>2418</c:v>
                </c:pt>
                <c:pt idx="27">
                  <c:v>2419</c:v>
                </c:pt>
                <c:pt idx="28">
                  <c:v>2419</c:v>
                </c:pt>
                <c:pt idx="29">
                  <c:v>2585</c:v>
                </c:pt>
                <c:pt idx="30">
                  <c:v>2586</c:v>
                </c:pt>
                <c:pt idx="31">
                  <c:v>2587</c:v>
                </c:pt>
                <c:pt idx="32">
                  <c:v>2587</c:v>
                </c:pt>
                <c:pt idx="33">
                  <c:v>2588</c:v>
                </c:pt>
                <c:pt idx="34">
                  <c:v>2588</c:v>
                </c:pt>
                <c:pt idx="35">
                  <c:v>2589</c:v>
                </c:pt>
                <c:pt idx="36">
                  <c:v>2589</c:v>
                </c:pt>
                <c:pt idx="37">
                  <c:v>2761</c:v>
                </c:pt>
                <c:pt idx="38">
                  <c:v>2761</c:v>
                </c:pt>
                <c:pt idx="39">
                  <c:v>2762</c:v>
                </c:pt>
                <c:pt idx="40">
                  <c:v>2763</c:v>
                </c:pt>
                <c:pt idx="41">
                  <c:v>2763</c:v>
                </c:pt>
                <c:pt idx="42">
                  <c:v>2764</c:v>
                </c:pt>
                <c:pt idx="43">
                  <c:v>2764</c:v>
                </c:pt>
                <c:pt idx="44">
                  <c:v>2765</c:v>
                </c:pt>
                <c:pt idx="45">
                  <c:v>2942</c:v>
                </c:pt>
                <c:pt idx="46">
                  <c:v>2942</c:v>
                </c:pt>
                <c:pt idx="47">
                  <c:v>2943</c:v>
                </c:pt>
                <c:pt idx="48">
                  <c:v>2943</c:v>
                </c:pt>
                <c:pt idx="49">
                  <c:v>2944</c:v>
                </c:pt>
                <c:pt idx="50">
                  <c:v>2945</c:v>
                </c:pt>
                <c:pt idx="51">
                  <c:v>2945</c:v>
                </c:pt>
                <c:pt idx="52">
                  <c:v>2946</c:v>
                </c:pt>
                <c:pt idx="53">
                  <c:v>2946</c:v>
                </c:pt>
                <c:pt idx="54">
                  <c:v>3129</c:v>
                </c:pt>
                <c:pt idx="55">
                  <c:v>3130</c:v>
                </c:pt>
                <c:pt idx="56">
                  <c:v>3130</c:v>
                </c:pt>
                <c:pt idx="57">
                  <c:v>3131</c:v>
                </c:pt>
                <c:pt idx="58">
                  <c:v>3131</c:v>
                </c:pt>
                <c:pt idx="59">
                  <c:v>3132</c:v>
                </c:pt>
                <c:pt idx="60">
                  <c:v>3132</c:v>
                </c:pt>
                <c:pt idx="61">
                  <c:v>3133</c:v>
                </c:pt>
                <c:pt idx="62">
                  <c:v>3321</c:v>
                </c:pt>
                <c:pt idx="63">
                  <c:v>3322</c:v>
                </c:pt>
                <c:pt idx="64">
                  <c:v>3322</c:v>
                </c:pt>
                <c:pt idx="65">
                  <c:v>3323</c:v>
                </c:pt>
                <c:pt idx="66">
                  <c:v>3323</c:v>
                </c:pt>
                <c:pt idx="67">
                  <c:v>3324</c:v>
                </c:pt>
                <c:pt idx="68">
                  <c:v>3325</c:v>
                </c:pt>
                <c:pt idx="69">
                  <c:v>3325</c:v>
                </c:pt>
                <c:pt idx="70">
                  <c:v>3519</c:v>
                </c:pt>
                <c:pt idx="71">
                  <c:v>3519</c:v>
                </c:pt>
                <c:pt idx="72">
                  <c:v>3520</c:v>
                </c:pt>
                <c:pt idx="73">
                  <c:v>3521</c:v>
                </c:pt>
                <c:pt idx="74">
                  <c:v>3521</c:v>
                </c:pt>
                <c:pt idx="75">
                  <c:v>3522</c:v>
                </c:pt>
                <c:pt idx="76">
                  <c:v>3522</c:v>
                </c:pt>
                <c:pt idx="77">
                  <c:v>3523</c:v>
                </c:pt>
                <c:pt idx="78">
                  <c:v>3524</c:v>
                </c:pt>
                <c:pt idx="79">
                  <c:v>3723</c:v>
                </c:pt>
                <c:pt idx="80">
                  <c:v>3723</c:v>
                </c:pt>
                <c:pt idx="81">
                  <c:v>3724</c:v>
                </c:pt>
                <c:pt idx="82">
                  <c:v>3724</c:v>
                </c:pt>
                <c:pt idx="83">
                  <c:v>3725</c:v>
                </c:pt>
                <c:pt idx="84">
                  <c:v>3725</c:v>
                </c:pt>
                <c:pt idx="85">
                  <c:v>3726</c:v>
                </c:pt>
                <c:pt idx="86">
                  <c:v>3727</c:v>
                </c:pt>
                <c:pt idx="87">
                  <c:v>3931</c:v>
                </c:pt>
                <c:pt idx="88">
                  <c:v>3932</c:v>
                </c:pt>
                <c:pt idx="89">
                  <c:v>3933</c:v>
                </c:pt>
                <c:pt idx="90">
                  <c:v>3933</c:v>
                </c:pt>
                <c:pt idx="91">
                  <c:v>3934</c:v>
                </c:pt>
                <c:pt idx="92">
                  <c:v>3934</c:v>
                </c:pt>
                <c:pt idx="93">
                  <c:v>3935</c:v>
                </c:pt>
                <c:pt idx="94">
                  <c:v>3935</c:v>
                </c:pt>
                <c:pt idx="95">
                  <c:v>4146</c:v>
                </c:pt>
                <c:pt idx="96">
                  <c:v>4146</c:v>
                </c:pt>
                <c:pt idx="97">
                  <c:v>4147</c:v>
                </c:pt>
                <c:pt idx="98">
                  <c:v>4147</c:v>
                </c:pt>
                <c:pt idx="99">
                  <c:v>4148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3EB-4F2F-9CD4-F403992F3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878640"/>
        <c:axId val="6308789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Sheet1!$A$1:$A$2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Sheet1!$A$3:$A$102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EB-4F2F-9CD4-F403992F398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Sheet1!$B$1:$B$2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Sheet1!$B$3:$B$102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4452</c:v>
                      </c:pt>
                      <c:pt idx="1">
                        <c:v>5404</c:v>
                      </c:pt>
                      <c:pt idx="2">
                        <c:v>6356</c:v>
                      </c:pt>
                      <c:pt idx="3">
                        <c:v>7336</c:v>
                      </c:pt>
                      <c:pt idx="4">
                        <c:v>8295</c:v>
                      </c:pt>
                      <c:pt idx="5">
                        <c:v>9254</c:v>
                      </c:pt>
                      <c:pt idx="6">
                        <c:v>10213</c:v>
                      </c:pt>
                      <c:pt idx="7">
                        <c:v>11172</c:v>
                      </c:pt>
                      <c:pt idx="8">
                        <c:v>12131</c:v>
                      </c:pt>
                      <c:pt idx="9">
                        <c:v>13090</c:v>
                      </c:pt>
                      <c:pt idx="10">
                        <c:v>14049</c:v>
                      </c:pt>
                      <c:pt idx="11">
                        <c:v>15092</c:v>
                      </c:pt>
                      <c:pt idx="12">
                        <c:v>16058</c:v>
                      </c:pt>
                      <c:pt idx="13">
                        <c:v>17024</c:v>
                      </c:pt>
                      <c:pt idx="14">
                        <c:v>17990</c:v>
                      </c:pt>
                      <c:pt idx="15">
                        <c:v>18956</c:v>
                      </c:pt>
                      <c:pt idx="16">
                        <c:v>19922</c:v>
                      </c:pt>
                      <c:pt idx="17">
                        <c:v>20888</c:v>
                      </c:pt>
                      <c:pt idx="18">
                        <c:v>21854</c:v>
                      </c:pt>
                      <c:pt idx="19">
                        <c:v>22960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3EB-4F2F-9CD4-F403992F39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Sheet1!$C$1:$C$2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Sheet1!$C$3:$C$102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268</c:v>
                      </c:pt>
                      <c:pt idx="1">
                        <c:v>268</c:v>
                      </c:pt>
                      <c:pt idx="2">
                        <c:v>269</c:v>
                      </c:pt>
                      <c:pt idx="3">
                        <c:v>270</c:v>
                      </c:pt>
                      <c:pt idx="4">
                        <c:v>304</c:v>
                      </c:pt>
                      <c:pt idx="5">
                        <c:v>304</c:v>
                      </c:pt>
                      <c:pt idx="6">
                        <c:v>305</c:v>
                      </c:pt>
                      <c:pt idx="7">
                        <c:v>305</c:v>
                      </c:pt>
                      <c:pt idx="8">
                        <c:v>306</c:v>
                      </c:pt>
                      <c:pt idx="9">
                        <c:v>306</c:v>
                      </c:pt>
                      <c:pt idx="10">
                        <c:v>307</c:v>
                      </c:pt>
                      <c:pt idx="11">
                        <c:v>308</c:v>
                      </c:pt>
                      <c:pt idx="12">
                        <c:v>308</c:v>
                      </c:pt>
                      <c:pt idx="13">
                        <c:v>344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346</c:v>
                      </c:pt>
                      <c:pt idx="17">
                        <c:v>346</c:v>
                      </c:pt>
                      <c:pt idx="18">
                        <c:v>347</c:v>
                      </c:pt>
                      <c:pt idx="19">
                        <c:v>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EB-4F2F-9CD4-F403992F398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Sheet1!$E$1:$E$2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Sheet1!$E$3:$E$102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2506</c:v>
                      </c:pt>
                      <c:pt idx="1">
                        <c:v>2506</c:v>
                      </c:pt>
                      <c:pt idx="2">
                        <c:v>2645</c:v>
                      </c:pt>
                      <c:pt idx="3">
                        <c:v>2646</c:v>
                      </c:pt>
                      <c:pt idx="4">
                        <c:v>2647</c:v>
                      </c:pt>
                      <c:pt idx="5">
                        <c:v>2647</c:v>
                      </c:pt>
                      <c:pt idx="6">
                        <c:v>2790</c:v>
                      </c:pt>
                      <c:pt idx="7">
                        <c:v>2791</c:v>
                      </c:pt>
                      <c:pt idx="8">
                        <c:v>2791</c:v>
                      </c:pt>
                      <c:pt idx="9">
                        <c:v>2792</c:v>
                      </c:pt>
                      <c:pt idx="10">
                        <c:v>2938</c:v>
                      </c:pt>
                      <c:pt idx="11">
                        <c:v>2939</c:v>
                      </c:pt>
                      <c:pt idx="12">
                        <c:v>2939</c:v>
                      </c:pt>
                      <c:pt idx="13">
                        <c:v>2940</c:v>
                      </c:pt>
                      <c:pt idx="14">
                        <c:v>3090</c:v>
                      </c:pt>
                      <c:pt idx="15">
                        <c:v>3091</c:v>
                      </c:pt>
                      <c:pt idx="16">
                        <c:v>3091</c:v>
                      </c:pt>
                      <c:pt idx="17">
                        <c:v>3092</c:v>
                      </c:pt>
                      <c:pt idx="18">
                        <c:v>3246</c:v>
                      </c:pt>
                      <c:pt idx="19">
                        <c:v>3246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EB-4F2F-9CD4-F403992F398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Sheet1!$F$1:$F$2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Sheet1!$F$3:$F$102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7793</c:v>
                      </c:pt>
                      <c:pt idx="1">
                        <c:v>8004</c:v>
                      </c:pt>
                      <c:pt idx="2">
                        <c:v>8214</c:v>
                      </c:pt>
                      <c:pt idx="3">
                        <c:v>8635</c:v>
                      </c:pt>
                      <c:pt idx="4">
                        <c:v>8847</c:v>
                      </c:pt>
                      <c:pt idx="5">
                        <c:v>9057</c:v>
                      </c:pt>
                      <c:pt idx="6">
                        <c:v>9268</c:v>
                      </c:pt>
                      <c:pt idx="7">
                        <c:v>9479</c:v>
                      </c:pt>
                      <c:pt idx="8">
                        <c:v>9690</c:v>
                      </c:pt>
                      <c:pt idx="9">
                        <c:v>9900</c:v>
                      </c:pt>
                      <c:pt idx="10">
                        <c:v>10111</c:v>
                      </c:pt>
                      <c:pt idx="11">
                        <c:v>10532</c:v>
                      </c:pt>
                      <c:pt idx="12">
                        <c:v>10742</c:v>
                      </c:pt>
                      <c:pt idx="13">
                        <c:v>10953</c:v>
                      </c:pt>
                      <c:pt idx="14">
                        <c:v>11163</c:v>
                      </c:pt>
                      <c:pt idx="15">
                        <c:v>11374</c:v>
                      </c:pt>
                      <c:pt idx="16">
                        <c:v>11584</c:v>
                      </c:pt>
                      <c:pt idx="17">
                        <c:v>11795</c:v>
                      </c:pt>
                      <c:pt idx="18">
                        <c:v>12005</c:v>
                      </c:pt>
                      <c:pt idx="19">
                        <c:v>12426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EB-4F2F-9CD4-F403992F398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Sheet1!$G$1:$G$2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Sheet1!$G$3:$G$102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5882</c:v>
                      </c:pt>
                      <c:pt idx="1">
                        <c:v>6040</c:v>
                      </c:pt>
                      <c:pt idx="2">
                        <c:v>6199</c:v>
                      </c:pt>
                      <c:pt idx="3">
                        <c:v>6515</c:v>
                      </c:pt>
                      <c:pt idx="4">
                        <c:v>6673</c:v>
                      </c:pt>
                      <c:pt idx="5">
                        <c:v>6831</c:v>
                      </c:pt>
                      <c:pt idx="6">
                        <c:v>6990</c:v>
                      </c:pt>
                      <c:pt idx="7">
                        <c:v>7148</c:v>
                      </c:pt>
                      <c:pt idx="8">
                        <c:v>7306</c:v>
                      </c:pt>
                      <c:pt idx="9">
                        <c:v>7464</c:v>
                      </c:pt>
                      <c:pt idx="10">
                        <c:v>7623</c:v>
                      </c:pt>
                      <c:pt idx="11">
                        <c:v>7939</c:v>
                      </c:pt>
                      <c:pt idx="12">
                        <c:v>8097</c:v>
                      </c:pt>
                      <c:pt idx="13">
                        <c:v>8255</c:v>
                      </c:pt>
                      <c:pt idx="14">
                        <c:v>8414</c:v>
                      </c:pt>
                      <c:pt idx="15">
                        <c:v>8572</c:v>
                      </c:pt>
                      <c:pt idx="16">
                        <c:v>8730</c:v>
                      </c:pt>
                      <c:pt idx="17">
                        <c:v>8888</c:v>
                      </c:pt>
                      <c:pt idx="18">
                        <c:v>9047</c:v>
                      </c:pt>
                      <c:pt idx="19">
                        <c:v>9363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EB-4F2F-9CD4-F403992F398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Sheet1!$H$1:$H$2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Sheet1!$H$3:$H$102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EB-4F2F-9CD4-F403992F398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Sheet1!$I$1:$I$2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5516</c:v>
                      </c:pt>
                      <c:pt idx="1">
                        <c:v>6732</c:v>
                      </c:pt>
                      <c:pt idx="2">
                        <c:v>7948</c:v>
                      </c:pt>
                      <c:pt idx="3">
                        <c:v>9200</c:v>
                      </c:pt>
                      <c:pt idx="4">
                        <c:v>10425</c:v>
                      </c:pt>
                      <c:pt idx="5">
                        <c:v>11650</c:v>
                      </c:pt>
                      <c:pt idx="6">
                        <c:v>12875</c:v>
                      </c:pt>
                      <c:pt idx="7">
                        <c:v>14100</c:v>
                      </c:pt>
                      <c:pt idx="8">
                        <c:v>15325</c:v>
                      </c:pt>
                      <c:pt idx="9">
                        <c:v>16550</c:v>
                      </c:pt>
                      <c:pt idx="10">
                        <c:v>17775</c:v>
                      </c:pt>
                      <c:pt idx="11">
                        <c:v>19105</c:v>
                      </c:pt>
                      <c:pt idx="12">
                        <c:v>20338</c:v>
                      </c:pt>
                      <c:pt idx="13">
                        <c:v>21572</c:v>
                      </c:pt>
                      <c:pt idx="14">
                        <c:v>22806</c:v>
                      </c:pt>
                      <c:pt idx="15">
                        <c:v>24040</c:v>
                      </c:pt>
                      <c:pt idx="16">
                        <c:v>25273</c:v>
                      </c:pt>
                      <c:pt idx="17">
                        <c:v>26507</c:v>
                      </c:pt>
                      <c:pt idx="18">
                        <c:v>27741</c:v>
                      </c:pt>
                      <c:pt idx="19">
                        <c:v>29150</c:v>
                      </c:pt>
                      <c:pt idx="20">
                        <c:v>30392</c:v>
                      </c:pt>
                      <c:pt idx="21">
                        <c:v>31635</c:v>
                      </c:pt>
                      <c:pt idx="22">
                        <c:v>32877</c:v>
                      </c:pt>
                      <c:pt idx="23">
                        <c:v>34120</c:v>
                      </c:pt>
                      <c:pt idx="24">
                        <c:v>35362</c:v>
                      </c:pt>
                      <c:pt idx="25">
                        <c:v>36605</c:v>
                      </c:pt>
                      <c:pt idx="26">
                        <c:v>38083</c:v>
                      </c:pt>
                      <c:pt idx="27">
                        <c:v>39335</c:v>
                      </c:pt>
                      <c:pt idx="28">
                        <c:v>40586</c:v>
                      </c:pt>
                      <c:pt idx="29">
                        <c:v>41837</c:v>
                      </c:pt>
                      <c:pt idx="30">
                        <c:v>43088</c:v>
                      </c:pt>
                      <c:pt idx="31">
                        <c:v>44340</c:v>
                      </c:pt>
                      <c:pt idx="32">
                        <c:v>45591</c:v>
                      </c:pt>
                      <c:pt idx="33">
                        <c:v>46842</c:v>
                      </c:pt>
                      <c:pt idx="34">
                        <c:v>48400</c:v>
                      </c:pt>
                      <c:pt idx="35">
                        <c:v>49660</c:v>
                      </c:pt>
                      <c:pt idx="36">
                        <c:v>50920</c:v>
                      </c:pt>
                      <c:pt idx="37">
                        <c:v>52180</c:v>
                      </c:pt>
                      <c:pt idx="38">
                        <c:v>53440</c:v>
                      </c:pt>
                      <c:pt idx="39">
                        <c:v>54700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EB-4F2F-9CD4-F403992F398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Sheet1!$J$1:$J$2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Sheet1!$J$3:$J$102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410</c:v>
                      </c:pt>
                      <c:pt idx="1">
                        <c:v>411</c:v>
                      </c:pt>
                      <c:pt idx="2">
                        <c:v>411</c:v>
                      </c:pt>
                      <c:pt idx="3">
                        <c:v>412</c:v>
                      </c:pt>
                      <c:pt idx="4">
                        <c:v>459</c:v>
                      </c:pt>
                      <c:pt idx="5">
                        <c:v>459</c:v>
                      </c:pt>
                      <c:pt idx="6">
                        <c:v>460</c:v>
                      </c:pt>
                      <c:pt idx="7">
                        <c:v>460</c:v>
                      </c:pt>
                      <c:pt idx="8">
                        <c:v>461</c:v>
                      </c:pt>
                      <c:pt idx="9">
                        <c:v>461</c:v>
                      </c:pt>
                      <c:pt idx="10">
                        <c:v>462</c:v>
                      </c:pt>
                      <c:pt idx="11">
                        <c:v>463</c:v>
                      </c:pt>
                      <c:pt idx="12">
                        <c:v>463</c:v>
                      </c:pt>
                      <c:pt idx="13">
                        <c:v>512</c:v>
                      </c:pt>
                      <c:pt idx="14">
                        <c:v>513</c:v>
                      </c:pt>
                      <c:pt idx="15">
                        <c:v>513</c:v>
                      </c:pt>
                      <c:pt idx="16">
                        <c:v>514</c:v>
                      </c:pt>
                      <c:pt idx="17">
                        <c:v>515</c:v>
                      </c:pt>
                      <c:pt idx="18">
                        <c:v>515</c:v>
                      </c:pt>
                      <c:pt idx="19">
                        <c:v>516</c:v>
                      </c:pt>
                      <c:pt idx="20">
                        <c:v>516</c:v>
                      </c:pt>
                      <c:pt idx="21">
                        <c:v>517</c:v>
                      </c:pt>
                      <c:pt idx="22">
                        <c:v>569</c:v>
                      </c:pt>
                      <c:pt idx="23">
                        <c:v>569</c:v>
                      </c:pt>
                      <c:pt idx="24">
                        <c:v>570</c:v>
                      </c:pt>
                      <c:pt idx="25">
                        <c:v>570</c:v>
                      </c:pt>
                      <c:pt idx="26">
                        <c:v>571</c:v>
                      </c:pt>
                      <c:pt idx="27">
                        <c:v>571</c:v>
                      </c:pt>
                      <c:pt idx="28">
                        <c:v>572</c:v>
                      </c:pt>
                      <c:pt idx="29">
                        <c:v>573</c:v>
                      </c:pt>
                      <c:pt idx="30">
                        <c:v>573</c:v>
                      </c:pt>
                      <c:pt idx="31">
                        <c:v>628</c:v>
                      </c:pt>
                      <c:pt idx="32">
                        <c:v>628</c:v>
                      </c:pt>
                      <c:pt idx="33">
                        <c:v>629</c:v>
                      </c:pt>
                      <c:pt idx="34">
                        <c:v>629</c:v>
                      </c:pt>
                      <c:pt idx="35">
                        <c:v>630</c:v>
                      </c:pt>
                      <c:pt idx="36">
                        <c:v>630</c:v>
                      </c:pt>
                      <c:pt idx="37">
                        <c:v>631</c:v>
                      </c:pt>
                      <c:pt idx="38">
                        <c:v>631</c:v>
                      </c:pt>
                      <c:pt idx="39">
                        <c:v>632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EB-4F2F-9CD4-F403992F3986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Sheet1!$L$1:$L$2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Sheet1!$L$3:$L$102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4027</c:v>
                      </c:pt>
                      <c:pt idx="1">
                        <c:v>4027</c:v>
                      </c:pt>
                      <c:pt idx="2">
                        <c:v>4224</c:v>
                      </c:pt>
                      <c:pt idx="3">
                        <c:v>4225</c:v>
                      </c:pt>
                      <c:pt idx="4">
                        <c:v>4226</c:v>
                      </c:pt>
                      <c:pt idx="5">
                        <c:v>4226</c:v>
                      </c:pt>
                      <c:pt idx="6">
                        <c:v>4427</c:v>
                      </c:pt>
                      <c:pt idx="7">
                        <c:v>4428</c:v>
                      </c:pt>
                      <c:pt idx="8">
                        <c:v>4429</c:v>
                      </c:pt>
                      <c:pt idx="9">
                        <c:v>4429</c:v>
                      </c:pt>
                      <c:pt idx="10">
                        <c:v>4635</c:v>
                      </c:pt>
                      <c:pt idx="11">
                        <c:v>4636</c:v>
                      </c:pt>
                      <c:pt idx="12">
                        <c:v>4637</c:v>
                      </c:pt>
                      <c:pt idx="13">
                        <c:v>4637</c:v>
                      </c:pt>
                      <c:pt idx="14">
                        <c:v>4848</c:v>
                      </c:pt>
                      <c:pt idx="15">
                        <c:v>4848</c:v>
                      </c:pt>
                      <c:pt idx="16">
                        <c:v>4849</c:v>
                      </c:pt>
                      <c:pt idx="17">
                        <c:v>4850</c:v>
                      </c:pt>
                      <c:pt idx="18">
                        <c:v>5065</c:v>
                      </c:pt>
                      <c:pt idx="19">
                        <c:v>5066</c:v>
                      </c:pt>
                      <c:pt idx="20">
                        <c:v>5066</c:v>
                      </c:pt>
                      <c:pt idx="21">
                        <c:v>5067</c:v>
                      </c:pt>
                      <c:pt idx="22">
                        <c:v>5287</c:v>
                      </c:pt>
                      <c:pt idx="23">
                        <c:v>5288</c:v>
                      </c:pt>
                      <c:pt idx="24">
                        <c:v>5288</c:v>
                      </c:pt>
                      <c:pt idx="25">
                        <c:v>5289</c:v>
                      </c:pt>
                      <c:pt idx="26">
                        <c:v>5289</c:v>
                      </c:pt>
                      <c:pt idx="27">
                        <c:v>5514</c:v>
                      </c:pt>
                      <c:pt idx="28">
                        <c:v>5515</c:v>
                      </c:pt>
                      <c:pt idx="29">
                        <c:v>5515</c:v>
                      </c:pt>
                      <c:pt idx="30">
                        <c:v>5516</c:v>
                      </c:pt>
                      <c:pt idx="31">
                        <c:v>5745</c:v>
                      </c:pt>
                      <c:pt idx="32">
                        <c:v>5746</c:v>
                      </c:pt>
                      <c:pt idx="33">
                        <c:v>5746</c:v>
                      </c:pt>
                      <c:pt idx="34">
                        <c:v>5747</c:v>
                      </c:pt>
                      <c:pt idx="35">
                        <c:v>5981</c:v>
                      </c:pt>
                      <c:pt idx="36">
                        <c:v>5982</c:v>
                      </c:pt>
                      <c:pt idx="37">
                        <c:v>5983</c:v>
                      </c:pt>
                      <c:pt idx="38">
                        <c:v>5983</c:v>
                      </c:pt>
                      <c:pt idx="39">
                        <c:v>6222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3EB-4F2F-9CD4-F403992F398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Sheet1!$M$1:$M$2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Sheet1!$M$3:$M$102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10547</c:v>
                      </c:pt>
                      <c:pt idx="1">
                        <c:v>10810</c:v>
                      </c:pt>
                      <c:pt idx="2">
                        <c:v>11074</c:v>
                      </c:pt>
                      <c:pt idx="3">
                        <c:v>11601</c:v>
                      </c:pt>
                      <c:pt idx="4">
                        <c:v>11864</c:v>
                      </c:pt>
                      <c:pt idx="5">
                        <c:v>12128</c:v>
                      </c:pt>
                      <c:pt idx="6">
                        <c:v>12391</c:v>
                      </c:pt>
                      <c:pt idx="7">
                        <c:v>12655</c:v>
                      </c:pt>
                      <c:pt idx="8">
                        <c:v>12918</c:v>
                      </c:pt>
                      <c:pt idx="9">
                        <c:v>13182</c:v>
                      </c:pt>
                      <c:pt idx="10">
                        <c:v>13445</c:v>
                      </c:pt>
                      <c:pt idx="11">
                        <c:v>13972</c:v>
                      </c:pt>
                      <c:pt idx="12">
                        <c:v>14236</c:v>
                      </c:pt>
                      <c:pt idx="13">
                        <c:v>14499</c:v>
                      </c:pt>
                      <c:pt idx="14">
                        <c:v>14763</c:v>
                      </c:pt>
                      <c:pt idx="15">
                        <c:v>15026</c:v>
                      </c:pt>
                      <c:pt idx="16">
                        <c:v>15290</c:v>
                      </c:pt>
                      <c:pt idx="17">
                        <c:v>15553</c:v>
                      </c:pt>
                      <c:pt idx="18">
                        <c:v>15817</c:v>
                      </c:pt>
                      <c:pt idx="19">
                        <c:v>16344</c:v>
                      </c:pt>
                      <c:pt idx="20">
                        <c:v>16607</c:v>
                      </c:pt>
                      <c:pt idx="21">
                        <c:v>16871</c:v>
                      </c:pt>
                      <c:pt idx="22">
                        <c:v>17135</c:v>
                      </c:pt>
                      <c:pt idx="23">
                        <c:v>17399</c:v>
                      </c:pt>
                      <c:pt idx="24">
                        <c:v>17662</c:v>
                      </c:pt>
                      <c:pt idx="25">
                        <c:v>17926</c:v>
                      </c:pt>
                      <c:pt idx="26">
                        <c:v>18453</c:v>
                      </c:pt>
                      <c:pt idx="27">
                        <c:v>18716</c:v>
                      </c:pt>
                      <c:pt idx="28">
                        <c:v>18980</c:v>
                      </c:pt>
                      <c:pt idx="29">
                        <c:v>19243</c:v>
                      </c:pt>
                      <c:pt idx="30">
                        <c:v>19507</c:v>
                      </c:pt>
                      <c:pt idx="31">
                        <c:v>19770</c:v>
                      </c:pt>
                      <c:pt idx="32">
                        <c:v>20034</c:v>
                      </c:pt>
                      <c:pt idx="33">
                        <c:v>20297</c:v>
                      </c:pt>
                      <c:pt idx="34">
                        <c:v>20824</c:v>
                      </c:pt>
                      <c:pt idx="35">
                        <c:v>21088</c:v>
                      </c:pt>
                      <c:pt idx="36">
                        <c:v>21351</c:v>
                      </c:pt>
                      <c:pt idx="37">
                        <c:v>21615</c:v>
                      </c:pt>
                      <c:pt idx="38">
                        <c:v>21878</c:v>
                      </c:pt>
                      <c:pt idx="39">
                        <c:v>22143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3EB-4F2F-9CD4-F403992F3986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Sheet1!$N$1:$N$2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Sheet1!$N$3:$N$102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7941</c:v>
                      </c:pt>
                      <c:pt idx="1">
                        <c:v>8138</c:v>
                      </c:pt>
                      <c:pt idx="2">
                        <c:v>8337</c:v>
                      </c:pt>
                      <c:pt idx="3">
                        <c:v>8732</c:v>
                      </c:pt>
                      <c:pt idx="4">
                        <c:v>8929</c:v>
                      </c:pt>
                      <c:pt idx="5">
                        <c:v>9127</c:v>
                      </c:pt>
                      <c:pt idx="6">
                        <c:v>9325</c:v>
                      </c:pt>
                      <c:pt idx="7">
                        <c:v>9523</c:v>
                      </c:pt>
                      <c:pt idx="8">
                        <c:v>9720</c:v>
                      </c:pt>
                      <c:pt idx="9">
                        <c:v>9918</c:v>
                      </c:pt>
                      <c:pt idx="10">
                        <c:v>10116</c:v>
                      </c:pt>
                      <c:pt idx="11">
                        <c:v>10511</c:v>
                      </c:pt>
                      <c:pt idx="12">
                        <c:v>10709</c:v>
                      </c:pt>
                      <c:pt idx="13">
                        <c:v>10906</c:v>
                      </c:pt>
                      <c:pt idx="14">
                        <c:v>11105</c:v>
                      </c:pt>
                      <c:pt idx="15">
                        <c:v>11302</c:v>
                      </c:pt>
                      <c:pt idx="16">
                        <c:v>11500</c:v>
                      </c:pt>
                      <c:pt idx="17">
                        <c:v>11697</c:v>
                      </c:pt>
                      <c:pt idx="18">
                        <c:v>11896</c:v>
                      </c:pt>
                      <c:pt idx="19">
                        <c:v>12291</c:v>
                      </c:pt>
                      <c:pt idx="20">
                        <c:v>12488</c:v>
                      </c:pt>
                      <c:pt idx="21">
                        <c:v>12686</c:v>
                      </c:pt>
                      <c:pt idx="22">
                        <c:v>12884</c:v>
                      </c:pt>
                      <c:pt idx="23">
                        <c:v>13082</c:v>
                      </c:pt>
                      <c:pt idx="24">
                        <c:v>13279</c:v>
                      </c:pt>
                      <c:pt idx="25">
                        <c:v>13477</c:v>
                      </c:pt>
                      <c:pt idx="26">
                        <c:v>13872</c:v>
                      </c:pt>
                      <c:pt idx="27">
                        <c:v>14070</c:v>
                      </c:pt>
                      <c:pt idx="28">
                        <c:v>14268</c:v>
                      </c:pt>
                      <c:pt idx="29">
                        <c:v>14465</c:v>
                      </c:pt>
                      <c:pt idx="30">
                        <c:v>14663</c:v>
                      </c:pt>
                      <c:pt idx="31">
                        <c:v>14861</c:v>
                      </c:pt>
                      <c:pt idx="32">
                        <c:v>15059</c:v>
                      </c:pt>
                      <c:pt idx="33">
                        <c:v>15256</c:v>
                      </c:pt>
                      <c:pt idx="34">
                        <c:v>15651</c:v>
                      </c:pt>
                      <c:pt idx="35">
                        <c:v>15850</c:v>
                      </c:pt>
                      <c:pt idx="36">
                        <c:v>16047</c:v>
                      </c:pt>
                      <c:pt idx="37">
                        <c:v>16245</c:v>
                      </c:pt>
                      <c:pt idx="38">
                        <c:v>16442</c:v>
                      </c:pt>
                      <c:pt idx="39">
                        <c:v>16641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3EB-4F2F-9CD4-F403992F3986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Sheet1!$O$1:$O$2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Sheet1!$O$3:$O$102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EB-4F2F-9CD4-F403992F3986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Sheet1!$P$1:$P$2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Sheet1!$P$3:$P$102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7340</c:v>
                      </c:pt>
                      <c:pt idx="1">
                        <c:v>8980</c:v>
                      </c:pt>
                      <c:pt idx="2">
                        <c:v>10620</c:v>
                      </c:pt>
                      <c:pt idx="3">
                        <c:v>12306</c:v>
                      </c:pt>
                      <c:pt idx="4">
                        <c:v>13958</c:v>
                      </c:pt>
                      <c:pt idx="5">
                        <c:v>15609</c:v>
                      </c:pt>
                      <c:pt idx="6">
                        <c:v>17261</c:v>
                      </c:pt>
                      <c:pt idx="7">
                        <c:v>18913</c:v>
                      </c:pt>
                      <c:pt idx="8">
                        <c:v>20564</c:v>
                      </c:pt>
                      <c:pt idx="9">
                        <c:v>22216</c:v>
                      </c:pt>
                      <c:pt idx="10">
                        <c:v>23868</c:v>
                      </c:pt>
                      <c:pt idx="11">
                        <c:v>25658</c:v>
                      </c:pt>
                      <c:pt idx="12">
                        <c:v>27321</c:v>
                      </c:pt>
                      <c:pt idx="13">
                        <c:v>28984</c:v>
                      </c:pt>
                      <c:pt idx="14">
                        <c:v>30648</c:v>
                      </c:pt>
                      <c:pt idx="15">
                        <c:v>32311</c:v>
                      </c:pt>
                      <c:pt idx="16">
                        <c:v>33974</c:v>
                      </c:pt>
                      <c:pt idx="17">
                        <c:v>35637</c:v>
                      </c:pt>
                      <c:pt idx="18">
                        <c:v>37300</c:v>
                      </c:pt>
                      <c:pt idx="19">
                        <c:v>39195</c:v>
                      </c:pt>
                      <c:pt idx="20">
                        <c:v>40869</c:v>
                      </c:pt>
                      <c:pt idx="21">
                        <c:v>42544</c:v>
                      </c:pt>
                      <c:pt idx="22">
                        <c:v>44219</c:v>
                      </c:pt>
                      <c:pt idx="23">
                        <c:v>45894</c:v>
                      </c:pt>
                      <c:pt idx="24">
                        <c:v>47568</c:v>
                      </c:pt>
                      <c:pt idx="25">
                        <c:v>49243</c:v>
                      </c:pt>
                      <c:pt idx="26">
                        <c:v>51230</c:v>
                      </c:pt>
                      <c:pt idx="27">
                        <c:v>52916</c:v>
                      </c:pt>
                      <c:pt idx="28">
                        <c:v>54602</c:v>
                      </c:pt>
                      <c:pt idx="29">
                        <c:v>56289</c:v>
                      </c:pt>
                      <c:pt idx="30">
                        <c:v>57975</c:v>
                      </c:pt>
                      <c:pt idx="31">
                        <c:v>59661</c:v>
                      </c:pt>
                      <c:pt idx="32">
                        <c:v>61347</c:v>
                      </c:pt>
                      <c:pt idx="33">
                        <c:v>63034</c:v>
                      </c:pt>
                      <c:pt idx="34">
                        <c:v>65124</c:v>
                      </c:pt>
                      <c:pt idx="35">
                        <c:v>66822</c:v>
                      </c:pt>
                      <c:pt idx="36">
                        <c:v>68520</c:v>
                      </c:pt>
                      <c:pt idx="37">
                        <c:v>70218</c:v>
                      </c:pt>
                      <c:pt idx="38">
                        <c:v>71916</c:v>
                      </c:pt>
                      <c:pt idx="39">
                        <c:v>73614</c:v>
                      </c:pt>
                      <c:pt idx="40">
                        <c:v>75311</c:v>
                      </c:pt>
                      <c:pt idx="41">
                        <c:v>77009</c:v>
                      </c:pt>
                      <c:pt idx="42">
                        <c:v>79204</c:v>
                      </c:pt>
                      <c:pt idx="43">
                        <c:v>80913</c:v>
                      </c:pt>
                      <c:pt idx="44">
                        <c:v>82623</c:v>
                      </c:pt>
                      <c:pt idx="45">
                        <c:v>84332</c:v>
                      </c:pt>
                      <c:pt idx="46">
                        <c:v>86041</c:v>
                      </c:pt>
                      <c:pt idx="47">
                        <c:v>87751</c:v>
                      </c:pt>
                      <c:pt idx="48">
                        <c:v>89460</c:v>
                      </c:pt>
                      <c:pt idx="49">
                        <c:v>91747</c:v>
                      </c:pt>
                      <c:pt idx="50">
                        <c:v>93468</c:v>
                      </c:pt>
                      <c:pt idx="51">
                        <c:v>95189</c:v>
                      </c:pt>
                      <c:pt idx="52">
                        <c:v>96910</c:v>
                      </c:pt>
                      <c:pt idx="53">
                        <c:v>98631</c:v>
                      </c:pt>
                      <c:pt idx="54">
                        <c:v>100352</c:v>
                      </c:pt>
                      <c:pt idx="55">
                        <c:v>102073</c:v>
                      </c:pt>
                      <c:pt idx="56">
                        <c:v>103794</c:v>
                      </c:pt>
                      <c:pt idx="57">
                        <c:v>106185</c:v>
                      </c:pt>
                      <c:pt idx="58">
                        <c:v>107917</c:v>
                      </c:pt>
                      <c:pt idx="59">
                        <c:v>109650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3EB-4F2F-9CD4-F403992F3986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Sheet1!$Q$1:$Q$2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Sheet1!$Q$3:$Q$102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654</c:v>
                      </c:pt>
                      <c:pt idx="1">
                        <c:v>655</c:v>
                      </c:pt>
                      <c:pt idx="2">
                        <c:v>655</c:v>
                      </c:pt>
                      <c:pt idx="3">
                        <c:v>656</c:v>
                      </c:pt>
                      <c:pt idx="4">
                        <c:v>724</c:v>
                      </c:pt>
                      <c:pt idx="5">
                        <c:v>724</c:v>
                      </c:pt>
                      <c:pt idx="6">
                        <c:v>725</c:v>
                      </c:pt>
                      <c:pt idx="7">
                        <c:v>725</c:v>
                      </c:pt>
                      <c:pt idx="8">
                        <c:v>726</c:v>
                      </c:pt>
                      <c:pt idx="9">
                        <c:v>726</c:v>
                      </c:pt>
                      <c:pt idx="10">
                        <c:v>727</c:v>
                      </c:pt>
                      <c:pt idx="11">
                        <c:v>728</c:v>
                      </c:pt>
                      <c:pt idx="12">
                        <c:v>728</c:v>
                      </c:pt>
                      <c:pt idx="13">
                        <c:v>799</c:v>
                      </c:pt>
                      <c:pt idx="14">
                        <c:v>800</c:v>
                      </c:pt>
                      <c:pt idx="15">
                        <c:v>800</c:v>
                      </c:pt>
                      <c:pt idx="16">
                        <c:v>801</c:v>
                      </c:pt>
                      <c:pt idx="17">
                        <c:v>802</c:v>
                      </c:pt>
                      <c:pt idx="18">
                        <c:v>802</c:v>
                      </c:pt>
                      <c:pt idx="19">
                        <c:v>803</c:v>
                      </c:pt>
                      <c:pt idx="20">
                        <c:v>803</c:v>
                      </c:pt>
                      <c:pt idx="21">
                        <c:v>804</c:v>
                      </c:pt>
                      <c:pt idx="22">
                        <c:v>878</c:v>
                      </c:pt>
                      <c:pt idx="23">
                        <c:v>879</c:v>
                      </c:pt>
                      <c:pt idx="24">
                        <c:v>879</c:v>
                      </c:pt>
                      <c:pt idx="25">
                        <c:v>880</c:v>
                      </c:pt>
                      <c:pt idx="26">
                        <c:v>880</c:v>
                      </c:pt>
                      <c:pt idx="27">
                        <c:v>881</c:v>
                      </c:pt>
                      <c:pt idx="28">
                        <c:v>881</c:v>
                      </c:pt>
                      <c:pt idx="29">
                        <c:v>882</c:v>
                      </c:pt>
                      <c:pt idx="30">
                        <c:v>883</c:v>
                      </c:pt>
                      <c:pt idx="31">
                        <c:v>961</c:v>
                      </c:pt>
                      <c:pt idx="32">
                        <c:v>961</c:v>
                      </c:pt>
                      <c:pt idx="33">
                        <c:v>962</c:v>
                      </c:pt>
                      <c:pt idx="34">
                        <c:v>962</c:v>
                      </c:pt>
                      <c:pt idx="35">
                        <c:v>963</c:v>
                      </c:pt>
                      <c:pt idx="36">
                        <c:v>963</c:v>
                      </c:pt>
                      <c:pt idx="37">
                        <c:v>964</c:v>
                      </c:pt>
                      <c:pt idx="38">
                        <c:v>965</c:v>
                      </c:pt>
                      <c:pt idx="39">
                        <c:v>965</c:v>
                      </c:pt>
                      <c:pt idx="40">
                        <c:v>1046</c:v>
                      </c:pt>
                      <c:pt idx="41">
                        <c:v>1047</c:v>
                      </c:pt>
                      <c:pt idx="42">
                        <c:v>1047</c:v>
                      </c:pt>
                      <c:pt idx="43">
                        <c:v>1048</c:v>
                      </c:pt>
                      <c:pt idx="44">
                        <c:v>1048</c:v>
                      </c:pt>
                      <c:pt idx="45">
                        <c:v>1049</c:v>
                      </c:pt>
                      <c:pt idx="46">
                        <c:v>1050</c:v>
                      </c:pt>
                      <c:pt idx="47">
                        <c:v>1050</c:v>
                      </c:pt>
                      <c:pt idx="48">
                        <c:v>1051</c:v>
                      </c:pt>
                      <c:pt idx="49">
                        <c:v>1135</c:v>
                      </c:pt>
                      <c:pt idx="50">
                        <c:v>1136</c:v>
                      </c:pt>
                      <c:pt idx="51">
                        <c:v>1136</c:v>
                      </c:pt>
                      <c:pt idx="52">
                        <c:v>1137</c:v>
                      </c:pt>
                      <c:pt idx="53">
                        <c:v>1137</c:v>
                      </c:pt>
                      <c:pt idx="54">
                        <c:v>1138</c:v>
                      </c:pt>
                      <c:pt idx="55">
                        <c:v>1139</c:v>
                      </c:pt>
                      <c:pt idx="56">
                        <c:v>1139</c:v>
                      </c:pt>
                      <c:pt idx="57">
                        <c:v>1140</c:v>
                      </c:pt>
                      <c:pt idx="58">
                        <c:v>1140</c:v>
                      </c:pt>
                      <c:pt idx="59">
                        <c:v>1228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EB-4F2F-9CD4-F403992F3986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Sheet1!$S$1:$S$2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Sheet1!$S$3:$S$102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6622</c:v>
                      </c:pt>
                      <c:pt idx="1">
                        <c:v>6622</c:v>
                      </c:pt>
                      <c:pt idx="2">
                        <c:v>6912</c:v>
                      </c:pt>
                      <c:pt idx="3">
                        <c:v>6912</c:v>
                      </c:pt>
                      <c:pt idx="4">
                        <c:v>6913</c:v>
                      </c:pt>
                      <c:pt idx="5">
                        <c:v>6913</c:v>
                      </c:pt>
                      <c:pt idx="6">
                        <c:v>7208</c:v>
                      </c:pt>
                      <c:pt idx="7">
                        <c:v>7209</c:v>
                      </c:pt>
                      <c:pt idx="8">
                        <c:v>7210</c:v>
                      </c:pt>
                      <c:pt idx="9">
                        <c:v>7210</c:v>
                      </c:pt>
                      <c:pt idx="10">
                        <c:v>7511</c:v>
                      </c:pt>
                      <c:pt idx="11">
                        <c:v>7512</c:v>
                      </c:pt>
                      <c:pt idx="12">
                        <c:v>7513</c:v>
                      </c:pt>
                      <c:pt idx="13">
                        <c:v>7513</c:v>
                      </c:pt>
                      <c:pt idx="14">
                        <c:v>7821</c:v>
                      </c:pt>
                      <c:pt idx="15">
                        <c:v>7821</c:v>
                      </c:pt>
                      <c:pt idx="16">
                        <c:v>7822</c:v>
                      </c:pt>
                      <c:pt idx="17">
                        <c:v>7822</c:v>
                      </c:pt>
                      <c:pt idx="18">
                        <c:v>8136</c:v>
                      </c:pt>
                      <c:pt idx="19">
                        <c:v>8136</c:v>
                      </c:pt>
                      <c:pt idx="20">
                        <c:v>8137</c:v>
                      </c:pt>
                      <c:pt idx="21">
                        <c:v>8138</c:v>
                      </c:pt>
                      <c:pt idx="22">
                        <c:v>8458</c:v>
                      </c:pt>
                      <c:pt idx="23">
                        <c:v>8458</c:v>
                      </c:pt>
                      <c:pt idx="24">
                        <c:v>8459</c:v>
                      </c:pt>
                      <c:pt idx="25">
                        <c:v>8459</c:v>
                      </c:pt>
                      <c:pt idx="26">
                        <c:v>8460</c:v>
                      </c:pt>
                      <c:pt idx="27">
                        <c:v>8786</c:v>
                      </c:pt>
                      <c:pt idx="28">
                        <c:v>8786</c:v>
                      </c:pt>
                      <c:pt idx="29">
                        <c:v>8787</c:v>
                      </c:pt>
                      <c:pt idx="30">
                        <c:v>8788</c:v>
                      </c:pt>
                      <c:pt idx="31">
                        <c:v>9120</c:v>
                      </c:pt>
                      <c:pt idx="32">
                        <c:v>9120</c:v>
                      </c:pt>
                      <c:pt idx="33">
                        <c:v>9121</c:v>
                      </c:pt>
                      <c:pt idx="34">
                        <c:v>9121</c:v>
                      </c:pt>
                      <c:pt idx="35">
                        <c:v>9460</c:v>
                      </c:pt>
                      <c:pt idx="36">
                        <c:v>9460</c:v>
                      </c:pt>
                      <c:pt idx="37">
                        <c:v>9461</c:v>
                      </c:pt>
                      <c:pt idx="38">
                        <c:v>9461</c:v>
                      </c:pt>
                      <c:pt idx="39">
                        <c:v>9806</c:v>
                      </c:pt>
                      <c:pt idx="40">
                        <c:v>9806</c:v>
                      </c:pt>
                      <c:pt idx="41">
                        <c:v>9807</c:v>
                      </c:pt>
                      <c:pt idx="42">
                        <c:v>9807</c:v>
                      </c:pt>
                      <c:pt idx="43">
                        <c:v>10158</c:v>
                      </c:pt>
                      <c:pt idx="44">
                        <c:v>10158</c:v>
                      </c:pt>
                      <c:pt idx="45">
                        <c:v>10159</c:v>
                      </c:pt>
                      <c:pt idx="46">
                        <c:v>10160</c:v>
                      </c:pt>
                      <c:pt idx="47">
                        <c:v>10516</c:v>
                      </c:pt>
                      <c:pt idx="48">
                        <c:v>10517</c:v>
                      </c:pt>
                      <c:pt idx="49">
                        <c:v>10518</c:v>
                      </c:pt>
                      <c:pt idx="50">
                        <c:v>10518</c:v>
                      </c:pt>
                      <c:pt idx="51">
                        <c:v>10519</c:v>
                      </c:pt>
                      <c:pt idx="52">
                        <c:v>10882</c:v>
                      </c:pt>
                      <c:pt idx="53">
                        <c:v>10882</c:v>
                      </c:pt>
                      <c:pt idx="54">
                        <c:v>10883</c:v>
                      </c:pt>
                      <c:pt idx="55">
                        <c:v>10883</c:v>
                      </c:pt>
                      <c:pt idx="56">
                        <c:v>11253</c:v>
                      </c:pt>
                      <c:pt idx="57">
                        <c:v>11253</c:v>
                      </c:pt>
                      <c:pt idx="58">
                        <c:v>11254</c:v>
                      </c:pt>
                      <c:pt idx="59">
                        <c:v>11254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3EB-4F2F-9CD4-F403992F3986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Sheet1!$T$1:$T$2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Sheet1!$T$3:$T$102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14949</c:v>
                      </c:pt>
                      <c:pt idx="1">
                        <c:v>15297</c:v>
                      </c:pt>
                      <c:pt idx="2">
                        <c:v>15644</c:v>
                      </c:pt>
                      <c:pt idx="3">
                        <c:v>16339</c:v>
                      </c:pt>
                      <c:pt idx="4">
                        <c:v>16688</c:v>
                      </c:pt>
                      <c:pt idx="5">
                        <c:v>17035</c:v>
                      </c:pt>
                      <c:pt idx="6">
                        <c:v>17383</c:v>
                      </c:pt>
                      <c:pt idx="7">
                        <c:v>17730</c:v>
                      </c:pt>
                      <c:pt idx="8">
                        <c:v>18078</c:v>
                      </c:pt>
                      <c:pt idx="9">
                        <c:v>18425</c:v>
                      </c:pt>
                      <c:pt idx="10">
                        <c:v>18773</c:v>
                      </c:pt>
                      <c:pt idx="11">
                        <c:v>19468</c:v>
                      </c:pt>
                      <c:pt idx="12">
                        <c:v>19815</c:v>
                      </c:pt>
                      <c:pt idx="13">
                        <c:v>20163</c:v>
                      </c:pt>
                      <c:pt idx="14">
                        <c:v>20510</c:v>
                      </c:pt>
                      <c:pt idx="15">
                        <c:v>20858</c:v>
                      </c:pt>
                      <c:pt idx="16">
                        <c:v>21205</c:v>
                      </c:pt>
                      <c:pt idx="17">
                        <c:v>21553</c:v>
                      </c:pt>
                      <c:pt idx="18">
                        <c:v>21901</c:v>
                      </c:pt>
                      <c:pt idx="19">
                        <c:v>22596</c:v>
                      </c:pt>
                      <c:pt idx="20">
                        <c:v>22944</c:v>
                      </c:pt>
                      <c:pt idx="21">
                        <c:v>23291</c:v>
                      </c:pt>
                      <c:pt idx="22">
                        <c:v>23639</c:v>
                      </c:pt>
                      <c:pt idx="23">
                        <c:v>23986</c:v>
                      </c:pt>
                      <c:pt idx="24">
                        <c:v>24334</c:v>
                      </c:pt>
                      <c:pt idx="25">
                        <c:v>24681</c:v>
                      </c:pt>
                      <c:pt idx="26">
                        <c:v>25376</c:v>
                      </c:pt>
                      <c:pt idx="27">
                        <c:v>25724</c:v>
                      </c:pt>
                      <c:pt idx="28">
                        <c:v>26071</c:v>
                      </c:pt>
                      <c:pt idx="29">
                        <c:v>26419</c:v>
                      </c:pt>
                      <c:pt idx="30">
                        <c:v>26766</c:v>
                      </c:pt>
                      <c:pt idx="31">
                        <c:v>27114</c:v>
                      </c:pt>
                      <c:pt idx="32">
                        <c:v>27461</c:v>
                      </c:pt>
                      <c:pt idx="33">
                        <c:v>27809</c:v>
                      </c:pt>
                      <c:pt idx="34">
                        <c:v>28504</c:v>
                      </c:pt>
                      <c:pt idx="35">
                        <c:v>28851</c:v>
                      </c:pt>
                      <c:pt idx="36">
                        <c:v>29199</c:v>
                      </c:pt>
                      <c:pt idx="37">
                        <c:v>29546</c:v>
                      </c:pt>
                      <c:pt idx="38">
                        <c:v>29894</c:v>
                      </c:pt>
                      <c:pt idx="39">
                        <c:v>30241</c:v>
                      </c:pt>
                      <c:pt idx="40">
                        <c:v>30590</c:v>
                      </c:pt>
                      <c:pt idx="41">
                        <c:v>30937</c:v>
                      </c:pt>
                      <c:pt idx="42">
                        <c:v>31632</c:v>
                      </c:pt>
                      <c:pt idx="43">
                        <c:v>31980</c:v>
                      </c:pt>
                      <c:pt idx="44">
                        <c:v>32327</c:v>
                      </c:pt>
                      <c:pt idx="45">
                        <c:v>32675</c:v>
                      </c:pt>
                      <c:pt idx="46">
                        <c:v>33022</c:v>
                      </c:pt>
                      <c:pt idx="47">
                        <c:v>33370</c:v>
                      </c:pt>
                      <c:pt idx="48">
                        <c:v>33717</c:v>
                      </c:pt>
                      <c:pt idx="49">
                        <c:v>34412</c:v>
                      </c:pt>
                      <c:pt idx="50">
                        <c:v>34760</c:v>
                      </c:pt>
                      <c:pt idx="51">
                        <c:v>35107</c:v>
                      </c:pt>
                      <c:pt idx="52">
                        <c:v>35455</c:v>
                      </c:pt>
                      <c:pt idx="53">
                        <c:v>35802</c:v>
                      </c:pt>
                      <c:pt idx="54">
                        <c:v>36150</c:v>
                      </c:pt>
                      <c:pt idx="55">
                        <c:v>36497</c:v>
                      </c:pt>
                      <c:pt idx="56">
                        <c:v>36845</c:v>
                      </c:pt>
                      <c:pt idx="57">
                        <c:v>37540</c:v>
                      </c:pt>
                      <c:pt idx="58">
                        <c:v>37887</c:v>
                      </c:pt>
                      <c:pt idx="59">
                        <c:v>38235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3EB-4F2F-9CD4-F403992F3986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Sheet1!$U$1:$U$2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Sheet1!$U$3:$U$102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11247</c:v>
                      </c:pt>
                      <c:pt idx="1">
                        <c:v>11508</c:v>
                      </c:pt>
                      <c:pt idx="2">
                        <c:v>11769</c:v>
                      </c:pt>
                      <c:pt idx="3">
                        <c:v>12290</c:v>
                      </c:pt>
                      <c:pt idx="4">
                        <c:v>12551</c:v>
                      </c:pt>
                      <c:pt idx="5">
                        <c:v>12811</c:v>
                      </c:pt>
                      <c:pt idx="6">
                        <c:v>13073</c:v>
                      </c:pt>
                      <c:pt idx="7">
                        <c:v>13333</c:v>
                      </c:pt>
                      <c:pt idx="8">
                        <c:v>13594</c:v>
                      </c:pt>
                      <c:pt idx="9">
                        <c:v>13854</c:v>
                      </c:pt>
                      <c:pt idx="10">
                        <c:v>14116</c:v>
                      </c:pt>
                      <c:pt idx="11">
                        <c:v>14637</c:v>
                      </c:pt>
                      <c:pt idx="12">
                        <c:v>14897</c:v>
                      </c:pt>
                      <c:pt idx="13">
                        <c:v>15158</c:v>
                      </c:pt>
                      <c:pt idx="14">
                        <c:v>15419</c:v>
                      </c:pt>
                      <c:pt idx="15">
                        <c:v>15680</c:v>
                      </c:pt>
                      <c:pt idx="16">
                        <c:v>15940</c:v>
                      </c:pt>
                      <c:pt idx="17">
                        <c:v>16201</c:v>
                      </c:pt>
                      <c:pt idx="18">
                        <c:v>16462</c:v>
                      </c:pt>
                      <c:pt idx="19">
                        <c:v>16983</c:v>
                      </c:pt>
                      <c:pt idx="20">
                        <c:v>17244</c:v>
                      </c:pt>
                      <c:pt idx="21">
                        <c:v>17504</c:v>
                      </c:pt>
                      <c:pt idx="22">
                        <c:v>17766</c:v>
                      </c:pt>
                      <c:pt idx="23">
                        <c:v>18026</c:v>
                      </c:pt>
                      <c:pt idx="24">
                        <c:v>18287</c:v>
                      </c:pt>
                      <c:pt idx="25">
                        <c:v>18547</c:v>
                      </c:pt>
                      <c:pt idx="26">
                        <c:v>19068</c:v>
                      </c:pt>
                      <c:pt idx="27">
                        <c:v>19330</c:v>
                      </c:pt>
                      <c:pt idx="28">
                        <c:v>19590</c:v>
                      </c:pt>
                      <c:pt idx="29">
                        <c:v>19851</c:v>
                      </c:pt>
                      <c:pt idx="30">
                        <c:v>20111</c:v>
                      </c:pt>
                      <c:pt idx="31">
                        <c:v>20373</c:v>
                      </c:pt>
                      <c:pt idx="32">
                        <c:v>20633</c:v>
                      </c:pt>
                      <c:pt idx="33">
                        <c:v>20894</c:v>
                      </c:pt>
                      <c:pt idx="34">
                        <c:v>21415</c:v>
                      </c:pt>
                      <c:pt idx="35">
                        <c:v>21676</c:v>
                      </c:pt>
                      <c:pt idx="36">
                        <c:v>21937</c:v>
                      </c:pt>
                      <c:pt idx="37">
                        <c:v>22197</c:v>
                      </c:pt>
                      <c:pt idx="38">
                        <c:v>22458</c:v>
                      </c:pt>
                      <c:pt idx="39">
                        <c:v>22719</c:v>
                      </c:pt>
                      <c:pt idx="40">
                        <c:v>22980</c:v>
                      </c:pt>
                      <c:pt idx="41">
                        <c:v>23240</c:v>
                      </c:pt>
                      <c:pt idx="42">
                        <c:v>23761</c:v>
                      </c:pt>
                      <c:pt idx="43">
                        <c:v>24023</c:v>
                      </c:pt>
                      <c:pt idx="44">
                        <c:v>24283</c:v>
                      </c:pt>
                      <c:pt idx="45">
                        <c:v>24544</c:v>
                      </c:pt>
                      <c:pt idx="46">
                        <c:v>24804</c:v>
                      </c:pt>
                      <c:pt idx="47">
                        <c:v>25066</c:v>
                      </c:pt>
                      <c:pt idx="48">
                        <c:v>25326</c:v>
                      </c:pt>
                      <c:pt idx="49">
                        <c:v>25847</c:v>
                      </c:pt>
                      <c:pt idx="50">
                        <c:v>26108</c:v>
                      </c:pt>
                      <c:pt idx="51">
                        <c:v>26368</c:v>
                      </c:pt>
                      <c:pt idx="52">
                        <c:v>26630</c:v>
                      </c:pt>
                      <c:pt idx="53">
                        <c:v>26890</c:v>
                      </c:pt>
                      <c:pt idx="54">
                        <c:v>27151</c:v>
                      </c:pt>
                      <c:pt idx="55">
                        <c:v>27411</c:v>
                      </c:pt>
                      <c:pt idx="56">
                        <c:v>27673</c:v>
                      </c:pt>
                      <c:pt idx="57">
                        <c:v>28194</c:v>
                      </c:pt>
                      <c:pt idx="58">
                        <c:v>28454</c:v>
                      </c:pt>
                      <c:pt idx="59">
                        <c:v>28715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3EB-4F2F-9CD4-F403992F3986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Sheet1!$V$1:$V$2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Sheet1!$V$3:$V$102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EB-4F2F-9CD4-F403992F3986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Sheet1!$W$1:$W$2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Sheet1!$W$3:$W$102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10068</c:v>
                      </c:pt>
                      <c:pt idx="1">
                        <c:v>12336</c:v>
                      </c:pt>
                      <c:pt idx="2">
                        <c:v>14604</c:v>
                      </c:pt>
                      <c:pt idx="3">
                        <c:v>16935</c:v>
                      </c:pt>
                      <c:pt idx="4">
                        <c:v>19218</c:v>
                      </c:pt>
                      <c:pt idx="5">
                        <c:v>21502</c:v>
                      </c:pt>
                      <c:pt idx="6">
                        <c:v>23786</c:v>
                      </c:pt>
                      <c:pt idx="7">
                        <c:v>26070</c:v>
                      </c:pt>
                      <c:pt idx="8">
                        <c:v>28353</c:v>
                      </c:pt>
                      <c:pt idx="9">
                        <c:v>30637</c:v>
                      </c:pt>
                      <c:pt idx="10">
                        <c:v>32921</c:v>
                      </c:pt>
                      <c:pt idx="11">
                        <c:v>35394</c:v>
                      </c:pt>
                      <c:pt idx="12">
                        <c:v>37693</c:v>
                      </c:pt>
                      <c:pt idx="13">
                        <c:v>39993</c:v>
                      </c:pt>
                      <c:pt idx="14">
                        <c:v>42292</c:v>
                      </c:pt>
                      <c:pt idx="15">
                        <c:v>44592</c:v>
                      </c:pt>
                      <c:pt idx="16">
                        <c:v>46891</c:v>
                      </c:pt>
                      <c:pt idx="17">
                        <c:v>49191</c:v>
                      </c:pt>
                      <c:pt idx="18">
                        <c:v>51490</c:v>
                      </c:pt>
                      <c:pt idx="19">
                        <c:v>54105</c:v>
                      </c:pt>
                      <c:pt idx="20">
                        <c:v>56420</c:v>
                      </c:pt>
                      <c:pt idx="21">
                        <c:v>58735</c:v>
                      </c:pt>
                      <c:pt idx="22">
                        <c:v>61050</c:v>
                      </c:pt>
                      <c:pt idx="23">
                        <c:v>63366</c:v>
                      </c:pt>
                      <c:pt idx="24">
                        <c:v>65681</c:v>
                      </c:pt>
                      <c:pt idx="25">
                        <c:v>67996</c:v>
                      </c:pt>
                      <c:pt idx="26">
                        <c:v>70737</c:v>
                      </c:pt>
                      <c:pt idx="27">
                        <c:v>73068</c:v>
                      </c:pt>
                      <c:pt idx="28">
                        <c:v>75399</c:v>
                      </c:pt>
                      <c:pt idx="29">
                        <c:v>77730</c:v>
                      </c:pt>
                      <c:pt idx="30">
                        <c:v>80061</c:v>
                      </c:pt>
                      <c:pt idx="31">
                        <c:v>82392</c:v>
                      </c:pt>
                      <c:pt idx="32">
                        <c:v>84723</c:v>
                      </c:pt>
                      <c:pt idx="33">
                        <c:v>87054</c:v>
                      </c:pt>
                      <c:pt idx="34">
                        <c:v>89936</c:v>
                      </c:pt>
                      <c:pt idx="35">
                        <c:v>92283</c:v>
                      </c:pt>
                      <c:pt idx="36">
                        <c:v>94629</c:v>
                      </c:pt>
                      <c:pt idx="37">
                        <c:v>96976</c:v>
                      </c:pt>
                      <c:pt idx="38">
                        <c:v>99323</c:v>
                      </c:pt>
                      <c:pt idx="39">
                        <c:v>101670</c:v>
                      </c:pt>
                      <c:pt idx="40">
                        <c:v>104016</c:v>
                      </c:pt>
                      <c:pt idx="41">
                        <c:v>106363</c:v>
                      </c:pt>
                      <c:pt idx="42">
                        <c:v>109387</c:v>
                      </c:pt>
                      <c:pt idx="43">
                        <c:v>111750</c:v>
                      </c:pt>
                      <c:pt idx="44">
                        <c:v>114112</c:v>
                      </c:pt>
                      <c:pt idx="45">
                        <c:v>116475</c:v>
                      </c:pt>
                      <c:pt idx="46">
                        <c:v>118837</c:v>
                      </c:pt>
                      <c:pt idx="47">
                        <c:v>121200</c:v>
                      </c:pt>
                      <c:pt idx="48">
                        <c:v>123562</c:v>
                      </c:pt>
                      <c:pt idx="49">
                        <c:v>126712</c:v>
                      </c:pt>
                      <c:pt idx="50">
                        <c:v>129090</c:v>
                      </c:pt>
                      <c:pt idx="51">
                        <c:v>131469</c:v>
                      </c:pt>
                      <c:pt idx="52">
                        <c:v>133847</c:v>
                      </c:pt>
                      <c:pt idx="53">
                        <c:v>136225</c:v>
                      </c:pt>
                      <c:pt idx="54">
                        <c:v>138603</c:v>
                      </c:pt>
                      <c:pt idx="55">
                        <c:v>140982</c:v>
                      </c:pt>
                      <c:pt idx="56">
                        <c:v>143360</c:v>
                      </c:pt>
                      <c:pt idx="57">
                        <c:v>146652</c:v>
                      </c:pt>
                      <c:pt idx="58">
                        <c:v>149046</c:v>
                      </c:pt>
                      <c:pt idx="59">
                        <c:v>151440</c:v>
                      </c:pt>
                      <c:pt idx="60">
                        <c:v>153834</c:v>
                      </c:pt>
                      <c:pt idx="61">
                        <c:v>156228</c:v>
                      </c:pt>
                      <c:pt idx="62">
                        <c:v>158622</c:v>
                      </c:pt>
                      <c:pt idx="63">
                        <c:v>161016</c:v>
                      </c:pt>
                      <c:pt idx="64">
                        <c:v>163410</c:v>
                      </c:pt>
                      <c:pt idx="65">
                        <c:v>166843</c:v>
                      </c:pt>
                      <c:pt idx="66">
                        <c:v>169253</c:v>
                      </c:pt>
                      <c:pt idx="67">
                        <c:v>171663</c:v>
                      </c:pt>
                      <c:pt idx="68">
                        <c:v>174072</c:v>
                      </c:pt>
                      <c:pt idx="69">
                        <c:v>176482</c:v>
                      </c:pt>
                      <c:pt idx="70">
                        <c:v>178892</c:v>
                      </c:pt>
                      <c:pt idx="71">
                        <c:v>181302</c:v>
                      </c:pt>
                      <c:pt idx="72">
                        <c:v>183711</c:v>
                      </c:pt>
                      <c:pt idx="73">
                        <c:v>187287</c:v>
                      </c:pt>
                      <c:pt idx="74">
                        <c:v>189712</c:v>
                      </c:pt>
                      <c:pt idx="75">
                        <c:v>192138</c:v>
                      </c:pt>
                      <c:pt idx="76">
                        <c:v>194563</c:v>
                      </c:pt>
                      <c:pt idx="77">
                        <c:v>196989</c:v>
                      </c:pt>
                      <c:pt idx="78">
                        <c:v>199414</c:v>
                      </c:pt>
                      <c:pt idx="79">
                        <c:v>201840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3EB-4F2F-9CD4-F403992F3986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Sheet1!$X$1:$X$2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Sheet1!$X$3:$X$102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1157</c:v>
                      </c:pt>
                      <c:pt idx="1">
                        <c:v>1158</c:v>
                      </c:pt>
                      <c:pt idx="2">
                        <c:v>1159</c:v>
                      </c:pt>
                      <c:pt idx="3">
                        <c:v>1159</c:v>
                      </c:pt>
                      <c:pt idx="4">
                        <c:v>1264</c:v>
                      </c:pt>
                      <c:pt idx="5">
                        <c:v>1265</c:v>
                      </c:pt>
                      <c:pt idx="6">
                        <c:v>1265</c:v>
                      </c:pt>
                      <c:pt idx="7">
                        <c:v>1266</c:v>
                      </c:pt>
                      <c:pt idx="8">
                        <c:v>1266</c:v>
                      </c:pt>
                      <c:pt idx="9">
                        <c:v>1267</c:v>
                      </c:pt>
                      <c:pt idx="10">
                        <c:v>1267</c:v>
                      </c:pt>
                      <c:pt idx="11">
                        <c:v>1268</c:v>
                      </c:pt>
                      <c:pt idx="12">
                        <c:v>1269</c:v>
                      </c:pt>
                      <c:pt idx="13">
                        <c:v>1378</c:v>
                      </c:pt>
                      <c:pt idx="14">
                        <c:v>1378</c:v>
                      </c:pt>
                      <c:pt idx="15">
                        <c:v>1379</c:v>
                      </c:pt>
                      <c:pt idx="16">
                        <c:v>1380</c:v>
                      </c:pt>
                      <c:pt idx="17">
                        <c:v>1380</c:v>
                      </c:pt>
                      <c:pt idx="18">
                        <c:v>1381</c:v>
                      </c:pt>
                      <c:pt idx="19">
                        <c:v>1381</c:v>
                      </c:pt>
                      <c:pt idx="20">
                        <c:v>1382</c:v>
                      </c:pt>
                      <c:pt idx="21">
                        <c:v>1383</c:v>
                      </c:pt>
                      <c:pt idx="22">
                        <c:v>1496</c:v>
                      </c:pt>
                      <c:pt idx="23">
                        <c:v>1497</c:v>
                      </c:pt>
                      <c:pt idx="24">
                        <c:v>1497</c:v>
                      </c:pt>
                      <c:pt idx="25">
                        <c:v>1498</c:v>
                      </c:pt>
                      <c:pt idx="26">
                        <c:v>1499</c:v>
                      </c:pt>
                      <c:pt idx="27">
                        <c:v>1499</c:v>
                      </c:pt>
                      <c:pt idx="28">
                        <c:v>1500</c:v>
                      </c:pt>
                      <c:pt idx="29">
                        <c:v>1500</c:v>
                      </c:pt>
                      <c:pt idx="30">
                        <c:v>1501</c:v>
                      </c:pt>
                      <c:pt idx="31">
                        <c:v>1619</c:v>
                      </c:pt>
                      <c:pt idx="32">
                        <c:v>1620</c:v>
                      </c:pt>
                      <c:pt idx="33">
                        <c:v>1620</c:v>
                      </c:pt>
                      <c:pt idx="34">
                        <c:v>1621</c:v>
                      </c:pt>
                      <c:pt idx="35">
                        <c:v>1621</c:v>
                      </c:pt>
                      <c:pt idx="36">
                        <c:v>1622</c:v>
                      </c:pt>
                      <c:pt idx="37">
                        <c:v>1623</c:v>
                      </c:pt>
                      <c:pt idx="38">
                        <c:v>1623</c:v>
                      </c:pt>
                      <c:pt idx="39">
                        <c:v>1624</c:v>
                      </c:pt>
                      <c:pt idx="40">
                        <c:v>1747</c:v>
                      </c:pt>
                      <c:pt idx="41">
                        <c:v>1747</c:v>
                      </c:pt>
                      <c:pt idx="42">
                        <c:v>1748</c:v>
                      </c:pt>
                      <c:pt idx="43">
                        <c:v>1748</c:v>
                      </c:pt>
                      <c:pt idx="44">
                        <c:v>1749</c:v>
                      </c:pt>
                      <c:pt idx="45">
                        <c:v>1750</c:v>
                      </c:pt>
                      <c:pt idx="46">
                        <c:v>1750</c:v>
                      </c:pt>
                      <c:pt idx="47">
                        <c:v>1751</c:v>
                      </c:pt>
                      <c:pt idx="48">
                        <c:v>1751</c:v>
                      </c:pt>
                      <c:pt idx="49">
                        <c:v>1879</c:v>
                      </c:pt>
                      <c:pt idx="50">
                        <c:v>1879</c:v>
                      </c:pt>
                      <c:pt idx="51">
                        <c:v>1880</c:v>
                      </c:pt>
                      <c:pt idx="52">
                        <c:v>1880</c:v>
                      </c:pt>
                      <c:pt idx="53">
                        <c:v>1881</c:v>
                      </c:pt>
                      <c:pt idx="54">
                        <c:v>1882</c:v>
                      </c:pt>
                      <c:pt idx="55">
                        <c:v>1882</c:v>
                      </c:pt>
                      <c:pt idx="56">
                        <c:v>1883</c:v>
                      </c:pt>
                      <c:pt idx="57">
                        <c:v>1883</c:v>
                      </c:pt>
                      <c:pt idx="58">
                        <c:v>1884</c:v>
                      </c:pt>
                      <c:pt idx="59">
                        <c:v>2016</c:v>
                      </c:pt>
                      <c:pt idx="60">
                        <c:v>2016</c:v>
                      </c:pt>
                      <c:pt idx="61">
                        <c:v>2017</c:v>
                      </c:pt>
                      <c:pt idx="62">
                        <c:v>2017</c:v>
                      </c:pt>
                      <c:pt idx="63">
                        <c:v>2018</c:v>
                      </c:pt>
                      <c:pt idx="64">
                        <c:v>2019</c:v>
                      </c:pt>
                      <c:pt idx="65">
                        <c:v>2019</c:v>
                      </c:pt>
                      <c:pt idx="66">
                        <c:v>2020</c:v>
                      </c:pt>
                      <c:pt idx="67">
                        <c:v>2020</c:v>
                      </c:pt>
                      <c:pt idx="68">
                        <c:v>2157</c:v>
                      </c:pt>
                      <c:pt idx="69">
                        <c:v>2157</c:v>
                      </c:pt>
                      <c:pt idx="70">
                        <c:v>2158</c:v>
                      </c:pt>
                      <c:pt idx="71">
                        <c:v>2159</c:v>
                      </c:pt>
                      <c:pt idx="72">
                        <c:v>2159</c:v>
                      </c:pt>
                      <c:pt idx="73">
                        <c:v>2160</c:v>
                      </c:pt>
                      <c:pt idx="74">
                        <c:v>2160</c:v>
                      </c:pt>
                      <c:pt idx="75">
                        <c:v>2161</c:v>
                      </c:pt>
                      <c:pt idx="76">
                        <c:v>2161</c:v>
                      </c:pt>
                      <c:pt idx="77">
                        <c:v>2302</c:v>
                      </c:pt>
                      <c:pt idx="78">
                        <c:v>2303</c:v>
                      </c:pt>
                      <c:pt idx="79">
                        <c:v>2304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3EB-4F2F-9CD4-F403992F3986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Sheet1!$Z$1:$Z$2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Sheet1!$Z$3:$Z$102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11066</c:v>
                      </c:pt>
                      <c:pt idx="1">
                        <c:v>11067</c:v>
                      </c:pt>
                      <c:pt idx="2">
                        <c:v>11503</c:v>
                      </c:pt>
                      <c:pt idx="3">
                        <c:v>11504</c:v>
                      </c:pt>
                      <c:pt idx="4">
                        <c:v>11504</c:v>
                      </c:pt>
                      <c:pt idx="5">
                        <c:v>11505</c:v>
                      </c:pt>
                      <c:pt idx="6">
                        <c:v>11949</c:v>
                      </c:pt>
                      <c:pt idx="7">
                        <c:v>11950</c:v>
                      </c:pt>
                      <c:pt idx="8">
                        <c:v>11951</c:v>
                      </c:pt>
                      <c:pt idx="9">
                        <c:v>11951</c:v>
                      </c:pt>
                      <c:pt idx="10">
                        <c:v>12404</c:v>
                      </c:pt>
                      <c:pt idx="11">
                        <c:v>12405</c:v>
                      </c:pt>
                      <c:pt idx="12">
                        <c:v>12405</c:v>
                      </c:pt>
                      <c:pt idx="13">
                        <c:v>12406</c:v>
                      </c:pt>
                      <c:pt idx="14">
                        <c:v>12867</c:v>
                      </c:pt>
                      <c:pt idx="15">
                        <c:v>12868</c:v>
                      </c:pt>
                      <c:pt idx="16">
                        <c:v>12869</c:v>
                      </c:pt>
                      <c:pt idx="17">
                        <c:v>12869</c:v>
                      </c:pt>
                      <c:pt idx="18">
                        <c:v>13339</c:v>
                      </c:pt>
                      <c:pt idx="19">
                        <c:v>13339</c:v>
                      </c:pt>
                      <c:pt idx="20">
                        <c:v>13340</c:v>
                      </c:pt>
                      <c:pt idx="21">
                        <c:v>13341</c:v>
                      </c:pt>
                      <c:pt idx="22">
                        <c:v>13819</c:v>
                      </c:pt>
                      <c:pt idx="23">
                        <c:v>13819</c:v>
                      </c:pt>
                      <c:pt idx="24">
                        <c:v>13820</c:v>
                      </c:pt>
                      <c:pt idx="25">
                        <c:v>13820</c:v>
                      </c:pt>
                      <c:pt idx="26">
                        <c:v>13821</c:v>
                      </c:pt>
                      <c:pt idx="27">
                        <c:v>14308</c:v>
                      </c:pt>
                      <c:pt idx="28">
                        <c:v>14308</c:v>
                      </c:pt>
                      <c:pt idx="29">
                        <c:v>14309</c:v>
                      </c:pt>
                      <c:pt idx="30">
                        <c:v>14310</c:v>
                      </c:pt>
                      <c:pt idx="31">
                        <c:v>14805</c:v>
                      </c:pt>
                      <c:pt idx="32">
                        <c:v>14805</c:v>
                      </c:pt>
                      <c:pt idx="33">
                        <c:v>14806</c:v>
                      </c:pt>
                      <c:pt idx="34">
                        <c:v>14806</c:v>
                      </c:pt>
                      <c:pt idx="35">
                        <c:v>15310</c:v>
                      </c:pt>
                      <c:pt idx="36">
                        <c:v>15311</c:v>
                      </c:pt>
                      <c:pt idx="37">
                        <c:v>15311</c:v>
                      </c:pt>
                      <c:pt idx="38">
                        <c:v>15312</c:v>
                      </c:pt>
                      <c:pt idx="39">
                        <c:v>15824</c:v>
                      </c:pt>
                      <c:pt idx="40">
                        <c:v>15824</c:v>
                      </c:pt>
                      <c:pt idx="41">
                        <c:v>15825</c:v>
                      </c:pt>
                      <c:pt idx="42">
                        <c:v>15825</c:v>
                      </c:pt>
                      <c:pt idx="43">
                        <c:v>16346</c:v>
                      </c:pt>
                      <c:pt idx="44">
                        <c:v>16346</c:v>
                      </c:pt>
                      <c:pt idx="45">
                        <c:v>16347</c:v>
                      </c:pt>
                      <c:pt idx="46">
                        <c:v>16347</c:v>
                      </c:pt>
                      <c:pt idx="47">
                        <c:v>16876</c:v>
                      </c:pt>
                      <c:pt idx="48">
                        <c:v>16877</c:v>
                      </c:pt>
                      <c:pt idx="49">
                        <c:v>16877</c:v>
                      </c:pt>
                      <c:pt idx="50">
                        <c:v>16878</c:v>
                      </c:pt>
                      <c:pt idx="51">
                        <c:v>16878</c:v>
                      </c:pt>
                      <c:pt idx="52">
                        <c:v>17416</c:v>
                      </c:pt>
                      <c:pt idx="53">
                        <c:v>17416</c:v>
                      </c:pt>
                      <c:pt idx="54">
                        <c:v>17417</c:v>
                      </c:pt>
                      <c:pt idx="55">
                        <c:v>17418</c:v>
                      </c:pt>
                      <c:pt idx="56">
                        <c:v>17963</c:v>
                      </c:pt>
                      <c:pt idx="57">
                        <c:v>17964</c:v>
                      </c:pt>
                      <c:pt idx="58">
                        <c:v>17964</c:v>
                      </c:pt>
                      <c:pt idx="59">
                        <c:v>17965</c:v>
                      </c:pt>
                      <c:pt idx="60">
                        <c:v>18519</c:v>
                      </c:pt>
                      <c:pt idx="61">
                        <c:v>18519</c:v>
                      </c:pt>
                      <c:pt idx="62">
                        <c:v>18520</c:v>
                      </c:pt>
                      <c:pt idx="63">
                        <c:v>18521</c:v>
                      </c:pt>
                      <c:pt idx="64">
                        <c:v>19083</c:v>
                      </c:pt>
                      <c:pt idx="65">
                        <c:v>19084</c:v>
                      </c:pt>
                      <c:pt idx="66">
                        <c:v>19084</c:v>
                      </c:pt>
                      <c:pt idx="67">
                        <c:v>19085</c:v>
                      </c:pt>
                      <c:pt idx="68">
                        <c:v>19656</c:v>
                      </c:pt>
                      <c:pt idx="69">
                        <c:v>19656</c:v>
                      </c:pt>
                      <c:pt idx="70">
                        <c:v>19657</c:v>
                      </c:pt>
                      <c:pt idx="71">
                        <c:v>19657</c:v>
                      </c:pt>
                      <c:pt idx="72">
                        <c:v>20237</c:v>
                      </c:pt>
                      <c:pt idx="73">
                        <c:v>20237</c:v>
                      </c:pt>
                      <c:pt idx="74">
                        <c:v>20238</c:v>
                      </c:pt>
                      <c:pt idx="75">
                        <c:v>20238</c:v>
                      </c:pt>
                      <c:pt idx="76">
                        <c:v>20239</c:v>
                      </c:pt>
                      <c:pt idx="77">
                        <c:v>20827</c:v>
                      </c:pt>
                      <c:pt idx="78">
                        <c:v>20827</c:v>
                      </c:pt>
                      <c:pt idx="79">
                        <c:v>20828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3EB-4F2F-9CD4-F403992F3986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Sheet1!$AA$1:$AA$2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Sheet1!$AA$3:$AA$102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21338</c:v>
                      </c:pt>
                      <c:pt idx="1">
                        <c:v>21812</c:v>
                      </c:pt>
                      <c:pt idx="2">
                        <c:v>22287</c:v>
                      </c:pt>
                      <c:pt idx="3">
                        <c:v>23235</c:v>
                      </c:pt>
                      <c:pt idx="4">
                        <c:v>23709</c:v>
                      </c:pt>
                      <c:pt idx="5">
                        <c:v>24183</c:v>
                      </c:pt>
                      <c:pt idx="6">
                        <c:v>24657</c:v>
                      </c:pt>
                      <c:pt idx="7">
                        <c:v>25131</c:v>
                      </c:pt>
                      <c:pt idx="8">
                        <c:v>25605</c:v>
                      </c:pt>
                      <c:pt idx="9">
                        <c:v>26079</c:v>
                      </c:pt>
                      <c:pt idx="10">
                        <c:v>26553</c:v>
                      </c:pt>
                      <c:pt idx="11">
                        <c:v>27501</c:v>
                      </c:pt>
                      <c:pt idx="12">
                        <c:v>27975</c:v>
                      </c:pt>
                      <c:pt idx="13">
                        <c:v>28450</c:v>
                      </c:pt>
                      <c:pt idx="14">
                        <c:v>28924</c:v>
                      </c:pt>
                      <c:pt idx="15">
                        <c:v>29398</c:v>
                      </c:pt>
                      <c:pt idx="16">
                        <c:v>29872</c:v>
                      </c:pt>
                      <c:pt idx="17">
                        <c:v>30346</c:v>
                      </c:pt>
                      <c:pt idx="18">
                        <c:v>30820</c:v>
                      </c:pt>
                      <c:pt idx="19">
                        <c:v>31768</c:v>
                      </c:pt>
                      <c:pt idx="20">
                        <c:v>32242</c:v>
                      </c:pt>
                      <c:pt idx="21">
                        <c:v>32716</c:v>
                      </c:pt>
                      <c:pt idx="22">
                        <c:v>33190</c:v>
                      </c:pt>
                      <c:pt idx="23">
                        <c:v>33664</c:v>
                      </c:pt>
                      <c:pt idx="24">
                        <c:v>34138</c:v>
                      </c:pt>
                      <c:pt idx="25">
                        <c:v>34612</c:v>
                      </c:pt>
                      <c:pt idx="26">
                        <c:v>35560</c:v>
                      </c:pt>
                      <c:pt idx="27">
                        <c:v>36034</c:v>
                      </c:pt>
                      <c:pt idx="28">
                        <c:v>36508</c:v>
                      </c:pt>
                      <c:pt idx="29">
                        <c:v>36982</c:v>
                      </c:pt>
                      <c:pt idx="30">
                        <c:v>37456</c:v>
                      </c:pt>
                      <c:pt idx="31">
                        <c:v>37930</c:v>
                      </c:pt>
                      <c:pt idx="32">
                        <c:v>38404</c:v>
                      </c:pt>
                      <c:pt idx="33">
                        <c:v>38878</c:v>
                      </c:pt>
                      <c:pt idx="34">
                        <c:v>39826</c:v>
                      </c:pt>
                      <c:pt idx="35">
                        <c:v>40300</c:v>
                      </c:pt>
                      <c:pt idx="36">
                        <c:v>40774</c:v>
                      </c:pt>
                      <c:pt idx="37">
                        <c:v>41248</c:v>
                      </c:pt>
                      <c:pt idx="38">
                        <c:v>41722</c:v>
                      </c:pt>
                      <c:pt idx="39">
                        <c:v>42196</c:v>
                      </c:pt>
                      <c:pt idx="40">
                        <c:v>42670</c:v>
                      </c:pt>
                      <c:pt idx="41">
                        <c:v>43144</c:v>
                      </c:pt>
                      <c:pt idx="42">
                        <c:v>44092</c:v>
                      </c:pt>
                      <c:pt idx="43">
                        <c:v>44566</c:v>
                      </c:pt>
                      <c:pt idx="44">
                        <c:v>45040</c:v>
                      </c:pt>
                      <c:pt idx="45">
                        <c:v>45514</c:v>
                      </c:pt>
                      <c:pt idx="46">
                        <c:v>45988</c:v>
                      </c:pt>
                      <c:pt idx="47">
                        <c:v>46462</c:v>
                      </c:pt>
                      <c:pt idx="48">
                        <c:v>46936</c:v>
                      </c:pt>
                      <c:pt idx="49">
                        <c:v>47885</c:v>
                      </c:pt>
                      <c:pt idx="50">
                        <c:v>48359</c:v>
                      </c:pt>
                      <c:pt idx="51">
                        <c:v>48833</c:v>
                      </c:pt>
                      <c:pt idx="52">
                        <c:v>49307</c:v>
                      </c:pt>
                      <c:pt idx="53">
                        <c:v>49781</c:v>
                      </c:pt>
                      <c:pt idx="54">
                        <c:v>50255</c:v>
                      </c:pt>
                      <c:pt idx="55">
                        <c:v>50730</c:v>
                      </c:pt>
                      <c:pt idx="56">
                        <c:v>51204</c:v>
                      </c:pt>
                      <c:pt idx="57">
                        <c:v>52152</c:v>
                      </c:pt>
                      <c:pt idx="58">
                        <c:v>52626</c:v>
                      </c:pt>
                      <c:pt idx="59">
                        <c:v>53100</c:v>
                      </c:pt>
                      <c:pt idx="60">
                        <c:v>53574</c:v>
                      </c:pt>
                      <c:pt idx="61">
                        <c:v>54048</c:v>
                      </c:pt>
                      <c:pt idx="62">
                        <c:v>54522</c:v>
                      </c:pt>
                      <c:pt idx="63">
                        <c:v>54996</c:v>
                      </c:pt>
                      <c:pt idx="64">
                        <c:v>55470</c:v>
                      </c:pt>
                      <c:pt idx="65">
                        <c:v>56418</c:v>
                      </c:pt>
                      <c:pt idx="66">
                        <c:v>56892</c:v>
                      </c:pt>
                      <c:pt idx="67">
                        <c:v>57366</c:v>
                      </c:pt>
                      <c:pt idx="68">
                        <c:v>57840</c:v>
                      </c:pt>
                      <c:pt idx="69">
                        <c:v>58314</c:v>
                      </c:pt>
                      <c:pt idx="70">
                        <c:v>58788</c:v>
                      </c:pt>
                      <c:pt idx="71">
                        <c:v>59262</c:v>
                      </c:pt>
                      <c:pt idx="72">
                        <c:v>59736</c:v>
                      </c:pt>
                      <c:pt idx="73">
                        <c:v>60684</c:v>
                      </c:pt>
                      <c:pt idx="74">
                        <c:v>61158</c:v>
                      </c:pt>
                      <c:pt idx="75">
                        <c:v>61632</c:v>
                      </c:pt>
                      <c:pt idx="76">
                        <c:v>62106</c:v>
                      </c:pt>
                      <c:pt idx="77">
                        <c:v>62580</c:v>
                      </c:pt>
                      <c:pt idx="78">
                        <c:v>63054</c:v>
                      </c:pt>
                      <c:pt idx="79">
                        <c:v>63528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3EB-4F2F-9CD4-F403992F3986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Sheet1!$AB$1:$AB$2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Sheet1!$AB$3:$AB$102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16048</c:v>
                      </c:pt>
                      <c:pt idx="1">
                        <c:v>16404</c:v>
                      </c:pt>
                      <c:pt idx="2">
                        <c:v>16760</c:v>
                      </c:pt>
                      <c:pt idx="3">
                        <c:v>17471</c:v>
                      </c:pt>
                      <c:pt idx="4">
                        <c:v>17827</c:v>
                      </c:pt>
                      <c:pt idx="5">
                        <c:v>18182</c:v>
                      </c:pt>
                      <c:pt idx="6">
                        <c:v>18539</c:v>
                      </c:pt>
                      <c:pt idx="7">
                        <c:v>18894</c:v>
                      </c:pt>
                      <c:pt idx="8">
                        <c:v>19250</c:v>
                      </c:pt>
                      <c:pt idx="9">
                        <c:v>19605</c:v>
                      </c:pt>
                      <c:pt idx="10">
                        <c:v>19962</c:v>
                      </c:pt>
                      <c:pt idx="11">
                        <c:v>20673</c:v>
                      </c:pt>
                      <c:pt idx="12">
                        <c:v>21028</c:v>
                      </c:pt>
                      <c:pt idx="13">
                        <c:v>21384</c:v>
                      </c:pt>
                      <c:pt idx="14">
                        <c:v>21740</c:v>
                      </c:pt>
                      <c:pt idx="15">
                        <c:v>22096</c:v>
                      </c:pt>
                      <c:pt idx="16">
                        <c:v>22451</c:v>
                      </c:pt>
                      <c:pt idx="17">
                        <c:v>22807</c:v>
                      </c:pt>
                      <c:pt idx="18">
                        <c:v>23163</c:v>
                      </c:pt>
                      <c:pt idx="19">
                        <c:v>23874</c:v>
                      </c:pt>
                      <c:pt idx="20">
                        <c:v>24230</c:v>
                      </c:pt>
                      <c:pt idx="21">
                        <c:v>24585</c:v>
                      </c:pt>
                      <c:pt idx="22">
                        <c:v>24942</c:v>
                      </c:pt>
                      <c:pt idx="23">
                        <c:v>25297</c:v>
                      </c:pt>
                      <c:pt idx="24">
                        <c:v>25653</c:v>
                      </c:pt>
                      <c:pt idx="25">
                        <c:v>26008</c:v>
                      </c:pt>
                      <c:pt idx="26">
                        <c:v>26719</c:v>
                      </c:pt>
                      <c:pt idx="27">
                        <c:v>27076</c:v>
                      </c:pt>
                      <c:pt idx="28">
                        <c:v>27431</c:v>
                      </c:pt>
                      <c:pt idx="29">
                        <c:v>27787</c:v>
                      </c:pt>
                      <c:pt idx="30">
                        <c:v>28142</c:v>
                      </c:pt>
                      <c:pt idx="31">
                        <c:v>28499</c:v>
                      </c:pt>
                      <c:pt idx="32">
                        <c:v>28854</c:v>
                      </c:pt>
                      <c:pt idx="33">
                        <c:v>29210</c:v>
                      </c:pt>
                      <c:pt idx="34">
                        <c:v>29921</c:v>
                      </c:pt>
                      <c:pt idx="35">
                        <c:v>30277</c:v>
                      </c:pt>
                      <c:pt idx="36">
                        <c:v>30633</c:v>
                      </c:pt>
                      <c:pt idx="37">
                        <c:v>30988</c:v>
                      </c:pt>
                      <c:pt idx="38">
                        <c:v>31344</c:v>
                      </c:pt>
                      <c:pt idx="39">
                        <c:v>31700</c:v>
                      </c:pt>
                      <c:pt idx="40">
                        <c:v>32056</c:v>
                      </c:pt>
                      <c:pt idx="41">
                        <c:v>32411</c:v>
                      </c:pt>
                      <c:pt idx="42">
                        <c:v>33122</c:v>
                      </c:pt>
                      <c:pt idx="43">
                        <c:v>33479</c:v>
                      </c:pt>
                      <c:pt idx="44">
                        <c:v>33834</c:v>
                      </c:pt>
                      <c:pt idx="45">
                        <c:v>34190</c:v>
                      </c:pt>
                      <c:pt idx="46">
                        <c:v>34545</c:v>
                      </c:pt>
                      <c:pt idx="47">
                        <c:v>34902</c:v>
                      </c:pt>
                      <c:pt idx="48">
                        <c:v>35257</c:v>
                      </c:pt>
                      <c:pt idx="49">
                        <c:v>35968</c:v>
                      </c:pt>
                      <c:pt idx="50">
                        <c:v>36324</c:v>
                      </c:pt>
                      <c:pt idx="51">
                        <c:v>36679</c:v>
                      </c:pt>
                      <c:pt idx="52">
                        <c:v>37036</c:v>
                      </c:pt>
                      <c:pt idx="53">
                        <c:v>37391</c:v>
                      </c:pt>
                      <c:pt idx="54">
                        <c:v>37747</c:v>
                      </c:pt>
                      <c:pt idx="55">
                        <c:v>38102</c:v>
                      </c:pt>
                      <c:pt idx="56">
                        <c:v>38459</c:v>
                      </c:pt>
                      <c:pt idx="57">
                        <c:v>39170</c:v>
                      </c:pt>
                      <c:pt idx="58">
                        <c:v>39525</c:v>
                      </c:pt>
                      <c:pt idx="59">
                        <c:v>39881</c:v>
                      </c:pt>
                      <c:pt idx="60">
                        <c:v>40237</c:v>
                      </c:pt>
                      <c:pt idx="61">
                        <c:v>40593</c:v>
                      </c:pt>
                      <c:pt idx="62">
                        <c:v>40948</c:v>
                      </c:pt>
                      <c:pt idx="63">
                        <c:v>41304</c:v>
                      </c:pt>
                      <c:pt idx="64">
                        <c:v>41660</c:v>
                      </c:pt>
                      <c:pt idx="65">
                        <c:v>42371</c:v>
                      </c:pt>
                      <c:pt idx="66">
                        <c:v>42727</c:v>
                      </c:pt>
                      <c:pt idx="67">
                        <c:v>43082</c:v>
                      </c:pt>
                      <c:pt idx="68">
                        <c:v>43439</c:v>
                      </c:pt>
                      <c:pt idx="69">
                        <c:v>43794</c:v>
                      </c:pt>
                      <c:pt idx="70">
                        <c:v>44150</c:v>
                      </c:pt>
                      <c:pt idx="71">
                        <c:v>44505</c:v>
                      </c:pt>
                      <c:pt idx="72">
                        <c:v>44862</c:v>
                      </c:pt>
                      <c:pt idx="73">
                        <c:v>45573</c:v>
                      </c:pt>
                      <c:pt idx="74">
                        <c:v>45928</c:v>
                      </c:pt>
                      <c:pt idx="75">
                        <c:v>46284</c:v>
                      </c:pt>
                      <c:pt idx="76">
                        <c:v>46639</c:v>
                      </c:pt>
                      <c:pt idx="77">
                        <c:v>46996</c:v>
                      </c:pt>
                      <c:pt idx="78">
                        <c:v>47351</c:v>
                      </c:pt>
                      <c:pt idx="79">
                        <c:v>47707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3EB-4F2F-9CD4-F403992F398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Sheet1!$AC$1:$AC$2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Sheet1!$AC$3:$AC$102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3EB-4F2F-9CD4-F403992F3986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Sheet1!$AD$1:$AD$2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Sheet1!$AD$3:$AD$102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12429</c:v>
                      </c:pt>
                      <c:pt idx="1">
                        <c:v>15259</c:v>
                      </c:pt>
                      <c:pt idx="2">
                        <c:v>18089</c:v>
                      </c:pt>
                      <c:pt idx="3">
                        <c:v>20996</c:v>
                      </c:pt>
                      <c:pt idx="4">
                        <c:v>23845</c:v>
                      </c:pt>
                      <c:pt idx="5">
                        <c:v>26694</c:v>
                      </c:pt>
                      <c:pt idx="6">
                        <c:v>29543</c:v>
                      </c:pt>
                      <c:pt idx="7">
                        <c:v>32392</c:v>
                      </c:pt>
                      <c:pt idx="8">
                        <c:v>35241</c:v>
                      </c:pt>
                      <c:pt idx="9">
                        <c:v>38090</c:v>
                      </c:pt>
                      <c:pt idx="10">
                        <c:v>40939</c:v>
                      </c:pt>
                      <c:pt idx="11">
                        <c:v>44019</c:v>
                      </c:pt>
                      <c:pt idx="12">
                        <c:v>46887</c:v>
                      </c:pt>
                      <c:pt idx="13">
                        <c:v>49755</c:v>
                      </c:pt>
                      <c:pt idx="14">
                        <c:v>52623</c:v>
                      </c:pt>
                      <c:pt idx="15">
                        <c:v>55492</c:v>
                      </c:pt>
                      <c:pt idx="16">
                        <c:v>58360</c:v>
                      </c:pt>
                      <c:pt idx="17">
                        <c:v>61228</c:v>
                      </c:pt>
                      <c:pt idx="18">
                        <c:v>64096</c:v>
                      </c:pt>
                      <c:pt idx="19">
                        <c:v>67350</c:v>
                      </c:pt>
                      <c:pt idx="20">
                        <c:v>70237</c:v>
                      </c:pt>
                      <c:pt idx="21">
                        <c:v>73125</c:v>
                      </c:pt>
                      <c:pt idx="22">
                        <c:v>76012</c:v>
                      </c:pt>
                      <c:pt idx="23">
                        <c:v>78900</c:v>
                      </c:pt>
                      <c:pt idx="24">
                        <c:v>81787</c:v>
                      </c:pt>
                      <c:pt idx="25">
                        <c:v>84675</c:v>
                      </c:pt>
                      <c:pt idx="26">
                        <c:v>88082</c:v>
                      </c:pt>
                      <c:pt idx="27">
                        <c:v>90989</c:v>
                      </c:pt>
                      <c:pt idx="28">
                        <c:v>93895</c:v>
                      </c:pt>
                      <c:pt idx="29">
                        <c:v>96802</c:v>
                      </c:pt>
                      <c:pt idx="30">
                        <c:v>99709</c:v>
                      </c:pt>
                      <c:pt idx="31">
                        <c:v>102616</c:v>
                      </c:pt>
                      <c:pt idx="32">
                        <c:v>105522</c:v>
                      </c:pt>
                      <c:pt idx="33">
                        <c:v>108429</c:v>
                      </c:pt>
                      <c:pt idx="34">
                        <c:v>112010</c:v>
                      </c:pt>
                      <c:pt idx="35">
                        <c:v>114936</c:v>
                      </c:pt>
                      <c:pt idx="36">
                        <c:v>117862</c:v>
                      </c:pt>
                      <c:pt idx="37">
                        <c:v>120788</c:v>
                      </c:pt>
                      <c:pt idx="38">
                        <c:v>123714</c:v>
                      </c:pt>
                      <c:pt idx="39">
                        <c:v>126640</c:v>
                      </c:pt>
                      <c:pt idx="40">
                        <c:v>129566</c:v>
                      </c:pt>
                      <c:pt idx="41">
                        <c:v>132492</c:v>
                      </c:pt>
                      <c:pt idx="42">
                        <c:v>136245</c:v>
                      </c:pt>
                      <c:pt idx="43">
                        <c:v>139191</c:v>
                      </c:pt>
                      <c:pt idx="44">
                        <c:v>142136</c:v>
                      </c:pt>
                      <c:pt idx="45">
                        <c:v>145081</c:v>
                      </c:pt>
                      <c:pt idx="46">
                        <c:v>148026</c:v>
                      </c:pt>
                      <c:pt idx="47">
                        <c:v>150972</c:v>
                      </c:pt>
                      <c:pt idx="48">
                        <c:v>153917</c:v>
                      </c:pt>
                      <c:pt idx="49">
                        <c:v>157825</c:v>
                      </c:pt>
                      <c:pt idx="50">
                        <c:v>160789</c:v>
                      </c:pt>
                      <c:pt idx="51">
                        <c:v>163754</c:v>
                      </c:pt>
                      <c:pt idx="52">
                        <c:v>166718</c:v>
                      </c:pt>
                      <c:pt idx="53">
                        <c:v>169683</c:v>
                      </c:pt>
                      <c:pt idx="54">
                        <c:v>172647</c:v>
                      </c:pt>
                      <c:pt idx="55">
                        <c:v>175612</c:v>
                      </c:pt>
                      <c:pt idx="56">
                        <c:v>178576</c:v>
                      </c:pt>
                      <c:pt idx="57">
                        <c:v>182657</c:v>
                      </c:pt>
                      <c:pt idx="58">
                        <c:v>185641</c:v>
                      </c:pt>
                      <c:pt idx="59">
                        <c:v>188625</c:v>
                      </c:pt>
                      <c:pt idx="60">
                        <c:v>191608</c:v>
                      </c:pt>
                      <c:pt idx="61">
                        <c:v>194592</c:v>
                      </c:pt>
                      <c:pt idx="62">
                        <c:v>197576</c:v>
                      </c:pt>
                      <c:pt idx="63">
                        <c:v>200560</c:v>
                      </c:pt>
                      <c:pt idx="64">
                        <c:v>203543</c:v>
                      </c:pt>
                      <c:pt idx="65">
                        <c:v>207798</c:v>
                      </c:pt>
                      <c:pt idx="66">
                        <c:v>210801</c:v>
                      </c:pt>
                      <c:pt idx="67">
                        <c:v>213804</c:v>
                      </c:pt>
                      <c:pt idx="68">
                        <c:v>216807</c:v>
                      </c:pt>
                      <c:pt idx="69">
                        <c:v>219810</c:v>
                      </c:pt>
                      <c:pt idx="70">
                        <c:v>222813</c:v>
                      </c:pt>
                      <c:pt idx="71">
                        <c:v>225816</c:v>
                      </c:pt>
                      <c:pt idx="72">
                        <c:v>228819</c:v>
                      </c:pt>
                      <c:pt idx="73">
                        <c:v>233246</c:v>
                      </c:pt>
                      <c:pt idx="74">
                        <c:v>236268</c:v>
                      </c:pt>
                      <c:pt idx="75">
                        <c:v>239291</c:v>
                      </c:pt>
                      <c:pt idx="76">
                        <c:v>242313</c:v>
                      </c:pt>
                      <c:pt idx="77">
                        <c:v>245335</c:v>
                      </c:pt>
                      <c:pt idx="78">
                        <c:v>248357</c:v>
                      </c:pt>
                      <c:pt idx="79">
                        <c:v>251380</c:v>
                      </c:pt>
                      <c:pt idx="80">
                        <c:v>255961</c:v>
                      </c:pt>
                      <c:pt idx="81">
                        <c:v>259003</c:v>
                      </c:pt>
                      <c:pt idx="82">
                        <c:v>262044</c:v>
                      </c:pt>
                      <c:pt idx="83">
                        <c:v>265086</c:v>
                      </c:pt>
                      <c:pt idx="84">
                        <c:v>268127</c:v>
                      </c:pt>
                      <c:pt idx="85">
                        <c:v>271169</c:v>
                      </c:pt>
                      <c:pt idx="86">
                        <c:v>274210</c:v>
                      </c:pt>
                      <c:pt idx="87">
                        <c:v>277252</c:v>
                      </c:pt>
                      <c:pt idx="88">
                        <c:v>282006</c:v>
                      </c:pt>
                      <c:pt idx="89">
                        <c:v>285067</c:v>
                      </c:pt>
                      <c:pt idx="90">
                        <c:v>288128</c:v>
                      </c:pt>
                      <c:pt idx="91">
                        <c:v>291189</c:v>
                      </c:pt>
                      <c:pt idx="92">
                        <c:v>294249</c:v>
                      </c:pt>
                      <c:pt idx="93">
                        <c:v>297310</c:v>
                      </c:pt>
                      <c:pt idx="94">
                        <c:v>300371</c:v>
                      </c:pt>
                      <c:pt idx="95">
                        <c:v>303432</c:v>
                      </c:pt>
                      <c:pt idx="96">
                        <c:v>308360</c:v>
                      </c:pt>
                      <c:pt idx="97">
                        <c:v>311440</c:v>
                      </c:pt>
                      <c:pt idx="98">
                        <c:v>314520</c:v>
                      </c:pt>
                      <c:pt idx="99">
                        <c:v>317600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3EB-4F2F-9CD4-F403992F398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Sheet1!$AE$1:$AE$2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Sheet1!$AE$3:$AE$102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1660</c:v>
                      </c:pt>
                      <c:pt idx="1">
                        <c:v>1660</c:v>
                      </c:pt>
                      <c:pt idx="2">
                        <c:v>1661</c:v>
                      </c:pt>
                      <c:pt idx="3">
                        <c:v>1661</c:v>
                      </c:pt>
                      <c:pt idx="4">
                        <c:v>1800</c:v>
                      </c:pt>
                      <c:pt idx="5">
                        <c:v>1800</c:v>
                      </c:pt>
                      <c:pt idx="6">
                        <c:v>1801</c:v>
                      </c:pt>
                      <c:pt idx="7">
                        <c:v>1802</c:v>
                      </c:pt>
                      <c:pt idx="8">
                        <c:v>1802</c:v>
                      </c:pt>
                      <c:pt idx="9">
                        <c:v>1803</c:v>
                      </c:pt>
                      <c:pt idx="10">
                        <c:v>1803</c:v>
                      </c:pt>
                      <c:pt idx="11">
                        <c:v>1804</c:v>
                      </c:pt>
                      <c:pt idx="12">
                        <c:v>1804</c:v>
                      </c:pt>
                      <c:pt idx="13">
                        <c:v>1948</c:v>
                      </c:pt>
                      <c:pt idx="14">
                        <c:v>1949</c:v>
                      </c:pt>
                      <c:pt idx="15">
                        <c:v>1949</c:v>
                      </c:pt>
                      <c:pt idx="16">
                        <c:v>1950</c:v>
                      </c:pt>
                      <c:pt idx="17">
                        <c:v>1950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1952</c:v>
                      </c:pt>
                      <c:pt idx="21">
                        <c:v>1953</c:v>
                      </c:pt>
                      <c:pt idx="22">
                        <c:v>2102</c:v>
                      </c:pt>
                      <c:pt idx="23">
                        <c:v>2103</c:v>
                      </c:pt>
                      <c:pt idx="24">
                        <c:v>2103</c:v>
                      </c:pt>
                      <c:pt idx="25">
                        <c:v>2104</c:v>
                      </c:pt>
                      <c:pt idx="26">
                        <c:v>2104</c:v>
                      </c:pt>
                      <c:pt idx="27">
                        <c:v>2105</c:v>
                      </c:pt>
                      <c:pt idx="28">
                        <c:v>2105</c:v>
                      </c:pt>
                      <c:pt idx="29">
                        <c:v>2106</c:v>
                      </c:pt>
                      <c:pt idx="30">
                        <c:v>2107</c:v>
                      </c:pt>
                      <c:pt idx="31">
                        <c:v>2262</c:v>
                      </c:pt>
                      <c:pt idx="32">
                        <c:v>2262</c:v>
                      </c:pt>
                      <c:pt idx="33">
                        <c:v>2263</c:v>
                      </c:pt>
                      <c:pt idx="34">
                        <c:v>2263</c:v>
                      </c:pt>
                      <c:pt idx="35">
                        <c:v>2264</c:v>
                      </c:pt>
                      <c:pt idx="36">
                        <c:v>2264</c:v>
                      </c:pt>
                      <c:pt idx="37">
                        <c:v>2265</c:v>
                      </c:pt>
                      <c:pt idx="38">
                        <c:v>2266</c:v>
                      </c:pt>
                      <c:pt idx="39">
                        <c:v>2266</c:v>
                      </c:pt>
                      <c:pt idx="40">
                        <c:v>2427</c:v>
                      </c:pt>
                      <c:pt idx="41">
                        <c:v>2427</c:v>
                      </c:pt>
                      <c:pt idx="42">
                        <c:v>2428</c:v>
                      </c:pt>
                      <c:pt idx="43">
                        <c:v>2428</c:v>
                      </c:pt>
                      <c:pt idx="44">
                        <c:v>2429</c:v>
                      </c:pt>
                      <c:pt idx="45">
                        <c:v>2430</c:v>
                      </c:pt>
                      <c:pt idx="46">
                        <c:v>2430</c:v>
                      </c:pt>
                      <c:pt idx="47">
                        <c:v>2431</c:v>
                      </c:pt>
                      <c:pt idx="48">
                        <c:v>2431</c:v>
                      </c:pt>
                      <c:pt idx="49">
                        <c:v>2597</c:v>
                      </c:pt>
                      <c:pt idx="50">
                        <c:v>2598</c:v>
                      </c:pt>
                      <c:pt idx="51">
                        <c:v>2598</c:v>
                      </c:pt>
                      <c:pt idx="52">
                        <c:v>2599</c:v>
                      </c:pt>
                      <c:pt idx="53">
                        <c:v>2599</c:v>
                      </c:pt>
                      <c:pt idx="54">
                        <c:v>2600</c:v>
                      </c:pt>
                      <c:pt idx="55">
                        <c:v>2601</c:v>
                      </c:pt>
                      <c:pt idx="56">
                        <c:v>2601</c:v>
                      </c:pt>
                      <c:pt idx="57">
                        <c:v>2602</c:v>
                      </c:pt>
                      <c:pt idx="58">
                        <c:v>2602</c:v>
                      </c:pt>
                      <c:pt idx="59">
                        <c:v>2774</c:v>
                      </c:pt>
                      <c:pt idx="60">
                        <c:v>2774</c:v>
                      </c:pt>
                      <c:pt idx="61">
                        <c:v>2775</c:v>
                      </c:pt>
                      <c:pt idx="62">
                        <c:v>2776</c:v>
                      </c:pt>
                      <c:pt idx="63">
                        <c:v>2776</c:v>
                      </c:pt>
                      <c:pt idx="64">
                        <c:v>2777</c:v>
                      </c:pt>
                      <c:pt idx="65">
                        <c:v>2777</c:v>
                      </c:pt>
                      <c:pt idx="66">
                        <c:v>2778</c:v>
                      </c:pt>
                      <c:pt idx="67">
                        <c:v>2778</c:v>
                      </c:pt>
                      <c:pt idx="68">
                        <c:v>2955</c:v>
                      </c:pt>
                      <c:pt idx="69">
                        <c:v>2956</c:v>
                      </c:pt>
                      <c:pt idx="70">
                        <c:v>2957</c:v>
                      </c:pt>
                      <c:pt idx="71">
                        <c:v>2957</c:v>
                      </c:pt>
                      <c:pt idx="72">
                        <c:v>2958</c:v>
                      </c:pt>
                      <c:pt idx="73">
                        <c:v>2959</c:v>
                      </c:pt>
                      <c:pt idx="74">
                        <c:v>2959</c:v>
                      </c:pt>
                      <c:pt idx="75">
                        <c:v>2960</c:v>
                      </c:pt>
                      <c:pt idx="76">
                        <c:v>2960</c:v>
                      </c:pt>
                      <c:pt idx="77">
                        <c:v>3143</c:v>
                      </c:pt>
                      <c:pt idx="78">
                        <c:v>3143</c:v>
                      </c:pt>
                      <c:pt idx="79">
                        <c:v>3144</c:v>
                      </c:pt>
                      <c:pt idx="80">
                        <c:v>3145</c:v>
                      </c:pt>
                      <c:pt idx="81">
                        <c:v>3145</c:v>
                      </c:pt>
                      <c:pt idx="82">
                        <c:v>3146</c:v>
                      </c:pt>
                      <c:pt idx="83">
                        <c:v>3146</c:v>
                      </c:pt>
                      <c:pt idx="84">
                        <c:v>3147</c:v>
                      </c:pt>
                      <c:pt idx="85">
                        <c:v>3147</c:v>
                      </c:pt>
                      <c:pt idx="86">
                        <c:v>3335</c:v>
                      </c:pt>
                      <c:pt idx="87">
                        <c:v>3336</c:v>
                      </c:pt>
                      <c:pt idx="88">
                        <c:v>3337</c:v>
                      </c:pt>
                      <c:pt idx="89">
                        <c:v>3337</c:v>
                      </c:pt>
                      <c:pt idx="90">
                        <c:v>3338</c:v>
                      </c:pt>
                      <c:pt idx="91">
                        <c:v>3338</c:v>
                      </c:pt>
                      <c:pt idx="92">
                        <c:v>3339</c:v>
                      </c:pt>
                      <c:pt idx="93">
                        <c:v>3339</c:v>
                      </c:pt>
                      <c:pt idx="94">
                        <c:v>3340</c:v>
                      </c:pt>
                      <c:pt idx="95">
                        <c:v>3534</c:v>
                      </c:pt>
                      <c:pt idx="96">
                        <c:v>3534</c:v>
                      </c:pt>
                      <c:pt idx="97">
                        <c:v>3535</c:v>
                      </c:pt>
                      <c:pt idx="98">
                        <c:v>3536</c:v>
                      </c:pt>
                      <c:pt idx="99">
                        <c:v>3536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3EB-4F2F-9CD4-F403992F3986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Sheet1!$AG$1:$AG$2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Sheet1!$AG$3:$AG$102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16278</c:v>
                      </c:pt>
                      <c:pt idx="1">
                        <c:v>16278</c:v>
                      </c:pt>
                      <c:pt idx="2">
                        <c:v>16863</c:v>
                      </c:pt>
                      <c:pt idx="3">
                        <c:v>16863</c:v>
                      </c:pt>
                      <c:pt idx="4">
                        <c:v>16864</c:v>
                      </c:pt>
                      <c:pt idx="5">
                        <c:v>16864</c:v>
                      </c:pt>
                      <c:pt idx="6">
                        <c:v>17459</c:v>
                      </c:pt>
                      <c:pt idx="7">
                        <c:v>17460</c:v>
                      </c:pt>
                      <c:pt idx="8">
                        <c:v>17460</c:v>
                      </c:pt>
                      <c:pt idx="9">
                        <c:v>17461</c:v>
                      </c:pt>
                      <c:pt idx="10">
                        <c:v>18066</c:v>
                      </c:pt>
                      <c:pt idx="11">
                        <c:v>18067</c:v>
                      </c:pt>
                      <c:pt idx="12">
                        <c:v>18067</c:v>
                      </c:pt>
                      <c:pt idx="13">
                        <c:v>18068</c:v>
                      </c:pt>
                      <c:pt idx="14">
                        <c:v>18683</c:v>
                      </c:pt>
                      <c:pt idx="15">
                        <c:v>18684</c:v>
                      </c:pt>
                      <c:pt idx="16">
                        <c:v>18685</c:v>
                      </c:pt>
                      <c:pt idx="17">
                        <c:v>18685</c:v>
                      </c:pt>
                      <c:pt idx="18">
                        <c:v>19311</c:v>
                      </c:pt>
                      <c:pt idx="19">
                        <c:v>19311</c:v>
                      </c:pt>
                      <c:pt idx="20">
                        <c:v>19312</c:v>
                      </c:pt>
                      <c:pt idx="21">
                        <c:v>19313</c:v>
                      </c:pt>
                      <c:pt idx="22">
                        <c:v>19948</c:v>
                      </c:pt>
                      <c:pt idx="23">
                        <c:v>19949</c:v>
                      </c:pt>
                      <c:pt idx="24">
                        <c:v>19949</c:v>
                      </c:pt>
                      <c:pt idx="25">
                        <c:v>19950</c:v>
                      </c:pt>
                      <c:pt idx="26">
                        <c:v>19951</c:v>
                      </c:pt>
                      <c:pt idx="27">
                        <c:v>20597</c:v>
                      </c:pt>
                      <c:pt idx="28">
                        <c:v>20597</c:v>
                      </c:pt>
                      <c:pt idx="29">
                        <c:v>20598</c:v>
                      </c:pt>
                      <c:pt idx="30">
                        <c:v>20599</c:v>
                      </c:pt>
                      <c:pt idx="31">
                        <c:v>21255</c:v>
                      </c:pt>
                      <c:pt idx="32">
                        <c:v>21256</c:v>
                      </c:pt>
                      <c:pt idx="33">
                        <c:v>21256</c:v>
                      </c:pt>
                      <c:pt idx="34">
                        <c:v>21257</c:v>
                      </c:pt>
                      <c:pt idx="35">
                        <c:v>21924</c:v>
                      </c:pt>
                      <c:pt idx="36">
                        <c:v>21925</c:v>
                      </c:pt>
                      <c:pt idx="37">
                        <c:v>21925</c:v>
                      </c:pt>
                      <c:pt idx="38">
                        <c:v>21926</c:v>
                      </c:pt>
                      <c:pt idx="39">
                        <c:v>22603</c:v>
                      </c:pt>
                      <c:pt idx="40">
                        <c:v>22604</c:v>
                      </c:pt>
                      <c:pt idx="41">
                        <c:v>22604</c:v>
                      </c:pt>
                      <c:pt idx="42">
                        <c:v>22605</c:v>
                      </c:pt>
                      <c:pt idx="43">
                        <c:v>23292</c:v>
                      </c:pt>
                      <c:pt idx="44">
                        <c:v>23292</c:v>
                      </c:pt>
                      <c:pt idx="45">
                        <c:v>23293</c:v>
                      </c:pt>
                      <c:pt idx="46">
                        <c:v>23294</c:v>
                      </c:pt>
                      <c:pt idx="47">
                        <c:v>23992</c:v>
                      </c:pt>
                      <c:pt idx="48">
                        <c:v>23992</c:v>
                      </c:pt>
                      <c:pt idx="49">
                        <c:v>23993</c:v>
                      </c:pt>
                      <c:pt idx="50">
                        <c:v>23993</c:v>
                      </c:pt>
                      <c:pt idx="51">
                        <c:v>23994</c:v>
                      </c:pt>
                      <c:pt idx="52">
                        <c:v>24702</c:v>
                      </c:pt>
                      <c:pt idx="53">
                        <c:v>24702</c:v>
                      </c:pt>
                      <c:pt idx="54">
                        <c:v>24703</c:v>
                      </c:pt>
                      <c:pt idx="55">
                        <c:v>24704</c:v>
                      </c:pt>
                      <c:pt idx="56">
                        <c:v>25422</c:v>
                      </c:pt>
                      <c:pt idx="57">
                        <c:v>25423</c:v>
                      </c:pt>
                      <c:pt idx="58">
                        <c:v>25423</c:v>
                      </c:pt>
                      <c:pt idx="59">
                        <c:v>25424</c:v>
                      </c:pt>
                      <c:pt idx="60">
                        <c:v>26153</c:v>
                      </c:pt>
                      <c:pt idx="61">
                        <c:v>26153</c:v>
                      </c:pt>
                      <c:pt idx="62">
                        <c:v>26154</c:v>
                      </c:pt>
                      <c:pt idx="63">
                        <c:v>26154</c:v>
                      </c:pt>
                      <c:pt idx="64">
                        <c:v>26893</c:v>
                      </c:pt>
                      <c:pt idx="65">
                        <c:v>26894</c:v>
                      </c:pt>
                      <c:pt idx="66">
                        <c:v>26894</c:v>
                      </c:pt>
                      <c:pt idx="67">
                        <c:v>26895</c:v>
                      </c:pt>
                      <c:pt idx="68">
                        <c:v>27644</c:v>
                      </c:pt>
                      <c:pt idx="69">
                        <c:v>27645</c:v>
                      </c:pt>
                      <c:pt idx="70">
                        <c:v>27645</c:v>
                      </c:pt>
                      <c:pt idx="71">
                        <c:v>27646</c:v>
                      </c:pt>
                      <c:pt idx="72">
                        <c:v>28406</c:v>
                      </c:pt>
                      <c:pt idx="73">
                        <c:v>28406</c:v>
                      </c:pt>
                      <c:pt idx="74">
                        <c:v>28407</c:v>
                      </c:pt>
                      <c:pt idx="75">
                        <c:v>28407</c:v>
                      </c:pt>
                      <c:pt idx="76">
                        <c:v>28408</c:v>
                      </c:pt>
                      <c:pt idx="77">
                        <c:v>29178</c:v>
                      </c:pt>
                      <c:pt idx="78">
                        <c:v>29178</c:v>
                      </c:pt>
                      <c:pt idx="79">
                        <c:v>29179</c:v>
                      </c:pt>
                      <c:pt idx="80">
                        <c:v>29180</c:v>
                      </c:pt>
                      <c:pt idx="81">
                        <c:v>29960</c:v>
                      </c:pt>
                      <c:pt idx="82">
                        <c:v>29960</c:v>
                      </c:pt>
                      <c:pt idx="83">
                        <c:v>29961</c:v>
                      </c:pt>
                      <c:pt idx="84">
                        <c:v>29961</c:v>
                      </c:pt>
                      <c:pt idx="85">
                        <c:v>30752</c:v>
                      </c:pt>
                      <c:pt idx="86">
                        <c:v>30752</c:v>
                      </c:pt>
                      <c:pt idx="87">
                        <c:v>30753</c:v>
                      </c:pt>
                      <c:pt idx="88">
                        <c:v>30754</c:v>
                      </c:pt>
                      <c:pt idx="89">
                        <c:v>31554</c:v>
                      </c:pt>
                      <c:pt idx="90">
                        <c:v>31555</c:v>
                      </c:pt>
                      <c:pt idx="91">
                        <c:v>31555</c:v>
                      </c:pt>
                      <c:pt idx="92">
                        <c:v>31556</c:v>
                      </c:pt>
                      <c:pt idx="93">
                        <c:v>32367</c:v>
                      </c:pt>
                      <c:pt idx="94">
                        <c:v>32368</c:v>
                      </c:pt>
                      <c:pt idx="95">
                        <c:v>32368</c:v>
                      </c:pt>
                      <c:pt idx="96">
                        <c:v>32369</c:v>
                      </c:pt>
                      <c:pt idx="97">
                        <c:v>33191</c:v>
                      </c:pt>
                      <c:pt idx="98">
                        <c:v>33191</c:v>
                      </c:pt>
                      <c:pt idx="99">
                        <c:v>33192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3EB-4F2F-9CD4-F403992F3986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Sheet1!$AH$1:$AH$2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Sheet1!$AH$3:$AH$102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27802</c:v>
                      </c:pt>
                      <c:pt idx="1">
                        <c:v>28381</c:v>
                      </c:pt>
                      <c:pt idx="2">
                        <c:v>28960</c:v>
                      </c:pt>
                      <c:pt idx="3">
                        <c:v>30118</c:v>
                      </c:pt>
                      <c:pt idx="4">
                        <c:v>30697</c:v>
                      </c:pt>
                      <c:pt idx="5">
                        <c:v>31276</c:v>
                      </c:pt>
                      <c:pt idx="6">
                        <c:v>31855</c:v>
                      </c:pt>
                      <c:pt idx="7">
                        <c:v>32434</c:v>
                      </c:pt>
                      <c:pt idx="8">
                        <c:v>33013</c:v>
                      </c:pt>
                      <c:pt idx="9">
                        <c:v>33592</c:v>
                      </c:pt>
                      <c:pt idx="10">
                        <c:v>34171</c:v>
                      </c:pt>
                      <c:pt idx="11">
                        <c:v>35329</c:v>
                      </c:pt>
                      <c:pt idx="12">
                        <c:v>35908</c:v>
                      </c:pt>
                      <c:pt idx="13">
                        <c:v>36487</c:v>
                      </c:pt>
                      <c:pt idx="14">
                        <c:v>37066</c:v>
                      </c:pt>
                      <c:pt idx="15">
                        <c:v>37645</c:v>
                      </c:pt>
                      <c:pt idx="16">
                        <c:v>38224</c:v>
                      </c:pt>
                      <c:pt idx="17">
                        <c:v>38803</c:v>
                      </c:pt>
                      <c:pt idx="18">
                        <c:v>39382</c:v>
                      </c:pt>
                      <c:pt idx="19">
                        <c:v>40540</c:v>
                      </c:pt>
                      <c:pt idx="20">
                        <c:v>41119</c:v>
                      </c:pt>
                      <c:pt idx="21">
                        <c:v>41698</c:v>
                      </c:pt>
                      <c:pt idx="22">
                        <c:v>42277</c:v>
                      </c:pt>
                      <c:pt idx="23">
                        <c:v>42856</c:v>
                      </c:pt>
                      <c:pt idx="24">
                        <c:v>43435</c:v>
                      </c:pt>
                      <c:pt idx="25">
                        <c:v>44014</c:v>
                      </c:pt>
                      <c:pt idx="26">
                        <c:v>45172</c:v>
                      </c:pt>
                      <c:pt idx="27">
                        <c:v>45751</c:v>
                      </c:pt>
                      <c:pt idx="28">
                        <c:v>46330</c:v>
                      </c:pt>
                      <c:pt idx="29">
                        <c:v>46909</c:v>
                      </c:pt>
                      <c:pt idx="30">
                        <c:v>47488</c:v>
                      </c:pt>
                      <c:pt idx="31">
                        <c:v>48068</c:v>
                      </c:pt>
                      <c:pt idx="32">
                        <c:v>48647</c:v>
                      </c:pt>
                      <c:pt idx="33">
                        <c:v>49226</c:v>
                      </c:pt>
                      <c:pt idx="34">
                        <c:v>50385</c:v>
                      </c:pt>
                      <c:pt idx="35">
                        <c:v>50964</c:v>
                      </c:pt>
                      <c:pt idx="36">
                        <c:v>51543</c:v>
                      </c:pt>
                      <c:pt idx="37">
                        <c:v>52122</c:v>
                      </c:pt>
                      <c:pt idx="38">
                        <c:v>52701</c:v>
                      </c:pt>
                      <c:pt idx="39">
                        <c:v>53280</c:v>
                      </c:pt>
                      <c:pt idx="40">
                        <c:v>53859</c:v>
                      </c:pt>
                      <c:pt idx="41">
                        <c:v>54438</c:v>
                      </c:pt>
                      <c:pt idx="42">
                        <c:v>55596</c:v>
                      </c:pt>
                      <c:pt idx="43">
                        <c:v>56175</c:v>
                      </c:pt>
                      <c:pt idx="44">
                        <c:v>56754</c:v>
                      </c:pt>
                      <c:pt idx="45">
                        <c:v>57333</c:v>
                      </c:pt>
                      <c:pt idx="46">
                        <c:v>57912</c:v>
                      </c:pt>
                      <c:pt idx="47">
                        <c:v>58491</c:v>
                      </c:pt>
                      <c:pt idx="48">
                        <c:v>59070</c:v>
                      </c:pt>
                      <c:pt idx="49">
                        <c:v>60228</c:v>
                      </c:pt>
                      <c:pt idx="50">
                        <c:v>60807</c:v>
                      </c:pt>
                      <c:pt idx="51">
                        <c:v>61386</c:v>
                      </c:pt>
                      <c:pt idx="52">
                        <c:v>61965</c:v>
                      </c:pt>
                      <c:pt idx="53">
                        <c:v>62544</c:v>
                      </c:pt>
                      <c:pt idx="54">
                        <c:v>63123</c:v>
                      </c:pt>
                      <c:pt idx="55">
                        <c:v>63702</c:v>
                      </c:pt>
                      <c:pt idx="56">
                        <c:v>64281</c:v>
                      </c:pt>
                      <c:pt idx="57">
                        <c:v>65439</c:v>
                      </c:pt>
                      <c:pt idx="58">
                        <c:v>66018</c:v>
                      </c:pt>
                      <c:pt idx="59">
                        <c:v>66597</c:v>
                      </c:pt>
                      <c:pt idx="60">
                        <c:v>67176</c:v>
                      </c:pt>
                      <c:pt idx="61">
                        <c:v>67755</c:v>
                      </c:pt>
                      <c:pt idx="62">
                        <c:v>68334</c:v>
                      </c:pt>
                      <c:pt idx="63">
                        <c:v>68913</c:v>
                      </c:pt>
                      <c:pt idx="64">
                        <c:v>69492</c:v>
                      </c:pt>
                      <c:pt idx="65">
                        <c:v>70650</c:v>
                      </c:pt>
                      <c:pt idx="66">
                        <c:v>71229</c:v>
                      </c:pt>
                      <c:pt idx="67">
                        <c:v>71808</c:v>
                      </c:pt>
                      <c:pt idx="68">
                        <c:v>72388</c:v>
                      </c:pt>
                      <c:pt idx="69">
                        <c:v>72967</c:v>
                      </c:pt>
                      <c:pt idx="70">
                        <c:v>73546</c:v>
                      </c:pt>
                      <c:pt idx="71">
                        <c:v>74125</c:v>
                      </c:pt>
                      <c:pt idx="72">
                        <c:v>74704</c:v>
                      </c:pt>
                      <c:pt idx="73">
                        <c:v>75862</c:v>
                      </c:pt>
                      <c:pt idx="74">
                        <c:v>76441</c:v>
                      </c:pt>
                      <c:pt idx="75">
                        <c:v>77020</c:v>
                      </c:pt>
                      <c:pt idx="76">
                        <c:v>77599</c:v>
                      </c:pt>
                      <c:pt idx="77">
                        <c:v>78178</c:v>
                      </c:pt>
                      <c:pt idx="78">
                        <c:v>78757</c:v>
                      </c:pt>
                      <c:pt idx="79">
                        <c:v>79336</c:v>
                      </c:pt>
                      <c:pt idx="80">
                        <c:v>80494</c:v>
                      </c:pt>
                      <c:pt idx="81">
                        <c:v>81073</c:v>
                      </c:pt>
                      <c:pt idx="82">
                        <c:v>81652</c:v>
                      </c:pt>
                      <c:pt idx="83">
                        <c:v>82231</c:v>
                      </c:pt>
                      <c:pt idx="84">
                        <c:v>82810</c:v>
                      </c:pt>
                      <c:pt idx="85">
                        <c:v>83389</c:v>
                      </c:pt>
                      <c:pt idx="86">
                        <c:v>83969</c:v>
                      </c:pt>
                      <c:pt idx="87">
                        <c:v>84548</c:v>
                      </c:pt>
                      <c:pt idx="88">
                        <c:v>85706</c:v>
                      </c:pt>
                      <c:pt idx="89">
                        <c:v>86285</c:v>
                      </c:pt>
                      <c:pt idx="90">
                        <c:v>86864</c:v>
                      </c:pt>
                      <c:pt idx="91">
                        <c:v>87443</c:v>
                      </c:pt>
                      <c:pt idx="92">
                        <c:v>88022</c:v>
                      </c:pt>
                      <c:pt idx="93">
                        <c:v>88601</c:v>
                      </c:pt>
                      <c:pt idx="94">
                        <c:v>89180</c:v>
                      </c:pt>
                      <c:pt idx="95">
                        <c:v>89759</c:v>
                      </c:pt>
                      <c:pt idx="96">
                        <c:v>90917</c:v>
                      </c:pt>
                      <c:pt idx="97">
                        <c:v>91496</c:v>
                      </c:pt>
                      <c:pt idx="98">
                        <c:v>92075</c:v>
                      </c:pt>
                      <c:pt idx="99">
                        <c:v>92654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3EB-4F2F-9CD4-F403992F3986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Sheet1!$AI$1:$AI$2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Sheet1!$AI$3:$AI$102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20912</c:v>
                      </c:pt>
                      <c:pt idx="1">
                        <c:v>21346</c:v>
                      </c:pt>
                      <c:pt idx="2">
                        <c:v>21782</c:v>
                      </c:pt>
                      <c:pt idx="3">
                        <c:v>22651</c:v>
                      </c:pt>
                      <c:pt idx="4">
                        <c:v>23085</c:v>
                      </c:pt>
                      <c:pt idx="5">
                        <c:v>23520</c:v>
                      </c:pt>
                      <c:pt idx="6">
                        <c:v>23955</c:v>
                      </c:pt>
                      <c:pt idx="7">
                        <c:v>24390</c:v>
                      </c:pt>
                      <c:pt idx="8">
                        <c:v>24824</c:v>
                      </c:pt>
                      <c:pt idx="9">
                        <c:v>25259</c:v>
                      </c:pt>
                      <c:pt idx="10">
                        <c:v>25694</c:v>
                      </c:pt>
                      <c:pt idx="11">
                        <c:v>26563</c:v>
                      </c:pt>
                      <c:pt idx="12">
                        <c:v>26998</c:v>
                      </c:pt>
                      <c:pt idx="13">
                        <c:v>27432</c:v>
                      </c:pt>
                      <c:pt idx="14">
                        <c:v>27868</c:v>
                      </c:pt>
                      <c:pt idx="15">
                        <c:v>28302</c:v>
                      </c:pt>
                      <c:pt idx="16">
                        <c:v>28737</c:v>
                      </c:pt>
                      <c:pt idx="17">
                        <c:v>29171</c:v>
                      </c:pt>
                      <c:pt idx="18">
                        <c:v>29607</c:v>
                      </c:pt>
                      <c:pt idx="19">
                        <c:v>30476</c:v>
                      </c:pt>
                      <c:pt idx="20">
                        <c:v>30910</c:v>
                      </c:pt>
                      <c:pt idx="21">
                        <c:v>31345</c:v>
                      </c:pt>
                      <c:pt idx="22">
                        <c:v>31780</c:v>
                      </c:pt>
                      <c:pt idx="23">
                        <c:v>32215</c:v>
                      </c:pt>
                      <c:pt idx="24">
                        <c:v>32649</c:v>
                      </c:pt>
                      <c:pt idx="25">
                        <c:v>33084</c:v>
                      </c:pt>
                      <c:pt idx="26">
                        <c:v>33953</c:v>
                      </c:pt>
                      <c:pt idx="27">
                        <c:v>34388</c:v>
                      </c:pt>
                      <c:pt idx="28">
                        <c:v>34823</c:v>
                      </c:pt>
                      <c:pt idx="29">
                        <c:v>35257</c:v>
                      </c:pt>
                      <c:pt idx="30">
                        <c:v>35692</c:v>
                      </c:pt>
                      <c:pt idx="31">
                        <c:v>36127</c:v>
                      </c:pt>
                      <c:pt idx="32">
                        <c:v>36562</c:v>
                      </c:pt>
                      <c:pt idx="33">
                        <c:v>36996</c:v>
                      </c:pt>
                      <c:pt idx="34">
                        <c:v>37865</c:v>
                      </c:pt>
                      <c:pt idx="35">
                        <c:v>38301</c:v>
                      </c:pt>
                      <c:pt idx="36">
                        <c:v>38735</c:v>
                      </c:pt>
                      <c:pt idx="37">
                        <c:v>39170</c:v>
                      </c:pt>
                      <c:pt idx="38">
                        <c:v>39604</c:v>
                      </c:pt>
                      <c:pt idx="39">
                        <c:v>40040</c:v>
                      </c:pt>
                      <c:pt idx="40">
                        <c:v>40474</c:v>
                      </c:pt>
                      <c:pt idx="41">
                        <c:v>40909</c:v>
                      </c:pt>
                      <c:pt idx="42">
                        <c:v>41778</c:v>
                      </c:pt>
                      <c:pt idx="43">
                        <c:v>42213</c:v>
                      </c:pt>
                      <c:pt idx="44">
                        <c:v>42648</c:v>
                      </c:pt>
                      <c:pt idx="45">
                        <c:v>43082</c:v>
                      </c:pt>
                      <c:pt idx="46">
                        <c:v>43517</c:v>
                      </c:pt>
                      <c:pt idx="47">
                        <c:v>43952</c:v>
                      </c:pt>
                      <c:pt idx="48">
                        <c:v>44387</c:v>
                      </c:pt>
                      <c:pt idx="49">
                        <c:v>45256</c:v>
                      </c:pt>
                      <c:pt idx="50">
                        <c:v>45690</c:v>
                      </c:pt>
                      <c:pt idx="51">
                        <c:v>46125</c:v>
                      </c:pt>
                      <c:pt idx="52">
                        <c:v>46560</c:v>
                      </c:pt>
                      <c:pt idx="53">
                        <c:v>46995</c:v>
                      </c:pt>
                      <c:pt idx="54">
                        <c:v>47429</c:v>
                      </c:pt>
                      <c:pt idx="55">
                        <c:v>47864</c:v>
                      </c:pt>
                      <c:pt idx="56">
                        <c:v>48299</c:v>
                      </c:pt>
                      <c:pt idx="57">
                        <c:v>49168</c:v>
                      </c:pt>
                      <c:pt idx="58">
                        <c:v>49603</c:v>
                      </c:pt>
                      <c:pt idx="59">
                        <c:v>50037</c:v>
                      </c:pt>
                      <c:pt idx="60">
                        <c:v>50473</c:v>
                      </c:pt>
                      <c:pt idx="61">
                        <c:v>50907</c:v>
                      </c:pt>
                      <c:pt idx="62">
                        <c:v>51342</c:v>
                      </c:pt>
                      <c:pt idx="63">
                        <c:v>51776</c:v>
                      </c:pt>
                      <c:pt idx="64">
                        <c:v>52212</c:v>
                      </c:pt>
                      <c:pt idx="65">
                        <c:v>53081</c:v>
                      </c:pt>
                      <c:pt idx="66">
                        <c:v>53515</c:v>
                      </c:pt>
                      <c:pt idx="67">
                        <c:v>53950</c:v>
                      </c:pt>
                      <c:pt idx="68">
                        <c:v>54385</c:v>
                      </c:pt>
                      <c:pt idx="69">
                        <c:v>54820</c:v>
                      </c:pt>
                      <c:pt idx="70">
                        <c:v>55254</c:v>
                      </c:pt>
                      <c:pt idx="71">
                        <c:v>55689</c:v>
                      </c:pt>
                      <c:pt idx="72">
                        <c:v>56124</c:v>
                      </c:pt>
                      <c:pt idx="73">
                        <c:v>56993</c:v>
                      </c:pt>
                      <c:pt idx="74">
                        <c:v>57428</c:v>
                      </c:pt>
                      <c:pt idx="75">
                        <c:v>57862</c:v>
                      </c:pt>
                      <c:pt idx="76">
                        <c:v>58297</c:v>
                      </c:pt>
                      <c:pt idx="77">
                        <c:v>58732</c:v>
                      </c:pt>
                      <c:pt idx="78">
                        <c:v>59167</c:v>
                      </c:pt>
                      <c:pt idx="79">
                        <c:v>59601</c:v>
                      </c:pt>
                      <c:pt idx="80">
                        <c:v>60470</c:v>
                      </c:pt>
                      <c:pt idx="81">
                        <c:v>60906</c:v>
                      </c:pt>
                      <c:pt idx="82">
                        <c:v>61340</c:v>
                      </c:pt>
                      <c:pt idx="83">
                        <c:v>61775</c:v>
                      </c:pt>
                      <c:pt idx="84">
                        <c:v>62209</c:v>
                      </c:pt>
                      <c:pt idx="85">
                        <c:v>62645</c:v>
                      </c:pt>
                      <c:pt idx="86">
                        <c:v>63079</c:v>
                      </c:pt>
                      <c:pt idx="87">
                        <c:v>63514</c:v>
                      </c:pt>
                      <c:pt idx="88">
                        <c:v>64383</c:v>
                      </c:pt>
                      <c:pt idx="89">
                        <c:v>64818</c:v>
                      </c:pt>
                      <c:pt idx="90">
                        <c:v>65253</c:v>
                      </c:pt>
                      <c:pt idx="91">
                        <c:v>65687</c:v>
                      </c:pt>
                      <c:pt idx="92">
                        <c:v>66122</c:v>
                      </c:pt>
                      <c:pt idx="93">
                        <c:v>66557</c:v>
                      </c:pt>
                      <c:pt idx="94">
                        <c:v>66992</c:v>
                      </c:pt>
                      <c:pt idx="95">
                        <c:v>67426</c:v>
                      </c:pt>
                      <c:pt idx="96">
                        <c:v>68295</c:v>
                      </c:pt>
                      <c:pt idx="97">
                        <c:v>68731</c:v>
                      </c:pt>
                      <c:pt idx="98">
                        <c:v>69165</c:v>
                      </c:pt>
                      <c:pt idx="99">
                        <c:v>69600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3EB-4F2F-9CD4-F403992F3986}"/>
                  </c:ext>
                </c:extLst>
              </c15:ser>
            </c15:filteredLineSeries>
          </c:ext>
        </c:extLst>
      </c:lineChart>
      <c:catAx>
        <c:axId val="63087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968"/>
        <c:crosses val="autoZero"/>
        <c:auto val="1"/>
        <c:lblAlgn val="ctr"/>
        <c:lblOffset val="100"/>
        <c:noMultiLvlLbl val="0"/>
      </c:catAx>
      <c:valAx>
        <c:axId val="63087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909705037465584E-2"/>
          <c:y val="0.14382631215602293"/>
          <c:w val="0.86596025522002662"/>
          <c:h val="0.70628531028220043"/>
        </c:manualLayout>
      </c:layout>
      <c:lineChart>
        <c:grouping val="standard"/>
        <c:varyColors val="0"/>
        <c:ser>
          <c:idx val="4"/>
          <c:order val="4"/>
          <c:tx>
            <c:strRef>
              <c:f>Sheet1!$E$1:$E$2</c:f>
              <c:strCache>
                <c:ptCount val="2"/>
                <c:pt idx="0">
                  <c:v>1</c:v>
                </c:pt>
                <c:pt idx="1">
                  <c:v>마공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Sheet1!$E$3:$E$102</c:f>
              <c:numCache>
                <c:formatCode>General</c:formatCode>
                <c:ptCount val="100"/>
                <c:pt idx="0">
                  <c:v>2506</c:v>
                </c:pt>
                <c:pt idx="1">
                  <c:v>2506</c:v>
                </c:pt>
                <c:pt idx="2">
                  <c:v>2645</c:v>
                </c:pt>
                <c:pt idx="3">
                  <c:v>2646</c:v>
                </c:pt>
                <c:pt idx="4">
                  <c:v>2647</c:v>
                </c:pt>
                <c:pt idx="5">
                  <c:v>2647</c:v>
                </c:pt>
                <c:pt idx="6">
                  <c:v>2790</c:v>
                </c:pt>
                <c:pt idx="7">
                  <c:v>2791</c:v>
                </c:pt>
                <c:pt idx="8">
                  <c:v>2791</c:v>
                </c:pt>
                <c:pt idx="9">
                  <c:v>2792</c:v>
                </c:pt>
                <c:pt idx="10">
                  <c:v>2938</c:v>
                </c:pt>
                <c:pt idx="11">
                  <c:v>2939</c:v>
                </c:pt>
                <c:pt idx="12">
                  <c:v>2939</c:v>
                </c:pt>
                <c:pt idx="13">
                  <c:v>2940</c:v>
                </c:pt>
                <c:pt idx="14">
                  <c:v>3090</c:v>
                </c:pt>
                <c:pt idx="15">
                  <c:v>3091</c:v>
                </c:pt>
                <c:pt idx="16">
                  <c:v>3091</c:v>
                </c:pt>
                <c:pt idx="17">
                  <c:v>3092</c:v>
                </c:pt>
                <c:pt idx="18">
                  <c:v>3246</c:v>
                </c:pt>
                <c:pt idx="19">
                  <c:v>3246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3EB-4F2F-9CD4-F403992F3986}"/>
            </c:ext>
          </c:extLst>
        </c:ser>
        <c:ser>
          <c:idx val="11"/>
          <c:order val="11"/>
          <c:tx>
            <c:strRef>
              <c:f>Sheet1!$L$1:$L$2</c:f>
              <c:strCache>
                <c:ptCount val="2"/>
                <c:pt idx="0">
                  <c:v>2</c:v>
                </c:pt>
                <c:pt idx="1">
                  <c:v>마공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Sheet1!$L$3:$L$102</c:f>
              <c:numCache>
                <c:formatCode>General</c:formatCode>
                <c:ptCount val="100"/>
                <c:pt idx="0">
                  <c:v>4027</c:v>
                </c:pt>
                <c:pt idx="1">
                  <c:v>4027</c:v>
                </c:pt>
                <c:pt idx="2">
                  <c:v>4224</c:v>
                </c:pt>
                <c:pt idx="3">
                  <c:v>4225</c:v>
                </c:pt>
                <c:pt idx="4">
                  <c:v>4226</c:v>
                </c:pt>
                <c:pt idx="5">
                  <c:v>4226</c:v>
                </c:pt>
                <c:pt idx="6">
                  <c:v>4427</c:v>
                </c:pt>
                <c:pt idx="7">
                  <c:v>4428</c:v>
                </c:pt>
                <c:pt idx="8">
                  <c:v>4429</c:v>
                </c:pt>
                <c:pt idx="9">
                  <c:v>4429</c:v>
                </c:pt>
                <c:pt idx="10">
                  <c:v>4635</c:v>
                </c:pt>
                <c:pt idx="11">
                  <c:v>4636</c:v>
                </c:pt>
                <c:pt idx="12">
                  <c:v>4637</c:v>
                </c:pt>
                <c:pt idx="13">
                  <c:v>4637</c:v>
                </c:pt>
                <c:pt idx="14">
                  <c:v>4848</c:v>
                </c:pt>
                <c:pt idx="15">
                  <c:v>4848</c:v>
                </c:pt>
                <c:pt idx="16">
                  <c:v>4849</c:v>
                </c:pt>
                <c:pt idx="17">
                  <c:v>4850</c:v>
                </c:pt>
                <c:pt idx="18">
                  <c:v>5065</c:v>
                </c:pt>
                <c:pt idx="19">
                  <c:v>5066</c:v>
                </c:pt>
                <c:pt idx="20">
                  <c:v>5066</c:v>
                </c:pt>
                <c:pt idx="21">
                  <c:v>5067</c:v>
                </c:pt>
                <c:pt idx="22">
                  <c:v>5287</c:v>
                </c:pt>
                <c:pt idx="23">
                  <c:v>5288</c:v>
                </c:pt>
                <c:pt idx="24">
                  <c:v>5288</c:v>
                </c:pt>
                <c:pt idx="25">
                  <c:v>5289</c:v>
                </c:pt>
                <c:pt idx="26">
                  <c:v>5289</c:v>
                </c:pt>
                <c:pt idx="27">
                  <c:v>5514</c:v>
                </c:pt>
                <c:pt idx="28">
                  <c:v>5515</c:v>
                </c:pt>
                <c:pt idx="29">
                  <c:v>5515</c:v>
                </c:pt>
                <c:pt idx="30">
                  <c:v>5516</c:v>
                </c:pt>
                <c:pt idx="31">
                  <c:v>5745</c:v>
                </c:pt>
                <c:pt idx="32">
                  <c:v>5746</c:v>
                </c:pt>
                <c:pt idx="33">
                  <c:v>5746</c:v>
                </c:pt>
                <c:pt idx="34">
                  <c:v>5747</c:v>
                </c:pt>
                <c:pt idx="35">
                  <c:v>5981</c:v>
                </c:pt>
                <c:pt idx="36">
                  <c:v>5982</c:v>
                </c:pt>
                <c:pt idx="37">
                  <c:v>5983</c:v>
                </c:pt>
                <c:pt idx="38">
                  <c:v>5983</c:v>
                </c:pt>
                <c:pt idx="39">
                  <c:v>6222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3EB-4F2F-9CD4-F403992F3986}"/>
            </c:ext>
          </c:extLst>
        </c:ser>
        <c:ser>
          <c:idx val="18"/>
          <c:order val="18"/>
          <c:tx>
            <c:strRef>
              <c:f>Sheet1!$S$1:$S$2</c:f>
              <c:strCache>
                <c:ptCount val="2"/>
                <c:pt idx="0">
                  <c:v>3</c:v>
                </c:pt>
                <c:pt idx="1">
                  <c:v>마공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Sheet1!$S$3:$S$102</c:f>
              <c:numCache>
                <c:formatCode>General</c:formatCode>
                <c:ptCount val="100"/>
                <c:pt idx="0">
                  <c:v>6622</c:v>
                </c:pt>
                <c:pt idx="1">
                  <c:v>6622</c:v>
                </c:pt>
                <c:pt idx="2">
                  <c:v>6912</c:v>
                </c:pt>
                <c:pt idx="3">
                  <c:v>6912</c:v>
                </c:pt>
                <c:pt idx="4">
                  <c:v>6913</c:v>
                </c:pt>
                <c:pt idx="5">
                  <c:v>6913</c:v>
                </c:pt>
                <c:pt idx="6">
                  <c:v>7208</c:v>
                </c:pt>
                <c:pt idx="7">
                  <c:v>7209</c:v>
                </c:pt>
                <c:pt idx="8">
                  <c:v>7210</c:v>
                </c:pt>
                <c:pt idx="9">
                  <c:v>7210</c:v>
                </c:pt>
                <c:pt idx="10">
                  <c:v>7511</c:v>
                </c:pt>
                <c:pt idx="11">
                  <c:v>7512</c:v>
                </c:pt>
                <c:pt idx="12">
                  <c:v>7513</c:v>
                </c:pt>
                <c:pt idx="13">
                  <c:v>7513</c:v>
                </c:pt>
                <c:pt idx="14">
                  <c:v>7821</c:v>
                </c:pt>
                <c:pt idx="15">
                  <c:v>7821</c:v>
                </c:pt>
                <c:pt idx="16">
                  <c:v>7822</c:v>
                </c:pt>
                <c:pt idx="17">
                  <c:v>7822</c:v>
                </c:pt>
                <c:pt idx="18">
                  <c:v>8136</c:v>
                </c:pt>
                <c:pt idx="19">
                  <c:v>8136</c:v>
                </c:pt>
                <c:pt idx="20">
                  <c:v>8137</c:v>
                </c:pt>
                <c:pt idx="21">
                  <c:v>8138</c:v>
                </c:pt>
                <c:pt idx="22">
                  <c:v>8458</c:v>
                </c:pt>
                <c:pt idx="23">
                  <c:v>8458</c:v>
                </c:pt>
                <c:pt idx="24">
                  <c:v>8459</c:v>
                </c:pt>
                <c:pt idx="25">
                  <c:v>8459</c:v>
                </c:pt>
                <c:pt idx="26">
                  <c:v>8460</c:v>
                </c:pt>
                <c:pt idx="27">
                  <c:v>8786</c:v>
                </c:pt>
                <c:pt idx="28">
                  <c:v>8786</c:v>
                </c:pt>
                <c:pt idx="29">
                  <c:v>8787</c:v>
                </c:pt>
                <c:pt idx="30">
                  <c:v>8788</c:v>
                </c:pt>
                <c:pt idx="31">
                  <c:v>9120</c:v>
                </c:pt>
                <c:pt idx="32">
                  <c:v>9120</c:v>
                </c:pt>
                <c:pt idx="33">
                  <c:v>9121</c:v>
                </c:pt>
                <c:pt idx="34">
                  <c:v>9121</c:v>
                </c:pt>
                <c:pt idx="35">
                  <c:v>9460</c:v>
                </c:pt>
                <c:pt idx="36">
                  <c:v>9460</c:v>
                </c:pt>
                <c:pt idx="37">
                  <c:v>9461</c:v>
                </c:pt>
                <c:pt idx="38">
                  <c:v>9461</c:v>
                </c:pt>
                <c:pt idx="39">
                  <c:v>9806</c:v>
                </c:pt>
                <c:pt idx="40">
                  <c:v>9806</c:v>
                </c:pt>
                <c:pt idx="41">
                  <c:v>9807</c:v>
                </c:pt>
                <c:pt idx="42">
                  <c:v>9807</c:v>
                </c:pt>
                <c:pt idx="43">
                  <c:v>10158</c:v>
                </c:pt>
                <c:pt idx="44">
                  <c:v>10158</c:v>
                </c:pt>
                <c:pt idx="45">
                  <c:v>10159</c:v>
                </c:pt>
                <c:pt idx="46">
                  <c:v>10160</c:v>
                </c:pt>
                <c:pt idx="47">
                  <c:v>10516</c:v>
                </c:pt>
                <c:pt idx="48">
                  <c:v>10517</c:v>
                </c:pt>
                <c:pt idx="49">
                  <c:v>10518</c:v>
                </c:pt>
                <c:pt idx="50">
                  <c:v>10518</c:v>
                </c:pt>
                <c:pt idx="51">
                  <c:v>10519</c:v>
                </c:pt>
                <c:pt idx="52">
                  <c:v>10882</c:v>
                </c:pt>
                <c:pt idx="53">
                  <c:v>10882</c:v>
                </c:pt>
                <c:pt idx="54">
                  <c:v>10883</c:v>
                </c:pt>
                <c:pt idx="55">
                  <c:v>10883</c:v>
                </c:pt>
                <c:pt idx="56">
                  <c:v>11253</c:v>
                </c:pt>
                <c:pt idx="57">
                  <c:v>11253</c:v>
                </c:pt>
                <c:pt idx="58">
                  <c:v>11254</c:v>
                </c:pt>
                <c:pt idx="59">
                  <c:v>11254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3EB-4F2F-9CD4-F403992F3986}"/>
            </c:ext>
          </c:extLst>
        </c:ser>
        <c:ser>
          <c:idx val="25"/>
          <c:order val="25"/>
          <c:tx>
            <c:strRef>
              <c:f>Sheet1!$Z$1:$Z$2</c:f>
              <c:strCache>
                <c:ptCount val="2"/>
                <c:pt idx="0">
                  <c:v>4</c:v>
                </c:pt>
                <c:pt idx="1">
                  <c:v>마공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Sheet1!$Z$3:$Z$102</c:f>
              <c:numCache>
                <c:formatCode>General</c:formatCode>
                <c:ptCount val="100"/>
                <c:pt idx="0">
                  <c:v>11066</c:v>
                </c:pt>
                <c:pt idx="1">
                  <c:v>11067</c:v>
                </c:pt>
                <c:pt idx="2">
                  <c:v>11503</c:v>
                </c:pt>
                <c:pt idx="3">
                  <c:v>11504</c:v>
                </c:pt>
                <c:pt idx="4">
                  <c:v>11504</c:v>
                </c:pt>
                <c:pt idx="5">
                  <c:v>11505</c:v>
                </c:pt>
                <c:pt idx="6">
                  <c:v>11949</c:v>
                </c:pt>
                <c:pt idx="7">
                  <c:v>11950</c:v>
                </c:pt>
                <c:pt idx="8">
                  <c:v>11951</c:v>
                </c:pt>
                <c:pt idx="9">
                  <c:v>11951</c:v>
                </c:pt>
                <c:pt idx="10">
                  <c:v>12404</c:v>
                </c:pt>
                <c:pt idx="11">
                  <c:v>12405</c:v>
                </c:pt>
                <c:pt idx="12">
                  <c:v>12405</c:v>
                </c:pt>
                <c:pt idx="13">
                  <c:v>12406</c:v>
                </c:pt>
                <c:pt idx="14">
                  <c:v>12867</c:v>
                </c:pt>
                <c:pt idx="15">
                  <c:v>12868</c:v>
                </c:pt>
                <c:pt idx="16">
                  <c:v>12869</c:v>
                </c:pt>
                <c:pt idx="17">
                  <c:v>12869</c:v>
                </c:pt>
                <c:pt idx="18">
                  <c:v>13339</c:v>
                </c:pt>
                <c:pt idx="19">
                  <c:v>13339</c:v>
                </c:pt>
                <c:pt idx="20">
                  <c:v>13340</c:v>
                </c:pt>
                <c:pt idx="21">
                  <c:v>13341</c:v>
                </c:pt>
                <c:pt idx="22">
                  <c:v>13819</c:v>
                </c:pt>
                <c:pt idx="23">
                  <c:v>13819</c:v>
                </c:pt>
                <c:pt idx="24">
                  <c:v>13820</c:v>
                </c:pt>
                <c:pt idx="25">
                  <c:v>13820</c:v>
                </c:pt>
                <c:pt idx="26">
                  <c:v>13821</c:v>
                </c:pt>
                <c:pt idx="27">
                  <c:v>14308</c:v>
                </c:pt>
                <c:pt idx="28">
                  <c:v>14308</c:v>
                </c:pt>
                <c:pt idx="29">
                  <c:v>14309</c:v>
                </c:pt>
                <c:pt idx="30">
                  <c:v>14310</c:v>
                </c:pt>
                <c:pt idx="31">
                  <c:v>14805</c:v>
                </c:pt>
                <c:pt idx="32">
                  <c:v>14805</c:v>
                </c:pt>
                <c:pt idx="33">
                  <c:v>14806</c:v>
                </c:pt>
                <c:pt idx="34">
                  <c:v>14806</c:v>
                </c:pt>
                <c:pt idx="35">
                  <c:v>15310</c:v>
                </c:pt>
                <c:pt idx="36">
                  <c:v>15311</c:v>
                </c:pt>
                <c:pt idx="37">
                  <c:v>15311</c:v>
                </c:pt>
                <c:pt idx="38">
                  <c:v>15312</c:v>
                </c:pt>
                <c:pt idx="39">
                  <c:v>15824</c:v>
                </c:pt>
                <c:pt idx="40">
                  <c:v>15824</c:v>
                </c:pt>
                <c:pt idx="41">
                  <c:v>15825</c:v>
                </c:pt>
                <c:pt idx="42">
                  <c:v>15825</c:v>
                </c:pt>
                <c:pt idx="43">
                  <c:v>16346</c:v>
                </c:pt>
                <c:pt idx="44">
                  <c:v>16346</c:v>
                </c:pt>
                <c:pt idx="45">
                  <c:v>16347</c:v>
                </c:pt>
                <c:pt idx="46">
                  <c:v>16347</c:v>
                </c:pt>
                <c:pt idx="47">
                  <c:v>16876</c:v>
                </c:pt>
                <c:pt idx="48">
                  <c:v>16877</c:v>
                </c:pt>
                <c:pt idx="49">
                  <c:v>16877</c:v>
                </c:pt>
                <c:pt idx="50">
                  <c:v>16878</c:v>
                </c:pt>
                <c:pt idx="51">
                  <c:v>16878</c:v>
                </c:pt>
                <c:pt idx="52">
                  <c:v>17416</c:v>
                </c:pt>
                <c:pt idx="53">
                  <c:v>17416</c:v>
                </c:pt>
                <c:pt idx="54">
                  <c:v>17417</c:v>
                </c:pt>
                <c:pt idx="55">
                  <c:v>17418</c:v>
                </c:pt>
                <c:pt idx="56">
                  <c:v>17963</c:v>
                </c:pt>
                <c:pt idx="57">
                  <c:v>17964</c:v>
                </c:pt>
                <c:pt idx="58">
                  <c:v>17964</c:v>
                </c:pt>
                <c:pt idx="59">
                  <c:v>17965</c:v>
                </c:pt>
                <c:pt idx="60">
                  <c:v>18519</c:v>
                </c:pt>
                <c:pt idx="61">
                  <c:v>18519</c:v>
                </c:pt>
                <c:pt idx="62">
                  <c:v>18520</c:v>
                </c:pt>
                <c:pt idx="63">
                  <c:v>18521</c:v>
                </c:pt>
                <c:pt idx="64">
                  <c:v>19083</c:v>
                </c:pt>
                <c:pt idx="65">
                  <c:v>19084</c:v>
                </c:pt>
                <c:pt idx="66">
                  <c:v>19084</c:v>
                </c:pt>
                <c:pt idx="67">
                  <c:v>19085</c:v>
                </c:pt>
                <c:pt idx="68">
                  <c:v>19656</c:v>
                </c:pt>
                <c:pt idx="69">
                  <c:v>19656</c:v>
                </c:pt>
                <c:pt idx="70">
                  <c:v>19657</c:v>
                </c:pt>
                <c:pt idx="71">
                  <c:v>19657</c:v>
                </c:pt>
                <c:pt idx="72">
                  <c:v>20237</c:v>
                </c:pt>
                <c:pt idx="73">
                  <c:v>20237</c:v>
                </c:pt>
                <c:pt idx="74">
                  <c:v>20238</c:v>
                </c:pt>
                <c:pt idx="75">
                  <c:v>20238</c:v>
                </c:pt>
                <c:pt idx="76">
                  <c:v>20239</c:v>
                </c:pt>
                <c:pt idx="77">
                  <c:v>20827</c:v>
                </c:pt>
                <c:pt idx="78">
                  <c:v>20827</c:v>
                </c:pt>
                <c:pt idx="79">
                  <c:v>20828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3EB-4F2F-9CD4-F403992F3986}"/>
            </c:ext>
          </c:extLst>
        </c:ser>
        <c:ser>
          <c:idx val="32"/>
          <c:order val="32"/>
          <c:tx>
            <c:strRef>
              <c:f>Sheet1!$AG$1:$AG$2</c:f>
              <c:strCache>
                <c:ptCount val="2"/>
                <c:pt idx="0">
                  <c:v>5</c:v>
                </c:pt>
                <c:pt idx="1">
                  <c:v>마공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Sheet1!$AG$3:$AG$102</c:f>
              <c:numCache>
                <c:formatCode>General</c:formatCode>
                <c:ptCount val="100"/>
                <c:pt idx="0">
                  <c:v>16278</c:v>
                </c:pt>
                <c:pt idx="1">
                  <c:v>16278</c:v>
                </c:pt>
                <c:pt idx="2">
                  <c:v>16863</c:v>
                </c:pt>
                <c:pt idx="3">
                  <c:v>16863</c:v>
                </c:pt>
                <c:pt idx="4">
                  <c:v>16864</c:v>
                </c:pt>
                <c:pt idx="5">
                  <c:v>16864</c:v>
                </c:pt>
                <c:pt idx="6">
                  <c:v>17459</c:v>
                </c:pt>
                <c:pt idx="7">
                  <c:v>17460</c:v>
                </c:pt>
                <c:pt idx="8">
                  <c:v>17460</c:v>
                </c:pt>
                <c:pt idx="9">
                  <c:v>17461</c:v>
                </c:pt>
                <c:pt idx="10">
                  <c:v>18066</c:v>
                </c:pt>
                <c:pt idx="11">
                  <c:v>18067</c:v>
                </c:pt>
                <c:pt idx="12">
                  <c:v>18067</c:v>
                </c:pt>
                <c:pt idx="13">
                  <c:v>18068</c:v>
                </c:pt>
                <c:pt idx="14">
                  <c:v>18683</c:v>
                </c:pt>
                <c:pt idx="15">
                  <c:v>18684</c:v>
                </c:pt>
                <c:pt idx="16">
                  <c:v>18685</c:v>
                </c:pt>
                <c:pt idx="17">
                  <c:v>18685</c:v>
                </c:pt>
                <c:pt idx="18">
                  <c:v>19311</c:v>
                </c:pt>
                <c:pt idx="19">
                  <c:v>19311</c:v>
                </c:pt>
                <c:pt idx="20">
                  <c:v>19312</c:v>
                </c:pt>
                <c:pt idx="21">
                  <c:v>19313</c:v>
                </c:pt>
                <c:pt idx="22">
                  <c:v>19948</c:v>
                </c:pt>
                <c:pt idx="23">
                  <c:v>19949</c:v>
                </c:pt>
                <c:pt idx="24">
                  <c:v>19949</c:v>
                </c:pt>
                <c:pt idx="25">
                  <c:v>19950</c:v>
                </c:pt>
                <c:pt idx="26">
                  <c:v>19951</c:v>
                </c:pt>
                <c:pt idx="27">
                  <c:v>20597</c:v>
                </c:pt>
                <c:pt idx="28">
                  <c:v>20597</c:v>
                </c:pt>
                <c:pt idx="29">
                  <c:v>20598</c:v>
                </c:pt>
                <c:pt idx="30">
                  <c:v>20599</c:v>
                </c:pt>
                <c:pt idx="31">
                  <c:v>21255</c:v>
                </c:pt>
                <c:pt idx="32">
                  <c:v>21256</c:v>
                </c:pt>
                <c:pt idx="33">
                  <c:v>21256</c:v>
                </c:pt>
                <c:pt idx="34">
                  <c:v>21257</c:v>
                </c:pt>
                <c:pt idx="35">
                  <c:v>21924</c:v>
                </c:pt>
                <c:pt idx="36">
                  <c:v>21925</c:v>
                </c:pt>
                <c:pt idx="37">
                  <c:v>21925</c:v>
                </c:pt>
                <c:pt idx="38">
                  <c:v>21926</c:v>
                </c:pt>
                <c:pt idx="39">
                  <c:v>22603</c:v>
                </c:pt>
                <c:pt idx="40">
                  <c:v>22604</c:v>
                </c:pt>
                <c:pt idx="41">
                  <c:v>22604</c:v>
                </c:pt>
                <c:pt idx="42">
                  <c:v>22605</c:v>
                </c:pt>
                <c:pt idx="43">
                  <c:v>23292</c:v>
                </c:pt>
                <c:pt idx="44">
                  <c:v>23292</c:v>
                </c:pt>
                <c:pt idx="45">
                  <c:v>23293</c:v>
                </c:pt>
                <c:pt idx="46">
                  <c:v>23294</c:v>
                </c:pt>
                <c:pt idx="47">
                  <c:v>23992</c:v>
                </c:pt>
                <c:pt idx="48">
                  <c:v>23992</c:v>
                </c:pt>
                <c:pt idx="49">
                  <c:v>23993</c:v>
                </c:pt>
                <c:pt idx="50">
                  <c:v>23993</c:v>
                </c:pt>
                <c:pt idx="51">
                  <c:v>23994</c:v>
                </c:pt>
                <c:pt idx="52">
                  <c:v>24702</c:v>
                </c:pt>
                <c:pt idx="53">
                  <c:v>24702</c:v>
                </c:pt>
                <c:pt idx="54">
                  <c:v>24703</c:v>
                </c:pt>
                <c:pt idx="55">
                  <c:v>24704</c:v>
                </c:pt>
                <c:pt idx="56">
                  <c:v>25422</c:v>
                </c:pt>
                <c:pt idx="57">
                  <c:v>25423</c:v>
                </c:pt>
                <c:pt idx="58">
                  <c:v>25423</c:v>
                </c:pt>
                <c:pt idx="59">
                  <c:v>25424</c:v>
                </c:pt>
                <c:pt idx="60">
                  <c:v>26153</c:v>
                </c:pt>
                <c:pt idx="61">
                  <c:v>26153</c:v>
                </c:pt>
                <c:pt idx="62">
                  <c:v>26154</c:v>
                </c:pt>
                <c:pt idx="63">
                  <c:v>26154</c:v>
                </c:pt>
                <c:pt idx="64">
                  <c:v>26893</c:v>
                </c:pt>
                <c:pt idx="65">
                  <c:v>26894</c:v>
                </c:pt>
                <c:pt idx="66">
                  <c:v>26894</c:v>
                </c:pt>
                <c:pt idx="67">
                  <c:v>26895</c:v>
                </c:pt>
                <c:pt idx="68">
                  <c:v>27644</c:v>
                </c:pt>
                <c:pt idx="69">
                  <c:v>27645</c:v>
                </c:pt>
                <c:pt idx="70">
                  <c:v>27645</c:v>
                </c:pt>
                <c:pt idx="71">
                  <c:v>27646</c:v>
                </c:pt>
                <c:pt idx="72">
                  <c:v>28406</c:v>
                </c:pt>
                <c:pt idx="73">
                  <c:v>28406</c:v>
                </c:pt>
                <c:pt idx="74">
                  <c:v>28407</c:v>
                </c:pt>
                <c:pt idx="75">
                  <c:v>28407</c:v>
                </c:pt>
                <c:pt idx="76">
                  <c:v>28408</c:v>
                </c:pt>
                <c:pt idx="77">
                  <c:v>29178</c:v>
                </c:pt>
                <c:pt idx="78">
                  <c:v>29178</c:v>
                </c:pt>
                <c:pt idx="79">
                  <c:v>29179</c:v>
                </c:pt>
                <c:pt idx="80">
                  <c:v>29180</c:v>
                </c:pt>
                <c:pt idx="81">
                  <c:v>29960</c:v>
                </c:pt>
                <c:pt idx="82">
                  <c:v>29960</c:v>
                </c:pt>
                <c:pt idx="83">
                  <c:v>29961</c:v>
                </c:pt>
                <c:pt idx="84">
                  <c:v>29961</c:v>
                </c:pt>
                <c:pt idx="85">
                  <c:v>30752</c:v>
                </c:pt>
                <c:pt idx="86">
                  <c:v>30752</c:v>
                </c:pt>
                <c:pt idx="87">
                  <c:v>30753</c:v>
                </c:pt>
                <c:pt idx="88">
                  <c:v>30754</c:v>
                </c:pt>
                <c:pt idx="89">
                  <c:v>31554</c:v>
                </c:pt>
                <c:pt idx="90">
                  <c:v>31555</c:v>
                </c:pt>
                <c:pt idx="91">
                  <c:v>31555</c:v>
                </c:pt>
                <c:pt idx="92">
                  <c:v>31556</c:v>
                </c:pt>
                <c:pt idx="93">
                  <c:v>32367</c:v>
                </c:pt>
                <c:pt idx="94">
                  <c:v>32368</c:v>
                </c:pt>
                <c:pt idx="95">
                  <c:v>32368</c:v>
                </c:pt>
                <c:pt idx="96">
                  <c:v>32369</c:v>
                </c:pt>
                <c:pt idx="97">
                  <c:v>33191</c:v>
                </c:pt>
                <c:pt idx="98">
                  <c:v>33191</c:v>
                </c:pt>
                <c:pt idx="99">
                  <c:v>33192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3EB-4F2F-9CD4-F403992F3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878640"/>
        <c:axId val="6308789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Sheet1!$A$1:$A$2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Sheet1!$A$3:$A$102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EB-4F2F-9CD4-F403992F398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Sheet1!$B$1:$B$2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Sheet1!$B$3:$B$102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4452</c:v>
                      </c:pt>
                      <c:pt idx="1">
                        <c:v>5404</c:v>
                      </c:pt>
                      <c:pt idx="2">
                        <c:v>6356</c:v>
                      </c:pt>
                      <c:pt idx="3">
                        <c:v>7336</c:v>
                      </c:pt>
                      <c:pt idx="4">
                        <c:v>8295</c:v>
                      </c:pt>
                      <c:pt idx="5">
                        <c:v>9254</c:v>
                      </c:pt>
                      <c:pt idx="6">
                        <c:v>10213</c:v>
                      </c:pt>
                      <c:pt idx="7">
                        <c:v>11172</c:v>
                      </c:pt>
                      <c:pt idx="8">
                        <c:v>12131</c:v>
                      </c:pt>
                      <c:pt idx="9">
                        <c:v>13090</c:v>
                      </c:pt>
                      <c:pt idx="10">
                        <c:v>14049</c:v>
                      </c:pt>
                      <c:pt idx="11">
                        <c:v>15092</c:v>
                      </c:pt>
                      <c:pt idx="12">
                        <c:v>16058</c:v>
                      </c:pt>
                      <c:pt idx="13">
                        <c:v>17024</c:v>
                      </c:pt>
                      <c:pt idx="14">
                        <c:v>17990</c:v>
                      </c:pt>
                      <c:pt idx="15">
                        <c:v>18956</c:v>
                      </c:pt>
                      <c:pt idx="16">
                        <c:v>19922</c:v>
                      </c:pt>
                      <c:pt idx="17">
                        <c:v>20888</c:v>
                      </c:pt>
                      <c:pt idx="18">
                        <c:v>21854</c:v>
                      </c:pt>
                      <c:pt idx="19">
                        <c:v>22960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3EB-4F2F-9CD4-F403992F39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Sheet1!$C$1:$C$2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Sheet1!$C$3:$C$102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268</c:v>
                      </c:pt>
                      <c:pt idx="1">
                        <c:v>268</c:v>
                      </c:pt>
                      <c:pt idx="2">
                        <c:v>269</c:v>
                      </c:pt>
                      <c:pt idx="3">
                        <c:v>270</c:v>
                      </c:pt>
                      <c:pt idx="4">
                        <c:v>304</c:v>
                      </c:pt>
                      <c:pt idx="5">
                        <c:v>304</c:v>
                      </c:pt>
                      <c:pt idx="6">
                        <c:v>305</c:v>
                      </c:pt>
                      <c:pt idx="7">
                        <c:v>305</c:v>
                      </c:pt>
                      <c:pt idx="8">
                        <c:v>306</c:v>
                      </c:pt>
                      <c:pt idx="9">
                        <c:v>306</c:v>
                      </c:pt>
                      <c:pt idx="10">
                        <c:v>307</c:v>
                      </c:pt>
                      <c:pt idx="11">
                        <c:v>308</c:v>
                      </c:pt>
                      <c:pt idx="12">
                        <c:v>308</c:v>
                      </c:pt>
                      <c:pt idx="13">
                        <c:v>344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346</c:v>
                      </c:pt>
                      <c:pt idx="17">
                        <c:v>346</c:v>
                      </c:pt>
                      <c:pt idx="18">
                        <c:v>347</c:v>
                      </c:pt>
                      <c:pt idx="19">
                        <c:v>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EB-4F2F-9CD4-F403992F398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Sheet1!$D$1:$D$2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Sheet1!$D$3:$D$102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336</c:v>
                      </c:pt>
                      <c:pt idx="1">
                        <c:v>337</c:v>
                      </c:pt>
                      <c:pt idx="2">
                        <c:v>337</c:v>
                      </c:pt>
                      <c:pt idx="3">
                        <c:v>338</c:v>
                      </c:pt>
                      <c:pt idx="4">
                        <c:v>376</c:v>
                      </c:pt>
                      <c:pt idx="5">
                        <c:v>376</c:v>
                      </c:pt>
                      <c:pt idx="6">
                        <c:v>377</c:v>
                      </c:pt>
                      <c:pt idx="7">
                        <c:v>378</c:v>
                      </c:pt>
                      <c:pt idx="8">
                        <c:v>378</c:v>
                      </c:pt>
                      <c:pt idx="9">
                        <c:v>379</c:v>
                      </c:pt>
                      <c:pt idx="10">
                        <c:v>379</c:v>
                      </c:pt>
                      <c:pt idx="11">
                        <c:v>380</c:v>
                      </c:pt>
                      <c:pt idx="12">
                        <c:v>420</c:v>
                      </c:pt>
                      <c:pt idx="13">
                        <c:v>420</c:v>
                      </c:pt>
                      <c:pt idx="14">
                        <c:v>421</c:v>
                      </c:pt>
                      <c:pt idx="15">
                        <c:v>421</c:v>
                      </c:pt>
                      <c:pt idx="16">
                        <c:v>422</c:v>
                      </c:pt>
                      <c:pt idx="17">
                        <c:v>423</c:v>
                      </c:pt>
                      <c:pt idx="18">
                        <c:v>423</c:v>
                      </c:pt>
                      <c:pt idx="19">
                        <c:v>424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EB-4F2F-9CD4-F403992F398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Sheet1!$F$1:$F$2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Sheet1!$F$3:$F$102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7793</c:v>
                      </c:pt>
                      <c:pt idx="1">
                        <c:v>8004</c:v>
                      </c:pt>
                      <c:pt idx="2">
                        <c:v>8214</c:v>
                      </c:pt>
                      <c:pt idx="3">
                        <c:v>8635</c:v>
                      </c:pt>
                      <c:pt idx="4">
                        <c:v>8847</c:v>
                      </c:pt>
                      <c:pt idx="5">
                        <c:v>9057</c:v>
                      </c:pt>
                      <c:pt idx="6">
                        <c:v>9268</c:v>
                      </c:pt>
                      <c:pt idx="7">
                        <c:v>9479</c:v>
                      </c:pt>
                      <c:pt idx="8">
                        <c:v>9690</c:v>
                      </c:pt>
                      <c:pt idx="9">
                        <c:v>9900</c:v>
                      </c:pt>
                      <c:pt idx="10">
                        <c:v>10111</c:v>
                      </c:pt>
                      <c:pt idx="11">
                        <c:v>10532</c:v>
                      </c:pt>
                      <c:pt idx="12">
                        <c:v>10742</c:v>
                      </c:pt>
                      <c:pt idx="13">
                        <c:v>10953</c:v>
                      </c:pt>
                      <c:pt idx="14">
                        <c:v>11163</c:v>
                      </c:pt>
                      <c:pt idx="15">
                        <c:v>11374</c:v>
                      </c:pt>
                      <c:pt idx="16">
                        <c:v>11584</c:v>
                      </c:pt>
                      <c:pt idx="17">
                        <c:v>11795</c:v>
                      </c:pt>
                      <c:pt idx="18">
                        <c:v>12005</c:v>
                      </c:pt>
                      <c:pt idx="19">
                        <c:v>12426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EB-4F2F-9CD4-F403992F398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Sheet1!$G$1:$G$2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Sheet1!$G$3:$G$102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5882</c:v>
                      </c:pt>
                      <c:pt idx="1">
                        <c:v>6040</c:v>
                      </c:pt>
                      <c:pt idx="2">
                        <c:v>6199</c:v>
                      </c:pt>
                      <c:pt idx="3">
                        <c:v>6515</c:v>
                      </c:pt>
                      <c:pt idx="4">
                        <c:v>6673</c:v>
                      </c:pt>
                      <c:pt idx="5">
                        <c:v>6831</c:v>
                      </c:pt>
                      <c:pt idx="6">
                        <c:v>6990</c:v>
                      </c:pt>
                      <c:pt idx="7">
                        <c:v>7148</c:v>
                      </c:pt>
                      <c:pt idx="8">
                        <c:v>7306</c:v>
                      </c:pt>
                      <c:pt idx="9">
                        <c:v>7464</c:v>
                      </c:pt>
                      <c:pt idx="10">
                        <c:v>7623</c:v>
                      </c:pt>
                      <c:pt idx="11">
                        <c:v>7939</c:v>
                      </c:pt>
                      <c:pt idx="12">
                        <c:v>8097</c:v>
                      </c:pt>
                      <c:pt idx="13">
                        <c:v>8255</c:v>
                      </c:pt>
                      <c:pt idx="14">
                        <c:v>8414</c:v>
                      </c:pt>
                      <c:pt idx="15">
                        <c:v>8572</c:v>
                      </c:pt>
                      <c:pt idx="16">
                        <c:v>8730</c:v>
                      </c:pt>
                      <c:pt idx="17">
                        <c:v>8888</c:v>
                      </c:pt>
                      <c:pt idx="18">
                        <c:v>9047</c:v>
                      </c:pt>
                      <c:pt idx="19">
                        <c:v>9363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EB-4F2F-9CD4-F403992F398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Sheet1!$H$1:$H$2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Sheet1!$H$3:$H$102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EB-4F2F-9CD4-F403992F398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Sheet1!$I$1:$I$2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5516</c:v>
                      </c:pt>
                      <c:pt idx="1">
                        <c:v>6732</c:v>
                      </c:pt>
                      <c:pt idx="2">
                        <c:v>7948</c:v>
                      </c:pt>
                      <c:pt idx="3">
                        <c:v>9200</c:v>
                      </c:pt>
                      <c:pt idx="4">
                        <c:v>10425</c:v>
                      </c:pt>
                      <c:pt idx="5">
                        <c:v>11650</c:v>
                      </c:pt>
                      <c:pt idx="6">
                        <c:v>12875</c:v>
                      </c:pt>
                      <c:pt idx="7">
                        <c:v>14100</c:v>
                      </c:pt>
                      <c:pt idx="8">
                        <c:v>15325</c:v>
                      </c:pt>
                      <c:pt idx="9">
                        <c:v>16550</c:v>
                      </c:pt>
                      <c:pt idx="10">
                        <c:v>17775</c:v>
                      </c:pt>
                      <c:pt idx="11">
                        <c:v>19105</c:v>
                      </c:pt>
                      <c:pt idx="12">
                        <c:v>20338</c:v>
                      </c:pt>
                      <c:pt idx="13">
                        <c:v>21572</c:v>
                      </c:pt>
                      <c:pt idx="14">
                        <c:v>22806</c:v>
                      </c:pt>
                      <c:pt idx="15">
                        <c:v>24040</c:v>
                      </c:pt>
                      <c:pt idx="16">
                        <c:v>25273</c:v>
                      </c:pt>
                      <c:pt idx="17">
                        <c:v>26507</c:v>
                      </c:pt>
                      <c:pt idx="18">
                        <c:v>27741</c:v>
                      </c:pt>
                      <c:pt idx="19">
                        <c:v>29150</c:v>
                      </c:pt>
                      <c:pt idx="20">
                        <c:v>30392</c:v>
                      </c:pt>
                      <c:pt idx="21">
                        <c:v>31635</c:v>
                      </c:pt>
                      <c:pt idx="22">
                        <c:v>32877</c:v>
                      </c:pt>
                      <c:pt idx="23">
                        <c:v>34120</c:v>
                      </c:pt>
                      <c:pt idx="24">
                        <c:v>35362</c:v>
                      </c:pt>
                      <c:pt idx="25">
                        <c:v>36605</c:v>
                      </c:pt>
                      <c:pt idx="26">
                        <c:v>38083</c:v>
                      </c:pt>
                      <c:pt idx="27">
                        <c:v>39335</c:v>
                      </c:pt>
                      <c:pt idx="28">
                        <c:v>40586</c:v>
                      </c:pt>
                      <c:pt idx="29">
                        <c:v>41837</c:v>
                      </c:pt>
                      <c:pt idx="30">
                        <c:v>43088</c:v>
                      </c:pt>
                      <c:pt idx="31">
                        <c:v>44340</c:v>
                      </c:pt>
                      <c:pt idx="32">
                        <c:v>45591</c:v>
                      </c:pt>
                      <c:pt idx="33">
                        <c:v>46842</c:v>
                      </c:pt>
                      <c:pt idx="34">
                        <c:v>48400</c:v>
                      </c:pt>
                      <c:pt idx="35">
                        <c:v>49660</c:v>
                      </c:pt>
                      <c:pt idx="36">
                        <c:v>50920</c:v>
                      </c:pt>
                      <c:pt idx="37">
                        <c:v>52180</c:v>
                      </c:pt>
                      <c:pt idx="38">
                        <c:v>53440</c:v>
                      </c:pt>
                      <c:pt idx="39">
                        <c:v>54700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EB-4F2F-9CD4-F403992F398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Sheet1!$J$1:$J$2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Sheet1!$J$3:$J$102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410</c:v>
                      </c:pt>
                      <c:pt idx="1">
                        <c:v>411</c:v>
                      </c:pt>
                      <c:pt idx="2">
                        <c:v>411</c:v>
                      </c:pt>
                      <c:pt idx="3">
                        <c:v>412</c:v>
                      </c:pt>
                      <c:pt idx="4">
                        <c:v>459</c:v>
                      </c:pt>
                      <c:pt idx="5">
                        <c:v>459</c:v>
                      </c:pt>
                      <c:pt idx="6">
                        <c:v>460</c:v>
                      </c:pt>
                      <c:pt idx="7">
                        <c:v>460</c:v>
                      </c:pt>
                      <c:pt idx="8">
                        <c:v>461</c:v>
                      </c:pt>
                      <c:pt idx="9">
                        <c:v>461</c:v>
                      </c:pt>
                      <c:pt idx="10">
                        <c:v>462</c:v>
                      </c:pt>
                      <c:pt idx="11">
                        <c:v>463</c:v>
                      </c:pt>
                      <c:pt idx="12">
                        <c:v>463</c:v>
                      </c:pt>
                      <c:pt idx="13">
                        <c:v>512</c:v>
                      </c:pt>
                      <c:pt idx="14">
                        <c:v>513</c:v>
                      </c:pt>
                      <c:pt idx="15">
                        <c:v>513</c:v>
                      </c:pt>
                      <c:pt idx="16">
                        <c:v>514</c:v>
                      </c:pt>
                      <c:pt idx="17">
                        <c:v>515</c:v>
                      </c:pt>
                      <c:pt idx="18">
                        <c:v>515</c:v>
                      </c:pt>
                      <c:pt idx="19">
                        <c:v>516</c:v>
                      </c:pt>
                      <c:pt idx="20">
                        <c:v>516</c:v>
                      </c:pt>
                      <c:pt idx="21">
                        <c:v>517</c:v>
                      </c:pt>
                      <c:pt idx="22">
                        <c:v>569</c:v>
                      </c:pt>
                      <c:pt idx="23">
                        <c:v>569</c:v>
                      </c:pt>
                      <c:pt idx="24">
                        <c:v>570</c:v>
                      </c:pt>
                      <c:pt idx="25">
                        <c:v>570</c:v>
                      </c:pt>
                      <c:pt idx="26">
                        <c:v>571</c:v>
                      </c:pt>
                      <c:pt idx="27">
                        <c:v>571</c:v>
                      </c:pt>
                      <c:pt idx="28">
                        <c:v>572</c:v>
                      </c:pt>
                      <c:pt idx="29">
                        <c:v>573</c:v>
                      </c:pt>
                      <c:pt idx="30">
                        <c:v>573</c:v>
                      </c:pt>
                      <c:pt idx="31">
                        <c:v>628</c:v>
                      </c:pt>
                      <c:pt idx="32">
                        <c:v>628</c:v>
                      </c:pt>
                      <c:pt idx="33">
                        <c:v>629</c:v>
                      </c:pt>
                      <c:pt idx="34">
                        <c:v>629</c:v>
                      </c:pt>
                      <c:pt idx="35">
                        <c:v>630</c:v>
                      </c:pt>
                      <c:pt idx="36">
                        <c:v>630</c:v>
                      </c:pt>
                      <c:pt idx="37">
                        <c:v>631</c:v>
                      </c:pt>
                      <c:pt idx="38">
                        <c:v>631</c:v>
                      </c:pt>
                      <c:pt idx="39">
                        <c:v>632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EB-4F2F-9CD4-F403992F3986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Sheet1!$K$1:$K$2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Sheet1!$K$3:$K$102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504</c:v>
                      </c:pt>
                      <c:pt idx="1">
                        <c:v>505</c:v>
                      </c:pt>
                      <c:pt idx="2">
                        <c:v>506</c:v>
                      </c:pt>
                      <c:pt idx="3">
                        <c:v>506</c:v>
                      </c:pt>
                      <c:pt idx="4">
                        <c:v>558</c:v>
                      </c:pt>
                      <c:pt idx="5">
                        <c:v>558</c:v>
                      </c:pt>
                      <c:pt idx="6">
                        <c:v>559</c:v>
                      </c:pt>
                      <c:pt idx="7">
                        <c:v>560</c:v>
                      </c:pt>
                      <c:pt idx="8">
                        <c:v>560</c:v>
                      </c:pt>
                      <c:pt idx="9">
                        <c:v>561</c:v>
                      </c:pt>
                      <c:pt idx="10">
                        <c:v>561</c:v>
                      </c:pt>
                      <c:pt idx="11">
                        <c:v>562</c:v>
                      </c:pt>
                      <c:pt idx="12">
                        <c:v>616</c:v>
                      </c:pt>
                      <c:pt idx="13">
                        <c:v>617</c:v>
                      </c:pt>
                      <c:pt idx="14">
                        <c:v>617</c:v>
                      </c:pt>
                      <c:pt idx="15">
                        <c:v>618</c:v>
                      </c:pt>
                      <c:pt idx="16">
                        <c:v>618</c:v>
                      </c:pt>
                      <c:pt idx="17">
                        <c:v>619</c:v>
                      </c:pt>
                      <c:pt idx="18">
                        <c:v>619</c:v>
                      </c:pt>
                      <c:pt idx="19">
                        <c:v>620</c:v>
                      </c:pt>
                      <c:pt idx="20">
                        <c:v>677</c:v>
                      </c:pt>
                      <c:pt idx="21">
                        <c:v>677</c:v>
                      </c:pt>
                      <c:pt idx="22">
                        <c:v>678</c:v>
                      </c:pt>
                      <c:pt idx="23">
                        <c:v>679</c:v>
                      </c:pt>
                      <c:pt idx="24">
                        <c:v>679</c:v>
                      </c:pt>
                      <c:pt idx="25">
                        <c:v>680</c:v>
                      </c:pt>
                      <c:pt idx="26">
                        <c:v>680</c:v>
                      </c:pt>
                      <c:pt idx="27">
                        <c:v>681</c:v>
                      </c:pt>
                      <c:pt idx="28">
                        <c:v>681</c:v>
                      </c:pt>
                      <c:pt idx="29">
                        <c:v>740</c:v>
                      </c:pt>
                      <c:pt idx="30">
                        <c:v>741</c:v>
                      </c:pt>
                      <c:pt idx="31">
                        <c:v>742</c:v>
                      </c:pt>
                      <c:pt idx="32">
                        <c:v>742</c:v>
                      </c:pt>
                      <c:pt idx="33">
                        <c:v>743</c:v>
                      </c:pt>
                      <c:pt idx="34">
                        <c:v>743</c:v>
                      </c:pt>
                      <c:pt idx="35">
                        <c:v>744</c:v>
                      </c:pt>
                      <c:pt idx="36">
                        <c:v>745</c:v>
                      </c:pt>
                      <c:pt idx="37">
                        <c:v>806</c:v>
                      </c:pt>
                      <c:pt idx="38">
                        <c:v>807</c:v>
                      </c:pt>
                      <c:pt idx="39">
                        <c:v>807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3EB-4F2F-9CD4-F403992F398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Sheet1!$M$1:$M$2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Sheet1!$M$3:$M$102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10547</c:v>
                      </c:pt>
                      <c:pt idx="1">
                        <c:v>10810</c:v>
                      </c:pt>
                      <c:pt idx="2">
                        <c:v>11074</c:v>
                      </c:pt>
                      <c:pt idx="3">
                        <c:v>11601</c:v>
                      </c:pt>
                      <c:pt idx="4">
                        <c:v>11864</c:v>
                      </c:pt>
                      <c:pt idx="5">
                        <c:v>12128</c:v>
                      </c:pt>
                      <c:pt idx="6">
                        <c:v>12391</c:v>
                      </c:pt>
                      <c:pt idx="7">
                        <c:v>12655</c:v>
                      </c:pt>
                      <c:pt idx="8">
                        <c:v>12918</c:v>
                      </c:pt>
                      <c:pt idx="9">
                        <c:v>13182</c:v>
                      </c:pt>
                      <c:pt idx="10">
                        <c:v>13445</c:v>
                      </c:pt>
                      <c:pt idx="11">
                        <c:v>13972</c:v>
                      </c:pt>
                      <c:pt idx="12">
                        <c:v>14236</c:v>
                      </c:pt>
                      <c:pt idx="13">
                        <c:v>14499</c:v>
                      </c:pt>
                      <c:pt idx="14">
                        <c:v>14763</c:v>
                      </c:pt>
                      <c:pt idx="15">
                        <c:v>15026</c:v>
                      </c:pt>
                      <c:pt idx="16">
                        <c:v>15290</c:v>
                      </c:pt>
                      <c:pt idx="17">
                        <c:v>15553</c:v>
                      </c:pt>
                      <c:pt idx="18">
                        <c:v>15817</c:v>
                      </c:pt>
                      <c:pt idx="19">
                        <c:v>16344</c:v>
                      </c:pt>
                      <c:pt idx="20">
                        <c:v>16607</c:v>
                      </c:pt>
                      <c:pt idx="21">
                        <c:v>16871</c:v>
                      </c:pt>
                      <c:pt idx="22">
                        <c:v>17135</c:v>
                      </c:pt>
                      <c:pt idx="23">
                        <c:v>17399</c:v>
                      </c:pt>
                      <c:pt idx="24">
                        <c:v>17662</c:v>
                      </c:pt>
                      <c:pt idx="25">
                        <c:v>17926</c:v>
                      </c:pt>
                      <c:pt idx="26">
                        <c:v>18453</c:v>
                      </c:pt>
                      <c:pt idx="27">
                        <c:v>18716</c:v>
                      </c:pt>
                      <c:pt idx="28">
                        <c:v>18980</c:v>
                      </c:pt>
                      <c:pt idx="29">
                        <c:v>19243</c:v>
                      </c:pt>
                      <c:pt idx="30">
                        <c:v>19507</c:v>
                      </c:pt>
                      <c:pt idx="31">
                        <c:v>19770</c:v>
                      </c:pt>
                      <c:pt idx="32">
                        <c:v>20034</c:v>
                      </c:pt>
                      <c:pt idx="33">
                        <c:v>20297</c:v>
                      </c:pt>
                      <c:pt idx="34">
                        <c:v>20824</c:v>
                      </c:pt>
                      <c:pt idx="35">
                        <c:v>21088</c:v>
                      </c:pt>
                      <c:pt idx="36">
                        <c:v>21351</c:v>
                      </c:pt>
                      <c:pt idx="37">
                        <c:v>21615</c:v>
                      </c:pt>
                      <c:pt idx="38">
                        <c:v>21878</c:v>
                      </c:pt>
                      <c:pt idx="39">
                        <c:v>22143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3EB-4F2F-9CD4-F403992F3986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Sheet1!$N$1:$N$2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Sheet1!$N$3:$N$102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7941</c:v>
                      </c:pt>
                      <c:pt idx="1">
                        <c:v>8138</c:v>
                      </c:pt>
                      <c:pt idx="2">
                        <c:v>8337</c:v>
                      </c:pt>
                      <c:pt idx="3">
                        <c:v>8732</c:v>
                      </c:pt>
                      <c:pt idx="4">
                        <c:v>8929</c:v>
                      </c:pt>
                      <c:pt idx="5">
                        <c:v>9127</c:v>
                      </c:pt>
                      <c:pt idx="6">
                        <c:v>9325</c:v>
                      </c:pt>
                      <c:pt idx="7">
                        <c:v>9523</c:v>
                      </c:pt>
                      <c:pt idx="8">
                        <c:v>9720</c:v>
                      </c:pt>
                      <c:pt idx="9">
                        <c:v>9918</c:v>
                      </c:pt>
                      <c:pt idx="10">
                        <c:v>10116</c:v>
                      </c:pt>
                      <c:pt idx="11">
                        <c:v>10511</c:v>
                      </c:pt>
                      <c:pt idx="12">
                        <c:v>10709</c:v>
                      </c:pt>
                      <c:pt idx="13">
                        <c:v>10906</c:v>
                      </c:pt>
                      <c:pt idx="14">
                        <c:v>11105</c:v>
                      </c:pt>
                      <c:pt idx="15">
                        <c:v>11302</c:v>
                      </c:pt>
                      <c:pt idx="16">
                        <c:v>11500</c:v>
                      </c:pt>
                      <c:pt idx="17">
                        <c:v>11697</c:v>
                      </c:pt>
                      <c:pt idx="18">
                        <c:v>11896</c:v>
                      </c:pt>
                      <c:pt idx="19">
                        <c:v>12291</c:v>
                      </c:pt>
                      <c:pt idx="20">
                        <c:v>12488</c:v>
                      </c:pt>
                      <c:pt idx="21">
                        <c:v>12686</c:v>
                      </c:pt>
                      <c:pt idx="22">
                        <c:v>12884</c:v>
                      </c:pt>
                      <c:pt idx="23">
                        <c:v>13082</c:v>
                      </c:pt>
                      <c:pt idx="24">
                        <c:v>13279</c:v>
                      </c:pt>
                      <c:pt idx="25">
                        <c:v>13477</c:v>
                      </c:pt>
                      <c:pt idx="26">
                        <c:v>13872</c:v>
                      </c:pt>
                      <c:pt idx="27">
                        <c:v>14070</c:v>
                      </c:pt>
                      <c:pt idx="28">
                        <c:v>14268</c:v>
                      </c:pt>
                      <c:pt idx="29">
                        <c:v>14465</c:v>
                      </c:pt>
                      <c:pt idx="30">
                        <c:v>14663</c:v>
                      </c:pt>
                      <c:pt idx="31">
                        <c:v>14861</c:v>
                      </c:pt>
                      <c:pt idx="32">
                        <c:v>15059</c:v>
                      </c:pt>
                      <c:pt idx="33">
                        <c:v>15256</c:v>
                      </c:pt>
                      <c:pt idx="34">
                        <c:v>15651</c:v>
                      </c:pt>
                      <c:pt idx="35">
                        <c:v>15850</c:v>
                      </c:pt>
                      <c:pt idx="36">
                        <c:v>16047</c:v>
                      </c:pt>
                      <c:pt idx="37">
                        <c:v>16245</c:v>
                      </c:pt>
                      <c:pt idx="38">
                        <c:v>16442</c:v>
                      </c:pt>
                      <c:pt idx="39">
                        <c:v>16641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3EB-4F2F-9CD4-F403992F3986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Sheet1!$O$1:$O$2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Sheet1!$O$3:$O$102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EB-4F2F-9CD4-F403992F3986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Sheet1!$P$1:$P$2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Sheet1!$P$3:$P$102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7340</c:v>
                      </c:pt>
                      <c:pt idx="1">
                        <c:v>8980</c:v>
                      </c:pt>
                      <c:pt idx="2">
                        <c:v>10620</c:v>
                      </c:pt>
                      <c:pt idx="3">
                        <c:v>12306</c:v>
                      </c:pt>
                      <c:pt idx="4">
                        <c:v>13958</c:v>
                      </c:pt>
                      <c:pt idx="5">
                        <c:v>15609</c:v>
                      </c:pt>
                      <c:pt idx="6">
                        <c:v>17261</c:v>
                      </c:pt>
                      <c:pt idx="7">
                        <c:v>18913</c:v>
                      </c:pt>
                      <c:pt idx="8">
                        <c:v>20564</c:v>
                      </c:pt>
                      <c:pt idx="9">
                        <c:v>22216</c:v>
                      </c:pt>
                      <c:pt idx="10">
                        <c:v>23868</c:v>
                      </c:pt>
                      <c:pt idx="11">
                        <c:v>25658</c:v>
                      </c:pt>
                      <c:pt idx="12">
                        <c:v>27321</c:v>
                      </c:pt>
                      <c:pt idx="13">
                        <c:v>28984</c:v>
                      </c:pt>
                      <c:pt idx="14">
                        <c:v>30648</c:v>
                      </c:pt>
                      <c:pt idx="15">
                        <c:v>32311</c:v>
                      </c:pt>
                      <c:pt idx="16">
                        <c:v>33974</c:v>
                      </c:pt>
                      <c:pt idx="17">
                        <c:v>35637</c:v>
                      </c:pt>
                      <c:pt idx="18">
                        <c:v>37300</c:v>
                      </c:pt>
                      <c:pt idx="19">
                        <c:v>39195</c:v>
                      </c:pt>
                      <c:pt idx="20">
                        <c:v>40869</c:v>
                      </c:pt>
                      <c:pt idx="21">
                        <c:v>42544</c:v>
                      </c:pt>
                      <c:pt idx="22">
                        <c:v>44219</c:v>
                      </c:pt>
                      <c:pt idx="23">
                        <c:v>45894</c:v>
                      </c:pt>
                      <c:pt idx="24">
                        <c:v>47568</c:v>
                      </c:pt>
                      <c:pt idx="25">
                        <c:v>49243</c:v>
                      </c:pt>
                      <c:pt idx="26">
                        <c:v>51230</c:v>
                      </c:pt>
                      <c:pt idx="27">
                        <c:v>52916</c:v>
                      </c:pt>
                      <c:pt idx="28">
                        <c:v>54602</c:v>
                      </c:pt>
                      <c:pt idx="29">
                        <c:v>56289</c:v>
                      </c:pt>
                      <c:pt idx="30">
                        <c:v>57975</c:v>
                      </c:pt>
                      <c:pt idx="31">
                        <c:v>59661</c:v>
                      </c:pt>
                      <c:pt idx="32">
                        <c:v>61347</c:v>
                      </c:pt>
                      <c:pt idx="33">
                        <c:v>63034</c:v>
                      </c:pt>
                      <c:pt idx="34">
                        <c:v>65124</c:v>
                      </c:pt>
                      <c:pt idx="35">
                        <c:v>66822</c:v>
                      </c:pt>
                      <c:pt idx="36">
                        <c:v>68520</c:v>
                      </c:pt>
                      <c:pt idx="37">
                        <c:v>70218</c:v>
                      </c:pt>
                      <c:pt idx="38">
                        <c:v>71916</c:v>
                      </c:pt>
                      <c:pt idx="39">
                        <c:v>73614</c:v>
                      </c:pt>
                      <c:pt idx="40">
                        <c:v>75311</c:v>
                      </c:pt>
                      <c:pt idx="41">
                        <c:v>77009</c:v>
                      </c:pt>
                      <c:pt idx="42">
                        <c:v>79204</c:v>
                      </c:pt>
                      <c:pt idx="43">
                        <c:v>80913</c:v>
                      </c:pt>
                      <c:pt idx="44">
                        <c:v>82623</c:v>
                      </c:pt>
                      <c:pt idx="45">
                        <c:v>84332</c:v>
                      </c:pt>
                      <c:pt idx="46">
                        <c:v>86041</c:v>
                      </c:pt>
                      <c:pt idx="47">
                        <c:v>87751</c:v>
                      </c:pt>
                      <c:pt idx="48">
                        <c:v>89460</c:v>
                      </c:pt>
                      <c:pt idx="49">
                        <c:v>91747</c:v>
                      </c:pt>
                      <c:pt idx="50">
                        <c:v>93468</c:v>
                      </c:pt>
                      <c:pt idx="51">
                        <c:v>95189</c:v>
                      </c:pt>
                      <c:pt idx="52">
                        <c:v>96910</c:v>
                      </c:pt>
                      <c:pt idx="53">
                        <c:v>98631</c:v>
                      </c:pt>
                      <c:pt idx="54">
                        <c:v>100352</c:v>
                      </c:pt>
                      <c:pt idx="55">
                        <c:v>102073</c:v>
                      </c:pt>
                      <c:pt idx="56">
                        <c:v>103794</c:v>
                      </c:pt>
                      <c:pt idx="57">
                        <c:v>106185</c:v>
                      </c:pt>
                      <c:pt idx="58">
                        <c:v>107917</c:v>
                      </c:pt>
                      <c:pt idx="59">
                        <c:v>109650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3EB-4F2F-9CD4-F403992F3986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Sheet1!$Q$1:$Q$2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Sheet1!$Q$3:$Q$102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654</c:v>
                      </c:pt>
                      <c:pt idx="1">
                        <c:v>655</c:v>
                      </c:pt>
                      <c:pt idx="2">
                        <c:v>655</c:v>
                      </c:pt>
                      <c:pt idx="3">
                        <c:v>656</c:v>
                      </c:pt>
                      <c:pt idx="4">
                        <c:v>724</c:v>
                      </c:pt>
                      <c:pt idx="5">
                        <c:v>724</c:v>
                      </c:pt>
                      <c:pt idx="6">
                        <c:v>725</c:v>
                      </c:pt>
                      <c:pt idx="7">
                        <c:v>725</c:v>
                      </c:pt>
                      <c:pt idx="8">
                        <c:v>726</c:v>
                      </c:pt>
                      <c:pt idx="9">
                        <c:v>726</c:v>
                      </c:pt>
                      <c:pt idx="10">
                        <c:v>727</c:v>
                      </c:pt>
                      <c:pt idx="11">
                        <c:v>728</c:v>
                      </c:pt>
                      <c:pt idx="12">
                        <c:v>728</c:v>
                      </c:pt>
                      <c:pt idx="13">
                        <c:v>799</c:v>
                      </c:pt>
                      <c:pt idx="14">
                        <c:v>800</c:v>
                      </c:pt>
                      <c:pt idx="15">
                        <c:v>800</c:v>
                      </c:pt>
                      <c:pt idx="16">
                        <c:v>801</c:v>
                      </c:pt>
                      <c:pt idx="17">
                        <c:v>802</c:v>
                      </c:pt>
                      <c:pt idx="18">
                        <c:v>802</c:v>
                      </c:pt>
                      <c:pt idx="19">
                        <c:v>803</c:v>
                      </c:pt>
                      <c:pt idx="20">
                        <c:v>803</c:v>
                      </c:pt>
                      <c:pt idx="21">
                        <c:v>804</c:v>
                      </c:pt>
                      <c:pt idx="22">
                        <c:v>878</c:v>
                      </c:pt>
                      <c:pt idx="23">
                        <c:v>879</c:v>
                      </c:pt>
                      <c:pt idx="24">
                        <c:v>879</c:v>
                      </c:pt>
                      <c:pt idx="25">
                        <c:v>880</c:v>
                      </c:pt>
                      <c:pt idx="26">
                        <c:v>880</c:v>
                      </c:pt>
                      <c:pt idx="27">
                        <c:v>881</c:v>
                      </c:pt>
                      <c:pt idx="28">
                        <c:v>881</c:v>
                      </c:pt>
                      <c:pt idx="29">
                        <c:v>882</c:v>
                      </c:pt>
                      <c:pt idx="30">
                        <c:v>883</c:v>
                      </c:pt>
                      <c:pt idx="31">
                        <c:v>961</c:v>
                      </c:pt>
                      <c:pt idx="32">
                        <c:v>961</c:v>
                      </c:pt>
                      <c:pt idx="33">
                        <c:v>962</c:v>
                      </c:pt>
                      <c:pt idx="34">
                        <c:v>962</c:v>
                      </c:pt>
                      <c:pt idx="35">
                        <c:v>963</c:v>
                      </c:pt>
                      <c:pt idx="36">
                        <c:v>963</c:v>
                      </c:pt>
                      <c:pt idx="37">
                        <c:v>964</c:v>
                      </c:pt>
                      <c:pt idx="38">
                        <c:v>965</c:v>
                      </c:pt>
                      <c:pt idx="39">
                        <c:v>965</c:v>
                      </c:pt>
                      <c:pt idx="40">
                        <c:v>1046</c:v>
                      </c:pt>
                      <c:pt idx="41">
                        <c:v>1047</c:v>
                      </c:pt>
                      <c:pt idx="42">
                        <c:v>1047</c:v>
                      </c:pt>
                      <c:pt idx="43">
                        <c:v>1048</c:v>
                      </c:pt>
                      <c:pt idx="44">
                        <c:v>1048</c:v>
                      </c:pt>
                      <c:pt idx="45">
                        <c:v>1049</c:v>
                      </c:pt>
                      <c:pt idx="46">
                        <c:v>1050</c:v>
                      </c:pt>
                      <c:pt idx="47">
                        <c:v>1050</c:v>
                      </c:pt>
                      <c:pt idx="48">
                        <c:v>1051</c:v>
                      </c:pt>
                      <c:pt idx="49">
                        <c:v>1135</c:v>
                      </c:pt>
                      <c:pt idx="50">
                        <c:v>1136</c:v>
                      </c:pt>
                      <c:pt idx="51">
                        <c:v>1136</c:v>
                      </c:pt>
                      <c:pt idx="52">
                        <c:v>1137</c:v>
                      </c:pt>
                      <c:pt idx="53">
                        <c:v>1137</c:v>
                      </c:pt>
                      <c:pt idx="54">
                        <c:v>1138</c:v>
                      </c:pt>
                      <c:pt idx="55">
                        <c:v>1139</c:v>
                      </c:pt>
                      <c:pt idx="56">
                        <c:v>1139</c:v>
                      </c:pt>
                      <c:pt idx="57">
                        <c:v>1140</c:v>
                      </c:pt>
                      <c:pt idx="58">
                        <c:v>1140</c:v>
                      </c:pt>
                      <c:pt idx="59">
                        <c:v>1228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EB-4F2F-9CD4-F403992F3986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Sheet1!$R$1:$R$2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Sheet1!$R$3:$R$102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791</c:v>
                      </c:pt>
                      <c:pt idx="1">
                        <c:v>792</c:v>
                      </c:pt>
                      <c:pt idx="2">
                        <c:v>792</c:v>
                      </c:pt>
                      <c:pt idx="3">
                        <c:v>793</c:v>
                      </c:pt>
                      <c:pt idx="4">
                        <c:v>867</c:v>
                      </c:pt>
                      <c:pt idx="5">
                        <c:v>868</c:v>
                      </c:pt>
                      <c:pt idx="6">
                        <c:v>868</c:v>
                      </c:pt>
                      <c:pt idx="7">
                        <c:v>869</c:v>
                      </c:pt>
                      <c:pt idx="8">
                        <c:v>870</c:v>
                      </c:pt>
                      <c:pt idx="9">
                        <c:v>870</c:v>
                      </c:pt>
                      <c:pt idx="10">
                        <c:v>871</c:v>
                      </c:pt>
                      <c:pt idx="11">
                        <c:v>871</c:v>
                      </c:pt>
                      <c:pt idx="12">
                        <c:v>949</c:v>
                      </c:pt>
                      <c:pt idx="13">
                        <c:v>950</c:v>
                      </c:pt>
                      <c:pt idx="14">
                        <c:v>950</c:v>
                      </c:pt>
                      <c:pt idx="15">
                        <c:v>951</c:v>
                      </c:pt>
                      <c:pt idx="16">
                        <c:v>951</c:v>
                      </c:pt>
                      <c:pt idx="17">
                        <c:v>952</c:v>
                      </c:pt>
                      <c:pt idx="18">
                        <c:v>952</c:v>
                      </c:pt>
                      <c:pt idx="19">
                        <c:v>953</c:v>
                      </c:pt>
                      <c:pt idx="20">
                        <c:v>1034</c:v>
                      </c:pt>
                      <c:pt idx="21">
                        <c:v>1035</c:v>
                      </c:pt>
                      <c:pt idx="22">
                        <c:v>1035</c:v>
                      </c:pt>
                      <c:pt idx="23">
                        <c:v>1036</c:v>
                      </c:pt>
                      <c:pt idx="24">
                        <c:v>1036</c:v>
                      </c:pt>
                      <c:pt idx="25">
                        <c:v>1037</c:v>
                      </c:pt>
                      <c:pt idx="26">
                        <c:v>1038</c:v>
                      </c:pt>
                      <c:pt idx="27">
                        <c:v>1038</c:v>
                      </c:pt>
                      <c:pt idx="28">
                        <c:v>1039</c:v>
                      </c:pt>
                      <c:pt idx="29">
                        <c:v>1123</c:v>
                      </c:pt>
                      <c:pt idx="30">
                        <c:v>1124</c:v>
                      </c:pt>
                      <c:pt idx="31">
                        <c:v>1124</c:v>
                      </c:pt>
                      <c:pt idx="32">
                        <c:v>1125</c:v>
                      </c:pt>
                      <c:pt idx="33">
                        <c:v>1125</c:v>
                      </c:pt>
                      <c:pt idx="34">
                        <c:v>1126</c:v>
                      </c:pt>
                      <c:pt idx="35">
                        <c:v>1127</c:v>
                      </c:pt>
                      <c:pt idx="36">
                        <c:v>1127</c:v>
                      </c:pt>
                      <c:pt idx="37">
                        <c:v>1215</c:v>
                      </c:pt>
                      <c:pt idx="38">
                        <c:v>1215</c:v>
                      </c:pt>
                      <c:pt idx="39">
                        <c:v>1216</c:v>
                      </c:pt>
                      <c:pt idx="40">
                        <c:v>1217</c:v>
                      </c:pt>
                      <c:pt idx="41">
                        <c:v>1217</c:v>
                      </c:pt>
                      <c:pt idx="42">
                        <c:v>1218</c:v>
                      </c:pt>
                      <c:pt idx="43">
                        <c:v>1218</c:v>
                      </c:pt>
                      <c:pt idx="44">
                        <c:v>1219</c:v>
                      </c:pt>
                      <c:pt idx="45">
                        <c:v>1310</c:v>
                      </c:pt>
                      <c:pt idx="46">
                        <c:v>1310</c:v>
                      </c:pt>
                      <c:pt idx="47">
                        <c:v>1311</c:v>
                      </c:pt>
                      <c:pt idx="48">
                        <c:v>1311</c:v>
                      </c:pt>
                      <c:pt idx="49">
                        <c:v>1312</c:v>
                      </c:pt>
                      <c:pt idx="50">
                        <c:v>1313</c:v>
                      </c:pt>
                      <c:pt idx="51">
                        <c:v>1313</c:v>
                      </c:pt>
                      <c:pt idx="52">
                        <c:v>1314</c:v>
                      </c:pt>
                      <c:pt idx="53">
                        <c:v>1314</c:v>
                      </c:pt>
                      <c:pt idx="54">
                        <c:v>1409</c:v>
                      </c:pt>
                      <c:pt idx="55">
                        <c:v>1409</c:v>
                      </c:pt>
                      <c:pt idx="56">
                        <c:v>1410</c:v>
                      </c:pt>
                      <c:pt idx="57">
                        <c:v>1410</c:v>
                      </c:pt>
                      <c:pt idx="58">
                        <c:v>1411</c:v>
                      </c:pt>
                      <c:pt idx="59">
                        <c:v>1412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3EB-4F2F-9CD4-F403992F3986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Sheet1!$T$1:$T$2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Sheet1!$T$3:$T$102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14949</c:v>
                      </c:pt>
                      <c:pt idx="1">
                        <c:v>15297</c:v>
                      </c:pt>
                      <c:pt idx="2">
                        <c:v>15644</c:v>
                      </c:pt>
                      <c:pt idx="3">
                        <c:v>16339</c:v>
                      </c:pt>
                      <c:pt idx="4">
                        <c:v>16688</c:v>
                      </c:pt>
                      <c:pt idx="5">
                        <c:v>17035</c:v>
                      </c:pt>
                      <c:pt idx="6">
                        <c:v>17383</c:v>
                      </c:pt>
                      <c:pt idx="7">
                        <c:v>17730</c:v>
                      </c:pt>
                      <c:pt idx="8">
                        <c:v>18078</c:v>
                      </c:pt>
                      <c:pt idx="9">
                        <c:v>18425</c:v>
                      </c:pt>
                      <c:pt idx="10">
                        <c:v>18773</c:v>
                      </c:pt>
                      <c:pt idx="11">
                        <c:v>19468</c:v>
                      </c:pt>
                      <c:pt idx="12">
                        <c:v>19815</c:v>
                      </c:pt>
                      <c:pt idx="13">
                        <c:v>20163</c:v>
                      </c:pt>
                      <c:pt idx="14">
                        <c:v>20510</c:v>
                      </c:pt>
                      <c:pt idx="15">
                        <c:v>20858</c:v>
                      </c:pt>
                      <c:pt idx="16">
                        <c:v>21205</c:v>
                      </c:pt>
                      <c:pt idx="17">
                        <c:v>21553</c:v>
                      </c:pt>
                      <c:pt idx="18">
                        <c:v>21901</c:v>
                      </c:pt>
                      <c:pt idx="19">
                        <c:v>22596</c:v>
                      </c:pt>
                      <c:pt idx="20">
                        <c:v>22944</c:v>
                      </c:pt>
                      <c:pt idx="21">
                        <c:v>23291</c:v>
                      </c:pt>
                      <c:pt idx="22">
                        <c:v>23639</c:v>
                      </c:pt>
                      <c:pt idx="23">
                        <c:v>23986</c:v>
                      </c:pt>
                      <c:pt idx="24">
                        <c:v>24334</c:v>
                      </c:pt>
                      <c:pt idx="25">
                        <c:v>24681</c:v>
                      </c:pt>
                      <c:pt idx="26">
                        <c:v>25376</c:v>
                      </c:pt>
                      <c:pt idx="27">
                        <c:v>25724</c:v>
                      </c:pt>
                      <c:pt idx="28">
                        <c:v>26071</c:v>
                      </c:pt>
                      <c:pt idx="29">
                        <c:v>26419</c:v>
                      </c:pt>
                      <c:pt idx="30">
                        <c:v>26766</c:v>
                      </c:pt>
                      <c:pt idx="31">
                        <c:v>27114</c:v>
                      </c:pt>
                      <c:pt idx="32">
                        <c:v>27461</c:v>
                      </c:pt>
                      <c:pt idx="33">
                        <c:v>27809</c:v>
                      </c:pt>
                      <c:pt idx="34">
                        <c:v>28504</c:v>
                      </c:pt>
                      <c:pt idx="35">
                        <c:v>28851</c:v>
                      </c:pt>
                      <c:pt idx="36">
                        <c:v>29199</c:v>
                      </c:pt>
                      <c:pt idx="37">
                        <c:v>29546</c:v>
                      </c:pt>
                      <c:pt idx="38">
                        <c:v>29894</c:v>
                      </c:pt>
                      <c:pt idx="39">
                        <c:v>30241</c:v>
                      </c:pt>
                      <c:pt idx="40">
                        <c:v>30590</c:v>
                      </c:pt>
                      <c:pt idx="41">
                        <c:v>30937</c:v>
                      </c:pt>
                      <c:pt idx="42">
                        <c:v>31632</c:v>
                      </c:pt>
                      <c:pt idx="43">
                        <c:v>31980</c:v>
                      </c:pt>
                      <c:pt idx="44">
                        <c:v>32327</c:v>
                      </c:pt>
                      <c:pt idx="45">
                        <c:v>32675</c:v>
                      </c:pt>
                      <c:pt idx="46">
                        <c:v>33022</c:v>
                      </c:pt>
                      <c:pt idx="47">
                        <c:v>33370</c:v>
                      </c:pt>
                      <c:pt idx="48">
                        <c:v>33717</c:v>
                      </c:pt>
                      <c:pt idx="49">
                        <c:v>34412</c:v>
                      </c:pt>
                      <c:pt idx="50">
                        <c:v>34760</c:v>
                      </c:pt>
                      <c:pt idx="51">
                        <c:v>35107</c:v>
                      </c:pt>
                      <c:pt idx="52">
                        <c:v>35455</c:v>
                      </c:pt>
                      <c:pt idx="53">
                        <c:v>35802</c:v>
                      </c:pt>
                      <c:pt idx="54">
                        <c:v>36150</c:v>
                      </c:pt>
                      <c:pt idx="55">
                        <c:v>36497</c:v>
                      </c:pt>
                      <c:pt idx="56">
                        <c:v>36845</c:v>
                      </c:pt>
                      <c:pt idx="57">
                        <c:v>37540</c:v>
                      </c:pt>
                      <c:pt idx="58">
                        <c:v>37887</c:v>
                      </c:pt>
                      <c:pt idx="59">
                        <c:v>38235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3EB-4F2F-9CD4-F403992F3986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Sheet1!$U$1:$U$2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Sheet1!$U$3:$U$102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11247</c:v>
                      </c:pt>
                      <c:pt idx="1">
                        <c:v>11508</c:v>
                      </c:pt>
                      <c:pt idx="2">
                        <c:v>11769</c:v>
                      </c:pt>
                      <c:pt idx="3">
                        <c:v>12290</c:v>
                      </c:pt>
                      <c:pt idx="4">
                        <c:v>12551</c:v>
                      </c:pt>
                      <c:pt idx="5">
                        <c:v>12811</c:v>
                      </c:pt>
                      <c:pt idx="6">
                        <c:v>13073</c:v>
                      </c:pt>
                      <c:pt idx="7">
                        <c:v>13333</c:v>
                      </c:pt>
                      <c:pt idx="8">
                        <c:v>13594</c:v>
                      </c:pt>
                      <c:pt idx="9">
                        <c:v>13854</c:v>
                      </c:pt>
                      <c:pt idx="10">
                        <c:v>14116</c:v>
                      </c:pt>
                      <c:pt idx="11">
                        <c:v>14637</c:v>
                      </c:pt>
                      <c:pt idx="12">
                        <c:v>14897</c:v>
                      </c:pt>
                      <c:pt idx="13">
                        <c:v>15158</c:v>
                      </c:pt>
                      <c:pt idx="14">
                        <c:v>15419</c:v>
                      </c:pt>
                      <c:pt idx="15">
                        <c:v>15680</c:v>
                      </c:pt>
                      <c:pt idx="16">
                        <c:v>15940</c:v>
                      </c:pt>
                      <c:pt idx="17">
                        <c:v>16201</c:v>
                      </c:pt>
                      <c:pt idx="18">
                        <c:v>16462</c:v>
                      </c:pt>
                      <c:pt idx="19">
                        <c:v>16983</c:v>
                      </c:pt>
                      <c:pt idx="20">
                        <c:v>17244</c:v>
                      </c:pt>
                      <c:pt idx="21">
                        <c:v>17504</c:v>
                      </c:pt>
                      <c:pt idx="22">
                        <c:v>17766</c:v>
                      </c:pt>
                      <c:pt idx="23">
                        <c:v>18026</c:v>
                      </c:pt>
                      <c:pt idx="24">
                        <c:v>18287</c:v>
                      </c:pt>
                      <c:pt idx="25">
                        <c:v>18547</c:v>
                      </c:pt>
                      <c:pt idx="26">
                        <c:v>19068</c:v>
                      </c:pt>
                      <c:pt idx="27">
                        <c:v>19330</c:v>
                      </c:pt>
                      <c:pt idx="28">
                        <c:v>19590</c:v>
                      </c:pt>
                      <c:pt idx="29">
                        <c:v>19851</c:v>
                      </c:pt>
                      <c:pt idx="30">
                        <c:v>20111</c:v>
                      </c:pt>
                      <c:pt idx="31">
                        <c:v>20373</c:v>
                      </c:pt>
                      <c:pt idx="32">
                        <c:v>20633</c:v>
                      </c:pt>
                      <c:pt idx="33">
                        <c:v>20894</c:v>
                      </c:pt>
                      <c:pt idx="34">
                        <c:v>21415</c:v>
                      </c:pt>
                      <c:pt idx="35">
                        <c:v>21676</c:v>
                      </c:pt>
                      <c:pt idx="36">
                        <c:v>21937</c:v>
                      </c:pt>
                      <c:pt idx="37">
                        <c:v>22197</c:v>
                      </c:pt>
                      <c:pt idx="38">
                        <c:v>22458</c:v>
                      </c:pt>
                      <c:pt idx="39">
                        <c:v>22719</c:v>
                      </c:pt>
                      <c:pt idx="40">
                        <c:v>22980</c:v>
                      </c:pt>
                      <c:pt idx="41">
                        <c:v>23240</c:v>
                      </c:pt>
                      <c:pt idx="42">
                        <c:v>23761</c:v>
                      </c:pt>
                      <c:pt idx="43">
                        <c:v>24023</c:v>
                      </c:pt>
                      <c:pt idx="44">
                        <c:v>24283</c:v>
                      </c:pt>
                      <c:pt idx="45">
                        <c:v>24544</c:v>
                      </c:pt>
                      <c:pt idx="46">
                        <c:v>24804</c:v>
                      </c:pt>
                      <c:pt idx="47">
                        <c:v>25066</c:v>
                      </c:pt>
                      <c:pt idx="48">
                        <c:v>25326</c:v>
                      </c:pt>
                      <c:pt idx="49">
                        <c:v>25847</c:v>
                      </c:pt>
                      <c:pt idx="50">
                        <c:v>26108</c:v>
                      </c:pt>
                      <c:pt idx="51">
                        <c:v>26368</c:v>
                      </c:pt>
                      <c:pt idx="52">
                        <c:v>26630</c:v>
                      </c:pt>
                      <c:pt idx="53">
                        <c:v>26890</c:v>
                      </c:pt>
                      <c:pt idx="54">
                        <c:v>27151</c:v>
                      </c:pt>
                      <c:pt idx="55">
                        <c:v>27411</c:v>
                      </c:pt>
                      <c:pt idx="56">
                        <c:v>27673</c:v>
                      </c:pt>
                      <c:pt idx="57">
                        <c:v>28194</c:v>
                      </c:pt>
                      <c:pt idx="58">
                        <c:v>28454</c:v>
                      </c:pt>
                      <c:pt idx="59">
                        <c:v>28715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3EB-4F2F-9CD4-F403992F3986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Sheet1!$V$1:$V$2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Sheet1!$V$3:$V$102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EB-4F2F-9CD4-F403992F3986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Sheet1!$W$1:$W$2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Sheet1!$W$3:$W$102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10068</c:v>
                      </c:pt>
                      <c:pt idx="1">
                        <c:v>12336</c:v>
                      </c:pt>
                      <c:pt idx="2">
                        <c:v>14604</c:v>
                      </c:pt>
                      <c:pt idx="3">
                        <c:v>16935</c:v>
                      </c:pt>
                      <c:pt idx="4">
                        <c:v>19218</c:v>
                      </c:pt>
                      <c:pt idx="5">
                        <c:v>21502</c:v>
                      </c:pt>
                      <c:pt idx="6">
                        <c:v>23786</c:v>
                      </c:pt>
                      <c:pt idx="7">
                        <c:v>26070</c:v>
                      </c:pt>
                      <c:pt idx="8">
                        <c:v>28353</c:v>
                      </c:pt>
                      <c:pt idx="9">
                        <c:v>30637</c:v>
                      </c:pt>
                      <c:pt idx="10">
                        <c:v>32921</c:v>
                      </c:pt>
                      <c:pt idx="11">
                        <c:v>35394</c:v>
                      </c:pt>
                      <c:pt idx="12">
                        <c:v>37693</c:v>
                      </c:pt>
                      <c:pt idx="13">
                        <c:v>39993</c:v>
                      </c:pt>
                      <c:pt idx="14">
                        <c:v>42292</c:v>
                      </c:pt>
                      <c:pt idx="15">
                        <c:v>44592</c:v>
                      </c:pt>
                      <c:pt idx="16">
                        <c:v>46891</c:v>
                      </c:pt>
                      <c:pt idx="17">
                        <c:v>49191</c:v>
                      </c:pt>
                      <c:pt idx="18">
                        <c:v>51490</c:v>
                      </c:pt>
                      <c:pt idx="19">
                        <c:v>54105</c:v>
                      </c:pt>
                      <c:pt idx="20">
                        <c:v>56420</c:v>
                      </c:pt>
                      <c:pt idx="21">
                        <c:v>58735</c:v>
                      </c:pt>
                      <c:pt idx="22">
                        <c:v>61050</c:v>
                      </c:pt>
                      <c:pt idx="23">
                        <c:v>63366</c:v>
                      </c:pt>
                      <c:pt idx="24">
                        <c:v>65681</c:v>
                      </c:pt>
                      <c:pt idx="25">
                        <c:v>67996</c:v>
                      </c:pt>
                      <c:pt idx="26">
                        <c:v>70737</c:v>
                      </c:pt>
                      <c:pt idx="27">
                        <c:v>73068</c:v>
                      </c:pt>
                      <c:pt idx="28">
                        <c:v>75399</c:v>
                      </c:pt>
                      <c:pt idx="29">
                        <c:v>77730</c:v>
                      </c:pt>
                      <c:pt idx="30">
                        <c:v>80061</c:v>
                      </c:pt>
                      <c:pt idx="31">
                        <c:v>82392</c:v>
                      </c:pt>
                      <c:pt idx="32">
                        <c:v>84723</c:v>
                      </c:pt>
                      <c:pt idx="33">
                        <c:v>87054</c:v>
                      </c:pt>
                      <c:pt idx="34">
                        <c:v>89936</c:v>
                      </c:pt>
                      <c:pt idx="35">
                        <c:v>92283</c:v>
                      </c:pt>
                      <c:pt idx="36">
                        <c:v>94629</c:v>
                      </c:pt>
                      <c:pt idx="37">
                        <c:v>96976</c:v>
                      </c:pt>
                      <c:pt idx="38">
                        <c:v>99323</c:v>
                      </c:pt>
                      <c:pt idx="39">
                        <c:v>101670</c:v>
                      </c:pt>
                      <c:pt idx="40">
                        <c:v>104016</c:v>
                      </c:pt>
                      <c:pt idx="41">
                        <c:v>106363</c:v>
                      </c:pt>
                      <c:pt idx="42">
                        <c:v>109387</c:v>
                      </c:pt>
                      <c:pt idx="43">
                        <c:v>111750</c:v>
                      </c:pt>
                      <c:pt idx="44">
                        <c:v>114112</c:v>
                      </c:pt>
                      <c:pt idx="45">
                        <c:v>116475</c:v>
                      </c:pt>
                      <c:pt idx="46">
                        <c:v>118837</c:v>
                      </c:pt>
                      <c:pt idx="47">
                        <c:v>121200</c:v>
                      </c:pt>
                      <c:pt idx="48">
                        <c:v>123562</c:v>
                      </c:pt>
                      <c:pt idx="49">
                        <c:v>126712</c:v>
                      </c:pt>
                      <c:pt idx="50">
                        <c:v>129090</c:v>
                      </c:pt>
                      <c:pt idx="51">
                        <c:v>131469</c:v>
                      </c:pt>
                      <c:pt idx="52">
                        <c:v>133847</c:v>
                      </c:pt>
                      <c:pt idx="53">
                        <c:v>136225</c:v>
                      </c:pt>
                      <c:pt idx="54">
                        <c:v>138603</c:v>
                      </c:pt>
                      <c:pt idx="55">
                        <c:v>140982</c:v>
                      </c:pt>
                      <c:pt idx="56">
                        <c:v>143360</c:v>
                      </c:pt>
                      <c:pt idx="57">
                        <c:v>146652</c:v>
                      </c:pt>
                      <c:pt idx="58">
                        <c:v>149046</c:v>
                      </c:pt>
                      <c:pt idx="59">
                        <c:v>151440</c:v>
                      </c:pt>
                      <c:pt idx="60">
                        <c:v>153834</c:v>
                      </c:pt>
                      <c:pt idx="61">
                        <c:v>156228</c:v>
                      </c:pt>
                      <c:pt idx="62">
                        <c:v>158622</c:v>
                      </c:pt>
                      <c:pt idx="63">
                        <c:v>161016</c:v>
                      </c:pt>
                      <c:pt idx="64">
                        <c:v>163410</c:v>
                      </c:pt>
                      <c:pt idx="65">
                        <c:v>166843</c:v>
                      </c:pt>
                      <c:pt idx="66">
                        <c:v>169253</c:v>
                      </c:pt>
                      <c:pt idx="67">
                        <c:v>171663</c:v>
                      </c:pt>
                      <c:pt idx="68">
                        <c:v>174072</c:v>
                      </c:pt>
                      <c:pt idx="69">
                        <c:v>176482</c:v>
                      </c:pt>
                      <c:pt idx="70">
                        <c:v>178892</c:v>
                      </c:pt>
                      <c:pt idx="71">
                        <c:v>181302</c:v>
                      </c:pt>
                      <c:pt idx="72">
                        <c:v>183711</c:v>
                      </c:pt>
                      <c:pt idx="73">
                        <c:v>187287</c:v>
                      </c:pt>
                      <c:pt idx="74">
                        <c:v>189712</c:v>
                      </c:pt>
                      <c:pt idx="75">
                        <c:v>192138</c:v>
                      </c:pt>
                      <c:pt idx="76">
                        <c:v>194563</c:v>
                      </c:pt>
                      <c:pt idx="77">
                        <c:v>196989</c:v>
                      </c:pt>
                      <c:pt idx="78">
                        <c:v>199414</c:v>
                      </c:pt>
                      <c:pt idx="79">
                        <c:v>201840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3EB-4F2F-9CD4-F403992F3986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Sheet1!$X$1:$X$2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Sheet1!$X$3:$X$102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1157</c:v>
                      </c:pt>
                      <c:pt idx="1">
                        <c:v>1158</c:v>
                      </c:pt>
                      <c:pt idx="2">
                        <c:v>1159</c:v>
                      </c:pt>
                      <c:pt idx="3">
                        <c:v>1159</c:v>
                      </c:pt>
                      <c:pt idx="4">
                        <c:v>1264</c:v>
                      </c:pt>
                      <c:pt idx="5">
                        <c:v>1265</c:v>
                      </c:pt>
                      <c:pt idx="6">
                        <c:v>1265</c:v>
                      </c:pt>
                      <c:pt idx="7">
                        <c:v>1266</c:v>
                      </c:pt>
                      <c:pt idx="8">
                        <c:v>1266</c:v>
                      </c:pt>
                      <c:pt idx="9">
                        <c:v>1267</c:v>
                      </c:pt>
                      <c:pt idx="10">
                        <c:v>1267</c:v>
                      </c:pt>
                      <c:pt idx="11">
                        <c:v>1268</c:v>
                      </c:pt>
                      <c:pt idx="12">
                        <c:v>1269</c:v>
                      </c:pt>
                      <c:pt idx="13">
                        <c:v>1378</c:v>
                      </c:pt>
                      <c:pt idx="14">
                        <c:v>1378</c:v>
                      </c:pt>
                      <c:pt idx="15">
                        <c:v>1379</c:v>
                      </c:pt>
                      <c:pt idx="16">
                        <c:v>1380</c:v>
                      </c:pt>
                      <c:pt idx="17">
                        <c:v>1380</c:v>
                      </c:pt>
                      <c:pt idx="18">
                        <c:v>1381</c:v>
                      </c:pt>
                      <c:pt idx="19">
                        <c:v>1381</c:v>
                      </c:pt>
                      <c:pt idx="20">
                        <c:v>1382</c:v>
                      </c:pt>
                      <c:pt idx="21">
                        <c:v>1383</c:v>
                      </c:pt>
                      <c:pt idx="22">
                        <c:v>1496</c:v>
                      </c:pt>
                      <c:pt idx="23">
                        <c:v>1497</c:v>
                      </c:pt>
                      <c:pt idx="24">
                        <c:v>1497</c:v>
                      </c:pt>
                      <c:pt idx="25">
                        <c:v>1498</c:v>
                      </c:pt>
                      <c:pt idx="26">
                        <c:v>1499</c:v>
                      </c:pt>
                      <c:pt idx="27">
                        <c:v>1499</c:v>
                      </c:pt>
                      <c:pt idx="28">
                        <c:v>1500</c:v>
                      </c:pt>
                      <c:pt idx="29">
                        <c:v>1500</c:v>
                      </c:pt>
                      <c:pt idx="30">
                        <c:v>1501</c:v>
                      </c:pt>
                      <c:pt idx="31">
                        <c:v>1619</c:v>
                      </c:pt>
                      <c:pt idx="32">
                        <c:v>1620</c:v>
                      </c:pt>
                      <c:pt idx="33">
                        <c:v>1620</c:v>
                      </c:pt>
                      <c:pt idx="34">
                        <c:v>1621</c:v>
                      </c:pt>
                      <c:pt idx="35">
                        <c:v>1621</c:v>
                      </c:pt>
                      <c:pt idx="36">
                        <c:v>1622</c:v>
                      </c:pt>
                      <c:pt idx="37">
                        <c:v>1623</c:v>
                      </c:pt>
                      <c:pt idx="38">
                        <c:v>1623</c:v>
                      </c:pt>
                      <c:pt idx="39">
                        <c:v>1624</c:v>
                      </c:pt>
                      <c:pt idx="40">
                        <c:v>1747</c:v>
                      </c:pt>
                      <c:pt idx="41">
                        <c:v>1747</c:v>
                      </c:pt>
                      <c:pt idx="42">
                        <c:v>1748</c:v>
                      </c:pt>
                      <c:pt idx="43">
                        <c:v>1748</c:v>
                      </c:pt>
                      <c:pt idx="44">
                        <c:v>1749</c:v>
                      </c:pt>
                      <c:pt idx="45">
                        <c:v>1750</c:v>
                      </c:pt>
                      <c:pt idx="46">
                        <c:v>1750</c:v>
                      </c:pt>
                      <c:pt idx="47">
                        <c:v>1751</c:v>
                      </c:pt>
                      <c:pt idx="48">
                        <c:v>1751</c:v>
                      </c:pt>
                      <c:pt idx="49">
                        <c:v>1879</c:v>
                      </c:pt>
                      <c:pt idx="50">
                        <c:v>1879</c:v>
                      </c:pt>
                      <c:pt idx="51">
                        <c:v>1880</c:v>
                      </c:pt>
                      <c:pt idx="52">
                        <c:v>1880</c:v>
                      </c:pt>
                      <c:pt idx="53">
                        <c:v>1881</c:v>
                      </c:pt>
                      <c:pt idx="54">
                        <c:v>1882</c:v>
                      </c:pt>
                      <c:pt idx="55">
                        <c:v>1882</c:v>
                      </c:pt>
                      <c:pt idx="56">
                        <c:v>1883</c:v>
                      </c:pt>
                      <c:pt idx="57">
                        <c:v>1883</c:v>
                      </c:pt>
                      <c:pt idx="58">
                        <c:v>1884</c:v>
                      </c:pt>
                      <c:pt idx="59">
                        <c:v>2016</c:v>
                      </c:pt>
                      <c:pt idx="60">
                        <c:v>2016</c:v>
                      </c:pt>
                      <c:pt idx="61">
                        <c:v>2017</c:v>
                      </c:pt>
                      <c:pt idx="62">
                        <c:v>2017</c:v>
                      </c:pt>
                      <c:pt idx="63">
                        <c:v>2018</c:v>
                      </c:pt>
                      <c:pt idx="64">
                        <c:v>2019</c:v>
                      </c:pt>
                      <c:pt idx="65">
                        <c:v>2019</c:v>
                      </c:pt>
                      <c:pt idx="66">
                        <c:v>2020</c:v>
                      </c:pt>
                      <c:pt idx="67">
                        <c:v>2020</c:v>
                      </c:pt>
                      <c:pt idx="68">
                        <c:v>2157</c:v>
                      </c:pt>
                      <c:pt idx="69">
                        <c:v>2157</c:v>
                      </c:pt>
                      <c:pt idx="70">
                        <c:v>2158</c:v>
                      </c:pt>
                      <c:pt idx="71">
                        <c:v>2159</c:v>
                      </c:pt>
                      <c:pt idx="72">
                        <c:v>2159</c:v>
                      </c:pt>
                      <c:pt idx="73">
                        <c:v>2160</c:v>
                      </c:pt>
                      <c:pt idx="74">
                        <c:v>2160</c:v>
                      </c:pt>
                      <c:pt idx="75">
                        <c:v>2161</c:v>
                      </c:pt>
                      <c:pt idx="76">
                        <c:v>2161</c:v>
                      </c:pt>
                      <c:pt idx="77">
                        <c:v>2302</c:v>
                      </c:pt>
                      <c:pt idx="78">
                        <c:v>2303</c:v>
                      </c:pt>
                      <c:pt idx="79">
                        <c:v>2304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3EB-4F2F-9CD4-F403992F3986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Sheet1!$Y$1:$Y$2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Sheet1!$Y$3:$Y$102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1370</c:v>
                      </c:pt>
                      <c:pt idx="1">
                        <c:v>1370</c:v>
                      </c:pt>
                      <c:pt idx="2">
                        <c:v>1371</c:v>
                      </c:pt>
                      <c:pt idx="3">
                        <c:v>1372</c:v>
                      </c:pt>
                      <c:pt idx="4">
                        <c:v>1486</c:v>
                      </c:pt>
                      <c:pt idx="5">
                        <c:v>1486</c:v>
                      </c:pt>
                      <c:pt idx="6">
                        <c:v>1487</c:v>
                      </c:pt>
                      <c:pt idx="7">
                        <c:v>1487</c:v>
                      </c:pt>
                      <c:pt idx="8">
                        <c:v>1488</c:v>
                      </c:pt>
                      <c:pt idx="9">
                        <c:v>1488</c:v>
                      </c:pt>
                      <c:pt idx="10">
                        <c:v>1489</c:v>
                      </c:pt>
                      <c:pt idx="11">
                        <c:v>1489</c:v>
                      </c:pt>
                      <c:pt idx="12">
                        <c:v>1608</c:v>
                      </c:pt>
                      <c:pt idx="13">
                        <c:v>1608</c:v>
                      </c:pt>
                      <c:pt idx="14">
                        <c:v>1609</c:v>
                      </c:pt>
                      <c:pt idx="15">
                        <c:v>1609</c:v>
                      </c:pt>
                      <c:pt idx="16">
                        <c:v>1610</c:v>
                      </c:pt>
                      <c:pt idx="17">
                        <c:v>1611</c:v>
                      </c:pt>
                      <c:pt idx="18">
                        <c:v>1611</c:v>
                      </c:pt>
                      <c:pt idx="19">
                        <c:v>1612</c:v>
                      </c:pt>
                      <c:pt idx="20">
                        <c:v>1734</c:v>
                      </c:pt>
                      <c:pt idx="21">
                        <c:v>1735</c:v>
                      </c:pt>
                      <c:pt idx="22">
                        <c:v>1736</c:v>
                      </c:pt>
                      <c:pt idx="23">
                        <c:v>1736</c:v>
                      </c:pt>
                      <c:pt idx="24">
                        <c:v>1737</c:v>
                      </c:pt>
                      <c:pt idx="25">
                        <c:v>1737</c:v>
                      </c:pt>
                      <c:pt idx="26">
                        <c:v>1738</c:v>
                      </c:pt>
                      <c:pt idx="27">
                        <c:v>1739</c:v>
                      </c:pt>
                      <c:pt idx="28">
                        <c:v>1739</c:v>
                      </c:pt>
                      <c:pt idx="29">
                        <c:v>1866</c:v>
                      </c:pt>
                      <c:pt idx="30">
                        <c:v>1867</c:v>
                      </c:pt>
                      <c:pt idx="31">
                        <c:v>1868</c:v>
                      </c:pt>
                      <c:pt idx="32">
                        <c:v>1868</c:v>
                      </c:pt>
                      <c:pt idx="33">
                        <c:v>1869</c:v>
                      </c:pt>
                      <c:pt idx="34">
                        <c:v>1869</c:v>
                      </c:pt>
                      <c:pt idx="35">
                        <c:v>1870</c:v>
                      </c:pt>
                      <c:pt idx="36">
                        <c:v>1871</c:v>
                      </c:pt>
                      <c:pt idx="37">
                        <c:v>2002</c:v>
                      </c:pt>
                      <c:pt idx="38">
                        <c:v>2003</c:v>
                      </c:pt>
                      <c:pt idx="39">
                        <c:v>2003</c:v>
                      </c:pt>
                      <c:pt idx="40">
                        <c:v>2004</c:v>
                      </c:pt>
                      <c:pt idx="41">
                        <c:v>2005</c:v>
                      </c:pt>
                      <c:pt idx="42">
                        <c:v>2005</c:v>
                      </c:pt>
                      <c:pt idx="43">
                        <c:v>2006</c:v>
                      </c:pt>
                      <c:pt idx="44">
                        <c:v>2006</c:v>
                      </c:pt>
                      <c:pt idx="45">
                        <c:v>2143</c:v>
                      </c:pt>
                      <c:pt idx="46">
                        <c:v>2144</c:v>
                      </c:pt>
                      <c:pt idx="47">
                        <c:v>2144</c:v>
                      </c:pt>
                      <c:pt idx="48">
                        <c:v>2145</c:v>
                      </c:pt>
                      <c:pt idx="49">
                        <c:v>2146</c:v>
                      </c:pt>
                      <c:pt idx="50">
                        <c:v>2146</c:v>
                      </c:pt>
                      <c:pt idx="51">
                        <c:v>2147</c:v>
                      </c:pt>
                      <c:pt idx="52">
                        <c:v>2147</c:v>
                      </c:pt>
                      <c:pt idx="53">
                        <c:v>2148</c:v>
                      </c:pt>
                      <c:pt idx="54">
                        <c:v>2289</c:v>
                      </c:pt>
                      <c:pt idx="55">
                        <c:v>2289</c:v>
                      </c:pt>
                      <c:pt idx="56">
                        <c:v>2290</c:v>
                      </c:pt>
                      <c:pt idx="57">
                        <c:v>2290</c:v>
                      </c:pt>
                      <c:pt idx="58">
                        <c:v>2291</c:v>
                      </c:pt>
                      <c:pt idx="59">
                        <c:v>2292</c:v>
                      </c:pt>
                      <c:pt idx="60">
                        <c:v>2292</c:v>
                      </c:pt>
                      <c:pt idx="61">
                        <c:v>2293</c:v>
                      </c:pt>
                      <c:pt idx="62">
                        <c:v>2438</c:v>
                      </c:pt>
                      <c:pt idx="63">
                        <c:v>2439</c:v>
                      </c:pt>
                      <c:pt idx="64">
                        <c:v>2439</c:v>
                      </c:pt>
                      <c:pt idx="65">
                        <c:v>2440</c:v>
                      </c:pt>
                      <c:pt idx="66">
                        <c:v>2440</c:v>
                      </c:pt>
                      <c:pt idx="67">
                        <c:v>2441</c:v>
                      </c:pt>
                      <c:pt idx="68">
                        <c:v>2442</c:v>
                      </c:pt>
                      <c:pt idx="69">
                        <c:v>2442</c:v>
                      </c:pt>
                      <c:pt idx="70">
                        <c:v>2592</c:v>
                      </c:pt>
                      <c:pt idx="71">
                        <c:v>2593</c:v>
                      </c:pt>
                      <c:pt idx="72">
                        <c:v>2593</c:v>
                      </c:pt>
                      <c:pt idx="73">
                        <c:v>2594</c:v>
                      </c:pt>
                      <c:pt idx="74">
                        <c:v>2595</c:v>
                      </c:pt>
                      <c:pt idx="75">
                        <c:v>2595</c:v>
                      </c:pt>
                      <c:pt idx="76">
                        <c:v>2596</c:v>
                      </c:pt>
                      <c:pt idx="77">
                        <c:v>2596</c:v>
                      </c:pt>
                      <c:pt idx="78">
                        <c:v>2597</c:v>
                      </c:pt>
                      <c:pt idx="79">
                        <c:v>2752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3EB-4F2F-9CD4-F403992F3986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Sheet1!$AA$1:$AA$2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Sheet1!$AA$3:$AA$102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21338</c:v>
                      </c:pt>
                      <c:pt idx="1">
                        <c:v>21812</c:v>
                      </c:pt>
                      <c:pt idx="2">
                        <c:v>22287</c:v>
                      </c:pt>
                      <c:pt idx="3">
                        <c:v>23235</c:v>
                      </c:pt>
                      <c:pt idx="4">
                        <c:v>23709</c:v>
                      </c:pt>
                      <c:pt idx="5">
                        <c:v>24183</c:v>
                      </c:pt>
                      <c:pt idx="6">
                        <c:v>24657</c:v>
                      </c:pt>
                      <c:pt idx="7">
                        <c:v>25131</c:v>
                      </c:pt>
                      <c:pt idx="8">
                        <c:v>25605</c:v>
                      </c:pt>
                      <c:pt idx="9">
                        <c:v>26079</c:v>
                      </c:pt>
                      <c:pt idx="10">
                        <c:v>26553</c:v>
                      </c:pt>
                      <c:pt idx="11">
                        <c:v>27501</c:v>
                      </c:pt>
                      <c:pt idx="12">
                        <c:v>27975</c:v>
                      </c:pt>
                      <c:pt idx="13">
                        <c:v>28450</c:v>
                      </c:pt>
                      <c:pt idx="14">
                        <c:v>28924</c:v>
                      </c:pt>
                      <c:pt idx="15">
                        <c:v>29398</c:v>
                      </c:pt>
                      <c:pt idx="16">
                        <c:v>29872</c:v>
                      </c:pt>
                      <c:pt idx="17">
                        <c:v>30346</c:v>
                      </c:pt>
                      <c:pt idx="18">
                        <c:v>30820</c:v>
                      </c:pt>
                      <c:pt idx="19">
                        <c:v>31768</c:v>
                      </c:pt>
                      <c:pt idx="20">
                        <c:v>32242</c:v>
                      </c:pt>
                      <c:pt idx="21">
                        <c:v>32716</c:v>
                      </c:pt>
                      <c:pt idx="22">
                        <c:v>33190</c:v>
                      </c:pt>
                      <c:pt idx="23">
                        <c:v>33664</c:v>
                      </c:pt>
                      <c:pt idx="24">
                        <c:v>34138</c:v>
                      </c:pt>
                      <c:pt idx="25">
                        <c:v>34612</c:v>
                      </c:pt>
                      <c:pt idx="26">
                        <c:v>35560</c:v>
                      </c:pt>
                      <c:pt idx="27">
                        <c:v>36034</c:v>
                      </c:pt>
                      <c:pt idx="28">
                        <c:v>36508</c:v>
                      </c:pt>
                      <c:pt idx="29">
                        <c:v>36982</c:v>
                      </c:pt>
                      <c:pt idx="30">
                        <c:v>37456</c:v>
                      </c:pt>
                      <c:pt idx="31">
                        <c:v>37930</c:v>
                      </c:pt>
                      <c:pt idx="32">
                        <c:v>38404</c:v>
                      </c:pt>
                      <c:pt idx="33">
                        <c:v>38878</c:v>
                      </c:pt>
                      <c:pt idx="34">
                        <c:v>39826</c:v>
                      </c:pt>
                      <c:pt idx="35">
                        <c:v>40300</c:v>
                      </c:pt>
                      <c:pt idx="36">
                        <c:v>40774</c:v>
                      </c:pt>
                      <c:pt idx="37">
                        <c:v>41248</c:v>
                      </c:pt>
                      <c:pt idx="38">
                        <c:v>41722</c:v>
                      </c:pt>
                      <c:pt idx="39">
                        <c:v>42196</c:v>
                      </c:pt>
                      <c:pt idx="40">
                        <c:v>42670</c:v>
                      </c:pt>
                      <c:pt idx="41">
                        <c:v>43144</c:v>
                      </c:pt>
                      <c:pt idx="42">
                        <c:v>44092</c:v>
                      </c:pt>
                      <c:pt idx="43">
                        <c:v>44566</c:v>
                      </c:pt>
                      <c:pt idx="44">
                        <c:v>45040</c:v>
                      </c:pt>
                      <c:pt idx="45">
                        <c:v>45514</c:v>
                      </c:pt>
                      <c:pt idx="46">
                        <c:v>45988</c:v>
                      </c:pt>
                      <c:pt idx="47">
                        <c:v>46462</c:v>
                      </c:pt>
                      <c:pt idx="48">
                        <c:v>46936</c:v>
                      </c:pt>
                      <c:pt idx="49">
                        <c:v>47885</c:v>
                      </c:pt>
                      <c:pt idx="50">
                        <c:v>48359</c:v>
                      </c:pt>
                      <c:pt idx="51">
                        <c:v>48833</c:v>
                      </c:pt>
                      <c:pt idx="52">
                        <c:v>49307</c:v>
                      </c:pt>
                      <c:pt idx="53">
                        <c:v>49781</c:v>
                      </c:pt>
                      <c:pt idx="54">
                        <c:v>50255</c:v>
                      </c:pt>
                      <c:pt idx="55">
                        <c:v>50730</c:v>
                      </c:pt>
                      <c:pt idx="56">
                        <c:v>51204</c:v>
                      </c:pt>
                      <c:pt idx="57">
                        <c:v>52152</c:v>
                      </c:pt>
                      <c:pt idx="58">
                        <c:v>52626</c:v>
                      </c:pt>
                      <c:pt idx="59">
                        <c:v>53100</c:v>
                      </c:pt>
                      <c:pt idx="60">
                        <c:v>53574</c:v>
                      </c:pt>
                      <c:pt idx="61">
                        <c:v>54048</c:v>
                      </c:pt>
                      <c:pt idx="62">
                        <c:v>54522</c:v>
                      </c:pt>
                      <c:pt idx="63">
                        <c:v>54996</c:v>
                      </c:pt>
                      <c:pt idx="64">
                        <c:v>55470</c:v>
                      </c:pt>
                      <c:pt idx="65">
                        <c:v>56418</c:v>
                      </c:pt>
                      <c:pt idx="66">
                        <c:v>56892</c:v>
                      </c:pt>
                      <c:pt idx="67">
                        <c:v>57366</c:v>
                      </c:pt>
                      <c:pt idx="68">
                        <c:v>57840</c:v>
                      </c:pt>
                      <c:pt idx="69">
                        <c:v>58314</c:v>
                      </c:pt>
                      <c:pt idx="70">
                        <c:v>58788</c:v>
                      </c:pt>
                      <c:pt idx="71">
                        <c:v>59262</c:v>
                      </c:pt>
                      <c:pt idx="72">
                        <c:v>59736</c:v>
                      </c:pt>
                      <c:pt idx="73">
                        <c:v>60684</c:v>
                      </c:pt>
                      <c:pt idx="74">
                        <c:v>61158</c:v>
                      </c:pt>
                      <c:pt idx="75">
                        <c:v>61632</c:v>
                      </c:pt>
                      <c:pt idx="76">
                        <c:v>62106</c:v>
                      </c:pt>
                      <c:pt idx="77">
                        <c:v>62580</c:v>
                      </c:pt>
                      <c:pt idx="78">
                        <c:v>63054</c:v>
                      </c:pt>
                      <c:pt idx="79">
                        <c:v>63528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3EB-4F2F-9CD4-F403992F3986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Sheet1!$AB$1:$AB$2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Sheet1!$AB$3:$AB$102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16048</c:v>
                      </c:pt>
                      <c:pt idx="1">
                        <c:v>16404</c:v>
                      </c:pt>
                      <c:pt idx="2">
                        <c:v>16760</c:v>
                      </c:pt>
                      <c:pt idx="3">
                        <c:v>17471</c:v>
                      </c:pt>
                      <c:pt idx="4">
                        <c:v>17827</c:v>
                      </c:pt>
                      <c:pt idx="5">
                        <c:v>18182</c:v>
                      </c:pt>
                      <c:pt idx="6">
                        <c:v>18539</c:v>
                      </c:pt>
                      <c:pt idx="7">
                        <c:v>18894</c:v>
                      </c:pt>
                      <c:pt idx="8">
                        <c:v>19250</c:v>
                      </c:pt>
                      <c:pt idx="9">
                        <c:v>19605</c:v>
                      </c:pt>
                      <c:pt idx="10">
                        <c:v>19962</c:v>
                      </c:pt>
                      <c:pt idx="11">
                        <c:v>20673</c:v>
                      </c:pt>
                      <c:pt idx="12">
                        <c:v>21028</c:v>
                      </c:pt>
                      <c:pt idx="13">
                        <c:v>21384</c:v>
                      </c:pt>
                      <c:pt idx="14">
                        <c:v>21740</c:v>
                      </c:pt>
                      <c:pt idx="15">
                        <c:v>22096</c:v>
                      </c:pt>
                      <c:pt idx="16">
                        <c:v>22451</c:v>
                      </c:pt>
                      <c:pt idx="17">
                        <c:v>22807</c:v>
                      </c:pt>
                      <c:pt idx="18">
                        <c:v>23163</c:v>
                      </c:pt>
                      <c:pt idx="19">
                        <c:v>23874</c:v>
                      </c:pt>
                      <c:pt idx="20">
                        <c:v>24230</c:v>
                      </c:pt>
                      <c:pt idx="21">
                        <c:v>24585</c:v>
                      </c:pt>
                      <c:pt idx="22">
                        <c:v>24942</c:v>
                      </c:pt>
                      <c:pt idx="23">
                        <c:v>25297</c:v>
                      </c:pt>
                      <c:pt idx="24">
                        <c:v>25653</c:v>
                      </c:pt>
                      <c:pt idx="25">
                        <c:v>26008</c:v>
                      </c:pt>
                      <c:pt idx="26">
                        <c:v>26719</c:v>
                      </c:pt>
                      <c:pt idx="27">
                        <c:v>27076</c:v>
                      </c:pt>
                      <c:pt idx="28">
                        <c:v>27431</c:v>
                      </c:pt>
                      <c:pt idx="29">
                        <c:v>27787</c:v>
                      </c:pt>
                      <c:pt idx="30">
                        <c:v>28142</c:v>
                      </c:pt>
                      <c:pt idx="31">
                        <c:v>28499</c:v>
                      </c:pt>
                      <c:pt idx="32">
                        <c:v>28854</c:v>
                      </c:pt>
                      <c:pt idx="33">
                        <c:v>29210</c:v>
                      </c:pt>
                      <c:pt idx="34">
                        <c:v>29921</c:v>
                      </c:pt>
                      <c:pt idx="35">
                        <c:v>30277</c:v>
                      </c:pt>
                      <c:pt idx="36">
                        <c:v>30633</c:v>
                      </c:pt>
                      <c:pt idx="37">
                        <c:v>30988</c:v>
                      </c:pt>
                      <c:pt idx="38">
                        <c:v>31344</c:v>
                      </c:pt>
                      <c:pt idx="39">
                        <c:v>31700</c:v>
                      </c:pt>
                      <c:pt idx="40">
                        <c:v>32056</c:v>
                      </c:pt>
                      <c:pt idx="41">
                        <c:v>32411</c:v>
                      </c:pt>
                      <c:pt idx="42">
                        <c:v>33122</c:v>
                      </c:pt>
                      <c:pt idx="43">
                        <c:v>33479</c:v>
                      </c:pt>
                      <c:pt idx="44">
                        <c:v>33834</c:v>
                      </c:pt>
                      <c:pt idx="45">
                        <c:v>34190</c:v>
                      </c:pt>
                      <c:pt idx="46">
                        <c:v>34545</c:v>
                      </c:pt>
                      <c:pt idx="47">
                        <c:v>34902</c:v>
                      </c:pt>
                      <c:pt idx="48">
                        <c:v>35257</c:v>
                      </c:pt>
                      <c:pt idx="49">
                        <c:v>35968</c:v>
                      </c:pt>
                      <c:pt idx="50">
                        <c:v>36324</c:v>
                      </c:pt>
                      <c:pt idx="51">
                        <c:v>36679</c:v>
                      </c:pt>
                      <c:pt idx="52">
                        <c:v>37036</c:v>
                      </c:pt>
                      <c:pt idx="53">
                        <c:v>37391</c:v>
                      </c:pt>
                      <c:pt idx="54">
                        <c:v>37747</c:v>
                      </c:pt>
                      <c:pt idx="55">
                        <c:v>38102</c:v>
                      </c:pt>
                      <c:pt idx="56">
                        <c:v>38459</c:v>
                      </c:pt>
                      <c:pt idx="57">
                        <c:v>39170</c:v>
                      </c:pt>
                      <c:pt idx="58">
                        <c:v>39525</c:v>
                      </c:pt>
                      <c:pt idx="59">
                        <c:v>39881</c:v>
                      </c:pt>
                      <c:pt idx="60">
                        <c:v>40237</c:v>
                      </c:pt>
                      <c:pt idx="61">
                        <c:v>40593</c:v>
                      </c:pt>
                      <c:pt idx="62">
                        <c:v>40948</c:v>
                      </c:pt>
                      <c:pt idx="63">
                        <c:v>41304</c:v>
                      </c:pt>
                      <c:pt idx="64">
                        <c:v>41660</c:v>
                      </c:pt>
                      <c:pt idx="65">
                        <c:v>42371</c:v>
                      </c:pt>
                      <c:pt idx="66">
                        <c:v>42727</c:v>
                      </c:pt>
                      <c:pt idx="67">
                        <c:v>43082</c:v>
                      </c:pt>
                      <c:pt idx="68">
                        <c:v>43439</c:v>
                      </c:pt>
                      <c:pt idx="69">
                        <c:v>43794</c:v>
                      </c:pt>
                      <c:pt idx="70">
                        <c:v>44150</c:v>
                      </c:pt>
                      <c:pt idx="71">
                        <c:v>44505</c:v>
                      </c:pt>
                      <c:pt idx="72">
                        <c:v>44862</c:v>
                      </c:pt>
                      <c:pt idx="73">
                        <c:v>45573</c:v>
                      </c:pt>
                      <c:pt idx="74">
                        <c:v>45928</c:v>
                      </c:pt>
                      <c:pt idx="75">
                        <c:v>46284</c:v>
                      </c:pt>
                      <c:pt idx="76">
                        <c:v>46639</c:v>
                      </c:pt>
                      <c:pt idx="77">
                        <c:v>46996</c:v>
                      </c:pt>
                      <c:pt idx="78">
                        <c:v>47351</c:v>
                      </c:pt>
                      <c:pt idx="79">
                        <c:v>47707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3EB-4F2F-9CD4-F403992F398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Sheet1!$AC$1:$AC$2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Sheet1!$AC$3:$AC$102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3EB-4F2F-9CD4-F403992F3986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Sheet1!$AD$1:$AD$2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Sheet1!$AD$3:$AD$102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12429</c:v>
                      </c:pt>
                      <c:pt idx="1">
                        <c:v>15259</c:v>
                      </c:pt>
                      <c:pt idx="2">
                        <c:v>18089</c:v>
                      </c:pt>
                      <c:pt idx="3">
                        <c:v>20996</c:v>
                      </c:pt>
                      <c:pt idx="4">
                        <c:v>23845</c:v>
                      </c:pt>
                      <c:pt idx="5">
                        <c:v>26694</c:v>
                      </c:pt>
                      <c:pt idx="6">
                        <c:v>29543</c:v>
                      </c:pt>
                      <c:pt idx="7">
                        <c:v>32392</c:v>
                      </c:pt>
                      <c:pt idx="8">
                        <c:v>35241</c:v>
                      </c:pt>
                      <c:pt idx="9">
                        <c:v>38090</c:v>
                      </c:pt>
                      <c:pt idx="10">
                        <c:v>40939</c:v>
                      </c:pt>
                      <c:pt idx="11">
                        <c:v>44019</c:v>
                      </c:pt>
                      <c:pt idx="12">
                        <c:v>46887</c:v>
                      </c:pt>
                      <c:pt idx="13">
                        <c:v>49755</c:v>
                      </c:pt>
                      <c:pt idx="14">
                        <c:v>52623</c:v>
                      </c:pt>
                      <c:pt idx="15">
                        <c:v>55492</c:v>
                      </c:pt>
                      <c:pt idx="16">
                        <c:v>58360</c:v>
                      </c:pt>
                      <c:pt idx="17">
                        <c:v>61228</c:v>
                      </c:pt>
                      <c:pt idx="18">
                        <c:v>64096</c:v>
                      </c:pt>
                      <c:pt idx="19">
                        <c:v>67350</c:v>
                      </c:pt>
                      <c:pt idx="20">
                        <c:v>70237</c:v>
                      </c:pt>
                      <c:pt idx="21">
                        <c:v>73125</c:v>
                      </c:pt>
                      <c:pt idx="22">
                        <c:v>76012</c:v>
                      </c:pt>
                      <c:pt idx="23">
                        <c:v>78900</c:v>
                      </c:pt>
                      <c:pt idx="24">
                        <c:v>81787</c:v>
                      </c:pt>
                      <c:pt idx="25">
                        <c:v>84675</c:v>
                      </c:pt>
                      <c:pt idx="26">
                        <c:v>88082</c:v>
                      </c:pt>
                      <c:pt idx="27">
                        <c:v>90989</c:v>
                      </c:pt>
                      <c:pt idx="28">
                        <c:v>93895</c:v>
                      </c:pt>
                      <c:pt idx="29">
                        <c:v>96802</c:v>
                      </c:pt>
                      <c:pt idx="30">
                        <c:v>99709</c:v>
                      </c:pt>
                      <c:pt idx="31">
                        <c:v>102616</c:v>
                      </c:pt>
                      <c:pt idx="32">
                        <c:v>105522</c:v>
                      </c:pt>
                      <c:pt idx="33">
                        <c:v>108429</c:v>
                      </c:pt>
                      <c:pt idx="34">
                        <c:v>112010</c:v>
                      </c:pt>
                      <c:pt idx="35">
                        <c:v>114936</c:v>
                      </c:pt>
                      <c:pt idx="36">
                        <c:v>117862</c:v>
                      </c:pt>
                      <c:pt idx="37">
                        <c:v>120788</c:v>
                      </c:pt>
                      <c:pt idx="38">
                        <c:v>123714</c:v>
                      </c:pt>
                      <c:pt idx="39">
                        <c:v>126640</c:v>
                      </c:pt>
                      <c:pt idx="40">
                        <c:v>129566</c:v>
                      </c:pt>
                      <c:pt idx="41">
                        <c:v>132492</c:v>
                      </c:pt>
                      <c:pt idx="42">
                        <c:v>136245</c:v>
                      </c:pt>
                      <c:pt idx="43">
                        <c:v>139191</c:v>
                      </c:pt>
                      <c:pt idx="44">
                        <c:v>142136</c:v>
                      </c:pt>
                      <c:pt idx="45">
                        <c:v>145081</c:v>
                      </c:pt>
                      <c:pt idx="46">
                        <c:v>148026</c:v>
                      </c:pt>
                      <c:pt idx="47">
                        <c:v>150972</c:v>
                      </c:pt>
                      <c:pt idx="48">
                        <c:v>153917</c:v>
                      </c:pt>
                      <c:pt idx="49">
                        <c:v>157825</c:v>
                      </c:pt>
                      <c:pt idx="50">
                        <c:v>160789</c:v>
                      </c:pt>
                      <c:pt idx="51">
                        <c:v>163754</c:v>
                      </c:pt>
                      <c:pt idx="52">
                        <c:v>166718</c:v>
                      </c:pt>
                      <c:pt idx="53">
                        <c:v>169683</c:v>
                      </c:pt>
                      <c:pt idx="54">
                        <c:v>172647</c:v>
                      </c:pt>
                      <c:pt idx="55">
                        <c:v>175612</c:v>
                      </c:pt>
                      <c:pt idx="56">
                        <c:v>178576</c:v>
                      </c:pt>
                      <c:pt idx="57">
                        <c:v>182657</c:v>
                      </c:pt>
                      <c:pt idx="58">
                        <c:v>185641</c:v>
                      </c:pt>
                      <c:pt idx="59">
                        <c:v>188625</c:v>
                      </c:pt>
                      <c:pt idx="60">
                        <c:v>191608</c:v>
                      </c:pt>
                      <c:pt idx="61">
                        <c:v>194592</c:v>
                      </c:pt>
                      <c:pt idx="62">
                        <c:v>197576</c:v>
                      </c:pt>
                      <c:pt idx="63">
                        <c:v>200560</c:v>
                      </c:pt>
                      <c:pt idx="64">
                        <c:v>203543</c:v>
                      </c:pt>
                      <c:pt idx="65">
                        <c:v>207798</c:v>
                      </c:pt>
                      <c:pt idx="66">
                        <c:v>210801</c:v>
                      </c:pt>
                      <c:pt idx="67">
                        <c:v>213804</c:v>
                      </c:pt>
                      <c:pt idx="68">
                        <c:v>216807</c:v>
                      </c:pt>
                      <c:pt idx="69">
                        <c:v>219810</c:v>
                      </c:pt>
                      <c:pt idx="70">
                        <c:v>222813</c:v>
                      </c:pt>
                      <c:pt idx="71">
                        <c:v>225816</c:v>
                      </c:pt>
                      <c:pt idx="72">
                        <c:v>228819</c:v>
                      </c:pt>
                      <c:pt idx="73">
                        <c:v>233246</c:v>
                      </c:pt>
                      <c:pt idx="74">
                        <c:v>236268</c:v>
                      </c:pt>
                      <c:pt idx="75">
                        <c:v>239291</c:v>
                      </c:pt>
                      <c:pt idx="76">
                        <c:v>242313</c:v>
                      </c:pt>
                      <c:pt idx="77">
                        <c:v>245335</c:v>
                      </c:pt>
                      <c:pt idx="78">
                        <c:v>248357</c:v>
                      </c:pt>
                      <c:pt idx="79">
                        <c:v>251380</c:v>
                      </c:pt>
                      <c:pt idx="80">
                        <c:v>255961</c:v>
                      </c:pt>
                      <c:pt idx="81">
                        <c:v>259003</c:v>
                      </c:pt>
                      <c:pt idx="82">
                        <c:v>262044</c:v>
                      </c:pt>
                      <c:pt idx="83">
                        <c:v>265086</c:v>
                      </c:pt>
                      <c:pt idx="84">
                        <c:v>268127</c:v>
                      </c:pt>
                      <c:pt idx="85">
                        <c:v>271169</c:v>
                      </c:pt>
                      <c:pt idx="86">
                        <c:v>274210</c:v>
                      </c:pt>
                      <c:pt idx="87">
                        <c:v>277252</c:v>
                      </c:pt>
                      <c:pt idx="88">
                        <c:v>282006</c:v>
                      </c:pt>
                      <c:pt idx="89">
                        <c:v>285067</c:v>
                      </c:pt>
                      <c:pt idx="90">
                        <c:v>288128</c:v>
                      </c:pt>
                      <c:pt idx="91">
                        <c:v>291189</c:v>
                      </c:pt>
                      <c:pt idx="92">
                        <c:v>294249</c:v>
                      </c:pt>
                      <c:pt idx="93">
                        <c:v>297310</c:v>
                      </c:pt>
                      <c:pt idx="94">
                        <c:v>300371</c:v>
                      </c:pt>
                      <c:pt idx="95">
                        <c:v>303432</c:v>
                      </c:pt>
                      <c:pt idx="96">
                        <c:v>308360</c:v>
                      </c:pt>
                      <c:pt idx="97">
                        <c:v>311440</c:v>
                      </c:pt>
                      <c:pt idx="98">
                        <c:v>314520</c:v>
                      </c:pt>
                      <c:pt idx="99">
                        <c:v>317600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3EB-4F2F-9CD4-F403992F398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Sheet1!$AE$1:$AE$2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Sheet1!$AE$3:$AE$102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1660</c:v>
                      </c:pt>
                      <c:pt idx="1">
                        <c:v>1660</c:v>
                      </c:pt>
                      <c:pt idx="2">
                        <c:v>1661</c:v>
                      </c:pt>
                      <c:pt idx="3">
                        <c:v>1661</c:v>
                      </c:pt>
                      <c:pt idx="4">
                        <c:v>1800</c:v>
                      </c:pt>
                      <c:pt idx="5">
                        <c:v>1800</c:v>
                      </c:pt>
                      <c:pt idx="6">
                        <c:v>1801</c:v>
                      </c:pt>
                      <c:pt idx="7">
                        <c:v>1802</c:v>
                      </c:pt>
                      <c:pt idx="8">
                        <c:v>1802</c:v>
                      </c:pt>
                      <c:pt idx="9">
                        <c:v>1803</c:v>
                      </c:pt>
                      <c:pt idx="10">
                        <c:v>1803</c:v>
                      </c:pt>
                      <c:pt idx="11">
                        <c:v>1804</c:v>
                      </c:pt>
                      <c:pt idx="12">
                        <c:v>1804</c:v>
                      </c:pt>
                      <c:pt idx="13">
                        <c:v>1948</c:v>
                      </c:pt>
                      <c:pt idx="14">
                        <c:v>1949</c:v>
                      </c:pt>
                      <c:pt idx="15">
                        <c:v>1949</c:v>
                      </c:pt>
                      <c:pt idx="16">
                        <c:v>1950</c:v>
                      </c:pt>
                      <c:pt idx="17">
                        <c:v>1950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1952</c:v>
                      </c:pt>
                      <c:pt idx="21">
                        <c:v>1953</c:v>
                      </c:pt>
                      <c:pt idx="22">
                        <c:v>2102</c:v>
                      </c:pt>
                      <c:pt idx="23">
                        <c:v>2103</c:v>
                      </c:pt>
                      <c:pt idx="24">
                        <c:v>2103</c:v>
                      </c:pt>
                      <c:pt idx="25">
                        <c:v>2104</c:v>
                      </c:pt>
                      <c:pt idx="26">
                        <c:v>2104</c:v>
                      </c:pt>
                      <c:pt idx="27">
                        <c:v>2105</c:v>
                      </c:pt>
                      <c:pt idx="28">
                        <c:v>2105</c:v>
                      </c:pt>
                      <c:pt idx="29">
                        <c:v>2106</c:v>
                      </c:pt>
                      <c:pt idx="30">
                        <c:v>2107</c:v>
                      </c:pt>
                      <c:pt idx="31">
                        <c:v>2262</c:v>
                      </c:pt>
                      <c:pt idx="32">
                        <c:v>2262</c:v>
                      </c:pt>
                      <c:pt idx="33">
                        <c:v>2263</c:v>
                      </c:pt>
                      <c:pt idx="34">
                        <c:v>2263</c:v>
                      </c:pt>
                      <c:pt idx="35">
                        <c:v>2264</c:v>
                      </c:pt>
                      <c:pt idx="36">
                        <c:v>2264</c:v>
                      </c:pt>
                      <c:pt idx="37">
                        <c:v>2265</c:v>
                      </c:pt>
                      <c:pt idx="38">
                        <c:v>2266</c:v>
                      </c:pt>
                      <c:pt idx="39">
                        <c:v>2266</c:v>
                      </c:pt>
                      <c:pt idx="40">
                        <c:v>2427</c:v>
                      </c:pt>
                      <c:pt idx="41">
                        <c:v>2427</c:v>
                      </c:pt>
                      <c:pt idx="42">
                        <c:v>2428</c:v>
                      </c:pt>
                      <c:pt idx="43">
                        <c:v>2428</c:v>
                      </c:pt>
                      <c:pt idx="44">
                        <c:v>2429</c:v>
                      </c:pt>
                      <c:pt idx="45">
                        <c:v>2430</c:v>
                      </c:pt>
                      <c:pt idx="46">
                        <c:v>2430</c:v>
                      </c:pt>
                      <c:pt idx="47">
                        <c:v>2431</c:v>
                      </c:pt>
                      <c:pt idx="48">
                        <c:v>2431</c:v>
                      </c:pt>
                      <c:pt idx="49">
                        <c:v>2597</c:v>
                      </c:pt>
                      <c:pt idx="50">
                        <c:v>2598</c:v>
                      </c:pt>
                      <c:pt idx="51">
                        <c:v>2598</c:v>
                      </c:pt>
                      <c:pt idx="52">
                        <c:v>2599</c:v>
                      </c:pt>
                      <c:pt idx="53">
                        <c:v>2599</c:v>
                      </c:pt>
                      <c:pt idx="54">
                        <c:v>2600</c:v>
                      </c:pt>
                      <c:pt idx="55">
                        <c:v>2601</c:v>
                      </c:pt>
                      <c:pt idx="56">
                        <c:v>2601</c:v>
                      </c:pt>
                      <c:pt idx="57">
                        <c:v>2602</c:v>
                      </c:pt>
                      <c:pt idx="58">
                        <c:v>2602</c:v>
                      </c:pt>
                      <c:pt idx="59">
                        <c:v>2774</c:v>
                      </c:pt>
                      <c:pt idx="60">
                        <c:v>2774</c:v>
                      </c:pt>
                      <c:pt idx="61">
                        <c:v>2775</c:v>
                      </c:pt>
                      <c:pt idx="62">
                        <c:v>2776</c:v>
                      </c:pt>
                      <c:pt idx="63">
                        <c:v>2776</c:v>
                      </c:pt>
                      <c:pt idx="64">
                        <c:v>2777</c:v>
                      </c:pt>
                      <c:pt idx="65">
                        <c:v>2777</c:v>
                      </c:pt>
                      <c:pt idx="66">
                        <c:v>2778</c:v>
                      </c:pt>
                      <c:pt idx="67">
                        <c:v>2778</c:v>
                      </c:pt>
                      <c:pt idx="68">
                        <c:v>2955</c:v>
                      </c:pt>
                      <c:pt idx="69">
                        <c:v>2956</c:v>
                      </c:pt>
                      <c:pt idx="70">
                        <c:v>2957</c:v>
                      </c:pt>
                      <c:pt idx="71">
                        <c:v>2957</c:v>
                      </c:pt>
                      <c:pt idx="72">
                        <c:v>2958</c:v>
                      </c:pt>
                      <c:pt idx="73">
                        <c:v>2959</c:v>
                      </c:pt>
                      <c:pt idx="74">
                        <c:v>2959</c:v>
                      </c:pt>
                      <c:pt idx="75">
                        <c:v>2960</c:v>
                      </c:pt>
                      <c:pt idx="76">
                        <c:v>2960</c:v>
                      </c:pt>
                      <c:pt idx="77">
                        <c:v>3143</c:v>
                      </c:pt>
                      <c:pt idx="78">
                        <c:v>3143</c:v>
                      </c:pt>
                      <c:pt idx="79">
                        <c:v>3144</c:v>
                      </c:pt>
                      <c:pt idx="80">
                        <c:v>3145</c:v>
                      </c:pt>
                      <c:pt idx="81">
                        <c:v>3145</c:v>
                      </c:pt>
                      <c:pt idx="82">
                        <c:v>3146</c:v>
                      </c:pt>
                      <c:pt idx="83">
                        <c:v>3146</c:v>
                      </c:pt>
                      <c:pt idx="84">
                        <c:v>3147</c:v>
                      </c:pt>
                      <c:pt idx="85">
                        <c:v>3147</c:v>
                      </c:pt>
                      <c:pt idx="86">
                        <c:v>3335</c:v>
                      </c:pt>
                      <c:pt idx="87">
                        <c:v>3336</c:v>
                      </c:pt>
                      <c:pt idx="88">
                        <c:v>3337</c:v>
                      </c:pt>
                      <c:pt idx="89">
                        <c:v>3337</c:v>
                      </c:pt>
                      <c:pt idx="90">
                        <c:v>3338</c:v>
                      </c:pt>
                      <c:pt idx="91">
                        <c:v>3338</c:v>
                      </c:pt>
                      <c:pt idx="92">
                        <c:v>3339</c:v>
                      </c:pt>
                      <c:pt idx="93">
                        <c:v>3339</c:v>
                      </c:pt>
                      <c:pt idx="94">
                        <c:v>3340</c:v>
                      </c:pt>
                      <c:pt idx="95">
                        <c:v>3534</c:v>
                      </c:pt>
                      <c:pt idx="96">
                        <c:v>3534</c:v>
                      </c:pt>
                      <c:pt idx="97">
                        <c:v>3535</c:v>
                      </c:pt>
                      <c:pt idx="98">
                        <c:v>3536</c:v>
                      </c:pt>
                      <c:pt idx="99">
                        <c:v>3536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3EB-4F2F-9CD4-F403992F3986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Sheet1!$AF$1:$AF$2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Sheet1!$AF$3:$AF$102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1940</c:v>
                      </c:pt>
                      <c:pt idx="1">
                        <c:v>1941</c:v>
                      </c:pt>
                      <c:pt idx="2">
                        <c:v>1941</c:v>
                      </c:pt>
                      <c:pt idx="3">
                        <c:v>1942</c:v>
                      </c:pt>
                      <c:pt idx="4">
                        <c:v>2091</c:v>
                      </c:pt>
                      <c:pt idx="5">
                        <c:v>2092</c:v>
                      </c:pt>
                      <c:pt idx="6">
                        <c:v>2092</c:v>
                      </c:pt>
                      <c:pt idx="7">
                        <c:v>2093</c:v>
                      </c:pt>
                      <c:pt idx="8">
                        <c:v>2094</c:v>
                      </c:pt>
                      <c:pt idx="9">
                        <c:v>2094</c:v>
                      </c:pt>
                      <c:pt idx="10">
                        <c:v>2095</c:v>
                      </c:pt>
                      <c:pt idx="11">
                        <c:v>2095</c:v>
                      </c:pt>
                      <c:pt idx="12">
                        <c:v>2250</c:v>
                      </c:pt>
                      <c:pt idx="13">
                        <c:v>2251</c:v>
                      </c:pt>
                      <c:pt idx="14">
                        <c:v>2251</c:v>
                      </c:pt>
                      <c:pt idx="15">
                        <c:v>2252</c:v>
                      </c:pt>
                      <c:pt idx="16">
                        <c:v>2253</c:v>
                      </c:pt>
                      <c:pt idx="17">
                        <c:v>2253</c:v>
                      </c:pt>
                      <c:pt idx="18">
                        <c:v>2254</c:v>
                      </c:pt>
                      <c:pt idx="19">
                        <c:v>2254</c:v>
                      </c:pt>
                      <c:pt idx="20">
                        <c:v>2414</c:v>
                      </c:pt>
                      <c:pt idx="21">
                        <c:v>2415</c:v>
                      </c:pt>
                      <c:pt idx="22">
                        <c:v>2416</c:v>
                      </c:pt>
                      <c:pt idx="23">
                        <c:v>2416</c:v>
                      </c:pt>
                      <c:pt idx="24">
                        <c:v>2417</c:v>
                      </c:pt>
                      <c:pt idx="25">
                        <c:v>2417</c:v>
                      </c:pt>
                      <c:pt idx="26">
                        <c:v>2418</c:v>
                      </c:pt>
                      <c:pt idx="27">
                        <c:v>2419</c:v>
                      </c:pt>
                      <c:pt idx="28">
                        <c:v>2419</c:v>
                      </c:pt>
                      <c:pt idx="29">
                        <c:v>2585</c:v>
                      </c:pt>
                      <c:pt idx="30">
                        <c:v>2586</c:v>
                      </c:pt>
                      <c:pt idx="31">
                        <c:v>2587</c:v>
                      </c:pt>
                      <c:pt idx="32">
                        <c:v>2587</c:v>
                      </c:pt>
                      <c:pt idx="33">
                        <c:v>2588</c:v>
                      </c:pt>
                      <c:pt idx="34">
                        <c:v>2588</c:v>
                      </c:pt>
                      <c:pt idx="35">
                        <c:v>2589</c:v>
                      </c:pt>
                      <c:pt idx="36">
                        <c:v>2589</c:v>
                      </c:pt>
                      <c:pt idx="37">
                        <c:v>2761</c:v>
                      </c:pt>
                      <c:pt idx="38">
                        <c:v>2761</c:v>
                      </c:pt>
                      <c:pt idx="39">
                        <c:v>2762</c:v>
                      </c:pt>
                      <c:pt idx="40">
                        <c:v>2763</c:v>
                      </c:pt>
                      <c:pt idx="41">
                        <c:v>2763</c:v>
                      </c:pt>
                      <c:pt idx="42">
                        <c:v>2764</c:v>
                      </c:pt>
                      <c:pt idx="43">
                        <c:v>2764</c:v>
                      </c:pt>
                      <c:pt idx="44">
                        <c:v>2765</c:v>
                      </c:pt>
                      <c:pt idx="45">
                        <c:v>2942</c:v>
                      </c:pt>
                      <c:pt idx="46">
                        <c:v>2942</c:v>
                      </c:pt>
                      <c:pt idx="47">
                        <c:v>2943</c:v>
                      </c:pt>
                      <c:pt idx="48">
                        <c:v>2943</c:v>
                      </c:pt>
                      <c:pt idx="49">
                        <c:v>2944</c:v>
                      </c:pt>
                      <c:pt idx="50">
                        <c:v>2945</c:v>
                      </c:pt>
                      <c:pt idx="51">
                        <c:v>2945</c:v>
                      </c:pt>
                      <c:pt idx="52">
                        <c:v>2946</c:v>
                      </c:pt>
                      <c:pt idx="53">
                        <c:v>2946</c:v>
                      </c:pt>
                      <c:pt idx="54">
                        <c:v>3129</c:v>
                      </c:pt>
                      <c:pt idx="55">
                        <c:v>3130</c:v>
                      </c:pt>
                      <c:pt idx="56">
                        <c:v>3130</c:v>
                      </c:pt>
                      <c:pt idx="57">
                        <c:v>3131</c:v>
                      </c:pt>
                      <c:pt idx="58">
                        <c:v>3131</c:v>
                      </c:pt>
                      <c:pt idx="59">
                        <c:v>3132</c:v>
                      </c:pt>
                      <c:pt idx="60">
                        <c:v>3132</c:v>
                      </c:pt>
                      <c:pt idx="61">
                        <c:v>3133</c:v>
                      </c:pt>
                      <c:pt idx="62">
                        <c:v>3321</c:v>
                      </c:pt>
                      <c:pt idx="63">
                        <c:v>3322</c:v>
                      </c:pt>
                      <c:pt idx="64">
                        <c:v>3322</c:v>
                      </c:pt>
                      <c:pt idx="65">
                        <c:v>3323</c:v>
                      </c:pt>
                      <c:pt idx="66">
                        <c:v>3323</c:v>
                      </c:pt>
                      <c:pt idx="67">
                        <c:v>3324</c:v>
                      </c:pt>
                      <c:pt idx="68">
                        <c:v>3325</c:v>
                      </c:pt>
                      <c:pt idx="69">
                        <c:v>3325</c:v>
                      </c:pt>
                      <c:pt idx="70">
                        <c:v>3519</c:v>
                      </c:pt>
                      <c:pt idx="71">
                        <c:v>3519</c:v>
                      </c:pt>
                      <c:pt idx="72">
                        <c:v>3520</c:v>
                      </c:pt>
                      <c:pt idx="73">
                        <c:v>3521</c:v>
                      </c:pt>
                      <c:pt idx="74">
                        <c:v>3521</c:v>
                      </c:pt>
                      <c:pt idx="75">
                        <c:v>3522</c:v>
                      </c:pt>
                      <c:pt idx="76">
                        <c:v>3522</c:v>
                      </c:pt>
                      <c:pt idx="77">
                        <c:v>3523</c:v>
                      </c:pt>
                      <c:pt idx="78">
                        <c:v>3524</c:v>
                      </c:pt>
                      <c:pt idx="79">
                        <c:v>3723</c:v>
                      </c:pt>
                      <c:pt idx="80">
                        <c:v>3723</c:v>
                      </c:pt>
                      <c:pt idx="81">
                        <c:v>3724</c:v>
                      </c:pt>
                      <c:pt idx="82">
                        <c:v>3724</c:v>
                      </c:pt>
                      <c:pt idx="83">
                        <c:v>3725</c:v>
                      </c:pt>
                      <c:pt idx="84">
                        <c:v>3725</c:v>
                      </c:pt>
                      <c:pt idx="85">
                        <c:v>3726</c:v>
                      </c:pt>
                      <c:pt idx="86">
                        <c:v>3727</c:v>
                      </c:pt>
                      <c:pt idx="87">
                        <c:v>3931</c:v>
                      </c:pt>
                      <c:pt idx="88">
                        <c:v>3932</c:v>
                      </c:pt>
                      <c:pt idx="89">
                        <c:v>3933</c:v>
                      </c:pt>
                      <c:pt idx="90">
                        <c:v>3933</c:v>
                      </c:pt>
                      <c:pt idx="91">
                        <c:v>3934</c:v>
                      </c:pt>
                      <c:pt idx="92">
                        <c:v>3934</c:v>
                      </c:pt>
                      <c:pt idx="93">
                        <c:v>3935</c:v>
                      </c:pt>
                      <c:pt idx="94">
                        <c:v>3935</c:v>
                      </c:pt>
                      <c:pt idx="95">
                        <c:v>4146</c:v>
                      </c:pt>
                      <c:pt idx="96">
                        <c:v>4146</c:v>
                      </c:pt>
                      <c:pt idx="97">
                        <c:v>4147</c:v>
                      </c:pt>
                      <c:pt idx="98">
                        <c:v>4147</c:v>
                      </c:pt>
                      <c:pt idx="99">
                        <c:v>4148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3EB-4F2F-9CD4-F403992F3986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Sheet1!$AH$1:$AH$2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Sheet1!$AH$3:$AH$102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27802</c:v>
                      </c:pt>
                      <c:pt idx="1">
                        <c:v>28381</c:v>
                      </c:pt>
                      <c:pt idx="2">
                        <c:v>28960</c:v>
                      </c:pt>
                      <c:pt idx="3">
                        <c:v>30118</c:v>
                      </c:pt>
                      <c:pt idx="4">
                        <c:v>30697</c:v>
                      </c:pt>
                      <c:pt idx="5">
                        <c:v>31276</c:v>
                      </c:pt>
                      <c:pt idx="6">
                        <c:v>31855</c:v>
                      </c:pt>
                      <c:pt idx="7">
                        <c:v>32434</c:v>
                      </c:pt>
                      <c:pt idx="8">
                        <c:v>33013</c:v>
                      </c:pt>
                      <c:pt idx="9">
                        <c:v>33592</c:v>
                      </c:pt>
                      <c:pt idx="10">
                        <c:v>34171</c:v>
                      </c:pt>
                      <c:pt idx="11">
                        <c:v>35329</c:v>
                      </c:pt>
                      <c:pt idx="12">
                        <c:v>35908</c:v>
                      </c:pt>
                      <c:pt idx="13">
                        <c:v>36487</c:v>
                      </c:pt>
                      <c:pt idx="14">
                        <c:v>37066</c:v>
                      </c:pt>
                      <c:pt idx="15">
                        <c:v>37645</c:v>
                      </c:pt>
                      <c:pt idx="16">
                        <c:v>38224</c:v>
                      </c:pt>
                      <c:pt idx="17">
                        <c:v>38803</c:v>
                      </c:pt>
                      <c:pt idx="18">
                        <c:v>39382</c:v>
                      </c:pt>
                      <c:pt idx="19">
                        <c:v>40540</c:v>
                      </c:pt>
                      <c:pt idx="20">
                        <c:v>41119</c:v>
                      </c:pt>
                      <c:pt idx="21">
                        <c:v>41698</c:v>
                      </c:pt>
                      <c:pt idx="22">
                        <c:v>42277</c:v>
                      </c:pt>
                      <c:pt idx="23">
                        <c:v>42856</c:v>
                      </c:pt>
                      <c:pt idx="24">
                        <c:v>43435</c:v>
                      </c:pt>
                      <c:pt idx="25">
                        <c:v>44014</c:v>
                      </c:pt>
                      <c:pt idx="26">
                        <c:v>45172</c:v>
                      </c:pt>
                      <c:pt idx="27">
                        <c:v>45751</c:v>
                      </c:pt>
                      <c:pt idx="28">
                        <c:v>46330</c:v>
                      </c:pt>
                      <c:pt idx="29">
                        <c:v>46909</c:v>
                      </c:pt>
                      <c:pt idx="30">
                        <c:v>47488</c:v>
                      </c:pt>
                      <c:pt idx="31">
                        <c:v>48068</c:v>
                      </c:pt>
                      <c:pt idx="32">
                        <c:v>48647</c:v>
                      </c:pt>
                      <c:pt idx="33">
                        <c:v>49226</c:v>
                      </c:pt>
                      <c:pt idx="34">
                        <c:v>50385</c:v>
                      </c:pt>
                      <c:pt idx="35">
                        <c:v>50964</c:v>
                      </c:pt>
                      <c:pt idx="36">
                        <c:v>51543</c:v>
                      </c:pt>
                      <c:pt idx="37">
                        <c:v>52122</c:v>
                      </c:pt>
                      <c:pt idx="38">
                        <c:v>52701</c:v>
                      </c:pt>
                      <c:pt idx="39">
                        <c:v>53280</c:v>
                      </c:pt>
                      <c:pt idx="40">
                        <c:v>53859</c:v>
                      </c:pt>
                      <c:pt idx="41">
                        <c:v>54438</c:v>
                      </c:pt>
                      <c:pt idx="42">
                        <c:v>55596</c:v>
                      </c:pt>
                      <c:pt idx="43">
                        <c:v>56175</c:v>
                      </c:pt>
                      <c:pt idx="44">
                        <c:v>56754</c:v>
                      </c:pt>
                      <c:pt idx="45">
                        <c:v>57333</c:v>
                      </c:pt>
                      <c:pt idx="46">
                        <c:v>57912</c:v>
                      </c:pt>
                      <c:pt idx="47">
                        <c:v>58491</c:v>
                      </c:pt>
                      <c:pt idx="48">
                        <c:v>59070</c:v>
                      </c:pt>
                      <c:pt idx="49">
                        <c:v>60228</c:v>
                      </c:pt>
                      <c:pt idx="50">
                        <c:v>60807</c:v>
                      </c:pt>
                      <c:pt idx="51">
                        <c:v>61386</c:v>
                      </c:pt>
                      <c:pt idx="52">
                        <c:v>61965</c:v>
                      </c:pt>
                      <c:pt idx="53">
                        <c:v>62544</c:v>
                      </c:pt>
                      <c:pt idx="54">
                        <c:v>63123</c:v>
                      </c:pt>
                      <c:pt idx="55">
                        <c:v>63702</c:v>
                      </c:pt>
                      <c:pt idx="56">
                        <c:v>64281</c:v>
                      </c:pt>
                      <c:pt idx="57">
                        <c:v>65439</c:v>
                      </c:pt>
                      <c:pt idx="58">
                        <c:v>66018</c:v>
                      </c:pt>
                      <c:pt idx="59">
                        <c:v>66597</c:v>
                      </c:pt>
                      <c:pt idx="60">
                        <c:v>67176</c:v>
                      </c:pt>
                      <c:pt idx="61">
                        <c:v>67755</c:v>
                      </c:pt>
                      <c:pt idx="62">
                        <c:v>68334</c:v>
                      </c:pt>
                      <c:pt idx="63">
                        <c:v>68913</c:v>
                      </c:pt>
                      <c:pt idx="64">
                        <c:v>69492</c:v>
                      </c:pt>
                      <c:pt idx="65">
                        <c:v>70650</c:v>
                      </c:pt>
                      <c:pt idx="66">
                        <c:v>71229</c:v>
                      </c:pt>
                      <c:pt idx="67">
                        <c:v>71808</c:v>
                      </c:pt>
                      <c:pt idx="68">
                        <c:v>72388</c:v>
                      </c:pt>
                      <c:pt idx="69">
                        <c:v>72967</c:v>
                      </c:pt>
                      <c:pt idx="70">
                        <c:v>73546</c:v>
                      </c:pt>
                      <c:pt idx="71">
                        <c:v>74125</c:v>
                      </c:pt>
                      <c:pt idx="72">
                        <c:v>74704</c:v>
                      </c:pt>
                      <c:pt idx="73">
                        <c:v>75862</c:v>
                      </c:pt>
                      <c:pt idx="74">
                        <c:v>76441</c:v>
                      </c:pt>
                      <c:pt idx="75">
                        <c:v>77020</c:v>
                      </c:pt>
                      <c:pt idx="76">
                        <c:v>77599</c:v>
                      </c:pt>
                      <c:pt idx="77">
                        <c:v>78178</c:v>
                      </c:pt>
                      <c:pt idx="78">
                        <c:v>78757</c:v>
                      </c:pt>
                      <c:pt idx="79">
                        <c:v>79336</c:v>
                      </c:pt>
                      <c:pt idx="80">
                        <c:v>80494</c:v>
                      </c:pt>
                      <c:pt idx="81">
                        <c:v>81073</c:v>
                      </c:pt>
                      <c:pt idx="82">
                        <c:v>81652</c:v>
                      </c:pt>
                      <c:pt idx="83">
                        <c:v>82231</c:v>
                      </c:pt>
                      <c:pt idx="84">
                        <c:v>82810</c:v>
                      </c:pt>
                      <c:pt idx="85">
                        <c:v>83389</c:v>
                      </c:pt>
                      <c:pt idx="86">
                        <c:v>83969</c:v>
                      </c:pt>
                      <c:pt idx="87">
                        <c:v>84548</c:v>
                      </c:pt>
                      <c:pt idx="88">
                        <c:v>85706</c:v>
                      </c:pt>
                      <c:pt idx="89">
                        <c:v>86285</c:v>
                      </c:pt>
                      <c:pt idx="90">
                        <c:v>86864</c:v>
                      </c:pt>
                      <c:pt idx="91">
                        <c:v>87443</c:v>
                      </c:pt>
                      <c:pt idx="92">
                        <c:v>88022</c:v>
                      </c:pt>
                      <c:pt idx="93">
                        <c:v>88601</c:v>
                      </c:pt>
                      <c:pt idx="94">
                        <c:v>89180</c:v>
                      </c:pt>
                      <c:pt idx="95">
                        <c:v>89759</c:v>
                      </c:pt>
                      <c:pt idx="96">
                        <c:v>90917</c:v>
                      </c:pt>
                      <c:pt idx="97">
                        <c:v>91496</c:v>
                      </c:pt>
                      <c:pt idx="98">
                        <c:v>92075</c:v>
                      </c:pt>
                      <c:pt idx="99">
                        <c:v>92654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3EB-4F2F-9CD4-F403992F3986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Sheet1!$AI$1:$AI$2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Sheet1!$AI$3:$AI$102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20912</c:v>
                      </c:pt>
                      <c:pt idx="1">
                        <c:v>21346</c:v>
                      </c:pt>
                      <c:pt idx="2">
                        <c:v>21782</c:v>
                      </c:pt>
                      <c:pt idx="3">
                        <c:v>22651</c:v>
                      </c:pt>
                      <c:pt idx="4">
                        <c:v>23085</c:v>
                      </c:pt>
                      <c:pt idx="5">
                        <c:v>23520</c:v>
                      </c:pt>
                      <c:pt idx="6">
                        <c:v>23955</c:v>
                      </c:pt>
                      <c:pt idx="7">
                        <c:v>24390</c:v>
                      </c:pt>
                      <c:pt idx="8">
                        <c:v>24824</c:v>
                      </c:pt>
                      <c:pt idx="9">
                        <c:v>25259</c:v>
                      </c:pt>
                      <c:pt idx="10">
                        <c:v>25694</c:v>
                      </c:pt>
                      <c:pt idx="11">
                        <c:v>26563</c:v>
                      </c:pt>
                      <c:pt idx="12">
                        <c:v>26998</c:v>
                      </c:pt>
                      <c:pt idx="13">
                        <c:v>27432</c:v>
                      </c:pt>
                      <c:pt idx="14">
                        <c:v>27868</c:v>
                      </c:pt>
                      <c:pt idx="15">
                        <c:v>28302</c:v>
                      </c:pt>
                      <c:pt idx="16">
                        <c:v>28737</c:v>
                      </c:pt>
                      <c:pt idx="17">
                        <c:v>29171</c:v>
                      </c:pt>
                      <c:pt idx="18">
                        <c:v>29607</c:v>
                      </c:pt>
                      <c:pt idx="19">
                        <c:v>30476</c:v>
                      </c:pt>
                      <c:pt idx="20">
                        <c:v>30910</c:v>
                      </c:pt>
                      <c:pt idx="21">
                        <c:v>31345</c:v>
                      </c:pt>
                      <c:pt idx="22">
                        <c:v>31780</c:v>
                      </c:pt>
                      <c:pt idx="23">
                        <c:v>32215</c:v>
                      </c:pt>
                      <c:pt idx="24">
                        <c:v>32649</c:v>
                      </c:pt>
                      <c:pt idx="25">
                        <c:v>33084</c:v>
                      </c:pt>
                      <c:pt idx="26">
                        <c:v>33953</c:v>
                      </c:pt>
                      <c:pt idx="27">
                        <c:v>34388</c:v>
                      </c:pt>
                      <c:pt idx="28">
                        <c:v>34823</c:v>
                      </c:pt>
                      <c:pt idx="29">
                        <c:v>35257</c:v>
                      </c:pt>
                      <c:pt idx="30">
                        <c:v>35692</c:v>
                      </c:pt>
                      <c:pt idx="31">
                        <c:v>36127</c:v>
                      </c:pt>
                      <c:pt idx="32">
                        <c:v>36562</c:v>
                      </c:pt>
                      <c:pt idx="33">
                        <c:v>36996</c:v>
                      </c:pt>
                      <c:pt idx="34">
                        <c:v>37865</c:v>
                      </c:pt>
                      <c:pt idx="35">
                        <c:v>38301</c:v>
                      </c:pt>
                      <c:pt idx="36">
                        <c:v>38735</c:v>
                      </c:pt>
                      <c:pt idx="37">
                        <c:v>39170</c:v>
                      </c:pt>
                      <c:pt idx="38">
                        <c:v>39604</c:v>
                      </c:pt>
                      <c:pt idx="39">
                        <c:v>40040</c:v>
                      </c:pt>
                      <c:pt idx="40">
                        <c:v>40474</c:v>
                      </c:pt>
                      <c:pt idx="41">
                        <c:v>40909</c:v>
                      </c:pt>
                      <c:pt idx="42">
                        <c:v>41778</c:v>
                      </c:pt>
                      <c:pt idx="43">
                        <c:v>42213</c:v>
                      </c:pt>
                      <c:pt idx="44">
                        <c:v>42648</c:v>
                      </c:pt>
                      <c:pt idx="45">
                        <c:v>43082</c:v>
                      </c:pt>
                      <c:pt idx="46">
                        <c:v>43517</c:v>
                      </c:pt>
                      <c:pt idx="47">
                        <c:v>43952</c:v>
                      </c:pt>
                      <c:pt idx="48">
                        <c:v>44387</c:v>
                      </c:pt>
                      <c:pt idx="49">
                        <c:v>45256</c:v>
                      </c:pt>
                      <c:pt idx="50">
                        <c:v>45690</c:v>
                      </c:pt>
                      <c:pt idx="51">
                        <c:v>46125</c:v>
                      </c:pt>
                      <c:pt idx="52">
                        <c:v>46560</c:v>
                      </c:pt>
                      <c:pt idx="53">
                        <c:v>46995</c:v>
                      </c:pt>
                      <c:pt idx="54">
                        <c:v>47429</c:v>
                      </c:pt>
                      <c:pt idx="55">
                        <c:v>47864</c:v>
                      </c:pt>
                      <c:pt idx="56">
                        <c:v>48299</c:v>
                      </c:pt>
                      <c:pt idx="57">
                        <c:v>49168</c:v>
                      </c:pt>
                      <c:pt idx="58">
                        <c:v>49603</c:v>
                      </c:pt>
                      <c:pt idx="59">
                        <c:v>50037</c:v>
                      </c:pt>
                      <c:pt idx="60">
                        <c:v>50473</c:v>
                      </c:pt>
                      <c:pt idx="61">
                        <c:v>50907</c:v>
                      </c:pt>
                      <c:pt idx="62">
                        <c:v>51342</c:v>
                      </c:pt>
                      <c:pt idx="63">
                        <c:v>51776</c:v>
                      </c:pt>
                      <c:pt idx="64">
                        <c:v>52212</c:v>
                      </c:pt>
                      <c:pt idx="65">
                        <c:v>53081</c:v>
                      </c:pt>
                      <c:pt idx="66">
                        <c:v>53515</c:v>
                      </c:pt>
                      <c:pt idx="67">
                        <c:v>53950</c:v>
                      </c:pt>
                      <c:pt idx="68">
                        <c:v>54385</c:v>
                      </c:pt>
                      <c:pt idx="69">
                        <c:v>54820</c:v>
                      </c:pt>
                      <c:pt idx="70">
                        <c:v>55254</c:v>
                      </c:pt>
                      <c:pt idx="71">
                        <c:v>55689</c:v>
                      </c:pt>
                      <c:pt idx="72">
                        <c:v>56124</c:v>
                      </c:pt>
                      <c:pt idx="73">
                        <c:v>56993</c:v>
                      </c:pt>
                      <c:pt idx="74">
                        <c:v>57428</c:v>
                      </c:pt>
                      <c:pt idx="75">
                        <c:v>57862</c:v>
                      </c:pt>
                      <c:pt idx="76">
                        <c:v>58297</c:v>
                      </c:pt>
                      <c:pt idx="77">
                        <c:v>58732</c:v>
                      </c:pt>
                      <c:pt idx="78">
                        <c:v>59167</c:v>
                      </c:pt>
                      <c:pt idx="79">
                        <c:v>59601</c:v>
                      </c:pt>
                      <c:pt idx="80">
                        <c:v>60470</c:v>
                      </c:pt>
                      <c:pt idx="81">
                        <c:v>60906</c:v>
                      </c:pt>
                      <c:pt idx="82">
                        <c:v>61340</c:v>
                      </c:pt>
                      <c:pt idx="83">
                        <c:v>61775</c:v>
                      </c:pt>
                      <c:pt idx="84">
                        <c:v>62209</c:v>
                      </c:pt>
                      <c:pt idx="85">
                        <c:v>62645</c:v>
                      </c:pt>
                      <c:pt idx="86">
                        <c:v>63079</c:v>
                      </c:pt>
                      <c:pt idx="87">
                        <c:v>63514</c:v>
                      </c:pt>
                      <c:pt idx="88">
                        <c:v>64383</c:v>
                      </c:pt>
                      <c:pt idx="89">
                        <c:v>64818</c:v>
                      </c:pt>
                      <c:pt idx="90">
                        <c:v>65253</c:v>
                      </c:pt>
                      <c:pt idx="91">
                        <c:v>65687</c:v>
                      </c:pt>
                      <c:pt idx="92">
                        <c:v>66122</c:v>
                      </c:pt>
                      <c:pt idx="93">
                        <c:v>66557</c:v>
                      </c:pt>
                      <c:pt idx="94">
                        <c:v>66992</c:v>
                      </c:pt>
                      <c:pt idx="95">
                        <c:v>67426</c:v>
                      </c:pt>
                      <c:pt idx="96">
                        <c:v>68295</c:v>
                      </c:pt>
                      <c:pt idx="97">
                        <c:v>68731</c:v>
                      </c:pt>
                      <c:pt idx="98">
                        <c:v>69165</c:v>
                      </c:pt>
                      <c:pt idx="99">
                        <c:v>69600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3EB-4F2F-9CD4-F403992F3986}"/>
                  </c:ext>
                </c:extLst>
              </c15:ser>
            </c15:filteredLineSeries>
          </c:ext>
        </c:extLst>
      </c:lineChart>
      <c:catAx>
        <c:axId val="63087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968"/>
        <c:crosses val="autoZero"/>
        <c:auto val="1"/>
        <c:lblAlgn val="ctr"/>
        <c:lblOffset val="100"/>
        <c:noMultiLvlLbl val="0"/>
      </c:catAx>
      <c:valAx>
        <c:axId val="63087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909705037465584E-2"/>
          <c:y val="0.14382631215602293"/>
          <c:w val="0.86596025522002662"/>
          <c:h val="0.70628531028220043"/>
        </c:manualLayout>
      </c:layout>
      <c:lineChart>
        <c:grouping val="standard"/>
        <c:varyColors val="0"/>
        <c:ser>
          <c:idx val="5"/>
          <c:order val="5"/>
          <c:tx>
            <c:strRef>
              <c:f>Sheet1!$F$1:$F$2</c:f>
              <c:strCache>
                <c:ptCount val="2"/>
                <c:pt idx="0">
                  <c:v>1</c:v>
                </c:pt>
                <c:pt idx="1">
                  <c:v>물방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Sheet1!$F$3:$F$102</c:f>
              <c:numCache>
                <c:formatCode>General</c:formatCode>
                <c:ptCount val="100"/>
                <c:pt idx="0">
                  <c:v>7793</c:v>
                </c:pt>
                <c:pt idx="1">
                  <c:v>8004</c:v>
                </c:pt>
                <c:pt idx="2">
                  <c:v>8214</c:v>
                </c:pt>
                <c:pt idx="3">
                  <c:v>8635</c:v>
                </c:pt>
                <c:pt idx="4">
                  <c:v>8847</c:v>
                </c:pt>
                <c:pt idx="5">
                  <c:v>9057</c:v>
                </c:pt>
                <c:pt idx="6">
                  <c:v>9268</c:v>
                </c:pt>
                <c:pt idx="7">
                  <c:v>9479</c:v>
                </c:pt>
                <c:pt idx="8">
                  <c:v>9690</c:v>
                </c:pt>
                <c:pt idx="9">
                  <c:v>9900</c:v>
                </c:pt>
                <c:pt idx="10">
                  <c:v>10111</c:v>
                </c:pt>
                <c:pt idx="11">
                  <c:v>10532</c:v>
                </c:pt>
                <c:pt idx="12">
                  <c:v>10742</c:v>
                </c:pt>
                <c:pt idx="13">
                  <c:v>10953</c:v>
                </c:pt>
                <c:pt idx="14">
                  <c:v>11163</c:v>
                </c:pt>
                <c:pt idx="15">
                  <c:v>11374</c:v>
                </c:pt>
                <c:pt idx="16">
                  <c:v>11584</c:v>
                </c:pt>
                <c:pt idx="17">
                  <c:v>11795</c:v>
                </c:pt>
                <c:pt idx="18">
                  <c:v>12005</c:v>
                </c:pt>
                <c:pt idx="19">
                  <c:v>12426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3EB-4F2F-9CD4-F403992F3986}"/>
            </c:ext>
          </c:extLst>
        </c:ser>
        <c:ser>
          <c:idx val="12"/>
          <c:order val="12"/>
          <c:tx>
            <c:strRef>
              <c:f>Sheet1!$M$1:$M$2</c:f>
              <c:strCache>
                <c:ptCount val="2"/>
                <c:pt idx="0">
                  <c:v>2</c:v>
                </c:pt>
                <c:pt idx="1">
                  <c:v>물방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Sheet1!$M$3:$M$102</c:f>
              <c:numCache>
                <c:formatCode>General</c:formatCode>
                <c:ptCount val="100"/>
                <c:pt idx="0">
                  <c:v>10547</c:v>
                </c:pt>
                <c:pt idx="1">
                  <c:v>10810</c:v>
                </c:pt>
                <c:pt idx="2">
                  <c:v>11074</c:v>
                </c:pt>
                <c:pt idx="3">
                  <c:v>11601</c:v>
                </c:pt>
                <c:pt idx="4">
                  <c:v>11864</c:v>
                </c:pt>
                <c:pt idx="5">
                  <c:v>12128</c:v>
                </c:pt>
                <c:pt idx="6">
                  <c:v>12391</c:v>
                </c:pt>
                <c:pt idx="7">
                  <c:v>12655</c:v>
                </c:pt>
                <c:pt idx="8">
                  <c:v>12918</c:v>
                </c:pt>
                <c:pt idx="9">
                  <c:v>13182</c:v>
                </c:pt>
                <c:pt idx="10">
                  <c:v>13445</c:v>
                </c:pt>
                <c:pt idx="11">
                  <c:v>13972</c:v>
                </c:pt>
                <c:pt idx="12">
                  <c:v>14236</c:v>
                </c:pt>
                <c:pt idx="13">
                  <c:v>14499</c:v>
                </c:pt>
                <c:pt idx="14">
                  <c:v>14763</c:v>
                </c:pt>
                <c:pt idx="15">
                  <c:v>15026</c:v>
                </c:pt>
                <c:pt idx="16">
                  <c:v>15290</c:v>
                </c:pt>
                <c:pt idx="17">
                  <c:v>15553</c:v>
                </c:pt>
                <c:pt idx="18">
                  <c:v>15817</c:v>
                </c:pt>
                <c:pt idx="19">
                  <c:v>16344</c:v>
                </c:pt>
                <c:pt idx="20">
                  <c:v>16607</c:v>
                </c:pt>
                <c:pt idx="21">
                  <c:v>16871</c:v>
                </c:pt>
                <c:pt idx="22">
                  <c:v>17135</c:v>
                </c:pt>
                <c:pt idx="23">
                  <c:v>17399</c:v>
                </c:pt>
                <c:pt idx="24">
                  <c:v>17662</c:v>
                </c:pt>
                <c:pt idx="25">
                  <c:v>17926</c:v>
                </c:pt>
                <c:pt idx="26">
                  <c:v>18453</c:v>
                </c:pt>
                <c:pt idx="27">
                  <c:v>18716</c:v>
                </c:pt>
                <c:pt idx="28">
                  <c:v>18980</c:v>
                </c:pt>
                <c:pt idx="29">
                  <c:v>19243</c:v>
                </c:pt>
                <c:pt idx="30">
                  <c:v>19507</c:v>
                </c:pt>
                <c:pt idx="31">
                  <c:v>19770</c:v>
                </c:pt>
                <c:pt idx="32">
                  <c:v>20034</c:v>
                </c:pt>
                <c:pt idx="33">
                  <c:v>20297</c:v>
                </c:pt>
                <c:pt idx="34">
                  <c:v>20824</c:v>
                </c:pt>
                <c:pt idx="35">
                  <c:v>21088</c:v>
                </c:pt>
                <c:pt idx="36">
                  <c:v>21351</c:v>
                </c:pt>
                <c:pt idx="37">
                  <c:v>21615</c:v>
                </c:pt>
                <c:pt idx="38">
                  <c:v>21878</c:v>
                </c:pt>
                <c:pt idx="39">
                  <c:v>22143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3EB-4F2F-9CD4-F403992F3986}"/>
            </c:ext>
          </c:extLst>
        </c:ser>
        <c:ser>
          <c:idx val="19"/>
          <c:order val="19"/>
          <c:tx>
            <c:strRef>
              <c:f>Sheet1!$T$1:$T$2</c:f>
              <c:strCache>
                <c:ptCount val="2"/>
                <c:pt idx="0">
                  <c:v>3</c:v>
                </c:pt>
                <c:pt idx="1">
                  <c:v>물방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Sheet1!$T$3:$T$102</c:f>
              <c:numCache>
                <c:formatCode>General</c:formatCode>
                <c:ptCount val="100"/>
                <c:pt idx="0">
                  <c:v>14949</c:v>
                </c:pt>
                <c:pt idx="1">
                  <c:v>15297</c:v>
                </c:pt>
                <c:pt idx="2">
                  <c:v>15644</c:v>
                </c:pt>
                <c:pt idx="3">
                  <c:v>16339</c:v>
                </c:pt>
                <c:pt idx="4">
                  <c:v>16688</c:v>
                </c:pt>
                <c:pt idx="5">
                  <c:v>17035</c:v>
                </c:pt>
                <c:pt idx="6">
                  <c:v>17383</c:v>
                </c:pt>
                <c:pt idx="7">
                  <c:v>17730</c:v>
                </c:pt>
                <c:pt idx="8">
                  <c:v>18078</c:v>
                </c:pt>
                <c:pt idx="9">
                  <c:v>18425</c:v>
                </c:pt>
                <c:pt idx="10">
                  <c:v>18773</c:v>
                </c:pt>
                <c:pt idx="11">
                  <c:v>19468</c:v>
                </c:pt>
                <c:pt idx="12">
                  <c:v>19815</c:v>
                </c:pt>
                <c:pt idx="13">
                  <c:v>20163</c:v>
                </c:pt>
                <c:pt idx="14">
                  <c:v>20510</c:v>
                </c:pt>
                <c:pt idx="15">
                  <c:v>20858</c:v>
                </c:pt>
                <c:pt idx="16">
                  <c:v>21205</c:v>
                </c:pt>
                <c:pt idx="17">
                  <c:v>21553</c:v>
                </c:pt>
                <c:pt idx="18">
                  <c:v>21901</c:v>
                </c:pt>
                <c:pt idx="19">
                  <c:v>22596</c:v>
                </c:pt>
                <c:pt idx="20">
                  <c:v>22944</c:v>
                </c:pt>
                <c:pt idx="21">
                  <c:v>23291</c:v>
                </c:pt>
                <c:pt idx="22">
                  <c:v>23639</c:v>
                </c:pt>
                <c:pt idx="23">
                  <c:v>23986</c:v>
                </c:pt>
                <c:pt idx="24">
                  <c:v>24334</c:v>
                </c:pt>
                <c:pt idx="25">
                  <c:v>24681</c:v>
                </c:pt>
                <c:pt idx="26">
                  <c:v>25376</c:v>
                </c:pt>
                <c:pt idx="27">
                  <c:v>25724</c:v>
                </c:pt>
                <c:pt idx="28">
                  <c:v>26071</c:v>
                </c:pt>
                <c:pt idx="29">
                  <c:v>26419</c:v>
                </c:pt>
                <c:pt idx="30">
                  <c:v>26766</c:v>
                </c:pt>
                <c:pt idx="31">
                  <c:v>27114</c:v>
                </c:pt>
                <c:pt idx="32">
                  <c:v>27461</c:v>
                </c:pt>
                <c:pt idx="33">
                  <c:v>27809</c:v>
                </c:pt>
                <c:pt idx="34">
                  <c:v>28504</c:v>
                </c:pt>
                <c:pt idx="35">
                  <c:v>28851</c:v>
                </c:pt>
                <c:pt idx="36">
                  <c:v>29199</c:v>
                </c:pt>
                <c:pt idx="37">
                  <c:v>29546</c:v>
                </c:pt>
                <c:pt idx="38">
                  <c:v>29894</c:v>
                </c:pt>
                <c:pt idx="39">
                  <c:v>30241</c:v>
                </c:pt>
                <c:pt idx="40">
                  <c:v>30590</c:v>
                </c:pt>
                <c:pt idx="41">
                  <c:v>30937</c:v>
                </c:pt>
                <c:pt idx="42">
                  <c:v>31632</c:v>
                </c:pt>
                <c:pt idx="43">
                  <c:v>31980</c:v>
                </c:pt>
                <c:pt idx="44">
                  <c:v>32327</c:v>
                </c:pt>
                <c:pt idx="45">
                  <c:v>32675</c:v>
                </c:pt>
                <c:pt idx="46">
                  <c:v>33022</c:v>
                </c:pt>
                <c:pt idx="47">
                  <c:v>33370</c:v>
                </c:pt>
                <c:pt idx="48">
                  <c:v>33717</c:v>
                </c:pt>
                <c:pt idx="49">
                  <c:v>34412</c:v>
                </c:pt>
                <c:pt idx="50">
                  <c:v>34760</c:v>
                </c:pt>
                <c:pt idx="51">
                  <c:v>35107</c:v>
                </c:pt>
                <c:pt idx="52">
                  <c:v>35455</c:v>
                </c:pt>
                <c:pt idx="53">
                  <c:v>35802</c:v>
                </c:pt>
                <c:pt idx="54">
                  <c:v>36150</c:v>
                </c:pt>
                <c:pt idx="55">
                  <c:v>36497</c:v>
                </c:pt>
                <c:pt idx="56">
                  <c:v>36845</c:v>
                </c:pt>
                <c:pt idx="57">
                  <c:v>37540</c:v>
                </c:pt>
                <c:pt idx="58">
                  <c:v>37887</c:v>
                </c:pt>
                <c:pt idx="59">
                  <c:v>38235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3EB-4F2F-9CD4-F403992F3986}"/>
            </c:ext>
          </c:extLst>
        </c:ser>
        <c:ser>
          <c:idx val="26"/>
          <c:order val="26"/>
          <c:tx>
            <c:strRef>
              <c:f>Sheet1!$AA$1:$AA$2</c:f>
              <c:strCache>
                <c:ptCount val="2"/>
                <c:pt idx="0">
                  <c:v>4</c:v>
                </c:pt>
                <c:pt idx="1">
                  <c:v>물방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Sheet1!$AA$3:$AA$102</c:f>
              <c:numCache>
                <c:formatCode>General</c:formatCode>
                <c:ptCount val="100"/>
                <c:pt idx="0">
                  <c:v>21338</c:v>
                </c:pt>
                <c:pt idx="1">
                  <c:v>21812</c:v>
                </c:pt>
                <c:pt idx="2">
                  <c:v>22287</c:v>
                </c:pt>
                <c:pt idx="3">
                  <c:v>23235</c:v>
                </c:pt>
                <c:pt idx="4">
                  <c:v>23709</c:v>
                </c:pt>
                <c:pt idx="5">
                  <c:v>24183</c:v>
                </c:pt>
                <c:pt idx="6">
                  <c:v>24657</c:v>
                </c:pt>
                <c:pt idx="7">
                  <c:v>25131</c:v>
                </c:pt>
                <c:pt idx="8">
                  <c:v>25605</c:v>
                </c:pt>
                <c:pt idx="9">
                  <c:v>26079</c:v>
                </c:pt>
                <c:pt idx="10">
                  <c:v>26553</c:v>
                </c:pt>
                <c:pt idx="11">
                  <c:v>27501</c:v>
                </c:pt>
                <c:pt idx="12">
                  <c:v>27975</c:v>
                </c:pt>
                <c:pt idx="13">
                  <c:v>28450</c:v>
                </c:pt>
                <c:pt idx="14">
                  <c:v>28924</c:v>
                </c:pt>
                <c:pt idx="15">
                  <c:v>29398</c:v>
                </c:pt>
                <c:pt idx="16">
                  <c:v>29872</c:v>
                </c:pt>
                <c:pt idx="17">
                  <c:v>30346</c:v>
                </c:pt>
                <c:pt idx="18">
                  <c:v>30820</c:v>
                </c:pt>
                <c:pt idx="19">
                  <c:v>31768</c:v>
                </c:pt>
                <c:pt idx="20">
                  <c:v>32242</c:v>
                </c:pt>
                <c:pt idx="21">
                  <c:v>32716</c:v>
                </c:pt>
                <c:pt idx="22">
                  <c:v>33190</c:v>
                </c:pt>
                <c:pt idx="23">
                  <c:v>33664</c:v>
                </c:pt>
                <c:pt idx="24">
                  <c:v>34138</c:v>
                </c:pt>
                <c:pt idx="25">
                  <c:v>34612</c:v>
                </c:pt>
                <c:pt idx="26">
                  <c:v>35560</c:v>
                </c:pt>
                <c:pt idx="27">
                  <c:v>36034</c:v>
                </c:pt>
                <c:pt idx="28">
                  <c:v>36508</c:v>
                </c:pt>
                <c:pt idx="29">
                  <c:v>36982</c:v>
                </c:pt>
                <c:pt idx="30">
                  <c:v>37456</c:v>
                </c:pt>
                <c:pt idx="31">
                  <c:v>37930</c:v>
                </c:pt>
                <c:pt idx="32">
                  <c:v>38404</c:v>
                </c:pt>
                <c:pt idx="33">
                  <c:v>38878</c:v>
                </c:pt>
                <c:pt idx="34">
                  <c:v>39826</c:v>
                </c:pt>
                <c:pt idx="35">
                  <c:v>40300</c:v>
                </c:pt>
                <c:pt idx="36">
                  <c:v>40774</c:v>
                </c:pt>
                <c:pt idx="37">
                  <c:v>41248</c:v>
                </c:pt>
                <c:pt idx="38">
                  <c:v>41722</c:v>
                </c:pt>
                <c:pt idx="39">
                  <c:v>42196</c:v>
                </c:pt>
                <c:pt idx="40">
                  <c:v>42670</c:v>
                </c:pt>
                <c:pt idx="41">
                  <c:v>43144</c:v>
                </c:pt>
                <c:pt idx="42">
                  <c:v>44092</c:v>
                </c:pt>
                <c:pt idx="43">
                  <c:v>44566</c:v>
                </c:pt>
                <c:pt idx="44">
                  <c:v>45040</c:v>
                </c:pt>
                <c:pt idx="45">
                  <c:v>45514</c:v>
                </c:pt>
                <c:pt idx="46">
                  <c:v>45988</c:v>
                </c:pt>
                <c:pt idx="47">
                  <c:v>46462</c:v>
                </c:pt>
                <c:pt idx="48">
                  <c:v>46936</c:v>
                </c:pt>
                <c:pt idx="49">
                  <c:v>47885</c:v>
                </c:pt>
                <c:pt idx="50">
                  <c:v>48359</c:v>
                </c:pt>
                <c:pt idx="51">
                  <c:v>48833</c:v>
                </c:pt>
                <c:pt idx="52">
                  <c:v>49307</c:v>
                </c:pt>
                <c:pt idx="53">
                  <c:v>49781</c:v>
                </c:pt>
                <c:pt idx="54">
                  <c:v>50255</c:v>
                </c:pt>
                <c:pt idx="55">
                  <c:v>50730</c:v>
                </c:pt>
                <c:pt idx="56">
                  <c:v>51204</c:v>
                </c:pt>
                <c:pt idx="57">
                  <c:v>52152</c:v>
                </c:pt>
                <c:pt idx="58">
                  <c:v>52626</c:v>
                </c:pt>
                <c:pt idx="59">
                  <c:v>53100</c:v>
                </c:pt>
                <c:pt idx="60">
                  <c:v>53574</c:v>
                </c:pt>
                <c:pt idx="61">
                  <c:v>54048</c:v>
                </c:pt>
                <c:pt idx="62">
                  <c:v>54522</c:v>
                </c:pt>
                <c:pt idx="63">
                  <c:v>54996</c:v>
                </c:pt>
                <c:pt idx="64">
                  <c:v>55470</c:v>
                </c:pt>
                <c:pt idx="65">
                  <c:v>56418</c:v>
                </c:pt>
                <c:pt idx="66">
                  <c:v>56892</c:v>
                </c:pt>
                <c:pt idx="67">
                  <c:v>57366</c:v>
                </c:pt>
                <c:pt idx="68">
                  <c:v>57840</c:v>
                </c:pt>
                <c:pt idx="69">
                  <c:v>58314</c:v>
                </c:pt>
                <c:pt idx="70">
                  <c:v>58788</c:v>
                </c:pt>
                <c:pt idx="71">
                  <c:v>59262</c:v>
                </c:pt>
                <c:pt idx="72">
                  <c:v>59736</c:v>
                </c:pt>
                <c:pt idx="73">
                  <c:v>60684</c:v>
                </c:pt>
                <c:pt idx="74">
                  <c:v>61158</c:v>
                </c:pt>
                <c:pt idx="75">
                  <c:v>61632</c:v>
                </c:pt>
                <c:pt idx="76">
                  <c:v>62106</c:v>
                </c:pt>
                <c:pt idx="77">
                  <c:v>62580</c:v>
                </c:pt>
                <c:pt idx="78">
                  <c:v>63054</c:v>
                </c:pt>
                <c:pt idx="79">
                  <c:v>63528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3EB-4F2F-9CD4-F403992F3986}"/>
            </c:ext>
          </c:extLst>
        </c:ser>
        <c:ser>
          <c:idx val="33"/>
          <c:order val="33"/>
          <c:tx>
            <c:strRef>
              <c:f>Sheet1!$AH$1:$AH$2</c:f>
              <c:strCache>
                <c:ptCount val="2"/>
                <c:pt idx="0">
                  <c:v>5</c:v>
                </c:pt>
                <c:pt idx="1">
                  <c:v>물방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Sheet1!$AH$3:$AH$102</c:f>
              <c:numCache>
                <c:formatCode>General</c:formatCode>
                <c:ptCount val="100"/>
                <c:pt idx="0">
                  <c:v>27802</c:v>
                </c:pt>
                <c:pt idx="1">
                  <c:v>28381</c:v>
                </c:pt>
                <c:pt idx="2">
                  <c:v>28960</c:v>
                </c:pt>
                <c:pt idx="3">
                  <c:v>30118</c:v>
                </c:pt>
                <c:pt idx="4">
                  <c:v>30697</c:v>
                </c:pt>
                <c:pt idx="5">
                  <c:v>31276</c:v>
                </c:pt>
                <c:pt idx="6">
                  <c:v>31855</c:v>
                </c:pt>
                <c:pt idx="7">
                  <c:v>32434</c:v>
                </c:pt>
                <c:pt idx="8">
                  <c:v>33013</c:v>
                </c:pt>
                <c:pt idx="9">
                  <c:v>33592</c:v>
                </c:pt>
                <c:pt idx="10">
                  <c:v>34171</c:v>
                </c:pt>
                <c:pt idx="11">
                  <c:v>35329</c:v>
                </c:pt>
                <c:pt idx="12">
                  <c:v>35908</c:v>
                </c:pt>
                <c:pt idx="13">
                  <c:v>36487</c:v>
                </c:pt>
                <c:pt idx="14">
                  <c:v>37066</c:v>
                </c:pt>
                <c:pt idx="15">
                  <c:v>37645</c:v>
                </c:pt>
                <c:pt idx="16">
                  <c:v>38224</c:v>
                </c:pt>
                <c:pt idx="17">
                  <c:v>38803</c:v>
                </c:pt>
                <c:pt idx="18">
                  <c:v>39382</c:v>
                </c:pt>
                <c:pt idx="19">
                  <c:v>40540</c:v>
                </c:pt>
                <c:pt idx="20">
                  <c:v>41119</c:v>
                </c:pt>
                <c:pt idx="21">
                  <c:v>41698</c:v>
                </c:pt>
                <c:pt idx="22">
                  <c:v>42277</c:v>
                </c:pt>
                <c:pt idx="23">
                  <c:v>42856</c:v>
                </c:pt>
                <c:pt idx="24">
                  <c:v>43435</c:v>
                </c:pt>
                <c:pt idx="25">
                  <c:v>44014</c:v>
                </c:pt>
                <c:pt idx="26">
                  <c:v>45172</c:v>
                </c:pt>
                <c:pt idx="27">
                  <c:v>45751</c:v>
                </c:pt>
                <c:pt idx="28">
                  <c:v>46330</c:v>
                </c:pt>
                <c:pt idx="29">
                  <c:v>46909</c:v>
                </c:pt>
                <c:pt idx="30">
                  <c:v>47488</c:v>
                </c:pt>
                <c:pt idx="31">
                  <c:v>48068</c:v>
                </c:pt>
                <c:pt idx="32">
                  <c:v>48647</c:v>
                </c:pt>
                <c:pt idx="33">
                  <c:v>49226</c:v>
                </c:pt>
                <c:pt idx="34">
                  <c:v>50385</c:v>
                </c:pt>
                <c:pt idx="35">
                  <c:v>50964</c:v>
                </c:pt>
                <c:pt idx="36">
                  <c:v>51543</c:v>
                </c:pt>
                <c:pt idx="37">
                  <c:v>52122</c:v>
                </c:pt>
                <c:pt idx="38">
                  <c:v>52701</c:v>
                </c:pt>
                <c:pt idx="39">
                  <c:v>53280</c:v>
                </c:pt>
                <c:pt idx="40">
                  <c:v>53859</c:v>
                </c:pt>
                <c:pt idx="41">
                  <c:v>54438</c:v>
                </c:pt>
                <c:pt idx="42">
                  <c:v>55596</c:v>
                </c:pt>
                <c:pt idx="43">
                  <c:v>56175</c:v>
                </c:pt>
                <c:pt idx="44">
                  <c:v>56754</c:v>
                </c:pt>
                <c:pt idx="45">
                  <c:v>57333</c:v>
                </c:pt>
                <c:pt idx="46">
                  <c:v>57912</c:v>
                </c:pt>
                <c:pt idx="47">
                  <c:v>58491</c:v>
                </c:pt>
                <c:pt idx="48">
                  <c:v>59070</c:v>
                </c:pt>
                <c:pt idx="49">
                  <c:v>60228</c:v>
                </c:pt>
                <c:pt idx="50">
                  <c:v>60807</c:v>
                </c:pt>
                <c:pt idx="51">
                  <c:v>61386</c:v>
                </c:pt>
                <c:pt idx="52">
                  <c:v>61965</c:v>
                </c:pt>
                <c:pt idx="53">
                  <c:v>62544</c:v>
                </c:pt>
                <c:pt idx="54">
                  <c:v>63123</c:v>
                </c:pt>
                <c:pt idx="55">
                  <c:v>63702</c:v>
                </c:pt>
                <c:pt idx="56">
                  <c:v>64281</c:v>
                </c:pt>
                <c:pt idx="57">
                  <c:v>65439</c:v>
                </c:pt>
                <c:pt idx="58">
                  <c:v>66018</c:v>
                </c:pt>
                <c:pt idx="59">
                  <c:v>66597</c:v>
                </c:pt>
                <c:pt idx="60">
                  <c:v>67176</c:v>
                </c:pt>
                <c:pt idx="61">
                  <c:v>67755</c:v>
                </c:pt>
                <c:pt idx="62">
                  <c:v>68334</c:v>
                </c:pt>
                <c:pt idx="63">
                  <c:v>68913</c:v>
                </c:pt>
                <c:pt idx="64">
                  <c:v>69492</c:v>
                </c:pt>
                <c:pt idx="65">
                  <c:v>70650</c:v>
                </c:pt>
                <c:pt idx="66">
                  <c:v>71229</c:v>
                </c:pt>
                <c:pt idx="67">
                  <c:v>71808</c:v>
                </c:pt>
                <c:pt idx="68">
                  <c:v>72388</c:v>
                </c:pt>
                <c:pt idx="69">
                  <c:v>72967</c:v>
                </c:pt>
                <c:pt idx="70">
                  <c:v>73546</c:v>
                </c:pt>
                <c:pt idx="71">
                  <c:v>74125</c:v>
                </c:pt>
                <c:pt idx="72">
                  <c:v>74704</c:v>
                </c:pt>
                <c:pt idx="73">
                  <c:v>75862</c:v>
                </c:pt>
                <c:pt idx="74">
                  <c:v>76441</c:v>
                </c:pt>
                <c:pt idx="75">
                  <c:v>77020</c:v>
                </c:pt>
                <c:pt idx="76">
                  <c:v>77599</c:v>
                </c:pt>
                <c:pt idx="77">
                  <c:v>78178</c:v>
                </c:pt>
                <c:pt idx="78">
                  <c:v>78757</c:v>
                </c:pt>
                <c:pt idx="79">
                  <c:v>79336</c:v>
                </c:pt>
                <c:pt idx="80">
                  <c:v>80494</c:v>
                </c:pt>
                <c:pt idx="81">
                  <c:v>81073</c:v>
                </c:pt>
                <c:pt idx="82">
                  <c:v>81652</c:v>
                </c:pt>
                <c:pt idx="83">
                  <c:v>82231</c:v>
                </c:pt>
                <c:pt idx="84">
                  <c:v>82810</c:v>
                </c:pt>
                <c:pt idx="85">
                  <c:v>83389</c:v>
                </c:pt>
                <c:pt idx="86">
                  <c:v>83969</c:v>
                </c:pt>
                <c:pt idx="87">
                  <c:v>84548</c:v>
                </c:pt>
                <c:pt idx="88">
                  <c:v>85706</c:v>
                </c:pt>
                <c:pt idx="89">
                  <c:v>86285</c:v>
                </c:pt>
                <c:pt idx="90">
                  <c:v>86864</c:v>
                </c:pt>
                <c:pt idx="91">
                  <c:v>87443</c:v>
                </c:pt>
                <c:pt idx="92">
                  <c:v>88022</c:v>
                </c:pt>
                <c:pt idx="93">
                  <c:v>88601</c:v>
                </c:pt>
                <c:pt idx="94">
                  <c:v>89180</c:v>
                </c:pt>
                <c:pt idx="95">
                  <c:v>89759</c:v>
                </c:pt>
                <c:pt idx="96">
                  <c:v>90917</c:v>
                </c:pt>
                <c:pt idx="97">
                  <c:v>91496</c:v>
                </c:pt>
                <c:pt idx="98">
                  <c:v>92075</c:v>
                </c:pt>
                <c:pt idx="99">
                  <c:v>92654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3EB-4F2F-9CD4-F403992F3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878640"/>
        <c:axId val="6308789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Sheet1!$A$1:$A$2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Sheet1!$A$3:$A$102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EB-4F2F-9CD4-F403992F398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Sheet1!$B$1:$B$2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Sheet1!$B$3:$B$102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4452</c:v>
                      </c:pt>
                      <c:pt idx="1">
                        <c:v>5404</c:v>
                      </c:pt>
                      <c:pt idx="2">
                        <c:v>6356</c:v>
                      </c:pt>
                      <c:pt idx="3">
                        <c:v>7336</c:v>
                      </c:pt>
                      <c:pt idx="4">
                        <c:v>8295</c:v>
                      </c:pt>
                      <c:pt idx="5">
                        <c:v>9254</c:v>
                      </c:pt>
                      <c:pt idx="6">
                        <c:v>10213</c:v>
                      </c:pt>
                      <c:pt idx="7">
                        <c:v>11172</c:v>
                      </c:pt>
                      <c:pt idx="8">
                        <c:v>12131</c:v>
                      </c:pt>
                      <c:pt idx="9">
                        <c:v>13090</c:v>
                      </c:pt>
                      <c:pt idx="10">
                        <c:v>14049</c:v>
                      </c:pt>
                      <c:pt idx="11">
                        <c:v>15092</c:v>
                      </c:pt>
                      <c:pt idx="12">
                        <c:v>16058</c:v>
                      </c:pt>
                      <c:pt idx="13">
                        <c:v>17024</c:v>
                      </c:pt>
                      <c:pt idx="14">
                        <c:v>17990</c:v>
                      </c:pt>
                      <c:pt idx="15">
                        <c:v>18956</c:v>
                      </c:pt>
                      <c:pt idx="16">
                        <c:v>19922</c:v>
                      </c:pt>
                      <c:pt idx="17">
                        <c:v>20888</c:v>
                      </c:pt>
                      <c:pt idx="18">
                        <c:v>21854</c:v>
                      </c:pt>
                      <c:pt idx="19">
                        <c:v>22960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3EB-4F2F-9CD4-F403992F39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Sheet1!$C$1:$C$2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Sheet1!$C$3:$C$102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268</c:v>
                      </c:pt>
                      <c:pt idx="1">
                        <c:v>268</c:v>
                      </c:pt>
                      <c:pt idx="2">
                        <c:v>269</c:v>
                      </c:pt>
                      <c:pt idx="3">
                        <c:v>270</c:v>
                      </c:pt>
                      <c:pt idx="4">
                        <c:v>304</c:v>
                      </c:pt>
                      <c:pt idx="5">
                        <c:v>304</c:v>
                      </c:pt>
                      <c:pt idx="6">
                        <c:v>305</c:v>
                      </c:pt>
                      <c:pt idx="7">
                        <c:v>305</c:v>
                      </c:pt>
                      <c:pt idx="8">
                        <c:v>306</c:v>
                      </c:pt>
                      <c:pt idx="9">
                        <c:v>306</c:v>
                      </c:pt>
                      <c:pt idx="10">
                        <c:v>307</c:v>
                      </c:pt>
                      <c:pt idx="11">
                        <c:v>308</c:v>
                      </c:pt>
                      <c:pt idx="12">
                        <c:v>308</c:v>
                      </c:pt>
                      <c:pt idx="13">
                        <c:v>344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346</c:v>
                      </c:pt>
                      <c:pt idx="17">
                        <c:v>346</c:v>
                      </c:pt>
                      <c:pt idx="18">
                        <c:v>347</c:v>
                      </c:pt>
                      <c:pt idx="19">
                        <c:v>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EB-4F2F-9CD4-F403992F398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Sheet1!$D$1:$D$2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Sheet1!$D$3:$D$102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336</c:v>
                      </c:pt>
                      <c:pt idx="1">
                        <c:v>337</c:v>
                      </c:pt>
                      <c:pt idx="2">
                        <c:v>337</c:v>
                      </c:pt>
                      <c:pt idx="3">
                        <c:v>338</c:v>
                      </c:pt>
                      <c:pt idx="4">
                        <c:v>376</c:v>
                      </c:pt>
                      <c:pt idx="5">
                        <c:v>376</c:v>
                      </c:pt>
                      <c:pt idx="6">
                        <c:v>377</c:v>
                      </c:pt>
                      <c:pt idx="7">
                        <c:v>378</c:v>
                      </c:pt>
                      <c:pt idx="8">
                        <c:v>378</c:v>
                      </c:pt>
                      <c:pt idx="9">
                        <c:v>379</c:v>
                      </c:pt>
                      <c:pt idx="10">
                        <c:v>379</c:v>
                      </c:pt>
                      <c:pt idx="11">
                        <c:v>380</c:v>
                      </c:pt>
                      <c:pt idx="12">
                        <c:v>420</c:v>
                      </c:pt>
                      <c:pt idx="13">
                        <c:v>420</c:v>
                      </c:pt>
                      <c:pt idx="14">
                        <c:v>421</c:v>
                      </c:pt>
                      <c:pt idx="15">
                        <c:v>421</c:v>
                      </c:pt>
                      <c:pt idx="16">
                        <c:v>422</c:v>
                      </c:pt>
                      <c:pt idx="17">
                        <c:v>423</c:v>
                      </c:pt>
                      <c:pt idx="18">
                        <c:v>423</c:v>
                      </c:pt>
                      <c:pt idx="19">
                        <c:v>424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EB-4F2F-9CD4-F403992F398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Sheet1!$E$1:$E$2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Sheet1!$E$3:$E$102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2506</c:v>
                      </c:pt>
                      <c:pt idx="1">
                        <c:v>2506</c:v>
                      </c:pt>
                      <c:pt idx="2">
                        <c:v>2645</c:v>
                      </c:pt>
                      <c:pt idx="3">
                        <c:v>2646</c:v>
                      </c:pt>
                      <c:pt idx="4">
                        <c:v>2647</c:v>
                      </c:pt>
                      <c:pt idx="5">
                        <c:v>2647</c:v>
                      </c:pt>
                      <c:pt idx="6">
                        <c:v>2790</c:v>
                      </c:pt>
                      <c:pt idx="7">
                        <c:v>2791</c:v>
                      </c:pt>
                      <c:pt idx="8">
                        <c:v>2791</c:v>
                      </c:pt>
                      <c:pt idx="9">
                        <c:v>2792</c:v>
                      </c:pt>
                      <c:pt idx="10">
                        <c:v>2938</c:v>
                      </c:pt>
                      <c:pt idx="11">
                        <c:v>2939</c:v>
                      </c:pt>
                      <c:pt idx="12">
                        <c:v>2939</c:v>
                      </c:pt>
                      <c:pt idx="13">
                        <c:v>2940</c:v>
                      </c:pt>
                      <c:pt idx="14">
                        <c:v>3090</c:v>
                      </c:pt>
                      <c:pt idx="15">
                        <c:v>3091</c:v>
                      </c:pt>
                      <c:pt idx="16">
                        <c:v>3091</c:v>
                      </c:pt>
                      <c:pt idx="17">
                        <c:v>3092</c:v>
                      </c:pt>
                      <c:pt idx="18">
                        <c:v>3246</c:v>
                      </c:pt>
                      <c:pt idx="19">
                        <c:v>3246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EB-4F2F-9CD4-F403992F398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Sheet1!$G$1:$G$2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Sheet1!$G$3:$G$102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5882</c:v>
                      </c:pt>
                      <c:pt idx="1">
                        <c:v>6040</c:v>
                      </c:pt>
                      <c:pt idx="2">
                        <c:v>6199</c:v>
                      </c:pt>
                      <c:pt idx="3">
                        <c:v>6515</c:v>
                      </c:pt>
                      <c:pt idx="4">
                        <c:v>6673</c:v>
                      </c:pt>
                      <c:pt idx="5">
                        <c:v>6831</c:v>
                      </c:pt>
                      <c:pt idx="6">
                        <c:v>6990</c:v>
                      </c:pt>
                      <c:pt idx="7">
                        <c:v>7148</c:v>
                      </c:pt>
                      <c:pt idx="8">
                        <c:v>7306</c:v>
                      </c:pt>
                      <c:pt idx="9">
                        <c:v>7464</c:v>
                      </c:pt>
                      <c:pt idx="10">
                        <c:v>7623</c:v>
                      </c:pt>
                      <c:pt idx="11">
                        <c:v>7939</c:v>
                      </c:pt>
                      <c:pt idx="12">
                        <c:v>8097</c:v>
                      </c:pt>
                      <c:pt idx="13">
                        <c:v>8255</c:v>
                      </c:pt>
                      <c:pt idx="14">
                        <c:v>8414</c:v>
                      </c:pt>
                      <c:pt idx="15">
                        <c:v>8572</c:v>
                      </c:pt>
                      <c:pt idx="16">
                        <c:v>8730</c:v>
                      </c:pt>
                      <c:pt idx="17">
                        <c:v>8888</c:v>
                      </c:pt>
                      <c:pt idx="18">
                        <c:v>9047</c:v>
                      </c:pt>
                      <c:pt idx="19">
                        <c:v>9363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3EB-4F2F-9CD4-F403992F398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Sheet1!$H$1:$H$2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Sheet1!$H$3:$H$102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EB-4F2F-9CD4-F403992F398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Sheet1!$I$1:$I$2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5516</c:v>
                      </c:pt>
                      <c:pt idx="1">
                        <c:v>6732</c:v>
                      </c:pt>
                      <c:pt idx="2">
                        <c:v>7948</c:v>
                      </c:pt>
                      <c:pt idx="3">
                        <c:v>9200</c:v>
                      </c:pt>
                      <c:pt idx="4">
                        <c:v>10425</c:v>
                      </c:pt>
                      <c:pt idx="5">
                        <c:v>11650</c:v>
                      </c:pt>
                      <c:pt idx="6">
                        <c:v>12875</c:v>
                      </c:pt>
                      <c:pt idx="7">
                        <c:v>14100</c:v>
                      </c:pt>
                      <c:pt idx="8">
                        <c:v>15325</c:v>
                      </c:pt>
                      <c:pt idx="9">
                        <c:v>16550</c:v>
                      </c:pt>
                      <c:pt idx="10">
                        <c:v>17775</c:v>
                      </c:pt>
                      <c:pt idx="11">
                        <c:v>19105</c:v>
                      </c:pt>
                      <c:pt idx="12">
                        <c:v>20338</c:v>
                      </c:pt>
                      <c:pt idx="13">
                        <c:v>21572</c:v>
                      </c:pt>
                      <c:pt idx="14">
                        <c:v>22806</c:v>
                      </c:pt>
                      <c:pt idx="15">
                        <c:v>24040</c:v>
                      </c:pt>
                      <c:pt idx="16">
                        <c:v>25273</c:v>
                      </c:pt>
                      <c:pt idx="17">
                        <c:v>26507</c:v>
                      </c:pt>
                      <c:pt idx="18">
                        <c:v>27741</c:v>
                      </c:pt>
                      <c:pt idx="19">
                        <c:v>29150</c:v>
                      </c:pt>
                      <c:pt idx="20">
                        <c:v>30392</c:v>
                      </c:pt>
                      <c:pt idx="21">
                        <c:v>31635</c:v>
                      </c:pt>
                      <c:pt idx="22">
                        <c:v>32877</c:v>
                      </c:pt>
                      <c:pt idx="23">
                        <c:v>34120</c:v>
                      </c:pt>
                      <c:pt idx="24">
                        <c:v>35362</c:v>
                      </c:pt>
                      <c:pt idx="25">
                        <c:v>36605</c:v>
                      </c:pt>
                      <c:pt idx="26">
                        <c:v>38083</c:v>
                      </c:pt>
                      <c:pt idx="27">
                        <c:v>39335</c:v>
                      </c:pt>
                      <c:pt idx="28">
                        <c:v>40586</c:v>
                      </c:pt>
                      <c:pt idx="29">
                        <c:v>41837</c:v>
                      </c:pt>
                      <c:pt idx="30">
                        <c:v>43088</c:v>
                      </c:pt>
                      <c:pt idx="31">
                        <c:v>44340</c:v>
                      </c:pt>
                      <c:pt idx="32">
                        <c:v>45591</c:v>
                      </c:pt>
                      <c:pt idx="33">
                        <c:v>46842</c:v>
                      </c:pt>
                      <c:pt idx="34">
                        <c:v>48400</c:v>
                      </c:pt>
                      <c:pt idx="35">
                        <c:v>49660</c:v>
                      </c:pt>
                      <c:pt idx="36">
                        <c:v>50920</c:v>
                      </c:pt>
                      <c:pt idx="37">
                        <c:v>52180</c:v>
                      </c:pt>
                      <c:pt idx="38">
                        <c:v>53440</c:v>
                      </c:pt>
                      <c:pt idx="39">
                        <c:v>54700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EB-4F2F-9CD4-F403992F398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Sheet1!$J$1:$J$2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Sheet1!$J$3:$J$102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410</c:v>
                      </c:pt>
                      <c:pt idx="1">
                        <c:v>411</c:v>
                      </c:pt>
                      <c:pt idx="2">
                        <c:v>411</c:v>
                      </c:pt>
                      <c:pt idx="3">
                        <c:v>412</c:v>
                      </c:pt>
                      <c:pt idx="4">
                        <c:v>459</c:v>
                      </c:pt>
                      <c:pt idx="5">
                        <c:v>459</c:v>
                      </c:pt>
                      <c:pt idx="6">
                        <c:v>460</c:v>
                      </c:pt>
                      <c:pt idx="7">
                        <c:v>460</c:v>
                      </c:pt>
                      <c:pt idx="8">
                        <c:v>461</c:v>
                      </c:pt>
                      <c:pt idx="9">
                        <c:v>461</c:v>
                      </c:pt>
                      <c:pt idx="10">
                        <c:v>462</c:v>
                      </c:pt>
                      <c:pt idx="11">
                        <c:v>463</c:v>
                      </c:pt>
                      <c:pt idx="12">
                        <c:v>463</c:v>
                      </c:pt>
                      <c:pt idx="13">
                        <c:v>512</c:v>
                      </c:pt>
                      <c:pt idx="14">
                        <c:v>513</c:v>
                      </c:pt>
                      <c:pt idx="15">
                        <c:v>513</c:v>
                      </c:pt>
                      <c:pt idx="16">
                        <c:v>514</c:v>
                      </c:pt>
                      <c:pt idx="17">
                        <c:v>515</c:v>
                      </c:pt>
                      <c:pt idx="18">
                        <c:v>515</c:v>
                      </c:pt>
                      <c:pt idx="19">
                        <c:v>516</c:v>
                      </c:pt>
                      <c:pt idx="20">
                        <c:v>516</c:v>
                      </c:pt>
                      <c:pt idx="21">
                        <c:v>517</c:v>
                      </c:pt>
                      <c:pt idx="22">
                        <c:v>569</c:v>
                      </c:pt>
                      <c:pt idx="23">
                        <c:v>569</c:v>
                      </c:pt>
                      <c:pt idx="24">
                        <c:v>570</c:v>
                      </c:pt>
                      <c:pt idx="25">
                        <c:v>570</c:v>
                      </c:pt>
                      <c:pt idx="26">
                        <c:v>571</c:v>
                      </c:pt>
                      <c:pt idx="27">
                        <c:v>571</c:v>
                      </c:pt>
                      <c:pt idx="28">
                        <c:v>572</c:v>
                      </c:pt>
                      <c:pt idx="29">
                        <c:v>573</c:v>
                      </c:pt>
                      <c:pt idx="30">
                        <c:v>573</c:v>
                      </c:pt>
                      <c:pt idx="31">
                        <c:v>628</c:v>
                      </c:pt>
                      <c:pt idx="32">
                        <c:v>628</c:v>
                      </c:pt>
                      <c:pt idx="33">
                        <c:v>629</c:v>
                      </c:pt>
                      <c:pt idx="34">
                        <c:v>629</c:v>
                      </c:pt>
                      <c:pt idx="35">
                        <c:v>630</c:v>
                      </c:pt>
                      <c:pt idx="36">
                        <c:v>630</c:v>
                      </c:pt>
                      <c:pt idx="37">
                        <c:v>631</c:v>
                      </c:pt>
                      <c:pt idx="38">
                        <c:v>631</c:v>
                      </c:pt>
                      <c:pt idx="39">
                        <c:v>632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EB-4F2F-9CD4-F403992F3986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Sheet1!$K$1:$K$2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Sheet1!$K$3:$K$102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504</c:v>
                      </c:pt>
                      <c:pt idx="1">
                        <c:v>505</c:v>
                      </c:pt>
                      <c:pt idx="2">
                        <c:v>506</c:v>
                      </c:pt>
                      <c:pt idx="3">
                        <c:v>506</c:v>
                      </c:pt>
                      <c:pt idx="4">
                        <c:v>558</c:v>
                      </c:pt>
                      <c:pt idx="5">
                        <c:v>558</c:v>
                      </c:pt>
                      <c:pt idx="6">
                        <c:v>559</c:v>
                      </c:pt>
                      <c:pt idx="7">
                        <c:v>560</c:v>
                      </c:pt>
                      <c:pt idx="8">
                        <c:v>560</c:v>
                      </c:pt>
                      <c:pt idx="9">
                        <c:v>561</c:v>
                      </c:pt>
                      <c:pt idx="10">
                        <c:v>561</c:v>
                      </c:pt>
                      <c:pt idx="11">
                        <c:v>562</c:v>
                      </c:pt>
                      <c:pt idx="12">
                        <c:v>616</c:v>
                      </c:pt>
                      <c:pt idx="13">
                        <c:v>617</c:v>
                      </c:pt>
                      <c:pt idx="14">
                        <c:v>617</c:v>
                      </c:pt>
                      <c:pt idx="15">
                        <c:v>618</c:v>
                      </c:pt>
                      <c:pt idx="16">
                        <c:v>618</c:v>
                      </c:pt>
                      <c:pt idx="17">
                        <c:v>619</c:v>
                      </c:pt>
                      <c:pt idx="18">
                        <c:v>619</c:v>
                      </c:pt>
                      <c:pt idx="19">
                        <c:v>620</c:v>
                      </c:pt>
                      <c:pt idx="20">
                        <c:v>677</c:v>
                      </c:pt>
                      <c:pt idx="21">
                        <c:v>677</c:v>
                      </c:pt>
                      <c:pt idx="22">
                        <c:v>678</c:v>
                      </c:pt>
                      <c:pt idx="23">
                        <c:v>679</c:v>
                      </c:pt>
                      <c:pt idx="24">
                        <c:v>679</c:v>
                      </c:pt>
                      <c:pt idx="25">
                        <c:v>680</c:v>
                      </c:pt>
                      <c:pt idx="26">
                        <c:v>680</c:v>
                      </c:pt>
                      <c:pt idx="27">
                        <c:v>681</c:v>
                      </c:pt>
                      <c:pt idx="28">
                        <c:v>681</c:v>
                      </c:pt>
                      <c:pt idx="29">
                        <c:v>740</c:v>
                      </c:pt>
                      <c:pt idx="30">
                        <c:v>741</c:v>
                      </c:pt>
                      <c:pt idx="31">
                        <c:v>742</c:v>
                      </c:pt>
                      <c:pt idx="32">
                        <c:v>742</c:v>
                      </c:pt>
                      <c:pt idx="33">
                        <c:v>743</c:v>
                      </c:pt>
                      <c:pt idx="34">
                        <c:v>743</c:v>
                      </c:pt>
                      <c:pt idx="35">
                        <c:v>744</c:v>
                      </c:pt>
                      <c:pt idx="36">
                        <c:v>745</c:v>
                      </c:pt>
                      <c:pt idx="37">
                        <c:v>806</c:v>
                      </c:pt>
                      <c:pt idx="38">
                        <c:v>807</c:v>
                      </c:pt>
                      <c:pt idx="39">
                        <c:v>807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3EB-4F2F-9CD4-F403992F3986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Sheet1!$L$1:$L$2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Sheet1!$L$3:$L$102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4027</c:v>
                      </c:pt>
                      <c:pt idx="1">
                        <c:v>4027</c:v>
                      </c:pt>
                      <c:pt idx="2">
                        <c:v>4224</c:v>
                      </c:pt>
                      <c:pt idx="3">
                        <c:v>4225</c:v>
                      </c:pt>
                      <c:pt idx="4">
                        <c:v>4226</c:v>
                      </c:pt>
                      <c:pt idx="5">
                        <c:v>4226</c:v>
                      </c:pt>
                      <c:pt idx="6">
                        <c:v>4427</c:v>
                      </c:pt>
                      <c:pt idx="7">
                        <c:v>4428</c:v>
                      </c:pt>
                      <c:pt idx="8">
                        <c:v>4429</c:v>
                      </c:pt>
                      <c:pt idx="9">
                        <c:v>4429</c:v>
                      </c:pt>
                      <c:pt idx="10">
                        <c:v>4635</c:v>
                      </c:pt>
                      <c:pt idx="11">
                        <c:v>4636</c:v>
                      </c:pt>
                      <c:pt idx="12">
                        <c:v>4637</c:v>
                      </c:pt>
                      <c:pt idx="13">
                        <c:v>4637</c:v>
                      </c:pt>
                      <c:pt idx="14">
                        <c:v>4848</c:v>
                      </c:pt>
                      <c:pt idx="15">
                        <c:v>4848</c:v>
                      </c:pt>
                      <c:pt idx="16">
                        <c:v>4849</c:v>
                      </c:pt>
                      <c:pt idx="17">
                        <c:v>4850</c:v>
                      </c:pt>
                      <c:pt idx="18">
                        <c:v>5065</c:v>
                      </c:pt>
                      <c:pt idx="19">
                        <c:v>5066</c:v>
                      </c:pt>
                      <c:pt idx="20">
                        <c:v>5066</c:v>
                      </c:pt>
                      <c:pt idx="21">
                        <c:v>5067</c:v>
                      </c:pt>
                      <c:pt idx="22">
                        <c:v>5287</c:v>
                      </c:pt>
                      <c:pt idx="23">
                        <c:v>5288</c:v>
                      </c:pt>
                      <c:pt idx="24">
                        <c:v>5288</c:v>
                      </c:pt>
                      <c:pt idx="25">
                        <c:v>5289</c:v>
                      </c:pt>
                      <c:pt idx="26">
                        <c:v>5289</c:v>
                      </c:pt>
                      <c:pt idx="27">
                        <c:v>5514</c:v>
                      </c:pt>
                      <c:pt idx="28">
                        <c:v>5515</c:v>
                      </c:pt>
                      <c:pt idx="29">
                        <c:v>5515</c:v>
                      </c:pt>
                      <c:pt idx="30">
                        <c:v>5516</c:v>
                      </c:pt>
                      <c:pt idx="31">
                        <c:v>5745</c:v>
                      </c:pt>
                      <c:pt idx="32">
                        <c:v>5746</c:v>
                      </c:pt>
                      <c:pt idx="33">
                        <c:v>5746</c:v>
                      </c:pt>
                      <c:pt idx="34">
                        <c:v>5747</c:v>
                      </c:pt>
                      <c:pt idx="35">
                        <c:v>5981</c:v>
                      </c:pt>
                      <c:pt idx="36">
                        <c:v>5982</c:v>
                      </c:pt>
                      <c:pt idx="37">
                        <c:v>5983</c:v>
                      </c:pt>
                      <c:pt idx="38">
                        <c:v>5983</c:v>
                      </c:pt>
                      <c:pt idx="39">
                        <c:v>6222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3EB-4F2F-9CD4-F403992F3986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Sheet1!$N$1:$N$2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Sheet1!$N$3:$N$102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7941</c:v>
                      </c:pt>
                      <c:pt idx="1">
                        <c:v>8138</c:v>
                      </c:pt>
                      <c:pt idx="2">
                        <c:v>8337</c:v>
                      </c:pt>
                      <c:pt idx="3">
                        <c:v>8732</c:v>
                      </c:pt>
                      <c:pt idx="4">
                        <c:v>8929</c:v>
                      </c:pt>
                      <c:pt idx="5">
                        <c:v>9127</c:v>
                      </c:pt>
                      <c:pt idx="6">
                        <c:v>9325</c:v>
                      </c:pt>
                      <c:pt idx="7">
                        <c:v>9523</c:v>
                      </c:pt>
                      <c:pt idx="8">
                        <c:v>9720</c:v>
                      </c:pt>
                      <c:pt idx="9">
                        <c:v>9918</c:v>
                      </c:pt>
                      <c:pt idx="10">
                        <c:v>10116</c:v>
                      </c:pt>
                      <c:pt idx="11">
                        <c:v>10511</c:v>
                      </c:pt>
                      <c:pt idx="12">
                        <c:v>10709</c:v>
                      </c:pt>
                      <c:pt idx="13">
                        <c:v>10906</c:v>
                      </c:pt>
                      <c:pt idx="14">
                        <c:v>11105</c:v>
                      </c:pt>
                      <c:pt idx="15">
                        <c:v>11302</c:v>
                      </c:pt>
                      <c:pt idx="16">
                        <c:v>11500</c:v>
                      </c:pt>
                      <c:pt idx="17">
                        <c:v>11697</c:v>
                      </c:pt>
                      <c:pt idx="18">
                        <c:v>11896</c:v>
                      </c:pt>
                      <c:pt idx="19">
                        <c:v>12291</c:v>
                      </c:pt>
                      <c:pt idx="20">
                        <c:v>12488</c:v>
                      </c:pt>
                      <c:pt idx="21">
                        <c:v>12686</c:v>
                      </c:pt>
                      <c:pt idx="22">
                        <c:v>12884</c:v>
                      </c:pt>
                      <c:pt idx="23">
                        <c:v>13082</c:v>
                      </c:pt>
                      <c:pt idx="24">
                        <c:v>13279</c:v>
                      </c:pt>
                      <c:pt idx="25">
                        <c:v>13477</c:v>
                      </c:pt>
                      <c:pt idx="26">
                        <c:v>13872</c:v>
                      </c:pt>
                      <c:pt idx="27">
                        <c:v>14070</c:v>
                      </c:pt>
                      <c:pt idx="28">
                        <c:v>14268</c:v>
                      </c:pt>
                      <c:pt idx="29">
                        <c:v>14465</c:v>
                      </c:pt>
                      <c:pt idx="30">
                        <c:v>14663</c:v>
                      </c:pt>
                      <c:pt idx="31">
                        <c:v>14861</c:v>
                      </c:pt>
                      <c:pt idx="32">
                        <c:v>15059</c:v>
                      </c:pt>
                      <c:pt idx="33">
                        <c:v>15256</c:v>
                      </c:pt>
                      <c:pt idx="34">
                        <c:v>15651</c:v>
                      </c:pt>
                      <c:pt idx="35">
                        <c:v>15850</c:v>
                      </c:pt>
                      <c:pt idx="36">
                        <c:v>16047</c:v>
                      </c:pt>
                      <c:pt idx="37">
                        <c:v>16245</c:v>
                      </c:pt>
                      <c:pt idx="38">
                        <c:v>16442</c:v>
                      </c:pt>
                      <c:pt idx="39">
                        <c:v>16641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3EB-4F2F-9CD4-F403992F3986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Sheet1!$O$1:$O$2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Sheet1!$O$3:$O$102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EB-4F2F-9CD4-F403992F3986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Sheet1!$P$1:$P$2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Sheet1!$P$3:$P$102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7340</c:v>
                      </c:pt>
                      <c:pt idx="1">
                        <c:v>8980</c:v>
                      </c:pt>
                      <c:pt idx="2">
                        <c:v>10620</c:v>
                      </c:pt>
                      <c:pt idx="3">
                        <c:v>12306</c:v>
                      </c:pt>
                      <c:pt idx="4">
                        <c:v>13958</c:v>
                      </c:pt>
                      <c:pt idx="5">
                        <c:v>15609</c:v>
                      </c:pt>
                      <c:pt idx="6">
                        <c:v>17261</c:v>
                      </c:pt>
                      <c:pt idx="7">
                        <c:v>18913</c:v>
                      </c:pt>
                      <c:pt idx="8">
                        <c:v>20564</c:v>
                      </c:pt>
                      <c:pt idx="9">
                        <c:v>22216</c:v>
                      </c:pt>
                      <c:pt idx="10">
                        <c:v>23868</c:v>
                      </c:pt>
                      <c:pt idx="11">
                        <c:v>25658</c:v>
                      </c:pt>
                      <c:pt idx="12">
                        <c:v>27321</c:v>
                      </c:pt>
                      <c:pt idx="13">
                        <c:v>28984</c:v>
                      </c:pt>
                      <c:pt idx="14">
                        <c:v>30648</c:v>
                      </c:pt>
                      <c:pt idx="15">
                        <c:v>32311</c:v>
                      </c:pt>
                      <c:pt idx="16">
                        <c:v>33974</c:v>
                      </c:pt>
                      <c:pt idx="17">
                        <c:v>35637</c:v>
                      </c:pt>
                      <c:pt idx="18">
                        <c:v>37300</c:v>
                      </c:pt>
                      <c:pt idx="19">
                        <c:v>39195</c:v>
                      </c:pt>
                      <c:pt idx="20">
                        <c:v>40869</c:v>
                      </c:pt>
                      <c:pt idx="21">
                        <c:v>42544</c:v>
                      </c:pt>
                      <c:pt idx="22">
                        <c:v>44219</c:v>
                      </c:pt>
                      <c:pt idx="23">
                        <c:v>45894</c:v>
                      </c:pt>
                      <c:pt idx="24">
                        <c:v>47568</c:v>
                      </c:pt>
                      <c:pt idx="25">
                        <c:v>49243</c:v>
                      </c:pt>
                      <c:pt idx="26">
                        <c:v>51230</c:v>
                      </c:pt>
                      <c:pt idx="27">
                        <c:v>52916</c:v>
                      </c:pt>
                      <c:pt idx="28">
                        <c:v>54602</c:v>
                      </c:pt>
                      <c:pt idx="29">
                        <c:v>56289</c:v>
                      </c:pt>
                      <c:pt idx="30">
                        <c:v>57975</c:v>
                      </c:pt>
                      <c:pt idx="31">
                        <c:v>59661</c:v>
                      </c:pt>
                      <c:pt idx="32">
                        <c:v>61347</c:v>
                      </c:pt>
                      <c:pt idx="33">
                        <c:v>63034</c:v>
                      </c:pt>
                      <c:pt idx="34">
                        <c:v>65124</c:v>
                      </c:pt>
                      <c:pt idx="35">
                        <c:v>66822</c:v>
                      </c:pt>
                      <c:pt idx="36">
                        <c:v>68520</c:v>
                      </c:pt>
                      <c:pt idx="37">
                        <c:v>70218</c:v>
                      </c:pt>
                      <c:pt idx="38">
                        <c:v>71916</c:v>
                      </c:pt>
                      <c:pt idx="39">
                        <c:v>73614</c:v>
                      </c:pt>
                      <c:pt idx="40">
                        <c:v>75311</c:v>
                      </c:pt>
                      <c:pt idx="41">
                        <c:v>77009</c:v>
                      </c:pt>
                      <c:pt idx="42">
                        <c:v>79204</c:v>
                      </c:pt>
                      <c:pt idx="43">
                        <c:v>80913</c:v>
                      </c:pt>
                      <c:pt idx="44">
                        <c:v>82623</c:v>
                      </c:pt>
                      <c:pt idx="45">
                        <c:v>84332</c:v>
                      </c:pt>
                      <c:pt idx="46">
                        <c:v>86041</c:v>
                      </c:pt>
                      <c:pt idx="47">
                        <c:v>87751</c:v>
                      </c:pt>
                      <c:pt idx="48">
                        <c:v>89460</c:v>
                      </c:pt>
                      <c:pt idx="49">
                        <c:v>91747</c:v>
                      </c:pt>
                      <c:pt idx="50">
                        <c:v>93468</c:v>
                      </c:pt>
                      <c:pt idx="51">
                        <c:v>95189</c:v>
                      </c:pt>
                      <c:pt idx="52">
                        <c:v>96910</c:v>
                      </c:pt>
                      <c:pt idx="53">
                        <c:v>98631</c:v>
                      </c:pt>
                      <c:pt idx="54">
                        <c:v>100352</c:v>
                      </c:pt>
                      <c:pt idx="55">
                        <c:v>102073</c:v>
                      </c:pt>
                      <c:pt idx="56">
                        <c:v>103794</c:v>
                      </c:pt>
                      <c:pt idx="57">
                        <c:v>106185</c:v>
                      </c:pt>
                      <c:pt idx="58">
                        <c:v>107917</c:v>
                      </c:pt>
                      <c:pt idx="59">
                        <c:v>109650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3EB-4F2F-9CD4-F403992F3986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Sheet1!$Q$1:$Q$2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Sheet1!$Q$3:$Q$102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654</c:v>
                      </c:pt>
                      <c:pt idx="1">
                        <c:v>655</c:v>
                      </c:pt>
                      <c:pt idx="2">
                        <c:v>655</c:v>
                      </c:pt>
                      <c:pt idx="3">
                        <c:v>656</c:v>
                      </c:pt>
                      <c:pt idx="4">
                        <c:v>724</c:v>
                      </c:pt>
                      <c:pt idx="5">
                        <c:v>724</c:v>
                      </c:pt>
                      <c:pt idx="6">
                        <c:v>725</c:v>
                      </c:pt>
                      <c:pt idx="7">
                        <c:v>725</c:v>
                      </c:pt>
                      <c:pt idx="8">
                        <c:v>726</c:v>
                      </c:pt>
                      <c:pt idx="9">
                        <c:v>726</c:v>
                      </c:pt>
                      <c:pt idx="10">
                        <c:v>727</c:v>
                      </c:pt>
                      <c:pt idx="11">
                        <c:v>728</c:v>
                      </c:pt>
                      <c:pt idx="12">
                        <c:v>728</c:v>
                      </c:pt>
                      <c:pt idx="13">
                        <c:v>799</c:v>
                      </c:pt>
                      <c:pt idx="14">
                        <c:v>800</c:v>
                      </c:pt>
                      <c:pt idx="15">
                        <c:v>800</c:v>
                      </c:pt>
                      <c:pt idx="16">
                        <c:v>801</c:v>
                      </c:pt>
                      <c:pt idx="17">
                        <c:v>802</c:v>
                      </c:pt>
                      <c:pt idx="18">
                        <c:v>802</c:v>
                      </c:pt>
                      <c:pt idx="19">
                        <c:v>803</c:v>
                      </c:pt>
                      <c:pt idx="20">
                        <c:v>803</c:v>
                      </c:pt>
                      <c:pt idx="21">
                        <c:v>804</c:v>
                      </c:pt>
                      <c:pt idx="22">
                        <c:v>878</c:v>
                      </c:pt>
                      <c:pt idx="23">
                        <c:v>879</c:v>
                      </c:pt>
                      <c:pt idx="24">
                        <c:v>879</c:v>
                      </c:pt>
                      <c:pt idx="25">
                        <c:v>880</c:v>
                      </c:pt>
                      <c:pt idx="26">
                        <c:v>880</c:v>
                      </c:pt>
                      <c:pt idx="27">
                        <c:v>881</c:v>
                      </c:pt>
                      <c:pt idx="28">
                        <c:v>881</c:v>
                      </c:pt>
                      <c:pt idx="29">
                        <c:v>882</c:v>
                      </c:pt>
                      <c:pt idx="30">
                        <c:v>883</c:v>
                      </c:pt>
                      <c:pt idx="31">
                        <c:v>961</c:v>
                      </c:pt>
                      <c:pt idx="32">
                        <c:v>961</c:v>
                      </c:pt>
                      <c:pt idx="33">
                        <c:v>962</c:v>
                      </c:pt>
                      <c:pt idx="34">
                        <c:v>962</c:v>
                      </c:pt>
                      <c:pt idx="35">
                        <c:v>963</c:v>
                      </c:pt>
                      <c:pt idx="36">
                        <c:v>963</c:v>
                      </c:pt>
                      <c:pt idx="37">
                        <c:v>964</c:v>
                      </c:pt>
                      <c:pt idx="38">
                        <c:v>965</c:v>
                      </c:pt>
                      <c:pt idx="39">
                        <c:v>965</c:v>
                      </c:pt>
                      <c:pt idx="40">
                        <c:v>1046</c:v>
                      </c:pt>
                      <c:pt idx="41">
                        <c:v>1047</c:v>
                      </c:pt>
                      <c:pt idx="42">
                        <c:v>1047</c:v>
                      </c:pt>
                      <c:pt idx="43">
                        <c:v>1048</c:v>
                      </c:pt>
                      <c:pt idx="44">
                        <c:v>1048</c:v>
                      </c:pt>
                      <c:pt idx="45">
                        <c:v>1049</c:v>
                      </c:pt>
                      <c:pt idx="46">
                        <c:v>1050</c:v>
                      </c:pt>
                      <c:pt idx="47">
                        <c:v>1050</c:v>
                      </c:pt>
                      <c:pt idx="48">
                        <c:v>1051</c:v>
                      </c:pt>
                      <c:pt idx="49">
                        <c:v>1135</c:v>
                      </c:pt>
                      <c:pt idx="50">
                        <c:v>1136</c:v>
                      </c:pt>
                      <c:pt idx="51">
                        <c:v>1136</c:v>
                      </c:pt>
                      <c:pt idx="52">
                        <c:v>1137</c:v>
                      </c:pt>
                      <c:pt idx="53">
                        <c:v>1137</c:v>
                      </c:pt>
                      <c:pt idx="54">
                        <c:v>1138</c:v>
                      </c:pt>
                      <c:pt idx="55">
                        <c:v>1139</c:v>
                      </c:pt>
                      <c:pt idx="56">
                        <c:v>1139</c:v>
                      </c:pt>
                      <c:pt idx="57">
                        <c:v>1140</c:v>
                      </c:pt>
                      <c:pt idx="58">
                        <c:v>1140</c:v>
                      </c:pt>
                      <c:pt idx="59">
                        <c:v>1228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EB-4F2F-9CD4-F403992F3986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Sheet1!$R$1:$R$2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Sheet1!$R$3:$R$102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791</c:v>
                      </c:pt>
                      <c:pt idx="1">
                        <c:v>792</c:v>
                      </c:pt>
                      <c:pt idx="2">
                        <c:v>792</c:v>
                      </c:pt>
                      <c:pt idx="3">
                        <c:v>793</c:v>
                      </c:pt>
                      <c:pt idx="4">
                        <c:v>867</c:v>
                      </c:pt>
                      <c:pt idx="5">
                        <c:v>868</c:v>
                      </c:pt>
                      <c:pt idx="6">
                        <c:v>868</c:v>
                      </c:pt>
                      <c:pt idx="7">
                        <c:v>869</c:v>
                      </c:pt>
                      <c:pt idx="8">
                        <c:v>870</c:v>
                      </c:pt>
                      <c:pt idx="9">
                        <c:v>870</c:v>
                      </c:pt>
                      <c:pt idx="10">
                        <c:v>871</c:v>
                      </c:pt>
                      <c:pt idx="11">
                        <c:v>871</c:v>
                      </c:pt>
                      <c:pt idx="12">
                        <c:v>949</c:v>
                      </c:pt>
                      <c:pt idx="13">
                        <c:v>950</c:v>
                      </c:pt>
                      <c:pt idx="14">
                        <c:v>950</c:v>
                      </c:pt>
                      <c:pt idx="15">
                        <c:v>951</c:v>
                      </c:pt>
                      <c:pt idx="16">
                        <c:v>951</c:v>
                      </c:pt>
                      <c:pt idx="17">
                        <c:v>952</c:v>
                      </c:pt>
                      <c:pt idx="18">
                        <c:v>952</c:v>
                      </c:pt>
                      <c:pt idx="19">
                        <c:v>953</c:v>
                      </c:pt>
                      <c:pt idx="20">
                        <c:v>1034</c:v>
                      </c:pt>
                      <c:pt idx="21">
                        <c:v>1035</c:v>
                      </c:pt>
                      <c:pt idx="22">
                        <c:v>1035</c:v>
                      </c:pt>
                      <c:pt idx="23">
                        <c:v>1036</c:v>
                      </c:pt>
                      <c:pt idx="24">
                        <c:v>1036</c:v>
                      </c:pt>
                      <c:pt idx="25">
                        <c:v>1037</c:v>
                      </c:pt>
                      <c:pt idx="26">
                        <c:v>1038</c:v>
                      </c:pt>
                      <c:pt idx="27">
                        <c:v>1038</c:v>
                      </c:pt>
                      <c:pt idx="28">
                        <c:v>1039</c:v>
                      </c:pt>
                      <c:pt idx="29">
                        <c:v>1123</c:v>
                      </c:pt>
                      <c:pt idx="30">
                        <c:v>1124</c:v>
                      </c:pt>
                      <c:pt idx="31">
                        <c:v>1124</c:v>
                      </c:pt>
                      <c:pt idx="32">
                        <c:v>1125</c:v>
                      </c:pt>
                      <c:pt idx="33">
                        <c:v>1125</c:v>
                      </c:pt>
                      <c:pt idx="34">
                        <c:v>1126</c:v>
                      </c:pt>
                      <c:pt idx="35">
                        <c:v>1127</c:v>
                      </c:pt>
                      <c:pt idx="36">
                        <c:v>1127</c:v>
                      </c:pt>
                      <c:pt idx="37">
                        <c:v>1215</c:v>
                      </c:pt>
                      <c:pt idx="38">
                        <c:v>1215</c:v>
                      </c:pt>
                      <c:pt idx="39">
                        <c:v>1216</c:v>
                      </c:pt>
                      <c:pt idx="40">
                        <c:v>1217</c:v>
                      </c:pt>
                      <c:pt idx="41">
                        <c:v>1217</c:v>
                      </c:pt>
                      <c:pt idx="42">
                        <c:v>1218</c:v>
                      </c:pt>
                      <c:pt idx="43">
                        <c:v>1218</c:v>
                      </c:pt>
                      <c:pt idx="44">
                        <c:v>1219</c:v>
                      </c:pt>
                      <c:pt idx="45">
                        <c:v>1310</c:v>
                      </c:pt>
                      <c:pt idx="46">
                        <c:v>1310</c:v>
                      </c:pt>
                      <c:pt idx="47">
                        <c:v>1311</c:v>
                      </c:pt>
                      <c:pt idx="48">
                        <c:v>1311</c:v>
                      </c:pt>
                      <c:pt idx="49">
                        <c:v>1312</c:v>
                      </c:pt>
                      <c:pt idx="50">
                        <c:v>1313</c:v>
                      </c:pt>
                      <c:pt idx="51">
                        <c:v>1313</c:v>
                      </c:pt>
                      <c:pt idx="52">
                        <c:v>1314</c:v>
                      </c:pt>
                      <c:pt idx="53">
                        <c:v>1314</c:v>
                      </c:pt>
                      <c:pt idx="54">
                        <c:v>1409</c:v>
                      </c:pt>
                      <c:pt idx="55">
                        <c:v>1409</c:v>
                      </c:pt>
                      <c:pt idx="56">
                        <c:v>1410</c:v>
                      </c:pt>
                      <c:pt idx="57">
                        <c:v>1410</c:v>
                      </c:pt>
                      <c:pt idx="58">
                        <c:v>1411</c:v>
                      </c:pt>
                      <c:pt idx="59">
                        <c:v>1412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3EB-4F2F-9CD4-F403992F3986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Sheet1!$S$1:$S$2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Sheet1!$S$3:$S$102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6622</c:v>
                      </c:pt>
                      <c:pt idx="1">
                        <c:v>6622</c:v>
                      </c:pt>
                      <c:pt idx="2">
                        <c:v>6912</c:v>
                      </c:pt>
                      <c:pt idx="3">
                        <c:v>6912</c:v>
                      </c:pt>
                      <c:pt idx="4">
                        <c:v>6913</c:v>
                      </c:pt>
                      <c:pt idx="5">
                        <c:v>6913</c:v>
                      </c:pt>
                      <c:pt idx="6">
                        <c:v>7208</c:v>
                      </c:pt>
                      <c:pt idx="7">
                        <c:v>7209</c:v>
                      </c:pt>
                      <c:pt idx="8">
                        <c:v>7210</c:v>
                      </c:pt>
                      <c:pt idx="9">
                        <c:v>7210</c:v>
                      </c:pt>
                      <c:pt idx="10">
                        <c:v>7511</c:v>
                      </c:pt>
                      <c:pt idx="11">
                        <c:v>7512</c:v>
                      </c:pt>
                      <c:pt idx="12">
                        <c:v>7513</c:v>
                      </c:pt>
                      <c:pt idx="13">
                        <c:v>7513</c:v>
                      </c:pt>
                      <c:pt idx="14">
                        <c:v>7821</c:v>
                      </c:pt>
                      <c:pt idx="15">
                        <c:v>7821</c:v>
                      </c:pt>
                      <c:pt idx="16">
                        <c:v>7822</c:v>
                      </c:pt>
                      <c:pt idx="17">
                        <c:v>7822</c:v>
                      </c:pt>
                      <c:pt idx="18">
                        <c:v>8136</c:v>
                      </c:pt>
                      <c:pt idx="19">
                        <c:v>8136</c:v>
                      </c:pt>
                      <c:pt idx="20">
                        <c:v>8137</c:v>
                      </c:pt>
                      <c:pt idx="21">
                        <c:v>8138</c:v>
                      </c:pt>
                      <c:pt idx="22">
                        <c:v>8458</c:v>
                      </c:pt>
                      <c:pt idx="23">
                        <c:v>8458</c:v>
                      </c:pt>
                      <c:pt idx="24">
                        <c:v>8459</c:v>
                      </c:pt>
                      <c:pt idx="25">
                        <c:v>8459</c:v>
                      </c:pt>
                      <c:pt idx="26">
                        <c:v>8460</c:v>
                      </c:pt>
                      <c:pt idx="27">
                        <c:v>8786</c:v>
                      </c:pt>
                      <c:pt idx="28">
                        <c:v>8786</c:v>
                      </c:pt>
                      <c:pt idx="29">
                        <c:v>8787</c:v>
                      </c:pt>
                      <c:pt idx="30">
                        <c:v>8788</c:v>
                      </c:pt>
                      <c:pt idx="31">
                        <c:v>9120</c:v>
                      </c:pt>
                      <c:pt idx="32">
                        <c:v>9120</c:v>
                      </c:pt>
                      <c:pt idx="33">
                        <c:v>9121</c:v>
                      </c:pt>
                      <c:pt idx="34">
                        <c:v>9121</c:v>
                      </c:pt>
                      <c:pt idx="35">
                        <c:v>9460</c:v>
                      </c:pt>
                      <c:pt idx="36">
                        <c:v>9460</c:v>
                      </c:pt>
                      <c:pt idx="37">
                        <c:v>9461</c:v>
                      </c:pt>
                      <c:pt idx="38">
                        <c:v>9461</c:v>
                      </c:pt>
                      <c:pt idx="39">
                        <c:v>9806</c:v>
                      </c:pt>
                      <c:pt idx="40">
                        <c:v>9806</c:v>
                      </c:pt>
                      <c:pt idx="41">
                        <c:v>9807</c:v>
                      </c:pt>
                      <c:pt idx="42">
                        <c:v>9807</c:v>
                      </c:pt>
                      <c:pt idx="43">
                        <c:v>10158</c:v>
                      </c:pt>
                      <c:pt idx="44">
                        <c:v>10158</c:v>
                      </c:pt>
                      <c:pt idx="45">
                        <c:v>10159</c:v>
                      </c:pt>
                      <c:pt idx="46">
                        <c:v>10160</c:v>
                      </c:pt>
                      <c:pt idx="47">
                        <c:v>10516</c:v>
                      </c:pt>
                      <c:pt idx="48">
                        <c:v>10517</c:v>
                      </c:pt>
                      <c:pt idx="49">
                        <c:v>10518</c:v>
                      </c:pt>
                      <c:pt idx="50">
                        <c:v>10518</c:v>
                      </c:pt>
                      <c:pt idx="51">
                        <c:v>10519</c:v>
                      </c:pt>
                      <c:pt idx="52">
                        <c:v>10882</c:v>
                      </c:pt>
                      <c:pt idx="53">
                        <c:v>10882</c:v>
                      </c:pt>
                      <c:pt idx="54">
                        <c:v>10883</c:v>
                      </c:pt>
                      <c:pt idx="55">
                        <c:v>10883</c:v>
                      </c:pt>
                      <c:pt idx="56">
                        <c:v>11253</c:v>
                      </c:pt>
                      <c:pt idx="57">
                        <c:v>11253</c:v>
                      </c:pt>
                      <c:pt idx="58">
                        <c:v>11254</c:v>
                      </c:pt>
                      <c:pt idx="59">
                        <c:v>11254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3EB-4F2F-9CD4-F403992F3986}"/>
                  </c:ext>
                </c:extLst>
              </c15:ser>
            </c15:filteredLineSeries>
            <c15:filteredLine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Sheet1!$U$1:$U$2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Sheet1!$U$3:$U$102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11247</c:v>
                      </c:pt>
                      <c:pt idx="1">
                        <c:v>11508</c:v>
                      </c:pt>
                      <c:pt idx="2">
                        <c:v>11769</c:v>
                      </c:pt>
                      <c:pt idx="3">
                        <c:v>12290</c:v>
                      </c:pt>
                      <c:pt idx="4">
                        <c:v>12551</c:v>
                      </c:pt>
                      <c:pt idx="5">
                        <c:v>12811</c:v>
                      </c:pt>
                      <c:pt idx="6">
                        <c:v>13073</c:v>
                      </c:pt>
                      <c:pt idx="7">
                        <c:v>13333</c:v>
                      </c:pt>
                      <c:pt idx="8">
                        <c:v>13594</c:v>
                      </c:pt>
                      <c:pt idx="9">
                        <c:v>13854</c:v>
                      </c:pt>
                      <c:pt idx="10">
                        <c:v>14116</c:v>
                      </c:pt>
                      <c:pt idx="11">
                        <c:v>14637</c:v>
                      </c:pt>
                      <c:pt idx="12">
                        <c:v>14897</c:v>
                      </c:pt>
                      <c:pt idx="13">
                        <c:v>15158</c:v>
                      </c:pt>
                      <c:pt idx="14">
                        <c:v>15419</c:v>
                      </c:pt>
                      <c:pt idx="15">
                        <c:v>15680</c:v>
                      </c:pt>
                      <c:pt idx="16">
                        <c:v>15940</c:v>
                      </c:pt>
                      <c:pt idx="17">
                        <c:v>16201</c:v>
                      </c:pt>
                      <c:pt idx="18">
                        <c:v>16462</c:v>
                      </c:pt>
                      <c:pt idx="19">
                        <c:v>16983</c:v>
                      </c:pt>
                      <c:pt idx="20">
                        <c:v>17244</c:v>
                      </c:pt>
                      <c:pt idx="21">
                        <c:v>17504</c:v>
                      </c:pt>
                      <c:pt idx="22">
                        <c:v>17766</c:v>
                      </c:pt>
                      <c:pt idx="23">
                        <c:v>18026</c:v>
                      </c:pt>
                      <c:pt idx="24">
                        <c:v>18287</c:v>
                      </c:pt>
                      <c:pt idx="25">
                        <c:v>18547</c:v>
                      </c:pt>
                      <c:pt idx="26">
                        <c:v>19068</c:v>
                      </c:pt>
                      <c:pt idx="27">
                        <c:v>19330</c:v>
                      </c:pt>
                      <c:pt idx="28">
                        <c:v>19590</c:v>
                      </c:pt>
                      <c:pt idx="29">
                        <c:v>19851</c:v>
                      </c:pt>
                      <c:pt idx="30">
                        <c:v>20111</c:v>
                      </c:pt>
                      <c:pt idx="31">
                        <c:v>20373</c:v>
                      </c:pt>
                      <c:pt idx="32">
                        <c:v>20633</c:v>
                      </c:pt>
                      <c:pt idx="33">
                        <c:v>20894</c:v>
                      </c:pt>
                      <c:pt idx="34">
                        <c:v>21415</c:v>
                      </c:pt>
                      <c:pt idx="35">
                        <c:v>21676</c:v>
                      </c:pt>
                      <c:pt idx="36">
                        <c:v>21937</c:v>
                      </c:pt>
                      <c:pt idx="37">
                        <c:v>22197</c:v>
                      </c:pt>
                      <c:pt idx="38">
                        <c:v>22458</c:v>
                      </c:pt>
                      <c:pt idx="39">
                        <c:v>22719</c:v>
                      </c:pt>
                      <c:pt idx="40">
                        <c:v>22980</c:v>
                      </c:pt>
                      <c:pt idx="41">
                        <c:v>23240</c:v>
                      </c:pt>
                      <c:pt idx="42">
                        <c:v>23761</c:v>
                      </c:pt>
                      <c:pt idx="43">
                        <c:v>24023</c:v>
                      </c:pt>
                      <c:pt idx="44">
                        <c:v>24283</c:v>
                      </c:pt>
                      <c:pt idx="45">
                        <c:v>24544</c:v>
                      </c:pt>
                      <c:pt idx="46">
                        <c:v>24804</c:v>
                      </c:pt>
                      <c:pt idx="47">
                        <c:v>25066</c:v>
                      </c:pt>
                      <c:pt idx="48">
                        <c:v>25326</c:v>
                      </c:pt>
                      <c:pt idx="49">
                        <c:v>25847</c:v>
                      </c:pt>
                      <c:pt idx="50">
                        <c:v>26108</c:v>
                      </c:pt>
                      <c:pt idx="51">
                        <c:v>26368</c:v>
                      </c:pt>
                      <c:pt idx="52">
                        <c:v>26630</c:v>
                      </c:pt>
                      <c:pt idx="53">
                        <c:v>26890</c:v>
                      </c:pt>
                      <c:pt idx="54">
                        <c:v>27151</c:v>
                      </c:pt>
                      <c:pt idx="55">
                        <c:v>27411</c:v>
                      </c:pt>
                      <c:pt idx="56">
                        <c:v>27673</c:v>
                      </c:pt>
                      <c:pt idx="57">
                        <c:v>28194</c:v>
                      </c:pt>
                      <c:pt idx="58">
                        <c:v>28454</c:v>
                      </c:pt>
                      <c:pt idx="59">
                        <c:v>28715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3EB-4F2F-9CD4-F403992F3986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Sheet1!$V$1:$V$2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Sheet1!$V$3:$V$102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EB-4F2F-9CD4-F403992F3986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Sheet1!$W$1:$W$2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Sheet1!$W$3:$W$102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10068</c:v>
                      </c:pt>
                      <c:pt idx="1">
                        <c:v>12336</c:v>
                      </c:pt>
                      <c:pt idx="2">
                        <c:v>14604</c:v>
                      </c:pt>
                      <c:pt idx="3">
                        <c:v>16935</c:v>
                      </c:pt>
                      <c:pt idx="4">
                        <c:v>19218</c:v>
                      </c:pt>
                      <c:pt idx="5">
                        <c:v>21502</c:v>
                      </c:pt>
                      <c:pt idx="6">
                        <c:v>23786</c:v>
                      </c:pt>
                      <c:pt idx="7">
                        <c:v>26070</c:v>
                      </c:pt>
                      <c:pt idx="8">
                        <c:v>28353</c:v>
                      </c:pt>
                      <c:pt idx="9">
                        <c:v>30637</c:v>
                      </c:pt>
                      <c:pt idx="10">
                        <c:v>32921</c:v>
                      </c:pt>
                      <c:pt idx="11">
                        <c:v>35394</c:v>
                      </c:pt>
                      <c:pt idx="12">
                        <c:v>37693</c:v>
                      </c:pt>
                      <c:pt idx="13">
                        <c:v>39993</c:v>
                      </c:pt>
                      <c:pt idx="14">
                        <c:v>42292</c:v>
                      </c:pt>
                      <c:pt idx="15">
                        <c:v>44592</c:v>
                      </c:pt>
                      <c:pt idx="16">
                        <c:v>46891</c:v>
                      </c:pt>
                      <c:pt idx="17">
                        <c:v>49191</c:v>
                      </c:pt>
                      <c:pt idx="18">
                        <c:v>51490</c:v>
                      </c:pt>
                      <c:pt idx="19">
                        <c:v>54105</c:v>
                      </c:pt>
                      <c:pt idx="20">
                        <c:v>56420</c:v>
                      </c:pt>
                      <c:pt idx="21">
                        <c:v>58735</c:v>
                      </c:pt>
                      <c:pt idx="22">
                        <c:v>61050</c:v>
                      </c:pt>
                      <c:pt idx="23">
                        <c:v>63366</c:v>
                      </c:pt>
                      <c:pt idx="24">
                        <c:v>65681</c:v>
                      </c:pt>
                      <c:pt idx="25">
                        <c:v>67996</c:v>
                      </c:pt>
                      <c:pt idx="26">
                        <c:v>70737</c:v>
                      </c:pt>
                      <c:pt idx="27">
                        <c:v>73068</c:v>
                      </c:pt>
                      <c:pt idx="28">
                        <c:v>75399</c:v>
                      </c:pt>
                      <c:pt idx="29">
                        <c:v>77730</c:v>
                      </c:pt>
                      <c:pt idx="30">
                        <c:v>80061</c:v>
                      </c:pt>
                      <c:pt idx="31">
                        <c:v>82392</c:v>
                      </c:pt>
                      <c:pt idx="32">
                        <c:v>84723</c:v>
                      </c:pt>
                      <c:pt idx="33">
                        <c:v>87054</c:v>
                      </c:pt>
                      <c:pt idx="34">
                        <c:v>89936</c:v>
                      </c:pt>
                      <c:pt idx="35">
                        <c:v>92283</c:v>
                      </c:pt>
                      <c:pt idx="36">
                        <c:v>94629</c:v>
                      </c:pt>
                      <c:pt idx="37">
                        <c:v>96976</c:v>
                      </c:pt>
                      <c:pt idx="38">
                        <c:v>99323</c:v>
                      </c:pt>
                      <c:pt idx="39">
                        <c:v>101670</c:v>
                      </c:pt>
                      <c:pt idx="40">
                        <c:v>104016</c:v>
                      </c:pt>
                      <c:pt idx="41">
                        <c:v>106363</c:v>
                      </c:pt>
                      <c:pt idx="42">
                        <c:v>109387</c:v>
                      </c:pt>
                      <c:pt idx="43">
                        <c:v>111750</c:v>
                      </c:pt>
                      <c:pt idx="44">
                        <c:v>114112</c:v>
                      </c:pt>
                      <c:pt idx="45">
                        <c:v>116475</c:v>
                      </c:pt>
                      <c:pt idx="46">
                        <c:v>118837</c:v>
                      </c:pt>
                      <c:pt idx="47">
                        <c:v>121200</c:v>
                      </c:pt>
                      <c:pt idx="48">
                        <c:v>123562</c:v>
                      </c:pt>
                      <c:pt idx="49">
                        <c:v>126712</c:v>
                      </c:pt>
                      <c:pt idx="50">
                        <c:v>129090</c:v>
                      </c:pt>
                      <c:pt idx="51">
                        <c:v>131469</c:v>
                      </c:pt>
                      <c:pt idx="52">
                        <c:v>133847</c:v>
                      </c:pt>
                      <c:pt idx="53">
                        <c:v>136225</c:v>
                      </c:pt>
                      <c:pt idx="54">
                        <c:v>138603</c:v>
                      </c:pt>
                      <c:pt idx="55">
                        <c:v>140982</c:v>
                      </c:pt>
                      <c:pt idx="56">
                        <c:v>143360</c:v>
                      </c:pt>
                      <c:pt idx="57">
                        <c:v>146652</c:v>
                      </c:pt>
                      <c:pt idx="58">
                        <c:v>149046</c:v>
                      </c:pt>
                      <c:pt idx="59">
                        <c:v>151440</c:v>
                      </c:pt>
                      <c:pt idx="60">
                        <c:v>153834</c:v>
                      </c:pt>
                      <c:pt idx="61">
                        <c:v>156228</c:v>
                      </c:pt>
                      <c:pt idx="62">
                        <c:v>158622</c:v>
                      </c:pt>
                      <c:pt idx="63">
                        <c:v>161016</c:v>
                      </c:pt>
                      <c:pt idx="64">
                        <c:v>163410</c:v>
                      </c:pt>
                      <c:pt idx="65">
                        <c:v>166843</c:v>
                      </c:pt>
                      <c:pt idx="66">
                        <c:v>169253</c:v>
                      </c:pt>
                      <c:pt idx="67">
                        <c:v>171663</c:v>
                      </c:pt>
                      <c:pt idx="68">
                        <c:v>174072</c:v>
                      </c:pt>
                      <c:pt idx="69">
                        <c:v>176482</c:v>
                      </c:pt>
                      <c:pt idx="70">
                        <c:v>178892</c:v>
                      </c:pt>
                      <c:pt idx="71">
                        <c:v>181302</c:v>
                      </c:pt>
                      <c:pt idx="72">
                        <c:v>183711</c:v>
                      </c:pt>
                      <c:pt idx="73">
                        <c:v>187287</c:v>
                      </c:pt>
                      <c:pt idx="74">
                        <c:v>189712</c:v>
                      </c:pt>
                      <c:pt idx="75">
                        <c:v>192138</c:v>
                      </c:pt>
                      <c:pt idx="76">
                        <c:v>194563</c:v>
                      </c:pt>
                      <c:pt idx="77">
                        <c:v>196989</c:v>
                      </c:pt>
                      <c:pt idx="78">
                        <c:v>199414</c:v>
                      </c:pt>
                      <c:pt idx="79">
                        <c:v>201840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3EB-4F2F-9CD4-F403992F3986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Sheet1!$X$1:$X$2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Sheet1!$X$3:$X$102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1157</c:v>
                      </c:pt>
                      <c:pt idx="1">
                        <c:v>1158</c:v>
                      </c:pt>
                      <c:pt idx="2">
                        <c:v>1159</c:v>
                      </c:pt>
                      <c:pt idx="3">
                        <c:v>1159</c:v>
                      </c:pt>
                      <c:pt idx="4">
                        <c:v>1264</c:v>
                      </c:pt>
                      <c:pt idx="5">
                        <c:v>1265</c:v>
                      </c:pt>
                      <c:pt idx="6">
                        <c:v>1265</c:v>
                      </c:pt>
                      <c:pt idx="7">
                        <c:v>1266</c:v>
                      </c:pt>
                      <c:pt idx="8">
                        <c:v>1266</c:v>
                      </c:pt>
                      <c:pt idx="9">
                        <c:v>1267</c:v>
                      </c:pt>
                      <c:pt idx="10">
                        <c:v>1267</c:v>
                      </c:pt>
                      <c:pt idx="11">
                        <c:v>1268</c:v>
                      </c:pt>
                      <c:pt idx="12">
                        <c:v>1269</c:v>
                      </c:pt>
                      <c:pt idx="13">
                        <c:v>1378</c:v>
                      </c:pt>
                      <c:pt idx="14">
                        <c:v>1378</c:v>
                      </c:pt>
                      <c:pt idx="15">
                        <c:v>1379</c:v>
                      </c:pt>
                      <c:pt idx="16">
                        <c:v>1380</c:v>
                      </c:pt>
                      <c:pt idx="17">
                        <c:v>1380</c:v>
                      </c:pt>
                      <c:pt idx="18">
                        <c:v>1381</c:v>
                      </c:pt>
                      <c:pt idx="19">
                        <c:v>1381</c:v>
                      </c:pt>
                      <c:pt idx="20">
                        <c:v>1382</c:v>
                      </c:pt>
                      <c:pt idx="21">
                        <c:v>1383</c:v>
                      </c:pt>
                      <c:pt idx="22">
                        <c:v>1496</c:v>
                      </c:pt>
                      <c:pt idx="23">
                        <c:v>1497</c:v>
                      </c:pt>
                      <c:pt idx="24">
                        <c:v>1497</c:v>
                      </c:pt>
                      <c:pt idx="25">
                        <c:v>1498</c:v>
                      </c:pt>
                      <c:pt idx="26">
                        <c:v>1499</c:v>
                      </c:pt>
                      <c:pt idx="27">
                        <c:v>1499</c:v>
                      </c:pt>
                      <c:pt idx="28">
                        <c:v>1500</c:v>
                      </c:pt>
                      <c:pt idx="29">
                        <c:v>1500</c:v>
                      </c:pt>
                      <c:pt idx="30">
                        <c:v>1501</c:v>
                      </c:pt>
                      <c:pt idx="31">
                        <c:v>1619</c:v>
                      </c:pt>
                      <c:pt idx="32">
                        <c:v>1620</c:v>
                      </c:pt>
                      <c:pt idx="33">
                        <c:v>1620</c:v>
                      </c:pt>
                      <c:pt idx="34">
                        <c:v>1621</c:v>
                      </c:pt>
                      <c:pt idx="35">
                        <c:v>1621</c:v>
                      </c:pt>
                      <c:pt idx="36">
                        <c:v>1622</c:v>
                      </c:pt>
                      <c:pt idx="37">
                        <c:v>1623</c:v>
                      </c:pt>
                      <c:pt idx="38">
                        <c:v>1623</c:v>
                      </c:pt>
                      <c:pt idx="39">
                        <c:v>1624</c:v>
                      </c:pt>
                      <c:pt idx="40">
                        <c:v>1747</c:v>
                      </c:pt>
                      <c:pt idx="41">
                        <c:v>1747</c:v>
                      </c:pt>
                      <c:pt idx="42">
                        <c:v>1748</c:v>
                      </c:pt>
                      <c:pt idx="43">
                        <c:v>1748</c:v>
                      </c:pt>
                      <c:pt idx="44">
                        <c:v>1749</c:v>
                      </c:pt>
                      <c:pt idx="45">
                        <c:v>1750</c:v>
                      </c:pt>
                      <c:pt idx="46">
                        <c:v>1750</c:v>
                      </c:pt>
                      <c:pt idx="47">
                        <c:v>1751</c:v>
                      </c:pt>
                      <c:pt idx="48">
                        <c:v>1751</c:v>
                      </c:pt>
                      <c:pt idx="49">
                        <c:v>1879</c:v>
                      </c:pt>
                      <c:pt idx="50">
                        <c:v>1879</c:v>
                      </c:pt>
                      <c:pt idx="51">
                        <c:v>1880</c:v>
                      </c:pt>
                      <c:pt idx="52">
                        <c:v>1880</c:v>
                      </c:pt>
                      <c:pt idx="53">
                        <c:v>1881</c:v>
                      </c:pt>
                      <c:pt idx="54">
                        <c:v>1882</c:v>
                      </c:pt>
                      <c:pt idx="55">
                        <c:v>1882</c:v>
                      </c:pt>
                      <c:pt idx="56">
                        <c:v>1883</c:v>
                      </c:pt>
                      <c:pt idx="57">
                        <c:v>1883</c:v>
                      </c:pt>
                      <c:pt idx="58">
                        <c:v>1884</c:v>
                      </c:pt>
                      <c:pt idx="59">
                        <c:v>2016</c:v>
                      </c:pt>
                      <c:pt idx="60">
                        <c:v>2016</c:v>
                      </c:pt>
                      <c:pt idx="61">
                        <c:v>2017</c:v>
                      </c:pt>
                      <c:pt idx="62">
                        <c:v>2017</c:v>
                      </c:pt>
                      <c:pt idx="63">
                        <c:v>2018</c:v>
                      </c:pt>
                      <c:pt idx="64">
                        <c:v>2019</c:v>
                      </c:pt>
                      <c:pt idx="65">
                        <c:v>2019</c:v>
                      </c:pt>
                      <c:pt idx="66">
                        <c:v>2020</c:v>
                      </c:pt>
                      <c:pt idx="67">
                        <c:v>2020</c:v>
                      </c:pt>
                      <c:pt idx="68">
                        <c:v>2157</c:v>
                      </c:pt>
                      <c:pt idx="69">
                        <c:v>2157</c:v>
                      </c:pt>
                      <c:pt idx="70">
                        <c:v>2158</c:v>
                      </c:pt>
                      <c:pt idx="71">
                        <c:v>2159</c:v>
                      </c:pt>
                      <c:pt idx="72">
                        <c:v>2159</c:v>
                      </c:pt>
                      <c:pt idx="73">
                        <c:v>2160</c:v>
                      </c:pt>
                      <c:pt idx="74">
                        <c:v>2160</c:v>
                      </c:pt>
                      <c:pt idx="75">
                        <c:v>2161</c:v>
                      </c:pt>
                      <c:pt idx="76">
                        <c:v>2161</c:v>
                      </c:pt>
                      <c:pt idx="77">
                        <c:v>2302</c:v>
                      </c:pt>
                      <c:pt idx="78">
                        <c:v>2303</c:v>
                      </c:pt>
                      <c:pt idx="79">
                        <c:v>2304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3EB-4F2F-9CD4-F403992F3986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Sheet1!$Y$1:$Y$2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Sheet1!$Y$3:$Y$102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1370</c:v>
                      </c:pt>
                      <c:pt idx="1">
                        <c:v>1370</c:v>
                      </c:pt>
                      <c:pt idx="2">
                        <c:v>1371</c:v>
                      </c:pt>
                      <c:pt idx="3">
                        <c:v>1372</c:v>
                      </c:pt>
                      <c:pt idx="4">
                        <c:v>1486</c:v>
                      </c:pt>
                      <c:pt idx="5">
                        <c:v>1486</c:v>
                      </c:pt>
                      <c:pt idx="6">
                        <c:v>1487</c:v>
                      </c:pt>
                      <c:pt idx="7">
                        <c:v>1487</c:v>
                      </c:pt>
                      <c:pt idx="8">
                        <c:v>1488</c:v>
                      </c:pt>
                      <c:pt idx="9">
                        <c:v>1488</c:v>
                      </c:pt>
                      <c:pt idx="10">
                        <c:v>1489</c:v>
                      </c:pt>
                      <c:pt idx="11">
                        <c:v>1489</c:v>
                      </c:pt>
                      <c:pt idx="12">
                        <c:v>1608</c:v>
                      </c:pt>
                      <c:pt idx="13">
                        <c:v>1608</c:v>
                      </c:pt>
                      <c:pt idx="14">
                        <c:v>1609</c:v>
                      </c:pt>
                      <c:pt idx="15">
                        <c:v>1609</c:v>
                      </c:pt>
                      <c:pt idx="16">
                        <c:v>1610</c:v>
                      </c:pt>
                      <c:pt idx="17">
                        <c:v>1611</c:v>
                      </c:pt>
                      <c:pt idx="18">
                        <c:v>1611</c:v>
                      </c:pt>
                      <c:pt idx="19">
                        <c:v>1612</c:v>
                      </c:pt>
                      <c:pt idx="20">
                        <c:v>1734</c:v>
                      </c:pt>
                      <c:pt idx="21">
                        <c:v>1735</c:v>
                      </c:pt>
                      <c:pt idx="22">
                        <c:v>1736</c:v>
                      </c:pt>
                      <c:pt idx="23">
                        <c:v>1736</c:v>
                      </c:pt>
                      <c:pt idx="24">
                        <c:v>1737</c:v>
                      </c:pt>
                      <c:pt idx="25">
                        <c:v>1737</c:v>
                      </c:pt>
                      <c:pt idx="26">
                        <c:v>1738</c:v>
                      </c:pt>
                      <c:pt idx="27">
                        <c:v>1739</c:v>
                      </c:pt>
                      <c:pt idx="28">
                        <c:v>1739</c:v>
                      </c:pt>
                      <c:pt idx="29">
                        <c:v>1866</c:v>
                      </c:pt>
                      <c:pt idx="30">
                        <c:v>1867</c:v>
                      </c:pt>
                      <c:pt idx="31">
                        <c:v>1868</c:v>
                      </c:pt>
                      <c:pt idx="32">
                        <c:v>1868</c:v>
                      </c:pt>
                      <c:pt idx="33">
                        <c:v>1869</c:v>
                      </c:pt>
                      <c:pt idx="34">
                        <c:v>1869</c:v>
                      </c:pt>
                      <c:pt idx="35">
                        <c:v>1870</c:v>
                      </c:pt>
                      <c:pt idx="36">
                        <c:v>1871</c:v>
                      </c:pt>
                      <c:pt idx="37">
                        <c:v>2002</c:v>
                      </c:pt>
                      <c:pt idx="38">
                        <c:v>2003</c:v>
                      </c:pt>
                      <c:pt idx="39">
                        <c:v>2003</c:v>
                      </c:pt>
                      <c:pt idx="40">
                        <c:v>2004</c:v>
                      </c:pt>
                      <c:pt idx="41">
                        <c:v>2005</c:v>
                      </c:pt>
                      <c:pt idx="42">
                        <c:v>2005</c:v>
                      </c:pt>
                      <c:pt idx="43">
                        <c:v>2006</c:v>
                      </c:pt>
                      <c:pt idx="44">
                        <c:v>2006</c:v>
                      </c:pt>
                      <c:pt idx="45">
                        <c:v>2143</c:v>
                      </c:pt>
                      <c:pt idx="46">
                        <c:v>2144</c:v>
                      </c:pt>
                      <c:pt idx="47">
                        <c:v>2144</c:v>
                      </c:pt>
                      <c:pt idx="48">
                        <c:v>2145</c:v>
                      </c:pt>
                      <c:pt idx="49">
                        <c:v>2146</c:v>
                      </c:pt>
                      <c:pt idx="50">
                        <c:v>2146</c:v>
                      </c:pt>
                      <c:pt idx="51">
                        <c:v>2147</c:v>
                      </c:pt>
                      <c:pt idx="52">
                        <c:v>2147</c:v>
                      </c:pt>
                      <c:pt idx="53">
                        <c:v>2148</c:v>
                      </c:pt>
                      <c:pt idx="54">
                        <c:v>2289</c:v>
                      </c:pt>
                      <c:pt idx="55">
                        <c:v>2289</c:v>
                      </c:pt>
                      <c:pt idx="56">
                        <c:v>2290</c:v>
                      </c:pt>
                      <c:pt idx="57">
                        <c:v>2290</c:v>
                      </c:pt>
                      <c:pt idx="58">
                        <c:v>2291</c:v>
                      </c:pt>
                      <c:pt idx="59">
                        <c:v>2292</c:v>
                      </c:pt>
                      <c:pt idx="60">
                        <c:v>2292</c:v>
                      </c:pt>
                      <c:pt idx="61">
                        <c:v>2293</c:v>
                      </c:pt>
                      <c:pt idx="62">
                        <c:v>2438</c:v>
                      </c:pt>
                      <c:pt idx="63">
                        <c:v>2439</c:v>
                      </c:pt>
                      <c:pt idx="64">
                        <c:v>2439</c:v>
                      </c:pt>
                      <c:pt idx="65">
                        <c:v>2440</c:v>
                      </c:pt>
                      <c:pt idx="66">
                        <c:v>2440</c:v>
                      </c:pt>
                      <c:pt idx="67">
                        <c:v>2441</c:v>
                      </c:pt>
                      <c:pt idx="68">
                        <c:v>2442</c:v>
                      </c:pt>
                      <c:pt idx="69">
                        <c:v>2442</c:v>
                      </c:pt>
                      <c:pt idx="70">
                        <c:v>2592</c:v>
                      </c:pt>
                      <c:pt idx="71">
                        <c:v>2593</c:v>
                      </c:pt>
                      <c:pt idx="72">
                        <c:v>2593</c:v>
                      </c:pt>
                      <c:pt idx="73">
                        <c:v>2594</c:v>
                      </c:pt>
                      <c:pt idx="74">
                        <c:v>2595</c:v>
                      </c:pt>
                      <c:pt idx="75">
                        <c:v>2595</c:v>
                      </c:pt>
                      <c:pt idx="76">
                        <c:v>2596</c:v>
                      </c:pt>
                      <c:pt idx="77">
                        <c:v>2596</c:v>
                      </c:pt>
                      <c:pt idx="78">
                        <c:v>2597</c:v>
                      </c:pt>
                      <c:pt idx="79">
                        <c:v>2752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3EB-4F2F-9CD4-F403992F3986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Sheet1!$Z$1:$Z$2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Sheet1!$Z$3:$Z$102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11066</c:v>
                      </c:pt>
                      <c:pt idx="1">
                        <c:v>11067</c:v>
                      </c:pt>
                      <c:pt idx="2">
                        <c:v>11503</c:v>
                      </c:pt>
                      <c:pt idx="3">
                        <c:v>11504</c:v>
                      </c:pt>
                      <c:pt idx="4">
                        <c:v>11504</c:v>
                      </c:pt>
                      <c:pt idx="5">
                        <c:v>11505</c:v>
                      </c:pt>
                      <c:pt idx="6">
                        <c:v>11949</c:v>
                      </c:pt>
                      <c:pt idx="7">
                        <c:v>11950</c:v>
                      </c:pt>
                      <c:pt idx="8">
                        <c:v>11951</c:v>
                      </c:pt>
                      <c:pt idx="9">
                        <c:v>11951</c:v>
                      </c:pt>
                      <c:pt idx="10">
                        <c:v>12404</c:v>
                      </c:pt>
                      <c:pt idx="11">
                        <c:v>12405</c:v>
                      </c:pt>
                      <c:pt idx="12">
                        <c:v>12405</c:v>
                      </c:pt>
                      <c:pt idx="13">
                        <c:v>12406</c:v>
                      </c:pt>
                      <c:pt idx="14">
                        <c:v>12867</c:v>
                      </c:pt>
                      <c:pt idx="15">
                        <c:v>12868</c:v>
                      </c:pt>
                      <c:pt idx="16">
                        <c:v>12869</c:v>
                      </c:pt>
                      <c:pt idx="17">
                        <c:v>12869</c:v>
                      </c:pt>
                      <c:pt idx="18">
                        <c:v>13339</c:v>
                      </c:pt>
                      <c:pt idx="19">
                        <c:v>13339</c:v>
                      </c:pt>
                      <c:pt idx="20">
                        <c:v>13340</c:v>
                      </c:pt>
                      <c:pt idx="21">
                        <c:v>13341</c:v>
                      </c:pt>
                      <c:pt idx="22">
                        <c:v>13819</c:v>
                      </c:pt>
                      <c:pt idx="23">
                        <c:v>13819</c:v>
                      </c:pt>
                      <c:pt idx="24">
                        <c:v>13820</c:v>
                      </c:pt>
                      <c:pt idx="25">
                        <c:v>13820</c:v>
                      </c:pt>
                      <c:pt idx="26">
                        <c:v>13821</c:v>
                      </c:pt>
                      <c:pt idx="27">
                        <c:v>14308</c:v>
                      </c:pt>
                      <c:pt idx="28">
                        <c:v>14308</c:v>
                      </c:pt>
                      <c:pt idx="29">
                        <c:v>14309</c:v>
                      </c:pt>
                      <c:pt idx="30">
                        <c:v>14310</c:v>
                      </c:pt>
                      <c:pt idx="31">
                        <c:v>14805</c:v>
                      </c:pt>
                      <c:pt idx="32">
                        <c:v>14805</c:v>
                      </c:pt>
                      <c:pt idx="33">
                        <c:v>14806</c:v>
                      </c:pt>
                      <c:pt idx="34">
                        <c:v>14806</c:v>
                      </c:pt>
                      <c:pt idx="35">
                        <c:v>15310</c:v>
                      </c:pt>
                      <c:pt idx="36">
                        <c:v>15311</c:v>
                      </c:pt>
                      <c:pt idx="37">
                        <c:v>15311</c:v>
                      </c:pt>
                      <c:pt idx="38">
                        <c:v>15312</c:v>
                      </c:pt>
                      <c:pt idx="39">
                        <c:v>15824</c:v>
                      </c:pt>
                      <c:pt idx="40">
                        <c:v>15824</c:v>
                      </c:pt>
                      <c:pt idx="41">
                        <c:v>15825</c:v>
                      </c:pt>
                      <c:pt idx="42">
                        <c:v>15825</c:v>
                      </c:pt>
                      <c:pt idx="43">
                        <c:v>16346</c:v>
                      </c:pt>
                      <c:pt idx="44">
                        <c:v>16346</c:v>
                      </c:pt>
                      <c:pt idx="45">
                        <c:v>16347</c:v>
                      </c:pt>
                      <c:pt idx="46">
                        <c:v>16347</c:v>
                      </c:pt>
                      <c:pt idx="47">
                        <c:v>16876</c:v>
                      </c:pt>
                      <c:pt idx="48">
                        <c:v>16877</c:v>
                      </c:pt>
                      <c:pt idx="49">
                        <c:v>16877</c:v>
                      </c:pt>
                      <c:pt idx="50">
                        <c:v>16878</c:v>
                      </c:pt>
                      <c:pt idx="51">
                        <c:v>16878</c:v>
                      </c:pt>
                      <c:pt idx="52">
                        <c:v>17416</c:v>
                      </c:pt>
                      <c:pt idx="53">
                        <c:v>17416</c:v>
                      </c:pt>
                      <c:pt idx="54">
                        <c:v>17417</c:v>
                      </c:pt>
                      <c:pt idx="55">
                        <c:v>17418</c:v>
                      </c:pt>
                      <c:pt idx="56">
                        <c:v>17963</c:v>
                      </c:pt>
                      <c:pt idx="57">
                        <c:v>17964</c:v>
                      </c:pt>
                      <c:pt idx="58">
                        <c:v>17964</c:v>
                      </c:pt>
                      <c:pt idx="59">
                        <c:v>17965</c:v>
                      </c:pt>
                      <c:pt idx="60">
                        <c:v>18519</c:v>
                      </c:pt>
                      <c:pt idx="61">
                        <c:v>18519</c:v>
                      </c:pt>
                      <c:pt idx="62">
                        <c:v>18520</c:v>
                      </c:pt>
                      <c:pt idx="63">
                        <c:v>18521</c:v>
                      </c:pt>
                      <c:pt idx="64">
                        <c:v>19083</c:v>
                      </c:pt>
                      <c:pt idx="65">
                        <c:v>19084</c:v>
                      </c:pt>
                      <c:pt idx="66">
                        <c:v>19084</c:v>
                      </c:pt>
                      <c:pt idx="67">
                        <c:v>19085</c:v>
                      </c:pt>
                      <c:pt idx="68">
                        <c:v>19656</c:v>
                      </c:pt>
                      <c:pt idx="69">
                        <c:v>19656</c:v>
                      </c:pt>
                      <c:pt idx="70">
                        <c:v>19657</c:v>
                      </c:pt>
                      <c:pt idx="71">
                        <c:v>19657</c:v>
                      </c:pt>
                      <c:pt idx="72">
                        <c:v>20237</c:v>
                      </c:pt>
                      <c:pt idx="73">
                        <c:v>20237</c:v>
                      </c:pt>
                      <c:pt idx="74">
                        <c:v>20238</c:v>
                      </c:pt>
                      <c:pt idx="75">
                        <c:v>20238</c:v>
                      </c:pt>
                      <c:pt idx="76">
                        <c:v>20239</c:v>
                      </c:pt>
                      <c:pt idx="77">
                        <c:v>20827</c:v>
                      </c:pt>
                      <c:pt idx="78">
                        <c:v>20827</c:v>
                      </c:pt>
                      <c:pt idx="79">
                        <c:v>20828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3EB-4F2F-9CD4-F403992F3986}"/>
                  </c:ext>
                </c:extLst>
              </c15:ser>
            </c15:filteredLineSeries>
            <c15:filteredLine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Sheet1!$AB$1:$AB$2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Sheet1!$AB$3:$AB$102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16048</c:v>
                      </c:pt>
                      <c:pt idx="1">
                        <c:v>16404</c:v>
                      </c:pt>
                      <c:pt idx="2">
                        <c:v>16760</c:v>
                      </c:pt>
                      <c:pt idx="3">
                        <c:v>17471</c:v>
                      </c:pt>
                      <c:pt idx="4">
                        <c:v>17827</c:v>
                      </c:pt>
                      <c:pt idx="5">
                        <c:v>18182</c:v>
                      </c:pt>
                      <c:pt idx="6">
                        <c:v>18539</c:v>
                      </c:pt>
                      <c:pt idx="7">
                        <c:v>18894</c:v>
                      </c:pt>
                      <c:pt idx="8">
                        <c:v>19250</c:v>
                      </c:pt>
                      <c:pt idx="9">
                        <c:v>19605</c:v>
                      </c:pt>
                      <c:pt idx="10">
                        <c:v>19962</c:v>
                      </c:pt>
                      <c:pt idx="11">
                        <c:v>20673</c:v>
                      </c:pt>
                      <c:pt idx="12">
                        <c:v>21028</c:v>
                      </c:pt>
                      <c:pt idx="13">
                        <c:v>21384</c:v>
                      </c:pt>
                      <c:pt idx="14">
                        <c:v>21740</c:v>
                      </c:pt>
                      <c:pt idx="15">
                        <c:v>22096</c:v>
                      </c:pt>
                      <c:pt idx="16">
                        <c:v>22451</c:v>
                      </c:pt>
                      <c:pt idx="17">
                        <c:v>22807</c:v>
                      </c:pt>
                      <c:pt idx="18">
                        <c:v>23163</c:v>
                      </c:pt>
                      <c:pt idx="19">
                        <c:v>23874</c:v>
                      </c:pt>
                      <c:pt idx="20">
                        <c:v>24230</c:v>
                      </c:pt>
                      <c:pt idx="21">
                        <c:v>24585</c:v>
                      </c:pt>
                      <c:pt idx="22">
                        <c:v>24942</c:v>
                      </c:pt>
                      <c:pt idx="23">
                        <c:v>25297</c:v>
                      </c:pt>
                      <c:pt idx="24">
                        <c:v>25653</c:v>
                      </c:pt>
                      <c:pt idx="25">
                        <c:v>26008</c:v>
                      </c:pt>
                      <c:pt idx="26">
                        <c:v>26719</c:v>
                      </c:pt>
                      <c:pt idx="27">
                        <c:v>27076</c:v>
                      </c:pt>
                      <c:pt idx="28">
                        <c:v>27431</c:v>
                      </c:pt>
                      <c:pt idx="29">
                        <c:v>27787</c:v>
                      </c:pt>
                      <c:pt idx="30">
                        <c:v>28142</c:v>
                      </c:pt>
                      <c:pt idx="31">
                        <c:v>28499</c:v>
                      </c:pt>
                      <c:pt idx="32">
                        <c:v>28854</c:v>
                      </c:pt>
                      <c:pt idx="33">
                        <c:v>29210</c:v>
                      </c:pt>
                      <c:pt idx="34">
                        <c:v>29921</c:v>
                      </c:pt>
                      <c:pt idx="35">
                        <c:v>30277</c:v>
                      </c:pt>
                      <c:pt idx="36">
                        <c:v>30633</c:v>
                      </c:pt>
                      <c:pt idx="37">
                        <c:v>30988</c:v>
                      </c:pt>
                      <c:pt idx="38">
                        <c:v>31344</c:v>
                      </c:pt>
                      <c:pt idx="39">
                        <c:v>31700</c:v>
                      </c:pt>
                      <c:pt idx="40">
                        <c:v>32056</c:v>
                      </c:pt>
                      <c:pt idx="41">
                        <c:v>32411</c:v>
                      </c:pt>
                      <c:pt idx="42">
                        <c:v>33122</c:v>
                      </c:pt>
                      <c:pt idx="43">
                        <c:v>33479</c:v>
                      </c:pt>
                      <c:pt idx="44">
                        <c:v>33834</c:v>
                      </c:pt>
                      <c:pt idx="45">
                        <c:v>34190</c:v>
                      </c:pt>
                      <c:pt idx="46">
                        <c:v>34545</c:v>
                      </c:pt>
                      <c:pt idx="47">
                        <c:v>34902</c:v>
                      </c:pt>
                      <c:pt idx="48">
                        <c:v>35257</c:v>
                      </c:pt>
                      <c:pt idx="49">
                        <c:v>35968</c:v>
                      </c:pt>
                      <c:pt idx="50">
                        <c:v>36324</c:v>
                      </c:pt>
                      <c:pt idx="51">
                        <c:v>36679</c:v>
                      </c:pt>
                      <c:pt idx="52">
                        <c:v>37036</c:v>
                      </c:pt>
                      <c:pt idx="53">
                        <c:v>37391</c:v>
                      </c:pt>
                      <c:pt idx="54">
                        <c:v>37747</c:v>
                      </c:pt>
                      <c:pt idx="55">
                        <c:v>38102</c:v>
                      </c:pt>
                      <c:pt idx="56">
                        <c:v>38459</c:v>
                      </c:pt>
                      <c:pt idx="57">
                        <c:v>39170</c:v>
                      </c:pt>
                      <c:pt idx="58">
                        <c:v>39525</c:v>
                      </c:pt>
                      <c:pt idx="59">
                        <c:v>39881</c:v>
                      </c:pt>
                      <c:pt idx="60">
                        <c:v>40237</c:v>
                      </c:pt>
                      <c:pt idx="61">
                        <c:v>40593</c:v>
                      </c:pt>
                      <c:pt idx="62">
                        <c:v>40948</c:v>
                      </c:pt>
                      <c:pt idx="63">
                        <c:v>41304</c:v>
                      </c:pt>
                      <c:pt idx="64">
                        <c:v>41660</c:v>
                      </c:pt>
                      <c:pt idx="65">
                        <c:v>42371</c:v>
                      </c:pt>
                      <c:pt idx="66">
                        <c:v>42727</c:v>
                      </c:pt>
                      <c:pt idx="67">
                        <c:v>43082</c:v>
                      </c:pt>
                      <c:pt idx="68">
                        <c:v>43439</c:v>
                      </c:pt>
                      <c:pt idx="69">
                        <c:v>43794</c:v>
                      </c:pt>
                      <c:pt idx="70">
                        <c:v>44150</c:v>
                      </c:pt>
                      <c:pt idx="71">
                        <c:v>44505</c:v>
                      </c:pt>
                      <c:pt idx="72">
                        <c:v>44862</c:v>
                      </c:pt>
                      <c:pt idx="73">
                        <c:v>45573</c:v>
                      </c:pt>
                      <c:pt idx="74">
                        <c:v>45928</c:v>
                      </c:pt>
                      <c:pt idx="75">
                        <c:v>46284</c:v>
                      </c:pt>
                      <c:pt idx="76">
                        <c:v>46639</c:v>
                      </c:pt>
                      <c:pt idx="77">
                        <c:v>46996</c:v>
                      </c:pt>
                      <c:pt idx="78">
                        <c:v>47351</c:v>
                      </c:pt>
                      <c:pt idx="79">
                        <c:v>47707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3EB-4F2F-9CD4-F403992F398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Sheet1!$AC$1:$AC$2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Sheet1!$AC$3:$AC$102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3EB-4F2F-9CD4-F403992F3986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Sheet1!$AD$1:$AD$2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Sheet1!$AD$3:$AD$102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12429</c:v>
                      </c:pt>
                      <c:pt idx="1">
                        <c:v>15259</c:v>
                      </c:pt>
                      <c:pt idx="2">
                        <c:v>18089</c:v>
                      </c:pt>
                      <c:pt idx="3">
                        <c:v>20996</c:v>
                      </c:pt>
                      <c:pt idx="4">
                        <c:v>23845</c:v>
                      </c:pt>
                      <c:pt idx="5">
                        <c:v>26694</c:v>
                      </c:pt>
                      <c:pt idx="6">
                        <c:v>29543</c:v>
                      </c:pt>
                      <c:pt idx="7">
                        <c:v>32392</c:v>
                      </c:pt>
                      <c:pt idx="8">
                        <c:v>35241</c:v>
                      </c:pt>
                      <c:pt idx="9">
                        <c:v>38090</c:v>
                      </c:pt>
                      <c:pt idx="10">
                        <c:v>40939</c:v>
                      </c:pt>
                      <c:pt idx="11">
                        <c:v>44019</c:v>
                      </c:pt>
                      <c:pt idx="12">
                        <c:v>46887</c:v>
                      </c:pt>
                      <c:pt idx="13">
                        <c:v>49755</c:v>
                      </c:pt>
                      <c:pt idx="14">
                        <c:v>52623</c:v>
                      </c:pt>
                      <c:pt idx="15">
                        <c:v>55492</c:v>
                      </c:pt>
                      <c:pt idx="16">
                        <c:v>58360</c:v>
                      </c:pt>
                      <c:pt idx="17">
                        <c:v>61228</c:v>
                      </c:pt>
                      <c:pt idx="18">
                        <c:v>64096</c:v>
                      </c:pt>
                      <c:pt idx="19">
                        <c:v>67350</c:v>
                      </c:pt>
                      <c:pt idx="20">
                        <c:v>70237</c:v>
                      </c:pt>
                      <c:pt idx="21">
                        <c:v>73125</c:v>
                      </c:pt>
                      <c:pt idx="22">
                        <c:v>76012</c:v>
                      </c:pt>
                      <c:pt idx="23">
                        <c:v>78900</c:v>
                      </c:pt>
                      <c:pt idx="24">
                        <c:v>81787</c:v>
                      </c:pt>
                      <c:pt idx="25">
                        <c:v>84675</c:v>
                      </c:pt>
                      <c:pt idx="26">
                        <c:v>88082</c:v>
                      </c:pt>
                      <c:pt idx="27">
                        <c:v>90989</c:v>
                      </c:pt>
                      <c:pt idx="28">
                        <c:v>93895</c:v>
                      </c:pt>
                      <c:pt idx="29">
                        <c:v>96802</c:v>
                      </c:pt>
                      <c:pt idx="30">
                        <c:v>99709</c:v>
                      </c:pt>
                      <c:pt idx="31">
                        <c:v>102616</c:v>
                      </c:pt>
                      <c:pt idx="32">
                        <c:v>105522</c:v>
                      </c:pt>
                      <c:pt idx="33">
                        <c:v>108429</c:v>
                      </c:pt>
                      <c:pt idx="34">
                        <c:v>112010</c:v>
                      </c:pt>
                      <c:pt idx="35">
                        <c:v>114936</c:v>
                      </c:pt>
                      <c:pt idx="36">
                        <c:v>117862</c:v>
                      </c:pt>
                      <c:pt idx="37">
                        <c:v>120788</c:v>
                      </c:pt>
                      <c:pt idx="38">
                        <c:v>123714</c:v>
                      </c:pt>
                      <c:pt idx="39">
                        <c:v>126640</c:v>
                      </c:pt>
                      <c:pt idx="40">
                        <c:v>129566</c:v>
                      </c:pt>
                      <c:pt idx="41">
                        <c:v>132492</c:v>
                      </c:pt>
                      <c:pt idx="42">
                        <c:v>136245</c:v>
                      </c:pt>
                      <c:pt idx="43">
                        <c:v>139191</c:v>
                      </c:pt>
                      <c:pt idx="44">
                        <c:v>142136</c:v>
                      </c:pt>
                      <c:pt idx="45">
                        <c:v>145081</c:v>
                      </c:pt>
                      <c:pt idx="46">
                        <c:v>148026</c:v>
                      </c:pt>
                      <c:pt idx="47">
                        <c:v>150972</c:v>
                      </c:pt>
                      <c:pt idx="48">
                        <c:v>153917</c:v>
                      </c:pt>
                      <c:pt idx="49">
                        <c:v>157825</c:v>
                      </c:pt>
                      <c:pt idx="50">
                        <c:v>160789</c:v>
                      </c:pt>
                      <c:pt idx="51">
                        <c:v>163754</c:v>
                      </c:pt>
                      <c:pt idx="52">
                        <c:v>166718</c:v>
                      </c:pt>
                      <c:pt idx="53">
                        <c:v>169683</c:v>
                      </c:pt>
                      <c:pt idx="54">
                        <c:v>172647</c:v>
                      </c:pt>
                      <c:pt idx="55">
                        <c:v>175612</c:v>
                      </c:pt>
                      <c:pt idx="56">
                        <c:v>178576</c:v>
                      </c:pt>
                      <c:pt idx="57">
                        <c:v>182657</c:v>
                      </c:pt>
                      <c:pt idx="58">
                        <c:v>185641</c:v>
                      </c:pt>
                      <c:pt idx="59">
                        <c:v>188625</c:v>
                      </c:pt>
                      <c:pt idx="60">
                        <c:v>191608</c:v>
                      </c:pt>
                      <c:pt idx="61">
                        <c:v>194592</c:v>
                      </c:pt>
                      <c:pt idx="62">
                        <c:v>197576</c:v>
                      </c:pt>
                      <c:pt idx="63">
                        <c:v>200560</c:v>
                      </c:pt>
                      <c:pt idx="64">
                        <c:v>203543</c:v>
                      </c:pt>
                      <c:pt idx="65">
                        <c:v>207798</c:v>
                      </c:pt>
                      <c:pt idx="66">
                        <c:v>210801</c:v>
                      </c:pt>
                      <c:pt idx="67">
                        <c:v>213804</c:v>
                      </c:pt>
                      <c:pt idx="68">
                        <c:v>216807</c:v>
                      </c:pt>
                      <c:pt idx="69">
                        <c:v>219810</c:v>
                      </c:pt>
                      <c:pt idx="70">
                        <c:v>222813</c:v>
                      </c:pt>
                      <c:pt idx="71">
                        <c:v>225816</c:v>
                      </c:pt>
                      <c:pt idx="72">
                        <c:v>228819</c:v>
                      </c:pt>
                      <c:pt idx="73">
                        <c:v>233246</c:v>
                      </c:pt>
                      <c:pt idx="74">
                        <c:v>236268</c:v>
                      </c:pt>
                      <c:pt idx="75">
                        <c:v>239291</c:v>
                      </c:pt>
                      <c:pt idx="76">
                        <c:v>242313</c:v>
                      </c:pt>
                      <c:pt idx="77">
                        <c:v>245335</c:v>
                      </c:pt>
                      <c:pt idx="78">
                        <c:v>248357</c:v>
                      </c:pt>
                      <c:pt idx="79">
                        <c:v>251380</c:v>
                      </c:pt>
                      <c:pt idx="80">
                        <c:v>255961</c:v>
                      </c:pt>
                      <c:pt idx="81">
                        <c:v>259003</c:v>
                      </c:pt>
                      <c:pt idx="82">
                        <c:v>262044</c:v>
                      </c:pt>
                      <c:pt idx="83">
                        <c:v>265086</c:v>
                      </c:pt>
                      <c:pt idx="84">
                        <c:v>268127</c:v>
                      </c:pt>
                      <c:pt idx="85">
                        <c:v>271169</c:v>
                      </c:pt>
                      <c:pt idx="86">
                        <c:v>274210</c:v>
                      </c:pt>
                      <c:pt idx="87">
                        <c:v>277252</c:v>
                      </c:pt>
                      <c:pt idx="88">
                        <c:v>282006</c:v>
                      </c:pt>
                      <c:pt idx="89">
                        <c:v>285067</c:v>
                      </c:pt>
                      <c:pt idx="90">
                        <c:v>288128</c:v>
                      </c:pt>
                      <c:pt idx="91">
                        <c:v>291189</c:v>
                      </c:pt>
                      <c:pt idx="92">
                        <c:v>294249</c:v>
                      </c:pt>
                      <c:pt idx="93">
                        <c:v>297310</c:v>
                      </c:pt>
                      <c:pt idx="94">
                        <c:v>300371</c:v>
                      </c:pt>
                      <c:pt idx="95">
                        <c:v>303432</c:v>
                      </c:pt>
                      <c:pt idx="96">
                        <c:v>308360</c:v>
                      </c:pt>
                      <c:pt idx="97">
                        <c:v>311440</c:v>
                      </c:pt>
                      <c:pt idx="98">
                        <c:v>314520</c:v>
                      </c:pt>
                      <c:pt idx="99">
                        <c:v>317600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3EB-4F2F-9CD4-F403992F398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Sheet1!$AE$1:$AE$2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Sheet1!$AE$3:$AE$102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1660</c:v>
                      </c:pt>
                      <c:pt idx="1">
                        <c:v>1660</c:v>
                      </c:pt>
                      <c:pt idx="2">
                        <c:v>1661</c:v>
                      </c:pt>
                      <c:pt idx="3">
                        <c:v>1661</c:v>
                      </c:pt>
                      <c:pt idx="4">
                        <c:v>1800</c:v>
                      </c:pt>
                      <c:pt idx="5">
                        <c:v>1800</c:v>
                      </c:pt>
                      <c:pt idx="6">
                        <c:v>1801</c:v>
                      </c:pt>
                      <c:pt idx="7">
                        <c:v>1802</c:v>
                      </c:pt>
                      <c:pt idx="8">
                        <c:v>1802</c:v>
                      </c:pt>
                      <c:pt idx="9">
                        <c:v>1803</c:v>
                      </c:pt>
                      <c:pt idx="10">
                        <c:v>1803</c:v>
                      </c:pt>
                      <c:pt idx="11">
                        <c:v>1804</c:v>
                      </c:pt>
                      <c:pt idx="12">
                        <c:v>1804</c:v>
                      </c:pt>
                      <c:pt idx="13">
                        <c:v>1948</c:v>
                      </c:pt>
                      <c:pt idx="14">
                        <c:v>1949</c:v>
                      </c:pt>
                      <c:pt idx="15">
                        <c:v>1949</c:v>
                      </c:pt>
                      <c:pt idx="16">
                        <c:v>1950</c:v>
                      </c:pt>
                      <c:pt idx="17">
                        <c:v>1950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1952</c:v>
                      </c:pt>
                      <c:pt idx="21">
                        <c:v>1953</c:v>
                      </c:pt>
                      <c:pt idx="22">
                        <c:v>2102</c:v>
                      </c:pt>
                      <c:pt idx="23">
                        <c:v>2103</c:v>
                      </c:pt>
                      <c:pt idx="24">
                        <c:v>2103</c:v>
                      </c:pt>
                      <c:pt idx="25">
                        <c:v>2104</c:v>
                      </c:pt>
                      <c:pt idx="26">
                        <c:v>2104</c:v>
                      </c:pt>
                      <c:pt idx="27">
                        <c:v>2105</c:v>
                      </c:pt>
                      <c:pt idx="28">
                        <c:v>2105</c:v>
                      </c:pt>
                      <c:pt idx="29">
                        <c:v>2106</c:v>
                      </c:pt>
                      <c:pt idx="30">
                        <c:v>2107</c:v>
                      </c:pt>
                      <c:pt idx="31">
                        <c:v>2262</c:v>
                      </c:pt>
                      <c:pt idx="32">
                        <c:v>2262</c:v>
                      </c:pt>
                      <c:pt idx="33">
                        <c:v>2263</c:v>
                      </c:pt>
                      <c:pt idx="34">
                        <c:v>2263</c:v>
                      </c:pt>
                      <c:pt idx="35">
                        <c:v>2264</c:v>
                      </c:pt>
                      <c:pt idx="36">
                        <c:v>2264</c:v>
                      </c:pt>
                      <c:pt idx="37">
                        <c:v>2265</c:v>
                      </c:pt>
                      <c:pt idx="38">
                        <c:v>2266</c:v>
                      </c:pt>
                      <c:pt idx="39">
                        <c:v>2266</c:v>
                      </c:pt>
                      <c:pt idx="40">
                        <c:v>2427</c:v>
                      </c:pt>
                      <c:pt idx="41">
                        <c:v>2427</c:v>
                      </c:pt>
                      <c:pt idx="42">
                        <c:v>2428</c:v>
                      </c:pt>
                      <c:pt idx="43">
                        <c:v>2428</c:v>
                      </c:pt>
                      <c:pt idx="44">
                        <c:v>2429</c:v>
                      </c:pt>
                      <c:pt idx="45">
                        <c:v>2430</c:v>
                      </c:pt>
                      <c:pt idx="46">
                        <c:v>2430</c:v>
                      </c:pt>
                      <c:pt idx="47">
                        <c:v>2431</c:v>
                      </c:pt>
                      <c:pt idx="48">
                        <c:v>2431</c:v>
                      </c:pt>
                      <c:pt idx="49">
                        <c:v>2597</c:v>
                      </c:pt>
                      <c:pt idx="50">
                        <c:v>2598</c:v>
                      </c:pt>
                      <c:pt idx="51">
                        <c:v>2598</c:v>
                      </c:pt>
                      <c:pt idx="52">
                        <c:v>2599</c:v>
                      </c:pt>
                      <c:pt idx="53">
                        <c:v>2599</c:v>
                      </c:pt>
                      <c:pt idx="54">
                        <c:v>2600</c:v>
                      </c:pt>
                      <c:pt idx="55">
                        <c:v>2601</c:v>
                      </c:pt>
                      <c:pt idx="56">
                        <c:v>2601</c:v>
                      </c:pt>
                      <c:pt idx="57">
                        <c:v>2602</c:v>
                      </c:pt>
                      <c:pt idx="58">
                        <c:v>2602</c:v>
                      </c:pt>
                      <c:pt idx="59">
                        <c:v>2774</c:v>
                      </c:pt>
                      <c:pt idx="60">
                        <c:v>2774</c:v>
                      </c:pt>
                      <c:pt idx="61">
                        <c:v>2775</c:v>
                      </c:pt>
                      <c:pt idx="62">
                        <c:v>2776</c:v>
                      </c:pt>
                      <c:pt idx="63">
                        <c:v>2776</c:v>
                      </c:pt>
                      <c:pt idx="64">
                        <c:v>2777</c:v>
                      </c:pt>
                      <c:pt idx="65">
                        <c:v>2777</c:v>
                      </c:pt>
                      <c:pt idx="66">
                        <c:v>2778</c:v>
                      </c:pt>
                      <c:pt idx="67">
                        <c:v>2778</c:v>
                      </c:pt>
                      <c:pt idx="68">
                        <c:v>2955</c:v>
                      </c:pt>
                      <c:pt idx="69">
                        <c:v>2956</c:v>
                      </c:pt>
                      <c:pt idx="70">
                        <c:v>2957</c:v>
                      </c:pt>
                      <c:pt idx="71">
                        <c:v>2957</c:v>
                      </c:pt>
                      <c:pt idx="72">
                        <c:v>2958</c:v>
                      </c:pt>
                      <c:pt idx="73">
                        <c:v>2959</c:v>
                      </c:pt>
                      <c:pt idx="74">
                        <c:v>2959</c:v>
                      </c:pt>
                      <c:pt idx="75">
                        <c:v>2960</c:v>
                      </c:pt>
                      <c:pt idx="76">
                        <c:v>2960</c:v>
                      </c:pt>
                      <c:pt idx="77">
                        <c:v>3143</c:v>
                      </c:pt>
                      <c:pt idx="78">
                        <c:v>3143</c:v>
                      </c:pt>
                      <c:pt idx="79">
                        <c:v>3144</c:v>
                      </c:pt>
                      <c:pt idx="80">
                        <c:v>3145</c:v>
                      </c:pt>
                      <c:pt idx="81">
                        <c:v>3145</c:v>
                      </c:pt>
                      <c:pt idx="82">
                        <c:v>3146</c:v>
                      </c:pt>
                      <c:pt idx="83">
                        <c:v>3146</c:v>
                      </c:pt>
                      <c:pt idx="84">
                        <c:v>3147</c:v>
                      </c:pt>
                      <c:pt idx="85">
                        <c:v>3147</c:v>
                      </c:pt>
                      <c:pt idx="86">
                        <c:v>3335</c:v>
                      </c:pt>
                      <c:pt idx="87">
                        <c:v>3336</c:v>
                      </c:pt>
                      <c:pt idx="88">
                        <c:v>3337</c:v>
                      </c:pt>
                      <c:pt idx="89">
                        <c:v>3337</c:v>
                      </c:pt>
                      <c:pt idx="90">
                        <c:v>3338</c:v>
                      </c:pt>
                      <c:pt idx="91">
                        <c:v>3338</c:v>
                      </c:pt>
                      <c:pt idx="92">
                        <c:v>3339</c:v>
                      </c:pt>
                      <c:pt idx="93">
                        <c:v>3339</c:v>
                      </c:pt>
                      <c:pt idx="94">
                        <c:v>3340</c:v>
                      </c:pt>
                      <c:pt idx="95">
                        <c:v>3534</c:v>
                      </c:pt>
                      <c:pt idx="96">
                        <c:v>3534</c:v>
                      </c:pt>
                      <c:pt idx="97">
                        <c:v>3535</c:v>
                      </c:pt>
                      <c:pt idx="98">
                        <c:v>3536</c:v>
                      </c:pt>
                      <c:pt idx="99">
                        <c:v>3536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3EB-4F2F-9CD4-F403992F3986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Sheet1!$AF$1:$AF$2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Sheet1!$AF$3:$AF$102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1940</c:v>
                      </c:pt>
                      <c:pt idx="1">
                        <c:v>1941</c:v>
                      </c:pt>
                      <c:pt idx="2">
                        <c:v>1941</c:v>
                      </c:pt>
                      <c:pt idx="3">
                        <c:v>1942</c:v>
                      </c:pt>
                      <c:pt idx="4">
                        <c:v>2091</c:v>
                      </c:pt>
                      <c:pt idx="5">
                        <c:v>2092</c:v>
                      </c:pt>
                      <c:pt idx="6">
                        <c:v>2092</c:v>
                      </c:pt>
                      <c:pt idx="7">
                        <c:v>2093</c:v>
                      </c:pt>
                      <c:pt idx="8">
                        <c:v>2094</c:v>
                      </c:pt>
                      <c:pt idx="9">
                        <c:v>2094</c:v>
                      </c:pt>
                      <c:pt idx="10">
                        <c:v>2095</c:v>
                      </c:pt>
                      <c:pt idx="11">
                        <c:v>2095</c:v>
                      </c:pt>
                      <c:pt idx="12">
                        <c:v>2250</c:v>
                      </c:pt>
                      <c:pt idx="13">
                        <c:v>2251</c:v>
                      </c:pt>
                      <c:pt idx="14">
                        <c:v>2251</c:v>
                      </c:pt>
                      <c:pt idx="15">
                        <c:v>2252</c:v>
                      </c:pt>
                      <c:pt idx="16">
                        <c:v>2253</c:v>
                      </c:pt>
                      <c:pt idx="17">
                        <c:v>2253</c:v>
                      </c:pt>
                      <c:pt idx="18">
                        <c:v>2254</c:v>
                      </c:pt>
                      <c:pt idx="19">
                        <c:v>2254</c:v>
                      </c:pt>
                      <c:pt idx="20">
                        <c:v>2414</c:v>
                      </c:pt>
                      <c:pt idx="21">
                        <c:v>2415</c:v>
                      </c:pt>
                      <c:pt idx="22">
                        <c:v>2416</c:v>
                      </c:pt>
                      <c:pt idx="23">
                        <c:v>2416</c:v>
                      </c:pt>
                      <c:pt idx="24">
                        <c:v>2417</c:v>
                      </c:pt>
                      <c:pt idx="25">
                        <c:v>2417</c:v>
                      </c:pt>
                      <c:pt idx="26">
                        <c:v>2418</c:v>
                      </c:pt>
                      <c:pt idx="27">
                        <c:v>2419</c:v>
                      </c:pt>
                      <c:pt idx="28">
                        <c:v>2419</c:v>
                      </c:pt>
                      <c:pt idx="29">
                        <c:v>2585</c:v>
                      </c:pt>
                      <c:pt idx="30">
                        <c:v>2586</c:v>
                      </c:pt>
                      <c:pt idx="31">
                        <c:v>2587</c:v>
                      </c:pt>
                      <c:pt idx="32">
                        <c:v>2587</c:v>
                      </c:pt>
                      <c:pt idx="33">
                        <c:v>2588</c:v>
                      </c:pt>
                      <c:pt idx="34">
                        <c:v>2588</c:v>
                      </c:pt>
                      <c:pt idx="35">
                        <c:v>2589</c:v>
                      </c:pt>
                      <c:pt idx="36">
                        <c:v>2589</c:v>
                      </c:pt>
                      <c:pt idx="37">
                        <c:v>2761</c:v>
                      </c:pt>
                      <c:pt idx="38">
                        <c:v>2761</c:v>
                      </c:pt>
                      <c:pt idx="39">
                        <c:v>2762</c:v>
                      </c:pt>
                      <c:pt idx="40">
                        <c:v>2763</c:v>
                      </c:pt>
                      <c:pt idx="41">
                        <c:v>2763</c:v>
                      </c:pt>
                      <c:pt idx="42">
                        <c:v>2764</c:v>
                      </c:pt>
                      <c:pt idx="43">
                        <c:v>2764</c:v>
                      </c:pt>
                      <c:pt idx="44">
                        <c:v>2765</c:v>
                      </c:pt>
                      <c:pt idx="45">
                        <c:v>2942</c:v>
                      </c:pt>
                      <c:pt idx="46">
                        <c:v>2942</c:v>
                      </c:pt>
                      <c:pt idx="47">
                        <c:v>2943</c:v>
                      </c:pt>
                      <c:pt idx="48">
                        <c:v>2943</c:v>
                      </c:pt>
                      <c:pt idx="49">
                        <c:v>2944</c:v>
                      </c:pt>
                      <c:pt idx="50">
                        <c:v>2945</c:v>
                      </c:pt>
                      <c:pt idx="51">
                        <c:v>2945</c:v>
                      </c:pt>
                      <c:pt idx="52">
                        <c:v>2946</c:v>
                      </c:pt>
                      <c:pt idx="53">
                        <c:v>2946</c:v>
                      </c:pt>
                      <c:pt idx="54">
                        <c:v>3129</c:v>
                      </c:pt>
                      <c:pt idx="55">
                        <c:v>3130</c:v>
                      </c:pt>
                      <c:pt idx="56">
                        <c:v>3130</c:v>
                      </c:pt>
                      <c:pt idx="57">
                        <c:v>3131</c:v>
                      </c:pt>
                      <c:pt idx="58">
                        <c:v>3131</c:v>
                      </c:pt>
                      <c:pt idx="59">
                        <c:v>3132</c:v>
                      </c:pt>
                      <c:pt idx="60">
                        <c:v>3132</c:v>
                      </c:pt>
                      <c:pt idx="61">
                        <c:v>3133</c:v>
                      </c:pt>
                      <c:pt idx="62">
                        <c:v>3321</c:v>
                      </c:pt>
                      <c:pt idx="63">
                        <c:v>3322</c:v>
                      </c:pt>
                      <c:pt idx="64">
                        <c:v>3322</c:v>
                      </c:pt>
                      <c:pt idx="65">
                        <c:v>3323</c:v>
                      </c:pt>
                      <c:pt idx="66">
                        <c:v>3323</c:v>
                      </c:pt>
                      <c:pt idx="67">
                        <c:v>3324</c:v>
                      </c:pt>
                      <c:pt idx="68">
                        <c:v>3325</c:v>
                      </c:pt>
                      <c:pt idx="69">
                        <c:v>3325</c:v>
                      </c:pt>
                      <c:pt idx="70">
                        <c:v>3519</c:v>
                      </c:pt>
                      <c:pt idx="71">
                        <c:v>3519</c:v>
                      </c:pt>
                      <c:pt idx="72">
                        <c:v>3520</c:v>
                      </c:pt>
                      <c:pt idx="73">
                        <c:v>3521</c:v>
                      </c:pt>
                      <c:pt idx="74">
                        <c:v>3521</c:v>
                      </c:pt>
                      <c:pt idx="75">
                        <c:v>3522</c:v>
                      </c:pt>
                      <c:pt idx="76">
                        <c:v>3522</c:v>
                      </c:pt>
                      <c:pt idx="77">
                        <c:v>3523</c:v>
                      </c:pt>
                      <c:pt idx="78">
                        <c:v>3524</c:v>
                      </c:pt>
                      <c:pt idx="79">
                        <c:v>3723</c:v>
                      </c:pt>
                      <c:pt idx="80">
                        <c:v>3723</c:v>
                      </c:pt>
                      <c:pt idx="81">
                        <c:v>3724</c:v>
                      </c:pt>
                      <c:pt idx="82">
                        <c:v>3724</c:v>
                      </c:pt>
                      <c:pt idx="83">
                        <c:v>3725</c:v>
                      </c:pt>
                      <c:pt idx="84">
                        <c:v>3725</c:v>
                      </c:pt>
                      <c:pt idx="85">
                        <c:v>3726</c:v>
                      </c:pt>
                      <c:pt idx="86">
                        <c:v>3727</c:v>
                      </c:pt>
                      <c:pt idx="87">
                        <c:v>3931</c:v>
                      </c:pt>
                      <c:pt idx="88">
                        <c:v>3932</c:v>
                      </c:pt>
                      <c:pt idx="89">
                        <c:v>3933</c:v>
                      </c:pt>
                      <c:pt idx="90">
                        <c:v>3933</c:v>
                      </c:pt>
                      <c:pt idx="91">
                        <c:v>3934</c:v>
                      </c:pt>
                      <c:pt idx="92">
                        <c:v>3934</c:v>
                      </c:pt>
                      <c:pt idx="93">
                        <c:v>3935</c:v>
                      </c:pt>
                      <c:pt idx="94">
                        <c:v>3935</c:v>
                      </c:pt>
                      <c:pt idx="95">
                        <c:v>4146</c:v>
                      </c:pt>
                      <c:pt idx="96">
                        <c:v>4146</c:v>
                      </c:pt>
                      <c:pt idx="97">
                        <c:v>4147</c:v>
                      </c:pt>
                      <c:pt idx="98">
                        <c:v>4147</c:v>
                      </c:pt>
                      <c:pt idx="99">
                        <c:v>4148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3EB-4F2F-9CD4-F403992F3986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Sheet1!$AG$1:$AG$2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Sheet1!$AG$3:$AG$102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16278</c:v>
                      </c:pt>
                      <c:pt idx="1">
                        <c:v>16278</c:v>
                      </c:pt>
                      <c:pt idx="2">
                        <c:v>16863</c:v>
                      </c:pt>
                      <c:pt idx="3">
                        <c:v>16863</c:v>
                      </c:pt>
                      <c:pt idx="4">
                        <c:v>16864</c:v>
                      </c:pt>
                      <c:pt idx="5">
                        <c:v>16864</c:v>
                      </c:pt>
                      <c:pt idx="6">
                        <c:v>17459</c:v>
                      </c:pt>
                      <c:pt idx="7">
                        <c:v>17460</c:v>
                      </c:pt>
                      <c:pt idx="8">
                        <c:v>17460</c:v>
                      </c:pt>
                      <c:pt idx="9">
                        <c:v>17461</c:v>
                      </c:pt>
                      <c:pt idx="10">
                        <c:v>18066</c:v>
                      </c:pt>
                      <c:pt idx="11">
                        <c:v>18067</c:v>
                      </c:pt>
                      <c:pt idx="12">
                        <c:v>18067</c:v>
                      </c:pt>
                      <c:pt idx="13">
                        <c:v>18068</c:v>
                      </c:pt>
                      <c:pt idx="14">
                        <c:v>18683</c:v>
                      </c:pt>
                      <c:pt idx="15">
                        <c:v>18684</c:v>
                      </c:pt>
                      <c:pt idx="16">
                        <c:v>18685</c:v>
                      </c:pt>
                      <c:pt idx="17">
                        <c:v>18685</c:v>
                      </c:pt>
                      <c:pt idx="18">
                        <c:v>19311</c:v>
                      </c:pt>
                      <c:pt idx="19">
                        <c:v>19311</c:v>
                      </c:pt>
                      <c:pt idx="20">
                        <c:v>19312</c:v>
                      </c:pt>
                      <c:pt idx="21">
                        <c:v>19313</c:v>
                      </c:pt>
                      <c:pt idx="22">
                        <c:v>19948</c:v>
                      </c:pt>
                      <c:pt idx="23">
                        <c:v>19949</c:v>
                      </c:pt>
                      <c:pt idx="24">
                        <c:v>19949</c:v>
                      </c:pt>
                      <c:pt idx="25">
                        <c:v>19950</c:v>
                      </c:pt>
                      <c:pt idx="26">
                        <c:v>19951</c:v>
                      </c:pt>
                      <c:pt idx="27">
                        <c:v>20597</c:v>
                      </c:pt>
                      <c:pt idx="28">
                        <c:v>20597</c:v>
                      </c:pt>
                      <c:pt idx="29">
                        <c:v>20598</c:v>
                      </c:pt>
                      <c:pt idx="30">
                        <c:v>20599</c:v>
                      </c:pt>
                      <c:pt idx="31">
                        <c:v>21255</c:v>
                      </c:pt>
                      <c:pt idx="32">
                        <c:v>21256</c:v>
                      </c:pt>
                      <c:pt idx="33">
                        <c:v>21256</c:v>
                      </c:pt>
                      <c:pt idx="34">
                        <c:v>21257</c:v>
                      </c:pt>
                      <c:pt idx="35">
                        <c:v>21924</c:v>
                      </c:pt>
                      <c:pt idx="36">
                        <c:v>21925</c:v>
                      </c:pt>
                      <c:pt idx="37">
                        <c:v>21925</c:v>
                      </c:pt>
                      <c:pt idx="38">
                        <c:v>21926</c:v>
                      </c:pt>
                      <c:pt idx="39">
                        <c:v>22603</c:v>
                      </c:pt>
                      <c:pt idx="40">
                        <c:v>22604</c:v>
                      </c:pt>
                      <c:pt idx="41">
                        <c:v>22604</c:v>
                      </c:pt>
                      <c:pt idx="42">
                        <c:v>22605</c:v>
                      </c:pt>
                      <c:pt idx="43">
                        <c:v>23292</c:v>
                      </c:pt>
                      <c:pt idx="44">
                        <c:v>23292</c:v>
                      </c:pt>
                      <c:pt idx="45">
                        <c:v>23293</c:v>
                      </c:pt>
                      <c:pt idx="46">
                        <c:v>23294</c:v>
                      </c:pt>
                      <c:pt idx="47">
                        <c:v>23992</c:v>
                      </c:pt>
                      <c:pt idx="48">
                        <c:v>23992</c:v>
                      </c:pt>
                      <c:pt idx="49">
                        <c:v>23993</c:v>
                      </c:pt>
                      <c:pt idx="50">
                        <c:v>23993</c:v>
                      </c:pt>
                      <c:pt idx="51">
                        <c:v>23994</c:v>
                      </c:pt>
                      <c:pt idx="52">
                        <c:v>24702</c:v>
                      </c:pt>
                      <c:pt idx="53">
                        <c:v>24702</c:v>
                      </c:pt>
                      <c:pt idx="54">
                        <c:v>24703</c:v>
                      </c:pt>
                      <c:pt idx="55">
                        <c:v>24704</c:v>
                      </c:pt>
                      <c:pt idx="56">
                        <c:v>25422</c:v>
                      </c:pt>
                      <c:pt idx="57">
                        <c:v>25423</c:v>
                      </c:pt>
                      <c:pt idx="58">
                        <c:v>25423</c:v>
                      </c:pt>
                      <c:pt idx="59">
                        <c:v>25424</c:v>
                      </c:pt>
                      <c:pt idx="60">
                        <c:v>26153</c:v>
                      </c:pt>
                      <c:pt idx="61">
                        <c:v>26153</c:v>
                      </c:pt>
                      <c:pt idx="62">
                        <c:v>26154</c:v>
                      </c:pt>
                      <c:pt idx="63">
                        <c:v>26154</c:v>
                      </c:pt>
                      <c:pt idx="64">
                        <c:v>26893</c:v>
                      </c:pt>
                      <c:pt idx="65">
                        <c:v>26894</c:v>
                      </c:pt>
                      <c:pt idx="66">
                        <c:v>26894</c:v>
                      </c:pt>
                      <c:pt idx="67">
                        <c:v>26895</c:v>
                      </c:pt>
                      <c:pt idx="68">
                        <c:v>27644</c:v>
                      </c:pt>
                      <c:pt idx="69">
                        <c:v>27645</c:v>
                      </c:pt>
                      <c:pt idx="70">
                        <c:v>27645</c:v>
                      </c:pt>
                      <c:pt idx="71">
                        <c:v>27646</c:v>
                      </c:pt>
                      <c:pt idx="72">
                        <c:v>28406</c:v>
                      </c:pt>
                      <c:pt idx="73">
                        <c:v>28406</c:v>
                      </c:pt>
                      <c:pt idx="74">
                        <c:v>28407</c:v>
                      </c:pt>
                      <c:pt idx="75">
                        <c:v>28407</c:v>
                      </c:pt>
                      <c:pt idx="76">
                        <c:v>28408</c:v>
                      </c:pt>
                      <c:pt idx="77">
                        <c:v>29178</c:v>
                      </c:pt>
                      <c:pt idx="78">
                        <c:v>29178</c:v>
                      </c:pt>
                      <c:pt idx="79">
                        <c:v>29179</c:v>
                      </c:pt>
                      <c:pt idx="80">
                        <c:v>29180</c:v>
                      </c:pt>
                      <c:pt idx="81">
                        <c:v>29960</c:v>
                      </c:pt>
                      <c:pt idx="82">
                        <c:v>29960</c:v>
                      </c:pt>
                      <c:pt idx="83">
                        <c:v>29961</c:v>
                      </c:pt>
                      <c:pt idx="84">
                        <c:v>29961</c:v>
                      </c:pt>
                      <c:pt idx="85">
                        <c:v>30752</c:v>
                      </c:pt>
                      <c:pt idx="86">
                        <c:v>30752</c:v>
                      </c:pt>
                      <c:pt idx="87">
                        <c:v>30753</c:v>
                      </c:pt>
                      <c:pt idx="88">
                        <c:v>30754</c:v>
                      </c:pt>
                      <c:pt idx="89">
                        <c:v>31554</c:v>
                      </c:pt>
                      <c:pt idx="90">
                        <c:v>31555</c:v>
                      </c:pt>
                      <c:pt idx="91">
                        <c:v>31555</c:v>
                      </c:pt>
                      <c:pt idx="92">
                        <c:v>31556</c:v>
                      </c:pt>
                      <c:pt idx="93">
                        <c:v>32367</c:v>
                      </c:pt>
                      <c:pt idx="94">
                        <c:v>32368</c:v>
                      </c:pt>
                      <c:pt idx="95">
                        <c:v>32368</c:v>
                      </c:pt>
                      <c:pt idx="96">
                        <c:v>32369</c:v>
                      </c:pt>
                      <c:pt idx="97">
                        <c:v>33191</c:v>
                      </c:pt>
                      <c:pt idx="98">
                        <c:v>33191</c:v>
                      </c:pt>
                      <c:pt idx="99">
                        <c:v>33192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3EB-4F2F-9CD4-F403992F3986}"/>
                  </c:ext>
                </c:extLst>
              </c15:ser>
            </c15:filteredLineSeries>
            <c15:filteredLine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Sheet1!$AI$1:$AI$2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마방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Sheet1!$AI$3:$AI$102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20912</c:v>
                      </c:pt>
                      <c:pt idx="1">
                        <c:v>21346</c:v>
                      </c:pt>
                      <c:pt idx="2">
                        <c:v>21782</c:v>
                      </c:pt>
                      <c:pt idx="3">
                        <c:v>22651</c:v>
                      </c:pt>
                      <c:pt idx="4">
                        <c:v>23085</c:v>
                      </c:pt>
                      <c:pt idx="5">
                        <c:v>23520</c:v>
                      </c:pt>
                      <c:pt idx="6">
                        <c:v>23955</c:v>
                      </c:pt>
                      <c:pt idx="7">
                        <c:v>24390</c:v>
                      </c:pt>
                      <c:pt idx="8">
                        <c:v>24824</c:v>
                      </c:pt>
                      <c:pt idx="9">
                        <c:v>25259</c:v>
                      </c:pt>
                      <c:pt idx="10">
                        <c:v>25694</c:v>
                      </c:pt>
                      <c:pt idx="11">
                        <c:v>26563</c:v>
                      </c:pt>
                      <c:pt idx="12">
                        <c:v>26998</c:v>
                      </c:pt>
                      <c:pt idx="13">
                        <c:v>27432</c:v>
                      </c:pt>
                      <c:pt idx="14">
                        <c:v>27868</c:v>
                      </c:pt>
                      <c:pt idx="15">
                        <c:v>28302</c:v>
                      </c:pt>
                      <c:pt idx="16">
                        <c:v>28737</c:v>
                      </c:pt>
                      <c:pt idx="17">
                        <c:v>29171</c:v>
                      </c:pt>
                      <c:pt idx="18">
                        <c:v>29607</c:v>
                      </c:pt>
                      <c:pt idx="19">
                        <c:v>30476</c:v>
                      </c:pt>
                      <c:pt idx="20">
                        <c:v>30910</c:v>
                      </c:pt>
                      <c:pt idx="21">
                        <c:v>31345</c:v>
                      </c:pt>
                      <c:pt idx="22">
                        <c:v>31780</c:v>
                      </c:pt>
                      <c:pt idx="23">
                        <c:v>32215</c:v>
                      </c:pt>
                      <c:pt idx="24">
                        <c:v>32649</c:v>
                      </c:pt>
                      <c:pt idx="25">
                        <c:v>33084</c:v>
                      </c:pt>
                      <c:pt idx="26">
                        <c:v>33953</c:v>
                      </c:pt>
                      <c:pt idx="27">
                        <c:v>34388</c:v>
                      </c:pt>
                      <c:pt idx="28">
                        <c:v>34823</c:v>
                      </c:pt>
                      <c:pt idx="29">
                        <c:v>35257</c:v>
                      </c:pt>
                      <c:pt idx="30">
                        <c:v>35692</c:v>
                      </c:pt>
                      <c:pt idx="31">
                        <c:v>36127</c:v>
                      </c:pt>
                      <c:pt idx="32">
                        <c:v>36562</c:v>
                      </c:pt>
                      <c:pt idx="33">
                        <c:v>36996</c:v>
                      </c:pt>
                      <c:pt idx="34">
                        <c:v>37865</c:v>
                      </c:pt>
                      <c:pt idx="35">
                        <c:v>38301</c:v>
                      </c:pt>
                      <c:pt idx="36">
                        <c:v>38735</c:v>
                      </c:pt>
                      <c:pt idx="37">
                        <c:v>39170</c:v>
                      </c:pt>
                      <c:pt idx="38">
                        <c:v>39604</c:v>
                      </c:pt>
                      <c:pt idx="39">
                        <c:v>40040</c:v>
                      </c:pt>
                      <c:pt idx="40">
                        <c:v>40474</c:v>
                      </c:pt>
                      <c:pt idx="41">
                        <c:v>40909</c:v>
                      </c:pt>
                      <c:pt idx="42">
                        <c:v>41778</c:v>
                      </c:pt>
                      <c:pt idx="43">
                        <c:v>42213</c:v>
                      </c:pt>
                      <c:pt idx="44">
                        <c:v>42648</c:v>
                      </c:pt>
                      <c:pt idx="45">
                        <c:v>43082</c:v>
                      </c:pt>
                      <c:pt idx="46">
                        <c:v>43517</c:v>
                      </c:pt>
                      <c:pt idx="47">
                        <c:v>43952</c:v>
                      </c:pt>
                      <c:pt idx="48">
                        <c:v>44387</c:v>
                      </c:pt>
                      <c:pt idx="49">
                        <c:v>45256</c:v>
                      </c:pt>
                      <c:pt idx="50">
                        <c:v>45690</c:v>
                      </c:pt>
                      <c:pt idx="51">
                        <c:v>46125</c:v>
                      </c:pt>
                      <c:pt idx="52">
                        <c:v>46560</c:v>
                      </c:pt>
                      <c:pt idx="53">
                        <c:v>46995</c:v>
                      </c:pt>
                      <c:pt idx="54">
                        <c:v>47429</c:v>
                      </c:pt>
                      <c:pt idx="55">
                        <c:v>47864</c:v>
                      </c:pt>
                      <c:pt idx="56">
                        <c:v>48299</c:v>
                      </c:pt>
                      <c:pt idx="57">
                        <c:v>49168</c:v>
                      </c:pt>
                      <c:pt idx="58">
                        <c:v>49603</c:v>
                      </c:pt>
                      <c:pt idx="59">
                        <c:v>50037</c:v>
                      </c:pt>
                      <c:pt idx="60">
                        <c:v>50473</c:v>
                      </c:pt>
                      <c:pt idx="61">
                        <c:v>50907</c:v>
                      </c:pt>
                      <c:pt idx="62">
                        <c:v>51342</c:v>
                      </c:pt>
                      <c:pt idx="63">
                        <c:v>51776</c:v>
                      </c:pt>
                      <c:pt idx="64">
                        <c:v>52212</c:v>
                      </c:pt>
                      <c:pt idx="65">
                        <c:v>53081</c:v>
                      </c:pt>
                      <c:pt idx="66">
                        <c:v>53515</c:v>
                      </c:pt>
                      <c:pt idx="67">
                        <c:v>53950</c:v>
                      </c:pt>
                      <c:pt idx="68">
                        <c:v>54385</c:v>
                      </c:pt>
                      <c:pt idx="69">
                        <c:v>54820</c:v>
                      </c:pt>
                      <c:pt idx="70">
                        <c:v>55254</c:v>
                      </c:pt>
                      <c:pt idx="71">
                        <c:v>55689</c:v>
                      </c:pt>
                      <c:pt idx="72">
                        <c:v>56124</c:v>
                      </c:pt>
                      <c:pt idx="73">
                        <c:v>56993</c:v>
                      </c:pt>
                      <c:pt idx="74">
                        <c:v>57428</c:v>
                      </c:pt>
                      <c:pt idx="75">
                        <c:v>57862</c:v>
                      </c:pt>
                      <c:pt idx="76">
                        <c:v>58297</c:v>
                      </c:pt>
                      <c:pt idx="77">
                        <c:v>58732</c:v>
                      </c:pt>
                      <c:pt idx="78">
                        <c:v>59167</c:v>
                      </c:pt>
                      <c:pt idx="79">
                        <c:v>59601</c:v>
                      </c:pt>
                      <c:pt idx="80">
                        <c:v>60470</c:v>
                      </c:pt>
                      <c:pt idx="81">
                        <c:v>60906</c:v>
                      </c:pt>
                      <c:pt idx="82">
                        <c:v>61340</c:v>
                      </c:pt>
                      <c:pt idx="83">
                        <c:v>61775</c:v>
                      </c:pt>
                      <c:pt idx="84">
                        <c:v>62209</c:v>
                      </c:pt>
                      <c:pt idx="85">
                        <c:v>62645</c:v>
                      </c:pt>
                      <c:pt idx="86">
                        <c:v>63079</c:v>
                      </c:pt>
                      <c:pt idx="87">
                        <c:v>63514</c:v>
                      </c:pt>
                      <c:pt idx="88">
                        <c:v>64383</c:v>
                      </c:pt>
                      <c:pt idx="89">
                        <c:v>64818</c:v>
                      </c:pt>
                      <c:pt idx="90">
                        <c:v>65253</c:v>
                      </c:pt>
                      <c:pt idx="91">
                        <c:v>65687</c:v>
                      </c:pt>
                      <c:pt idx="92">
                        <c:v>66122</c:v>
                      </c:pt>
                      <c:pt idx="93">
                        <c:v>66557</c:v>
                      </c:pt>
                      <c:pt idx="94">
                        <c:v>66992</c:v>
                      </c:pt>
                      <c:pt idx="95">
                        <c:v>67426</c:v>
                      </c:pt>
                      <c:pt idx="96">
                        <c:v>68295</c:v>
                      </c:pt>
                      <c:pt idx="97">
                        <c:v>68731</c:v>
                      </c:pt>
                      <c:pt idx="98">
                        <c:v>69165</c:v>
                      </c:pt>
                      <c:pt idx="99">
                        <c:v>69600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3EB-4F2F-9CD4-F403992F3986}"/>
                  </c:ext>
                </c:extLst>
              </c15:ser>
            </c15:filteredLineSeries>
          </c:ext>
        </c:extLst>
      </c:lineChart>
      <c:catAx>
        <c:axId val="63087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968"/>
        <c:crosses val="autoZero"/>
        <c:auto val="1"/>
        <c:lblAlgn val="ctr"/>
        <c:lblOffset val="100"/>
        <c:noMultiLvlLbl val="0"/>
      </c:catAx>
      <c:valAx>
        <c:axId val="63087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909705037465584E-2"/>
          <c:y val="0.14382631215602293"/>
          <c:w val="0.86596025522002662"/>
          <c:h val="0.70628531028220043"/>
        </c:manualLayout>
      </c:layout>
      <c:lineChart>
        <c:grouping val="standard"/>
        <c:varyColors val="0"/>
        <c:ser>
          <c:idx val="6"/>
          <c:order val="6"/>
          <c:tx>
            <c:strRef>
              <c:f>Sheet1!$G$1:$G$2</c:f>
              <c:strCache>
                <c:ptCount val="2"/>
                <c:pt idx="0">
                  <c:v>1</c:v>
                </c:pt>
                <c:pt idx="1">
                  <c:v>마방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Sheet1!$G$3:$G$102</c:f>
              <c:numCache>
                <c:formatCode>General</c:formatCode>
                <c:ptCount val="100"/>
                <c:pt idx="0">
                  <c:v>5882</c:v>
                </c:pt>
                <c:pt idx="1">
                  <c:v>6040</c:v>
                </c:pt>
                <c:pt idx="2">
                  <c:v>6199</c:v>
                </c:pt>
                <c:pt idx="3">
                  <c:v>6515</c:v>
                </c:pt>
                <c:pt idx="4">
                  <c:v>6673</c:v>
                </c:pt>
                <c:pt idx="5">
                  <c:v>6831</c:v>
                </c:pt>
                <c:pt idx="6">
                  <c:v>6990</c:v>
                </c:pt>
                <c:pt idx="7">
                  <c:v>7148</c:v>
                </c:pt>
                <c:pt idx="8">
                  <c:v>7306</c:v>
                </c:pt>
                <c:pt idx="9">
                  <c:v>7464</c:v>
                </c:pt>
                <c:pt idx="10">
                  <c:v>7623</c:v>
                </c:pt>
                <c:pt idx="11">
                  <c:v>7939</c:v>
                </c:pt>
                <c:pt idx="12">
                  <c:v>8097</c:v>
                </c:pt>
                <c:pt idx="13">
                  <c:v>8255</c:v>
                </c:pt>
                <c:pt idx="14">
                  <c:v>8414</c:v>
                </c:pt>
                <c:pt idx="15">
                  <c:v>8572</c:v>
                </c:pt>
                <c:pt idx="16">
                  <c:v>8730</c:v>
                </c:pt>
                <c:pt idx="17">
                  <c:v>8888</c:v>
                </c:pt>
                <c:pt idx="18">
                  <c:v>9047</c:v>
                </c:pt>
                <c:pt idx="19">
                  <c:v>9363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3EB-4F2F-9CD4-F403992F3986}"/>
            </c:ext>
          </c:extLst>
        </c:ser>
        <c:ser>
          <c:idx val="13"/>
          <c:order val="13"/>
          <c:tx>
            <c:strRef>
              <c:f>Sheet1!$N$1:$N$2</c:f>
              <c:strCache>
                <c:ptCount val="2"/>
                <c:pt idx="0">
                  <c:v>2</c:v>
                </c:pt>
                <c:pt idx="1">
                  <c:v>마방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Sheet1!$N$3:$N$102</c:f>
              <c:numCache>
                <c:formatCode>General</c:formatCode>
                <c:ptCount val="100"/>
                <c:pt idx="0">
                  <c:v>7941</c:v>
                </c:pt>
                <c:pt idx="1">
                  <c:v>8138</c:v>
                </c:pt>
                <c:pt idx="2">
                  <c:v>8337</c:v>
                </c:pt>
                <c:pt idx="3">
                  <c:v>8732</c:v>
                </c:pt>
                <c:pt idx="4">
                  <c:v>8929</c:v>
                </c:pt>
                <c:pt idx="5">
                  <c:v>9127</c:v>
                </c:pt>
                <c:pt idx="6">
                  <c:v>9325</c:v>
                </c:pt>
                <c:pt idx="7">
                  <c:v>9523</c:v>
                </c:pt>
                <c:pt idx="8">
                  <c:v>9720</c:v>
                </c:pt>
                <c:pt idx="9">
                  <c:v>9918</c:v>
                </c:pt>
                <c:pt idx="10">
                  <c:v>10116</c:v>
                </c:pt>
                <c:pt idx="11">
                  <c:v>10511</c:v>
                </c:pt>
                <c:pt idx="12">
                  <c:v>10709</c:v>
                </c:pt>
                <c:pt idx="13">
                  <c:v>10906</c:v>
                </c:pt>
                <c:pt idx="14">
                  <c:v>11105</c:v>
                </c:pt>
                <c:pt idx="15">
                  <c:v>11302</c:v>
                </c:pt>
                <c:pt idx="16">
                  <c:v>11500</c:v>
                </c:pt>
                <c:pt idx="17">
                  <c:v>11697</c:v>
                </c:pt>
                <c:pt idx="18">
                  <c:v>11896</c:v>
                </c:pt>
                <c:pt idx="19">
                  <c:v>12291</c:v>
                </c:pt>
                <c:pt idx="20">
                  <c:v>12488</c:v>
                </c:pt>
                <c:pt idx="21">
                  <c:v>12686</c:v>
                </c:pt>
                <c:pt idx="22">
                  <c:v>12884</c:v>
                </c:pt>
                <c:pt idx="23">
                  <c:v>13082</c:v>
                </c:pt>
                <c:pt idx="24">
                  <c:v>13279</c:v>
                </c:pt>
                <c:pt idx="25">
                  <c:v>13477</c:v>
                </c:pt>
                <c:pt idx="26">
                  <c:v>13872</c:v>
                </c:pt>
                <c:pt idx="27">
                  <c:v>14070</c:v>
                </c:pt>
                <c:pt idx="28">
                  <c:v>14268</c:v>
                </c:pt>
                <c:pt idx="29">
                  <c:v>14465</c:v>
                </c:pt>
                <c:pt idx="30">
                  <c:v>14663</c:v>
                </c:pt>
                <c:pt idx="31">
                  <c:v>14861</c:v>
                </c:pt>
                <c:pt idx="32">
                  <c:v>15059</c:v>
                </c:pt>
                <c:pt idx="33">
                  <c:v>15256</c:v>
                </c:pt>
                <c:pt idx="34">
                  <c:v>15651</c:v>
                </c:pt>
                <c:pt idx="35">
                  <c:v>15850</c:v>
                </c:pt>
                <c:pt idx="36">
                  <c:v>16047</c:v>
                </c:pt>
                <c:pt idx="37">
                  <c:v>16245</c:v>
                </c:pt>
                <c:pt idx="38">
                  <c:v>16442</c:v>
                </c:pt>
                <c:pt idx="39">
                  <c:v>16641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3EB-4F2F-9CD4-F403992F3986}"/>
            </c:ext>
          </c:extLst>
        </c:ser>
        <c:ser>
          <c:idx val="20"/>
          <c:order val="20"/>
          <c:tx>
            <c:strRef>
              <c:f>Sheet1!$U$1:$U$2</c:f>
              <c:strCache>
                <c:ptCount val="2"/>
                <c:pt idx="0">
                  <c:v>3</c:v>
                </c:pt>
                <c:pt idx="1">
                  <c:v>마방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Sheet1!$U$3:$U$102</c:f>
              <c:numCache>
                <c:formatCode>General</c:formatCode>
                <c:ptCount val="100"/>
                <c:pt idx="0">
                  <c:v>11247</c:v>
                </c:pt>
                <c:pt idx="1">
                  <c:v>11508</c:v>
                </c:pt>
                <c:pt idx="2">
                  <c:v>11769</c:v>
                </c:pt>
                <c:pt idx="3">
                  <c:v>12290</c:v>
                </c:pt>
                <c:pt idx="4">
                  <c:v>12551</c:v>
                </c:pt>
                <c:pt idx="5">
                  <c:v>12811</c:v>
                </c:pt>
                <c:pt idx="6">
                  <c:v>13073</c:v>
                </c:pt>
                <c:pt idx="7">
                  <c:v>13333</c:v>
                </c:pt>
                <c:pt idx="8">
                  <c:v>13594</c:v>
                </c:pt>
                <c:pt idx="9">
                  <c:v>13854</c:v>
                </c:pt>
                <c:pt idx="10">
                  <c:v>14116</c:v>
                </c:pt>
                <c:pt idx="11">
                  <c:v>14637</c:v>
                </c:pt>
                <c:pt idx="12">
                  <c:v>14897</c:v>
                </c:pt>
                <c:pt idx="13">
                  <c:v>15158</c:v>
                </c:pt>
                <c:pt idx="14">
                  <c:v>15419</c:v>
                </c:pt>
                <c:pt idx="15">
                  <c:v>15680</c:v>
                </c:pt>
                <c:pt idx="16">
                  <c:v>15940</c:v>
                </c:pt>
                <c:pt idx="17">
                  <c:v>16201</c:v>
                </c:pt>
                <c:pt idx="18">
                  <c:v>16462</c:v>
                </c:pt>
                <c:pt idx="19">
                  <c:v>16983</c:v>
                </c:pt>
                <c:pt idx="20">
                  <c:v>17244</c:v>
                </c:pt>
                <c:pt idx="21">
                  <c:v>17504</c:v>
                </c:pt>
                <c:pt idx="22">
                  <c:v>17766</c:v>
                </c:pt>
                <c:pt idx="23">
                  <c:v>18026</c:v>
                </c:pt>
                <c:pt idx="24">
                  <c:v>18287</c:v>
                </c:pt>
                <c:pt idx="25">
                  <c:v>18547</c:v>
                </c:pt>
                <c:pt idx="26">
                  <c:v>19068</c:v>
                </c:pt>
                <c:pt idx="27">
                  <c:v>19330</c:v>
                </c:pt>
                <c:pt idx="28">
                  <c:v>19590</c:v>
                </c:pt>
                <c:pt idx="29">
                  <c:v>19851</c:v>
                </c:pt>
                <c:pt idx="30">
                  <c:v>20111</c:v>
                </c:pt>
                <c:pt idx="31">
                  <c:v>20373</c:v>
                </c:pt>
                <c:pt idx="32">
                  <c:v>20633</c:v>
                </c:pt>
                <c:pt idx="33">
                  <c:v>20894</c:v>
                </c:pt>
                <c:pt idx="34">
                  <c:v>21415</c:v>
                </c:pt>
                <c:pt idx="35">
                  <c:v>21676</c:v>
                </c:pt>
                <c:pt idx="36">
                  <c:v>21937</c:v>
                </c:pt>
                <c:pt idx="37">
                  <c:v>22197</c:v>
                </c:pt>
                <c:pt idx="38">
                  <c:v>22458</c:v>
                </c:pt>
                <c:pt idx="39">
                  <c:v>22719</c:v>
                </c:pt>
                <c:pt idx="40">
                  <c:v>22980</c:v>
                </c:pt>
                <c:pt idx="41">
                  <c:v>23240</c:v>
                </c:pt>
                <c:pt idx="42">
                  <c:v>23761</c:v>
                </c:pt>
                <c:pt idx="43">
                  <c:v>24023</c:v>
                </c:pt>
                <c:pt idx="44">
                  <c:v>24283</c:v>
                </c:pt>
                <c:pt idx="45">
                  <c:v>24544</c:v>
                </c:pt>
                <c:pt idx="46">
                  <c:v>24804</c:v>
                </c:pt>
                <c:pt idx="47">
                  <c:v>25066</c:v>
                </c:pt>
                <c:pt idx="48">
                  <c:v>25326</c:v>
                </c:pt>
                <c:pt idx="49">
                  <c:v>25847</c:v>
                </c:pt>
                <c:pt idx="50">
                  <c:v>26108</c:v>
                </c:pt>
                <c:pt idx="51">
                  <c:v>26368</c:v>
                </c:pt>
                <c:pt idx="52">
                  <c:v>26630</c:v>
                </c:pt>
                <c:pt idx="53">
                  <c:v>26890</c:v>
                </c:pt>
                <c:pt idx="54">
                  <c:v>27151</c:v>
                </c:pt>
                <c:pt idx="55">
                  <c:v>27411</c:v>
                </c:pt>
                <c:pt idx="56">
                  <c:v>27673</c:v>
                </c:pt>
                <c:pt idx="57">
                  <c:v>28194</c:v>
                </c:pt>
                <c:pt idx="58">
                  <c:v>28454</c:v>
                </c:pt>
                <c:pt idx="59">
                  <c:v>28715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3EB-4F2F-9CD4-F403992F3986}"/>
            </c:ext>
          </c:extLst>
        </c:ser>
        <c:ser>
          <c:idx val="27"/>
          <c:order val="27"/>
          <c:tx>
            <c:strRef>
              <c:f>Sheet1!$AB$1:$AB$2</c:f>
              <c:strCache>
                <c:ptCount val="2"/>
                <c:pt idx="0">
                  <c:v>4</c:v>
                </c:pt>
                <c:pt idx="1">
                  <c:v>마방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Sheet1!$AB$3:$AB$102</c:f>
              <c:numCache>
                <c:formatCode>General</c:formatCode>
                <c:ptCount val="100"/>
                <c:pt idx="0">
                  <c:v>16048</c:v>
                </c:pt>
                <c:pt idx="1">
                  <c:v>16404</c:v>
                </c:pt>
                <c:pt idx="2">
                  <c:v>16760</c:v>
                </c:pt>
                <c:pt idx="3">
                  <c:v>17471</c:v>
                </c:pt>
                <c:pt idx="4">
                  <c:v>17827</c:v>
                </c:pt>
                <c:pt idx="5">
                  <c:v>18182</c:v>
                </c:pt>
                <c:pt idx="6">
                  <c:v>18539</c:v>
                </c:pt>
                <c:pt idx="7">
                  <c:v>18894</c:v>
                </c:pt>
                <c:pt idx="8">
                  <c:v>19250</c:v>
                </c:pt>
                <c:pt idx="9">
                  <c:v>19605</c:v>
                </c:pt>
                <c:pt idx="10">
                  <c:v>19962</c:v>
                </c:pt>
                <c:pt idx="11">
                  <c:v>20673</c:v>
                </c:pt>
                <c:pt idx="12">
                  <c:v>21028</c:v>
                </c:pt>
                <c:pt idx="13">
                  <c:v>21384</c:v>
                </c:pt>
                <c:pt idx="14">
                  <c:v>21740</c:v>
                </c:pt>
                <c:pt idx="15">
                  <c:v>22096</c:v>
                </c:pt>
                <c:pt idx="16">
                  <c:v>22451</c:v>
                </c:pt>
                <c:pt idx="17">
                  <c:v>22807</c:v>
                </c:pt>
                <c:pt idx="18">
                  <c:v>23163</c:v>
                </c:pt>
                <c:pt idx="19">
                  <c:v>23874</c:v>
                </c:pt>
                <c:pt idx="20">
                  <c:v>24230</c:v>
                </c:pt>
                <c:pt idx="21">
                  <c:v>24585</c:v>
                </c:pt>
                <c:pt idx="22">
                  <c:v>24942</c:v>
                </c:pt>
                <c:pt idx="23">
                  <c:v>25297</c:v>
                </c:pt>
                <c:pt idx="24">
                  <c:v>25653</c:v>
                </c:pt>
                <c:pt idx="25">
                  <c:v>26008</c:v>
                </c:pt>
                <c:pt idx="26">
                  <c:v>26719</c:v>
                </c:pt>
                <c:pt idx="27">
                  <c:v>27076</c:v>
                </c:pt>
                <c:pt idx="28">
                  <c:v>27431</c:v>
                </c:pt>
                <c:pt idx="29">
                  <c:v>27787</c:v>
                </c:pt>
                <c:pt idx="30">
                  <c:v>28142</c:v>
                </c:pt>
                <c:pt idx="31">
                  <c:v>28499</c:v>
                </c:pt>
                <c:pt idx="32">
                  <c:v>28854</c:v>
                </c:pt>
                <c:pt idx="33">
                  <c:v>29210</c:v>
                </c:pt>
                <c:pt idx="34">
                  <c:v>29921</c:v>
                </c:pt>
                <c:pt idx="35">
                  <c:v>30277</c:v>
                </c:pt>
                <c:pt idx="36">
                  <c:v>30633</c:v>
                </c:pt>
                <c:pt idx="37">
                  <c:v>30988</c:v>
                </c:pt>
                <c:pt idx="38">
                  <c:v>31344</c:v>
                </c:pt>
                <c:pt idx="39">
                  <c:v>31700</c:v>
                </c:pt>
                <c:pt idx="40">
                  <c:v>32056</c:v>
                </c:pt>
                <c:pt idx="41">
                  <c:v>32411</c:v>
                </c:pt>
                <c:pt idx="42">
                  <c:v>33122</c:v>
                </c:pt>
                <c:pt idx="43">
                  <c:v>33479</c:v>
                </c:pt>
                <c:pt idx="44">
                  <c:v>33834</c:v>
                </c:pt>
                <c:pt idx="45">
                  <c:v>34190</c:v>
                </c:pt>
                <c:pt idx="46">
                  <c:v>34545</c:v>
                </c:pt>
                <c:pt idx="47">
                  <c:v>34902</c:v>
                </c:pt>
                <c:pt idx="48">
                  <c:v>35257</c:v>
                </c:pt>
                <c:pt idx="49">
                  <c:v>35968</c:v>
                </c:pt>
                <c:pt idx="50">
                  <c:v>36324</c:v>
                </c:pt>
                <c:pt idx="51">
                  <c:v>36679</c:v>
                </c:pt>
                <c:pt idx="52">
                  <c:v>37036</c:v>
                </c:pt>
                <c:pt idx="53">
                  <c:v>37391</c:v>
                </c:pt>
                <c:pt idx="54">
                  <c:v>37747</c:v>
                </c:pt>
                <c:pt idx="55">
                  <c:v>38102</c:v>
                </c:pt>
                <c:pt idx="56">
                  <c:v>38459</c:v>
                </c:pt>
                <c:pt idx="57">
                  <c:v>39170</c:v>
                </c:pt>
                <c:pt idx="58">
                  <c:v>39525</c:v>
                </c:pt>
                <c:pt idx="59">
                  <c:v>39881</c:v>
                </c:pt>
                <c:pt idx="60">
                  <c:v>40237</c:v>
                </c:pt>
                <c:pt idx="61">
                  <c:v>40593</c:v>
                </c:pt>
                <c:pt idx="62">
                  <c:v>40948</c:v>
                </c:pt>
                <c:pt idx="63">
                  <c:v>41304</c:v>
                </c:pt>
                <c:pt idx="64">
                  <c:v>41660</c:v>
                </c:pt>
                <c:pt idx="65">
                  <c:v>42371</c:v>
                </c:pt>
                <c:pt idx="66">
                  <c:v>42727</c:v>
                </c:pt>
                <c:pt idx="67">
                  <c:v>43082</c:v>
                </c:pt>
                <c:pt idx="68">
                  <c:v>43439</c:v>
                </c:pt>
                <c:pt idx="69">
                  <c:v>43794</c:v>
                </c:pt>
                <c:pt idx="70">
                  <c:v>44150</c:v>
                </c:pt>
                <c:pt idx="71">
                  <c:v>44505</c:v>
                </c:pt>
                <c:pt idx="72">
                  <c:v>44862</c:v>
                </c:pt>
                <c:pt idx="73">
                  <c:v>45573</c:v>
                </c:pt>
                <c:pt idx="74">
                  <c:v>45928</c:v>
                </c:pt>
                <c:pt idx="75">
                  <c:v>46284</c:v>
                </c:pt>
                <c:pt idx="76">
                  <c:v>46639</c:v>
                </c:pt>
                <c:pt idx="77">
                  <c:v>46996</c:v>
                </c:pt>
                <c:pt idx="78">
                  <c:v>47351</c:v>
                </c:pt>
                <c:pt idx="79">
                  <c:v>47707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3EB-4F2F-9CD4-F403992F3986}"/>
            </c:ext>
          </c:extLst>
        </c:ser>
        <c:ser>
          <c:idx val="34"/>
          <c:order val="34"/>
          <c:tx>
            <c:strRef>
              <c:f>Sheet1!$AI$1:$AI$2</c:f>
              <c:strCache>
                <c:ptCount val="2"/>
                <c:pt idx="0">
                  <c:v>5</c:v>
                </c:pt>
                <c:pt idx="1">
                  <c:v>마방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Sheet1!$AI$3:$AI$102</c:f>
              <c:numCache>
                <c:formatCode>General</c:formatCode>
                <c:ptCount val="100"/>
                <c:pt idx="0">
                  <c:v>20912</c:v>
                </c:pt>
                <c:pt idx="1">
                  <c:v>21346</c:v>
                </c:pt>
                <c:pt idx="2">
                  <c:v>21782</c:v>
                </c:pt>
                <c:pt idx="3">
                  <c:v>22651</c:v>
                </c:pt>
                <c:pt idx="4">
                  <c:v>23085</c:v>
                </c:pt>
                <c:pt idx="5">
                  <c:v>23520</c:v>
                </c:pt>
                <c:pt idx="6">
                  <c:v>23955</c:v>
                </c:pt>
                <c:pt idx="7">
                  <c:v>24390</c:v>
                </c:pt>
                <c:pt idx="8">
                  <c:v>24824</c:v>
                </c:pt>
                <c:pt idx="9">
                  <c:v>25259</c:v>
                </c:pt>
                <c:pt idx="10">
                  <c:v>25694</c:v>
                </c:pt>
                <c:pt idx="11">
                  <c:v>26563</c:v>
                </c:pt>
                <c:pt idx="12">
                  <c:v>26998</c:v>
                </c:pt>
                <c:pt idx="13">
                  <c:v>27432</c:v>
                </c:pt>
                <c:pt idx="14">
                  <c:v>27868</c:v>
                </c:pt>
                <c:pt idx="15">
                  <c:v>28302</c:v>
                </c:pt>
                <c:pt idx="16">
                  <c:v>28737</c:v>
                </c:pt>
                <c:pt idx="17">
                  <c:v>29171</c:v>
                </c:pt>
                <c:pt idx="18">
                  <c:v>29607</c:v>
                </c:pt>
                <c:pt idx="19">
                  <c:v>30476</c:v>
                </c:pt>
                <c:pt idx="20">
                  <c:v>30910</c:v>
                </c:pt>
                <c:pt idx="21">
                  <c:v>31345</c:v>
                </c:pt>
                <c:pt idx="22">
                  <c:v>31780</c:v>
                </c:pt>
                <c:pt idx="23">
                  <c:v>32215</c:v>
                </c:pt>
                <c:pt idx="24">
                  <c:v>32649</c:v>
                </c:pt>
                <c:pt idx="25">
                  <c:v>33084</c:v>
                </c:pt>
                <c:pt idx="26">
                  <c:v>33953</c:v>
                </c:pt>
                <c:pt idx="27">
                  <c:v>34388</c:v>
                </c:pt>
                <c:pt idx="28">
                  <c:v>34823</c:v>
                </c:pt>
                <c:pt idx="29">
                  <c:v>35257</c:v>
                </c:pt>
                <c:pt idx="30">
                  <c:v>35692</c:v>
                </c:pt>
                <c:pt idx="31">
                  <c:v>36127</c:v>
                </c:pt>
                <c:pt idx="32">
                  <c:v>36562</c:v>
                </c:pt>
                <c:pt idx="33">
                  <c:v>36996</c:v>
                </c:pt>
                <c:pt idx="34">
                  <c:v>37865</c:v>
                </c:pt>
                <c:pt idx="35">
                  <c:v>38301</c:v>
                </c:pt>
                <c:pt idx="36">
                  <c:v>38735</c:v>
                </c:pt>
                <c:pt idx="37">
                  <c:v>39170</c:v>
                </c:pt>
                <c:pt idx="38">
                  <c:v>39604</c:v>
                </c:pt>
                <c:pt idx="39">
                  <c:v>40040</c:v>
                </c:pt>
                <c:pt idx="40">
                  <c:v>40474</c:v>
                </c:pt>
                <c:pt idx="41">
                  <c:v>40909</c:v>
                </c:pt>
                <c:pt idx="42">
                  <c:v>41778</c:v>
                </c:pt>
                <c:pt idx="43">
                  <c:v>42213</c:v>
                </c:pt>
                <c:pt idx="44">
                  <c:v>42648</c:v>
                </c:pt>
                <c:pt idx="45">
                  <c:v>43082</c:v>
                </c:pt>
                <c:pt idx="46">
                  <c:v>43517</c:v>
                </c:pt>
                <c:pt idx="47">
                  <c:v>43952</c:v>
                </c:pt>
                <c:pt idx="48">
                  <c:v>44387</c:v>
                </c:pt>
                <c:pt idx="49">
                  <c:v>45256</c:v>
                </c:pt>
                <c:pt idx="50">
                  <c:v>45690</c:v>
                </c:pt>
                <c:pt idx="51">
                  <c:v>46125</c:v>
                </c:pt>
                <c:pt idx="52">
                  <c:v>46560</c:v>
                </c:pt>
                <c:pt idx="53">
                  <c:v>46995</c:v>
                </c:pt>
                <c:pt idx="54">
                  <c:v>47429</c:v>
                </c:pt>
                <c:pt idx="55">
                  <c:v>47864</c:v>
                </c:pt>
                <c:pt idx="56">
                  <c:v>48299</c:v>
                </c:pt>
                <c:pt idx="57">
                  <c:v>49168</c:v>
                </c:pt>
                <c:pt idx="58">
                  <c:v>49603</c:v>
                </c:pt>
                <c:pt idx="59">
                  <c:v>50037</c:v>
                </c:pt>
                <c:pt idx="60">
                  <c:v>50473</c:v>
                </c:pt>
                <c:pt idx="61">
                  <c:v>50907</c:v>
                </c:pt>
                <c:pt idx="62">
                  <c:v>51342</c:v>
                </c:pt>
                <c:pt idx="63">
                  <c:v>51776</c:v>
                </c:pt>
                <c:pt idx="64">
                  <c:v>52212</c:v>
                </c:pt>
                <c:pt idx="65">
                  <c:v>53081</c:v>
                </c:pt>
                <c:pt idx="66">
                  <c:v>53515</c:v>
                </c:pt>
                <c:pt idx="67">
                  <c:v>53950</c:v>
                </c:pt>
                <c:pt idx="68">
                  <c:v>54385</c:v>
                </c:pt>
                <c:pt idx="69">
                  <c:v>54820</c:v>
                </c:pt>
                <c:pt idx="70">
                  <c:v>55254</c:v>
                </c:pt>
                <c:pt idx="71">
                  <c:v>55689</c:v>
                </c:pt>
                <c:pt idx="72">
                  <c:v>56124</c:v>
                </c:pt>
                <c:pt idx="73">
                  <c:v>56993</c:v>
                </c:pt>
                <c:pt idx="74">
                  <c:v>57428</c:v>
                </c:pt>
                <c:pt idx="75">
                  <c:v>57862</c:v>
                </c:pt>
                <c:pt idx="76">
                  <c:v>58297</c:v>
                </c:pt>
                <c:pt idx="77">
                  <c:v>58732</c:v>
                </c:pt>
                <c:pt idx="78">
                  <c:v>59167</c:v>
                </c:pt>
                <c:pt idx="79">
                  <c:v>59601</c:v>
                </c:pt>
                <c:pt idx="80">
                  <c:v>60470</c:v>
                </c:pt>
                <c:pt idx="81">
                  <c:v>60906</c:v>
                </c:pt>
                <c:pt idx="82">
                  <c:v>61340</c:v>
                </c:pt>
                <c:pt idx="83">
                  <c:v>61775</c:v>
                </c:pt>
                <c:pt idx="84">
                  <c:v>62209</c:v>
                </c:pt>
                <c:pt idx="85">
                  <c:v>62645</c:v>
                </c:pt>
                <c:pt idx="86">
                  <c:v>63079</c:v>
                </c:pt>
                <c:pt idx="87">
                  <c:v>63514</c:v>
                </c:pt>
                <c:pt idx="88">
                  <c:v>64383</c:v>
                </c:pt>
                <c:pt idx="89">
                  <c:v>64818</c:v>
                </c:pt>
                <c:pt idx="90">
                  <c:v>65253</c:v>
                </c:pt>
                <c:pt idx="91">
                  <c:v>65687</c:v>
                </c:pt>
                <c:pt idx="92">
                  <c:v>66122</c:v>
                </c:pt>
                <c:pt idx="93">
                  <c:v>66557</c:v>
                </c:pt>
                <c:pt idx="94">
                  <c:v>66992</c:v>
                </c:pt>
                <c:pt idx="95">
                  <c:v>67426</c:v>
                </c:pt>
                <c:pt idx="96">
                  <c:v>68295</c:v>
                </c:pt>
                <c:pt idx="97">
                  <c:v>68731</c:v>
                </c:pt>
                <c:pt idx="98">
                  <c:v>69165</c:v>
                </c:pt>
                <c:pt idx="99">
                  <c:v>69600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3EB-4F2F-9CD4-F403992F3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878640"/>
        <c:axId val="6308789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Sheet1!$A$1:$A$2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Sheet1!$A$3:$A$102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EB-4F2F-9CD4-F403992F398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Sheet1!$B$1:$B$2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Sheet1!$B$3:$B$102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4452</c:v>
                      </c:pt>
                      <c:pt idx="1">
                        <c:v>5404</c:v>
                      </c:pt>
                      <c:pt idx="2">
                        <c:v>6356</c:v>
                      </c:pt>
                      <c:pt idx="3">
                        <c:v>7336</c:v>
                      </c:pt>
                      <c:pt idx="4">
                        <c:v>8295</c:v>
                      </c:pt>
                      <c:pt idx="5">
                        <c:v>9254</c:v>
                      </c:pt>
                      <c:pt idx="6">
                        <c:v>10213</c:v>
                      </c:pt>
                      <c:pt idx="7">
                        <c:v>11172</c:v>
                      </c:pt>
                      <c:pt idx="8">
                        <c:v>12131</c:v>
                      </c:pt>
                      <c:pt idx="9">
                        <c:v>13090</c:v>
                      </c:pt>
                      <c:pt idx="10">
                        <c:v>14049</c:v>
                      </c:pt>
                      <c:pt idx="11">
                        <c:v>15092</c:v>
                      </c:pt>
                      <c:pt idx="12">
                        <c:v>16058</c:v>
                      </c:pt>
                      <c:pt idx="13">
                        <c:v>17024</c:v>
                      </c:pt>
                      <c:pt idx="14">
                        <c:v>17990</c:v>
                      </c:pt>
                      <c:pt idx="15">
                        <c:v>18956</c:v>
                      </c:pt>
                      <c:pt idx="16">
                        <c:v>19922</c:v>
                      </c:pt>
                      <c:pt idx="17">
                        <c:v>20888</c:v>
                      </c:pt>
                      <c:pt idx="18">
                        <c:v>21854</c:v>
                      </c:pt>
                      <c:pt idx="19">
                        <c:v>22960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3EB-4F2F-9CD4-F403992F398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Sheet1!$C$1:$C$2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Sheet1!$C$3:$C$102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268</c:v>
                      </c:pt>
                      <c:pt idx="1">
                        <c:v>268</c:v>
                      </c:pt>
                      <c:pt idx="2">
                        <c:v>269</c:v>
                      </c:pt>
                      <c:pt idx="3">
                        <c:v>270</c:v>
                      </c:pt>
                      <c:pt idx="4">
                        <c:v>304</c:v>
                      </c:pt>
                      <c:pt idx="5">
                        <c:v>304</c:v>
                      </c:pt>
                      <c:pt idx="6">
                        <c:v>305</c:v>
                      </c:pt>
                      <c:pt idx="7">
                        <c:v>305</c:v>
                      </c:pt>
                      <c:pt idx="8">
                        <c:v>306</c:v>
                      </c:pt>
                      <c:pt idx="9">
                        <c:v>306</c:v>
                      </c:pt>
                      <c:pt idx="10">
                        <c:v>307</c:v>
                      </c:pt>
                      <c:pt idx="11">
                        <c:v>308</c:v>
                      </c:pt>
                      <c:pt idx="12">
                        <c:v>308</c:v>
                      </c:pt>
                      <c:pt idx="13">
                        <c:v>344</c:v>
                      </c:pt>
                      <c:pt idx="14">
                        <c:v>345</c:v>
                      </c:pt>
                      <c:pt idx="15">
                        <c:v>345</c:v>
                      </c:pt>
                      <c:pt idx="16">
                        <c:v>346</c:v>
                      </c:pt>
                      <c:pt idx="17">
                        <c:v>346</c:v>
                      </c:pt>
                      <c:pt idx="18">
                        <c:v>347</c:v>
                      </c:pt>
                      <c:pt idx="19">
                        <c:v>347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3EB-4F2F-9CD4-F403992F398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Sheet1!$D$1:$D$2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Sheet1!$D$3:$D$102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336</c:v>
                      </c:pt>
                      <c:pt idx="1">
                        <c:v>337</c:v>
                      </c:pt>
                      <c:pt idx="2">
                        <c:v>337</c:v>
                      </c:pt>
                      <c:pt idx="3">
                        <c:v>338</c:v>
                      </c:pt>
                      <c:pt idx="4">
                        <c:v>376</c:v>
                      </c:pt>
                      <c:pt idx="5">
                        <c:v>376</c:v>
                      </c:pt>
                      <c:pt idx="6">
                        <c:v>377</c:v>
                      </c:pt>
                      <c:pt idx="7">
                        <c:v>378</c:v>
                      </c:pt>
                      <c:pt idx="8">
                        <c:v>378</c:v>
                      </c:pt>
                      <c:pt idx="9">
                        <c:v>379</c:v>
                      </c:pt>
                      <c:pt idx="10">
                        <c:v>379</c:v>
                      </c:pt>
                      <c:pt idx="11">
                        <c:v>380</c:v>
                      </c:pt>
                      <c:pt idx="12">
                        <c:v>420</c:v>
                      </c:pt>
                      <c:pt idx="13">
                        <c:v>420</c:v>
                      </c:pt>
                      <c:pt idx="14">
                        <c:v>421</c:v>
                      </c:pt>
                      <c:pt idx="15">
                        <c:v>421</c:v>
                      </c:pt>
                      <c:pt idx="16">
                        <c:v>422</c:v>
                      </c:pt>
                      <c:pt idx="17">
                        <c:v>423</c:v>
                      </c:pt>
                      <c:pt idx="18">
                        <c:v>423</c:v>
                      </c:pt>
                      <c:pt idx="19">
                        <c:v>424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3EB-4F2F-9CD4-F403992F398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Sheet1!$E$1:$E$2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Sheet1!$E$3:$E$102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2506</c:v>
                      </c:pt>
                      <c:pt idx="1">
                        <c:v>2506</c:v>
                      </c:pt>
                      <c:pt idx="2">
                        <c:v>2645</c:v>
                      </c:pt>
                      <c:pt idx="3">
                        <c:v>2646</c:v>
                      </c:pt>
                      <c:pt idx="4">
                        <c:v>2647</c:v>
                      </c:pt>
                      <c:pt idx="5">
                        <c:v>2647</c:v>
                      </c:pt>
                      <c:pt idx="6">
                        <c:v>2790</c:v>
                      </c:pt>
                      <c:pt idx="7">
                        <c:v>2791</c:v>
                      </c:pt>
                      <c:pt idx="8">
                        <c:v>2791</c:v>
                      </c:pt>
                      <c:pt idx="9">
                        <c:v>2792</c:v>
                      </c:pt>
                      <c:pt idx="10">
                        <c:v>2938</c:v>
                      </c:pt>
                      <c:pt idx="11">
                        <c:v>2939</c:v>
                      </c:pt>
                      <c:pt idx="12">
                        <c:v>2939</c:v>
                      </c:pt>
                      <c:pt idx="13">
                        <c:v>2940</c:v>
                      </c:pt>
                      <c:pt idx="14">
                        <c:v>3090</c:v>
                      </c:pt>
                      <c:pt idx="15">
                        <c:v>3091</c:v>
                      </c:pt>
                      <c:pt idx="16">
                        <c:v>3091</c:v>
                      </c:pt>
                      <c:pt idx="17">
                        <c:v>3092</c:v>
                      </c:pt>
                      <c:pt idx="18">
                        <c:v>3246</c:v>
                      </c:pt>
                      <c:pt idx="19">
                        <c:v>3246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3EB-4F2F-9CD4-F403992F398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Sheet1!$F$1:$F$2</c15:sqref>
                        </c15:formulaRef>
                      </c:ext>
                    </c:extLst>
                    <c:strCache>
                      <c:ptCount val="2"/>
                      <c:pt idx="0">
                        <c:v>1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Sheet1!$F$3:$F$102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7793</c:v>
                      </c:pt>
                      <c:pt idx="1">
                        <c:v>8004</c:v>
                      </c:pt>
                      <c:pt idx="2">
                        <c:v>8214</c:v>
                      </c:pt>
                      <c:pt idx="3">
                        <c:v>8635</c:v>
                      </c:pt>
                      <c:pt idx="4">
                        <c:v>8847</c:v>
                      </c:pt>
                      <c:pt idx="5">
                        <c:v>9057</c:v>
                      </c:pt>
                      <c:pt idx="6">
                        <c:v>9268</c:v>
                      </c:pt>
                      <c:pt idx="7">
                        <c:v>9479</c:v>
                      </c:pt>
                      <c:pt idx="8">
                        <c:v>9690</c:v>
                      </c:pt>
                      <c:pt idx="9">
                        <c:v>9900</c:v>
                      </c:pt>
                      <c:pt idx="10">
                        <c:v>10111</c:v>
                      </c:pt>
                      <c:pt idx="11">
                        <c:v>10532</c:v>
                      </c:pt>
                      <c:pt idx="12">
                        <c:v>10742</c:v>
                      </c:pt>
                      <c:pt idx="13">
                        <c:v>10953</c:v>
                      </c:pt>
                      <c:pt idx="14">
                        <c:v>11163</c:v>
                      </c:pt>
                      <c:pt idx="15">
                        <c:v>11374</c:v>
                      </c:pt>
                      <c:pt idx="16">
                        <c:v>11584</c:v>
                      </c:pt>
                      <c:pt idx="17">
                        <c:v>11795</c:v>
                      </c:pt>
                      <c:pt idx="18">
                        <c:v>12005</c:v>
                      </c:pt>
                      <c:pt idx="19">
                        <c:v>12426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3EB-4F2F-9CD4-F403992F3986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Sheet1!$H$1:$H$2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Sheet1!$H$3:$H$102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3EB-4F2F-9CD4-F403992F3986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Sheet1!$I$1:$I$2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Sheet1!$I$3:$I$102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5516</c:v>
                      </c:pt>
                      <c:pt idx="1">
                        <c:v>6732</c:v>
                      </c:pt>
                      <c:pt idx="2">
                        <c:v>7948</c:v>
                      </c:pt>
                      <c:pt idx="3">
                        <c:v>9200</c:v>
                      </c:pt>
                      <c:pt idx="4">
                        <c:v>10425</c:v>
                      </c:pt>
                      <c:pt idx="5">
                        <c:v>11650</c:v>
                      </c:pt>
                      <c:pt idx="6">
                        <c:v>12875</c:v>
                      </c:pt>
                      <c:pt idx="7">
                        <c:v>14100</c:v>
                      </c:pt>
                      <c:pt idx="8">
                        <c:v>15325</c:v>
                      </c:pt>
                      <c:pt idx="9">
                        <c:v>16550</c:v>
                      </c:pt>
                      <c:pt idx="10">
                        <c:v>17775</c:v>
                      </c:pt>
                      <c:pt idx="11">
                        <c:v>19105</c:v>
                      </c:pt>
                      <c:pt idx="12">
                        <c:v>20338</c:v>
                      </c:pt>
                      <c:pt idx="13">
                        <c:v>21572</c:v>
                      </c:pt>
                      <c:pt idx="14">
                        <c:v>22806</c:v>
                      </c:pt>
                      <c:pt idx="15">
                        <c:v>24040</c:v>
                      </c:pt>
                      <c:pt idx="16">
                        <c:v>25273</c:v>
                      </c:pt>
                      <c:pt idx="17">
                        <c:v>26507</c:v>
                      </c:pt>
                      <c:pt idx="18">
                        <c:v>27741</c:v>
                      </c:pt>
                      <c:pt idx="19">
                        <c:v>29150</c:v>
                      </c:pt>
                      <c:pt idx="20">
                        <c:v>30392</c:v>
                      </c:pt>
                      <c:pt idx="21">
                        <c:v>31635</c:v>
                      </c:pt>
                      <c:pt idx="22">
                        <c:v>32877</c:v>
                      </c:pt>
                      <c:pt idx="23">
                        <c:v>34120</c:v>
                      </c:pt>
                      <c:pt idx="24">
                        <c:v>35362</c:v>
                      </c:pt>
                      <c:pt idx="25">
                        <c:v>36605</c:v>
                      </c:pt>
                      <c:pt idx="26">
                        <c:v>38083</c:v>
                      </c:pt>
                      <c:pt idx="27">
                        <c:v>39335</c:v>
                      </c:pt>
                      <c:pt idx="28">
                        <c:v>40586</c:v>
                      </c:pt>
                      <c:pt idx="29">
                        <c:v>41837</c:v>
                      </c:pt>
                      <c:pt idx="30">
                        <c:v>43088</c:v>
                      </c:pt>
                      <c:pt idx="31">
                        <c:v>44340</c:v>
                      </c:pt>
                      <c:pt idx="32">
                        <c:v>45591</c:v>
                      </c:pt>
                      <c:pt idx="33">
                        <c:v>46842</c:v>
                      </c:pt>
                      <c:pt idx="34">
                        <c:v>48400</c:v>
                      </c:pt>
                      <c:pt idx="35">
                        <c:v>49660</c:v>
                      </c:pt>
                      <c:pt idx="36">
                        <c:v>50920</c:v>
                      </c:pt>
                      <c:pt idx="37">
                        <c:v>52180</c:v>
                      </c:pt>
                      <c:pt idx="38">
                        <c:v>53440</c:v>
                      </c:pt>
                      <c:pt idx="39">
                        <c:v>54700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3EB-4F2F-9CD4-F403992F3986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Sheet1!$J$1:$J$2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Sheet1!$J$3:$J$102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410</c:v>
                      </c:pt>
                      <c:pt idx="1">
                        <c:v>411</c:v>
                      </c:pt>
                      <c:pt idx="2">
                        <c:v>411</c:v>
                      </c:pt>
                      <c:pt idx="3">
                        <c:v>412</c:v>
                      </c:pt>
                      <c:pt idx="4">
                        <c:v>459</c:v>
                      </c:pt>
                      <c:pt idx="5">
                        <c:v>459</c:v>
                      </c:pt>
                      <c:pt idx="6">
                        <c:v>460</c:v>
                      </c:pt>
                      <c:pt idx="7">
                        <c:v>460</c:v>
                      </c:pt>
                      <c:pt idx="8">
                        <c:v>461</c:v>
                      </c:pt>
                      <c:pt idx="9">
                        <c:v>461</c:v>
                      </c:pt>
                      <c:pt idx="10">
                        <c:v>462</c:v>
                      </c:pt>
                      <c:pt idx="11">
                        <c:v>463</c:v>
                      </c:pt>
                      <c:pt idx="12">
                        <c:v>463</c:v>
                      </c:pt>
                      <c:pt idx="13">
                        <c:v>512</c:v>
                      </c:pt>
                      <c:pt idx="14">
                        <c:v>513</c:v>
                      </c:pt>
                      <c:pt idx="15">
                        <c:v>513</c:v>
                      </c:pt>
                      <c:pt idx="16">
                        <c:v>514</c:v>
                      </c:pt>
                      <c:pt idx="17">
                        <c:v>515</c:v>
                      </c:pt>
                      <c:pt idx="18">
                        <c:v>515</c:v>
                      </c:pt>
                      <c:pt idx="19">
                        <c:v>516</c:v>
                      </c:pt>
                      <c:pt idx="20">
                        <c:v>516</c:v>
                      </c:pt>
                      <c:pt idx="21">
                        <c:v>517</c:v>
                      </c:pt>
                      <c:pt idx="22">
                        <c:v>569</c:v>
                      </c:pt>
                      <c:pt idx="23">
                        <c:v>569</c:v>
                      </c:pt>
                      <c:pt idx="24">
                        <c:v>570</c:v>
                      </c:pt>
                      <c:pt idx="25">
                        <c:v>570</c:v>
                      </c:pt>
                      <c:pt idx="26">
                        <c:v>571</c:v>
                      </c:pt>
                      <c:pt idx="27">
                        <c:v>571</c:v>
                      </c:pt>
                      <c:pt idx="28">
                        <c:v>572</c:v>
                      </c:pt>
                      <c:pt idx="29">
                        <c:v>573</c:v>
                      </c:pt>
                      <c:pt idx="30">
                        <c:v>573</c:v>
                      </c:pt>
                      <c:pt idx="31">
                        <c:v>628</c:v>
                      </c:pt>
                      <c:pt idx="32">
                        <c:v>628</c:v>
                      </c:pt>
                      <c:pt idx="33">
                        <c:v>629</c:v>
                      </c:pt>
                      <c:pt idx="34">
                        <c:v>629</c:v>
                      </c:pt>
                      <c:pt idx="35">
                        <c:v>630</c:v>
                      </c:pt>
                      <c:pt idx="36">
                        <c:v>630</c:v>
                      </c:pt>
                      <c:pt idx="37">
                        <c:v>631</c:v>
                      </c:pt>
                      <c:pt idx="38">
                        <c:v>631</c:v>
                      </c:pt>
                      <c:pt idx="39">
                        <c:v>632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3EB-4F2F-9CD4-F403992F3986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Sheet1!$K$1:$K$2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Sheet1!$K$3:$K$102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504</c:v>
                      </c:pt>
                      <c:pt idx="1">
                        <c:v>505</c:v>
                      </c:pt>
                      <c:pt idx="2">
                        <c:v>506</c:v>
                      </c:pt>
                      <c:pt idx="3">
                        <c:v>506</c:v>
                      </c:pt>
                      <c:pt idx="4">
                        <c:v>558</c:v>
                      </c:pt>
                      <c:pt idx="5">
                        <c:v>558</c:v>
                      </c:pt>
                      <c:pt idx="6">
                        <c:v>559</c:v>
                      </c:pt>
                      <c:pt idx="7">
                        <c:v>560</c:v>
                      </c:pt>
                      <c:pt idx="8">
                        <c:v>560</c:v>
                      </c:pt>
                      <c:pt idx="9">
                        <c:v>561</c:v>
                      </c:pt>
                      <c:pt idx="10">
                        <c:v>561</c:v>
                      </c:pt>
                      <c:pt idx="11">
                        <c:v>562</c:v>
                      </c:pt>
                      <c:pt idx="12">
                        <c:v>616</c:v>
                      </c:pt>
                      <c:pt idx="13">
                        <c:v>617</c:v>
                      </c:pt>
                      <c:pt idx="14">
                        <c:v>617</c:v>
                      </c:pt>
                      <c:pt idx="15">
                        <c:v>618</c:v>
                      </c:pt>
                      <c:pt idx="16">
                        <c:v>618</c:v>
                      </c:pt>
                      <c:pt idx="17">
                        <c:v>619</c:v>
                      </c:pt>
                      <c:pt idx="18">
                        <c:v>619</c:v>
                      </c:pt>
                      <c:pt idx="19">
                        <c:v>620</c:v>
                      </c:pt>
                      <c:pt idx="20">
                        <c:v>677</c:v>
                      </c:pt>
                      <c:pt idx="21">
                        <c:v>677</c:v>
                      </c:pt>
                      <c:pt idx="22">
                        <c:v>678</c:v>
                      </c:pt>
                      <c:pt idx="23">
                        <c:v>679</c:v>
                      </c:pt>
                      <c:pt idx="24">
                        <c:v>679</c:v>
                      </c:pt>
                      <c:pt idx="25">
                        <c:v>680</c:v>
                      </c:pt>
                      <c:pt idx="26">
                        <c:v>680</c:v>
                      </c:pt>
                      <c:pt idx="27">
                        <c:v>681</c:v>
                      </c:pt>
                      <c:pt idx="28">
                        <c:v>681</c:v>
                      </c:pt>
                      <c:pt idx="29">
                        <c:v>740</c:v>
                      </c:pt>
                      <c:pt idx="30">
                        <c:v>741</c:v>
                      </c:pt>
                      <c:pt idx="31">
                        <c:v>742</c:v>
                      </c:pt>
                      <c:pt idx="32">
                        <c:v>742</c:v>
                      </c:pt>
                      <c:pt idx="33">
                        <c:v>743</c:v>
                      </c:pt>
                      <c:pt idx="34">
                        <c:v>743</c:v>
                      </c:pt>
                      <c:pt idx="35">
                        <c:v>744</c:v>
                      </c:pt>
                      <c:pt idx="36">
                        <c:v>745</c:v>
                      </c:pt>
                      <c:pt idx="37">
                        <c:v>806</c:v>
                      </c:pt>
                      <c:pt idx="38">
                        <c:v>807</c:v>
                      </c:pt>
                      <c:pt idx="39">
                        <c:v>807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3EB-4F2F-9CD4-F403992F3986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Sheet1!$L$1:$L$2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Sheet1!$L$3:$L$102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4027</c:v>
                      </c:pt>
                      <c:pt idx="1">
                        <c:v>4027</c:v>
                      </c:pt>
                      <c:pt idx="2">
                        <c:v>4224</c:v>
                      </c:pt>
                      <c:pt idx="3">
                        <c:v>4225</c:v>
                      </c:pt>
                      <c:pt idx="4">
                        <c:v>4226</c:v>
                      </c:pt>
                      <c:pt idx="5">
                        <c:v>4226</c:v>
                      </c:pt>
                      <c:pt idx="6">
                        <c:v>4427</c:v>
                      </c:pt>
                      <c:pt idx="7">
                        <c:v>4428</c:v>
                      </c:pt>
                      <c:pt idx="8">
                        <c:v>4429</c:v>
                      </c:pt>
                      <c:pt idx="9">
                        <c:v>4429</c:v>
                      </c:pt>
                      <c:pt idx="10">
                        <c:v>4635</c:v>
                      </c:pt>
                      <c:pt idx="11">
                        <c:v>4636</c:v>
                      </c:pt>
                      <c:pt idx="12">
                        <c:v>4637</c:v>
                      </c:pt>
                      <c:pt idx="13">
                        <c:v>4637</c:v>
                      </c:pt>
                      <c:pt idx="14">
                        <c:v>4848</c:v>
                      </c:pt>
                      <c:pt idx="15">
                        <c:v>4848</c:v>
                      </c:pt>
                      <c:pt idx="16">
                        <c:v>4849</c:v>
                      </c:pt>
                      <c:pt idx="17">
                        <c:v>4850</c:v>
                      </c:pt>
                      <c:pt idx="18">
                        <c:v>5065</c:v>
                      </c:pt>
                      <c:pt idx="19">
                        <c:v>5066</c:v>
                      </c:pt>
                      <c:pt idx="20">
                        <c:v>5066</c:v>
                      </c:pt>
                      <c:pt idx="21">
                        <c:v>5067</c:v>
                      </c:pt>
                      <c:pt idx="22">
                        <c:v>5287</c:v>
                      </c:pt>
                      <c:pt idx="23">
                        <c:v>5288</c:v>
                      </c:pt>
                      <c:pt idx="24">
                        <c:v>5288</c:v>
                      </c:pt>
                      <c:pt idx="25">
                        <c:v>5289</c:v>
                      </c:pt>
                      <c:pt idx="26">
                        <c:v>5289</c:v>
                      </c:pt>
                      <c:pt idx="27">
                        <c:v>5514</c:v>
                      </c:pt>
                      <c:pt idx="28">
                        <c:v>5515</c:v>
                      </c:pt>
                      <c:pt idx="29">
                        <c:v>5515</c:v>
                      </c:pt>
                      <c:pt idx="30">
                        <c:v>5516</c:v>
                      </c:pt>
                      <c:pt idx="31">
                        <c:v>5745</c:v>
                      </c:pt>
                      <c:pt idx="32">
                        <c:v>5746</c:v>
                      </c:pt>
                      <c:pt idx="33">
                        <c:v>5746</c:v>
                      </c:pt>
                      <c:pt idx="34">
                        <c:v>5747</c:v>
                      </c:pt>
                      <c:pt idx="35">
                        <c:v>5981</c:v>
                      </c:pt>
                      <c:pt idx="36">
                        <c:v>5982</c:v>
                      </c:pt>
                      <c:pt idx="37">
                        <c:v>5983</c:v>
                      </c:pt>
                      <c:pt idx="38">
                        <c:v>5983</c:v>
                      </c:pt>
                      <c:pt idx="39">
                        <c:v>6222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3EB-4F2F-9CD4-F403992F3986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Sheet1!$M$1:$M$2</c15:sqref>
                        </c15:formulaRef>
                      </c:ext>
                    </c:extLst>
                    <c:strCache>
                      <c:ptCount val="2"/>
                      <c:pt idx="0">
                        <c:v>2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Sheet1!$M$3:$M$102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10547</c:v>
                      </c:pt>
                      <c:pt idx="1">
                        <c:v>10810</c:v>
                      </c:pt>
                      <c:pt idx="2">
                        <c:v>11074</c:v>
                      </c:pt>
                      <c:pt idx="3">
                        <c:v>11601</c:v>
                      </c:pt>
                      <c:pt idx="4">
                        <c:v>11864</c:v>
                      </c:pt>
                      <c:pt idx="5">
                        <c:v>12128</c:v>
                      </c:pt>
                      <c:pt idx="6">
                        <c:v>12391</c:v>
                      </c:pt>
                      <c:pt idx="7">
                        <c:v>12655</c:v>
                      </c:pt>
                      <c:pt idx="8">
                        <c:v>12918</c:v>
                      </c:pt>
                      <c:pt idx="9">
                        <c:v>13182</c:v>
                      </c:pt>
                      <c:pt idx="10">
                        <c:v>13445</c:v>
                      </c:pt>
                      <c:pt idx="11">
                        <c:v>13972</c:v>
                      </c:pt>
                      <c:pt idx="12">
                        <c:v>14236</c:v>
                      </c:pt>
                      <c:pt idx="13">
                        <c:v>14499</c:v>
                      </c:pt>
                      <c:pt idx="14">
                        <c:v>14763</c:v>
                      </c:pt>
                      <c:pt idx="15">
                        <c:v>15026</c:v>
                      </c:pt>
                      <c:pt idx="16">
                        <c:v>15290</c:v>
                      </c:pt>
                      <c:pt idx="17">
                        <c:v>15553</c:v>
                      </c:pt>
                      <c:pt idx="18">
                        <c:v>15817</c:v>
                      </c:pt>
                      <c:pt idx="19">
                        <c:v>16344</c:v>
                      </c:pt>
                      <c:pt idx="20">
                        <c:v>16607</c:v>
                      </c:pt>
                      <c:pt idx="21">
                        <c:v>16871</c:v>
                      </c:pt>
                      <c:pt idx="22">
                        <c:v>17135</c:v>
                      </c:pt>
                      <c:pt idx="23">
                        <c:v>17399</c:v>
                      </c:pt>
                      <c:pt idx="24">
                        <c:v>17662</c:v>
                      </c:pt>
                      <c:pt idx="25">
                        <c:v>17926</c:v>
                      </c:pt>
                      <c:pt idx="26">
                        <c:v>18453</c:v>
                      </c:pt>
                      <c:pt idx="27">
                        <c:v>18716</c:v>
                      </c:pt>
                      <c:pt idx="28">
                        <c:v>18980</c:v>
                      </c:pt>
                      <c:pt idx="29">
                        <c:v>19243</c:v>
                      </c:pt>
                      <c:pt idx="30">
                        <c:v>19507</c:v>
                      </c:pt>
                      <c:pt idx="31">
                        <c:v>19770</c:v>
                      </c:pt>
                      <c:pt idx="32">
                        <c:v>20034</c:v>
                      </c:pt>
                      <c:pt idx="33">
                        <c:v>20297</c:v>
                      </c:pt>
                      <c:pt idx="34">
                        <c:v>20824</c:v>
                      </c:pt>
                      <c:pt idx="35">
                        <c:v>21088</c:v>
                      </c:pt>
                      <c:pt idx="36">
                        <c:v>21351</c:v>
                      </c:pt>
                      <c:pt idx="37">
                        <c:v>21615</c:v>
                      </c:pt>
                      <c:pt idx="38">
                        <c:v>21878</c:v>
                      </c:pt>
                      <c:pt idx="39">
                        <c:v>22143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3EB-4F2F-9CD4-F403992F3986}"/>
                  </c:ext>
                </c:extLst>
              </c15:ser>
            </c15:filteredLineSeries>
            <c15:filteredLine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Sheet1!$O$1:$O$2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Sheet1!$O$3:$O$102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3EB-4F2F-9CD4-F403992F3986}"/>
                  </c:ext>
                </c:extLst>
              </c15:ser>
            </c15:filteredLineSeries>
            <c15:filteredLine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Sheet1!$P$1:$P$2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Sheet1!$P$3:$P$102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7340</c:v>
                      </c:pt>
                      <c:pt idx="1">
                        <c:v>8980</c:v>
                      </c:pt>
                      <c:pt idx="2">
                        <c:v>10620</c:v>
                      </c:pt>
                      <c:pt idx="3">
                        <c:v>12306</c:v>
                      </c:pt>
                      <c:pt idx="4">
                        <c:v>13958</c:v>
                      </c:pt>
                      <c:pt idx="5">
                        <c:v>15609</c:v>
                      </c:pt>
                      <c:pt idx="6">
                        <c:v>17261</c:v>
                      </c:pt>
                      <c:pt idx="7">
                        <c:v>18913</c:v>
                      </c:pt>
                      <c:pt idx="8">
                        <c:v>20564</c:v>
                      </c:pt>
                      <c:pt idx="9">
                        <c:v>22216</c:v>
                      </c:pt>
                      <c:pt idx="10">
                        <c:v>23868</c:v>
                      </c:pt>
                      <c:pt idx="11">
                        <c:v>25658</c:v>
                      </c:pt>
                      <c:pt idx="12">
                        <c:v>27321</c:v>
                      </c:pt>
                      <c:pt idx="13">
                        <c:v>28984</c:v>
                      </c:pt>
                      <c:pt idx="14">
                        <c:v>30648</c:v>
                      </c:pt>
                      <c:pt idx="15">
                        <c:v>32311</c:v>
                      </c:pt>
                      <c:pt idx="16">
                        <c:v>33974</c:v>
                      </c:pt>
                      <c:pt idx="17">
                        <c:v>35637</c:v>
                      </c:pt>
                      <c:pt idx="18">
                        <c:v>37300</c:v>
                      </c:pt>
                      <c:pt idx="19">
                        <c:v>39195</c:v>
                      </c:pt>
                      <c:pt idx="20">
                        <c:v>40869</c:v>
                      </c:pt>
                      <c:pt idx="21">
                        <c:v>42544</c:v>
                      </c:pt>
                      <c:pt idx="22">
                        <c:v>44219</c:v>
                      </c:pt>
                      <c:pt idx="23">
                        <c:v>45894</c:v>
                      </c:pt>
                      <c:pt idx="24">
                        <c:v>47568</c:v>
                      </c:pt>
                      <c:pt idx="25">
                        <c:v>49243</c:v>
                      </c:pt>
                      <c:pt idx="26">
                        <c:v>51230</c:v>
                      </c:pt>
                      <c:pt idx="27">
                        <c:v>52916</c:v>
                      </c:pt>
                      <c:pt idx="28">
                        <c:v>54602</c:v>
                      </c:pt>
                      <c:pt idx="29">
                        <c:v>56289</c:v>
                      </c:pt>
                      <c:pt idx="30">
                        <c:v>57975</c:v>
                      </c:pt>
                      <c:pt idx="31">
                        <c:v>59661</c:v>
                      </c:pt>
                      <c:pt idx="32">
                        <c:v>61347</c:v>
                      </c:pt>
                      <c:pt idx="33">
                        <c:v>63034</c:v>
                      </c:pt>
                      <c:pt idx="34">
                        <c:v>65124</c:v>
                      </c:pt>
                      <c:pt idx="35">
                        <c:v>66822</c:v>
                      </c:pt>
                      <c:pt idx="36">
                        <c:v>68520</c:v>
                      </c:pt>
                      <c:pt idx="37">
                        <c:v>70218</c:v>
                      </c:pt>
                      <c:pt idx="38">
                        <c:v>71916</c:v>
                      </c:pt>
                      <c:pt idx="39">
                        <c:v>73614</c:v>
                      </c:pt>
                      <c:pt idx="40">
                        <c:v>75311</c:v>
                      </c:pt>
                      <c:pt idx="41">
                        <c:v>77009</c:v>
                      </c:pt>
                      <c:pt idx="42">
                        <c:v>79204</c:v>
                      </c:pt>
                      <c:pt idx="43">
                        <c:v>80913</c:v>
                      </c:pt>
                      <c:pt idx="44">
                        <c:v>82623</c:v>
                      </c:pt>
                      <c:pt idx="45">
                        <c:v>84332</c:v>
                      </c:pt>
                      <c:pt idx="46">
                        <c:v>86041</c:v>
                      </c:pt>
                      <c:pt idx="47">
                        <c:v>87751</c:v>
                      </c:pt>
                      <c:pt idx="48">
                        <c:v>89460</c:v>
                      </c:pt>
                      <c:pt idx="49">
                        <c:v>91747</c:v>
                      </c:pt>
                      <c:pt idx="50">
                        <c:v>93468</c:v>
                      </c:pt>
                      <c:pt idx="51">
                        <c:v>95189</c:v>
                      </c:pt>
                      <c:pt idx="52">
                        <c:v>96910</c:v>
                      </c:pt>
                      <c:pt idx="53">
                        <c:v>98631</c:v>
                      </c:pt>
                      <c:pt idx="54">
                        <c:v>100352</c:v>
                      </c:pt>
                      <c:pt idx="55">
                        <c:v>102073</c:v>
                      </c:pt>
                      <c:pt idx="56">
                        <c:v>103794</c:v>
                      </c:pt>
                      <c:pt idx="57">
                        <c:v>106185</c:v>
                      </c:pt>
                      <c:pt idx="58">
                        <c:v>107917</c:v>
                      </c:pt>
                      <c:pt idx="59">
                        <c:v>109650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3EB-4F2F-9CD4-F403992F3986}"/>
                  </c:ext>
                </c:extLst>
              </c15:ser>
            </c15:filteredLineSeries>
            <c15:filteredLine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Sheet1!$Q$1:$Q$2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Sheet1!$Q$3:$Q$102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654</c:v>
                      </c:pt>
                      <c:pt idx="1">
                        <c:v>655</c:v>
                      </c:pt>
                      <c:pt idx="2">
                        <c:v>655</c:v>
                      </c:pt>
                      <c:pt idx="3">
                        <c:v>656</c:v>
                      </c:pt>
                      <c:pt idx="4">
                        <c:v>724</c:v>
                      </c:pt>
                      <c:pt idx="5">
                        <c:v>724</c:v>
                      </c:pt>
                      <c:pt idx="6">
                        <c:v>725</c:v>
                      </c:pt>
                      <c:pt idx="7">
                        <c:v>725</c:v>
                      </c:pt>
                      <c:pt idx="8">
                        <c:v>726</c:v>
                      </c:pt>
                      <c:pt idx="9">
                        <c:v>726</c:v>
                      </c:pt>
                      <c:pt idx="10">
                        <c:v>727</c:v>
                      </c:pt>
                      <c:pt idx="11">
                        <c:v>728</c:v>
                      </c:pt>
                      <c:pt idx="12">
                        <c:v>728</c:v>
                      </c:pt>
                      <c:pt idx="13">
                        <c:v>799</c:v>
                      </c:pt>
                      <c:pt idx="14">
                        <c:v>800</c:v>
                      </c:pt>
                      <c:pt idx="15">
                        <c:v>800</c:v>
                      </c:pt>
                      <c:pt idx="16">
                        <c:v>801</c:v>
                      </c:pt>
                      <c:pt idx="17">
                        <c:v>802</c:v>
                      </c:pt>
                      <c:pt idx="18">
                        <c:v>802</c:v>
                      </c:pt>
                      <c:pt idx="19">
                        <c:v>803</c:v>
                      </c:pt>
                      <c:pt idx="20">
                        <c:v>803</c:v>
                      </c:pt>
                      <c:pt idx="21">
                        <c:v>804</c:v>
                      </c:pt>
                      <c:pt idx="22">
                        <c:v>878</c:v>
                      </c:pt>
                      <c:pt idx="23">
                        <c:v>879</c:v>
                      </c:pt>
                      <c:pt idx="24">
                        <c:v>879</c:v>
                      </c:pt>
                      <c:pt idx="25">
                        <c:v>880</c:v>
                      </c:pt>
                      <c:pt idx="26">
                        <c:v>880</c:v>
                      </c:pt>
                      <c:pt idx="27">
                        <c:v>881</c:v>
                      </c:pt>
                      <c:pt idx="28">
                        <c:v>881</c:v>
                      </c:pt>
                      <c:pt idx="29">
                        <c:v>882</c:v>
                      </c:pt>
                      <c:pt idx="30">
                        <c:v>883</c:v>
                      </c:pt>
                      <c:pt idx="31">
                        <c:v>961</c:v>
                      </c:pt>
                      <c:pt idx="32">
                        <c:v>961</c:v>
                      </c:pt>
                      <c:pt idx="33">
                        <c:v>962</c:v>
                      </c:pt>
                      <c:pt idx="34">
                        <c:v>962</c:v>
                      </c:pt>
                      <c:pt idx="35">
                        <c:v>963</c:v>
                      </c:pt>
                      <c:pt idx="36">
                        <c:v>963</c:v>
                      </c:pt>
                      <c:pt idx="37">
                        <c:v>964</c:v>
                      </c:pt>
                      <c:pt idx="38">
                        <c:v>965</c:v>
                      </c:pt>
                      <c:pt idx="39">
                        <c:v>965</c:v>
                      </c:pt>
                      <c:pt idx="40">
                        <c:v>1046</c:v>
                      </c:pt>
                      <c:pt idx="41">
                        <c:v>1047</c:v>
                      </c:pt>
                      <c:pt idx="42">
                        <c:v>1047</c:v>
                      </c:pt>
                      <c:pt idx="43">
                        <c:v>1048</c:v>
                      </c:pt>
                      <c:pt idx="44">
                        <c:v>1048</c:v>
                      </c:pt>
                      <c:pt idx="45">
                        <c:v>1049</c:v>
                      </c:pt>
                      <c:pt idx="46">
                        <c:v>1050</c:v>
                      </c:pt>
                      <c:pt idx="47">
                        <c:v>1050</c:v>
                      </c:pt>
                      <c:pt idx="48">
                        <c:v>1051</c:v>
                      </c:pt>
                      <c:pt idx="49">
                        <c:v>1135</c:v>
                      </c:pt>
                      <c:pt idx="50">
                        <c:v>1136</c:v>
                      </c:pt>
                      <c:pt idx="51">
                        <c:v>1136</c:v>
                      </c:pt>
                      <c:pt idx="52">
                        <c:v>1137</c:v>
                      </c:pt>
                      <c:pt idx="53">
                        <c:v>1137</c:v>
                      </c:pt>
                      <c:pt idx="54">
                        <c:v>1138</c:v>
                      </c:pt>
                      <c:pt idx="55">
                        <c:v>1139</c:v>
                      </c:pt>
                      <c:pt idx="56">
                        <c:v>1139</c:v>
                      </c:pt>
                      <c:pt idx="57">
                        <c:v>1140</c:v>
                      </c:pt>
                      <c:pt idx="58">
                        <c:v>1140</c:v>
                      </c:pt>
                      <c:pt idx="59">
                        <c:v>1228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3EB-4F2F-9CD4-F403992F3986}"/>
                  </c:ext>
                </c:extLst>
              </c15:ser>
            </c15:filteredLineSeries>
            <c15:filteredLine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Sheet1!$R$1:$R$2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Sheet1!$R$3:$R$102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791</c:v>
                      </c:pt>
                      <c:pt idx="1">
                        <c:v>792</c:v>
                      </c:pt>
                      <c:pt idx="2">
                        <c:v>792</c:v>
                      </c:pt>
                      <c:pt idx="3">
                        <c:v>793</c:v>
                      </c:pt>
                      <c:pt idx="4">
                        <c:v>867</c:v>
                      </c:pt>
                      <c:pt idx="5">
                        <c:v>868</c:v>
                      </c:pt>
                      <c:pt idx="6">
                        <c:v>868</c:v>
                      </c:pt>
                      <c:pt idx="7">
                        <c:v>869</c:v>
                      </c:pt>
                      <c:pt idx="8">
                        <c:v>870</c:v>
                      </c:pt>
                      <c:pt idx="9">
                        <c:v>870</c:v>
                      </c:pt>
                      <c:pt idx="10">
                        <c:v>871</c:v>
                      </c:pt>
                      <c:pt idx="11">
                        <c:v>871</c:v>
                      </c:pt>
                      <c:pt idx="12">
                        <c:v>949</c:v>
                      </c:pt>
                      <c:pt idx="13">
                        <c:v>950</c:v>
                      </c:pt>
                      <c:pt idx="14">
                        <c:v>950</c:v>
                      </c:pt>
                      <c:pt idx="15">
                        <c:v>951</c:v>
                      </c:pt>
                      <c:pt idx="16">
                        <c:v>951</c:v>
                      </c:pt>
                      <c:pt idx="17">
                        <c:v>952</c:v>
                      </c:pt>
                      <c:pt idx="18">
                        <c:v>952</c:v>
                      </c:pt>
                      <c:pt idx="19">
                        <c:v>953</c:v>
                      </c:pt>
                      <c:pt idx="20">
                        <c:v>1034</c:v>
                      </c:pt>
                      <c:pt idx="21">
                        <c:v>1035</c:v>
                      </c:pt>
                      <c:pt idx="22">
                        <c:v>1035</c:v>
                      </c:pt>
                      <c:pt idx="23">
                        <c:v>1036</c:v>
                      </c:pt>
                      <c:pt idx="24">
                        <c:v>1036</c:v>
                      </c:pt>
                      <c:pt idx="25">
                        <c:v>1037</c:v>
                      </c:pt>
                      <c:pt idx="26">
                        <c:v>1038</c:v>
                      </c:pt>
                      <c:pt idx="27">
                        <c:v>1038</c:v>
                      </c:pt>
                      <c:pt idx="28">
                        <c:v>1039</c:v>
                      </c:pt>
                      <c:pt idx="29">
                        <c:v>1123</c:v>
                      </c:pt>
                      <c:pt idx="30">
                        <c:v>1124</c:v>
                      </c:pt>
                      <c:pt idx="31">
                        <c:v>1124</c:v>
                      </c:pt>
                      <c:pt idx="32">
                        <c:v>1125</c:v>
                      </c:pt>
                      <c:pt idx="33">
                        <c:v>1125</c:v>
                      </c:pt>
                      <c:pt idx="34">
                        <c:v>1126</c:v>
                      </c:pt>
                      <c:pt idx="35">
                        <c:v>1127</c:v>
                      </c:pt>
                      <c:pt idx="36">
                        <c:v>1127</c:v>
                      </c:pt>
                      <c:pt idx="37">
                        <c:v>1215</c:v>
                      </c:pt>
                      <c:pt idx="38">
                        <c:v>1215</c:v>
                      </c:pt>
                      <c:pt idx="39">
                        <c:v>1216</c:v>
                      </c:pt>
                      <c:pt idx="40">
                        <c:v>1217</c:v>
                      </c:pt>
                      <c:pt idx="41">
                        <c:v>1217</c:v>
                      </c:pt>
                      <c:pt idx="42">
                        <c:v>1218</c:v>
                      </c:pt>
                      <c:pt idx="43">
                        <c:v>1218</c:v>
                      </c:pt>
                      <c:pt idx="44">
                        <c:v>1219</c:v>
                      </c:pt>
                      <c:pt idx="45">
                        <c:v>1310</c:v>
                      </c:pt>
                      <c:pt idx="46">
                        <c:v>1310</c:v>
                      </c:pt>
                      <c:pt idx="47">
                        <c:v>1311</c:v>
                      </c:pt>
                      <c:pt idx="48">
                        <c:v>1311</c:v>
                      </c:pt>
                      <c:pt idx="49">
                        <c:v>1312</c:v>
                      </c:pt>
                      <c:pt idx="50">
                        <c:v>1313</c:v>
                      </c:pt>
                      <c:pt idx="51">
                        <c:v>1313</c:v>
                      </c:pt>
                      <c:pt idx="52">
                        <c:v>1314</c:v>
                      </c:pt>
                      <c:pt idx="53">
                        <c:v>1314</c:v>
                      </c:pt>
                      <c:pt idx="54">
                        <c:v>1409</c:v>
                      </c:pt>
                      <c:pt idx="55">
                        <c:v>1409</c:v>
                      </c:pt>
                      <c:pt idx="56">
                        <c:v>1410</c:v>
                      </c:pt>
                      <c:pt idx="57">
                        <c:v>1410</c:v>
                      </c:pt>
                      <c:pt idx="58">
                        <c:v>1411</c:v>
                      </c:pt>
                      <c:pt idx="59">
                        <c:v>1412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3EB-4F2F-9CD4-F403992F3986}"/>
                  </c:ext>
                </c:extLst>
              </c15:ser>
            </c15:filteredLineSeries>
            <c15:filteredLine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Sheet1!$S$1:$S$2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Sheet1!$S$3:$S$102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6622</c:v>
                      </c:pt>
                      <c:pt idx="1">
                        <c:v>6622</c:v>
                      </c:pt>
                      <c:pt idx="2">
                        <c:v>6912</c:v>
                      </c:pt>
                      <c:pt idx="3">
                        <c:v>6912</c:v>
                      </c:pt>
                      <c:pt idx="4">
                        <c:v>6913</c:v>
                      </c:pt>
                      <c:pt idx="5">
                        <c:v>6913</c:v>
                      </c:pt>
                      <c:pt idx="6">
                        <c:v>7208</c:v>
                      </c:pt>
                      <c:pt idx="7">
                        <c:v>7209</c:v>
                      </c:pt>
                      <c:pt idx="8">
                        <c:v>7210</c:v>
                      </c:pt>
                      <c:pt idx="9">
                        <c:v>7210</c:v>
                      </c:pt>
                      <c:pt idx="10">
                        <c:v>7511</c:v>
                      </c:pt>
                      <c:pt idx="11">
                        <c:v>7512</c:v>
                      </c:pt>
                      <c:pt idx="12">
                        <c:v>7513</c:v>
                      </c:pt>
                      <c:pt idx="13">
                        <c:v>7513</c:v>
                      </c:pt>
                      <c:pt idx="14">
                        <c:v>7821</c:v>
                      </c:pt>
                      <c:pt idx="15">
                        <c:v>7821</c:v>
                      </c:pt>
                      <c:pt idx="16">
                        <c:v>7822</c:v>
                      </c:pt>
                      <c:pt idx="17">
                        <c:v>7822</c:v>
                      </c:pt>
                      <c:pt idx="18">
                        <c:v>8136</c:v>
                      </c:pt>
                      <c:pt idx="19">
                        <c:v>8136</c:v>
                      </c:pt>
                      <c:pt idx="20">
                        <c:v>8137</c:v>
                      </c:pt>
                      <c:pt idx="21">
                        <c:v>8138</c:v>
                      </c:pt>
                      <c:pt idx="22">
                        <c:v>8458</c:v>
                      </c:pt>
                      <c:pt idx="23">
                        <c:v>8458</c:v>
                      </c:pt>
                      <c:pt idx="24">
                        <c:v>8459</c:v>
                      </c:pt>
                      <c:pt idx="25">
                        <c:v>8459</c:v>
                      </c:pt>
                      <c:pt idx="26">
                        <c:v>8460</c:v>
                      </c:pt>
                      <c:pt idx="27">
                        <c:v>8786</c:v>
                      </c:pt>
                      <c:pt idx="28">
                        <c:v>8786</c:v>
                      </c:pt>
                      <c:pt idx="29">
                        <c:v>8787</c:v>
                      </c:pt>
                      <c:pt idx="30">
                        <c:v>8788</c:v>
                      </c:pt>
                      <c:pt idx="31">
                        <c:v>9120</c:v>
                      </c:pt>
                      <c:pt idx="32">
                        <c:v>9120</c:v>
                      </c:pt>
                      <c:pt idx="33">
                        <c:v>9121</c:v>
                      </c:pt>
                      <c:pt idx="34">
                        <c:v>9121</c:v>
                      </c:pt>
                      <c:pt idx="35">
                        <c:v>9460</c:v>
                      </c:pt>
                      <c:pt idx="36">
                        <c:v>9460</c:v>
                      </c:pt>
                      <c:pt idx="37">
                        <c:v>9461</c:v>
                      </c:pt>
                      <c:pt idx="38">
                        <c:v>9461</c:v>
                      </c:pt>
                      <c:pt idx="39">
                        <c:v>9806</c:v>
                      </c:pt>
                      <c:pt idx="40">
                        <c:v>9806</c:v>
                      </c:pt>
                      <c:pt idx="41">
                        <c:v>9807</c:v>
                      </c:pt>
                      <c:pt idx="42">
                        <c:v>9807</c:v>
                      </c:pt>
                      <c:pt idx="43">
                        <c:v>10158</c:v>
                      </c:pt>
                      <c:pt idx="44">
                        <c:v>10158</c:v>
                      </c:pt>
                      <c:pt idx="45">
                        <c:v>10159</c:v>
                      </c:pt>
                      <c:pt idx="46">
                        <c:v>10160</c:v>
                      </c:pt>
                      <c:pt idx="47">
                        <c:v>10516</c:v>
                      </c:pt>
                      <c:pt idx="48">
                        <c:v>10517</c:v>
                      </c:pt>
                      <c:pt idx="49">
                        <c:v>10518</c:v>
                      </c:pt>
                      <c:pt idx="50">
                        <c:v>10518</c:v>
                      </c:pt>
                      <c:pt idx="51">
                        <c:v>10519</c:v>
                      </c:pt>
                      <c:pt idx="52">
                        <c:v>10882</c:v>
                      </c:pt>
                      <c:pt idx="53">
                        <c:v>10882</c:v>
                      </c:pt>
                      <c:pt idx="54">
                        <c:v>10883</c:v>
                      </c:pt>
                      <c:pt idx="55">
                        <c:v>10883</c:v>
                      </c:pt>
                      <c:pt idx="56">
                        <c:v>11253</c:v>
                      </c:pt>
                      <c:pt idx="57">
                        <c:v>11253</c:v>
                      </c:pt>
                      <c:pt idx="58">
                        <c:v>11254</c:v>
                      </c:pt>
                      <c:pt idx="59">
                        <c:v>11254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3EB-4F2F-9CD4-F403992F3986}"/>
                  </c:ext>
                </c:extLst>
              </c15:ser>
            </c15:filteredLineSeries>
            <c15:filteredLine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Sheet1!$T$1:$T$2</c15:sqref>
                        </c15:formulaRef>
                      </c:ext>
                    </c:extLst>
                    <c:strCache>
                      <c:ptCount val="2"/>
                      <c:pt idx="0">
                        <c:v>3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Sheet1!$T$3:$T$102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14949</c:v>
                      </c:pt>
                      <c:pt idx="1">
                        <c:v>15297</c:v>
                      </c:pt>
                      <c:pt idx="2">
                        <c:v>15644</c:v>
                      </c:pt>
                      <c:pt idx="3">
                        <c:v>16339</c:v>
                      </c:pt>
                      <c:pt idx="4">
                        <c:v>16688</c:v>
                      </c:pt>
                      <c:pt idx="5">
                        <c:v>17035</c:v>
                      </c:pt>
                      <c:pt idx="6">
                        <c:v>17383</c:v>
                      </c:pt>
                      <c:pt idx="7">
                        <c:v>17730</c:v>
                      </c:pt>
                      <c:pt idx="8">
                        <c:v>18078</c:v>
                      </c:pt>
                      <c:pt idx="9">
                        <c:v>18425</c:v>
                      </c:pt>
                      <c:pt idx="10">
                        <c:v>18773</c:v>
                      </c:pt>
                      <c:pt idx="11">
                        <c:v>19468</c:v>
                      </c:pt>
                      <c:pt idx="12">
                        <c:v>19815</c:v>
                      </c:pt>
                      <c:pt idx="13">
                        <c:v>20163</c:v>
                      </c:pt>
                      <c:pt idx="14">
                        <c:v>20510</c:v>
                      </c:pt>
                      <c:pt idx="15">
                        <c:v>20858</c:v>
                      </c:pt>
                      <c:pt idx="16">
                        <c:v>21205</c:v>
                      </c:pt>
                      <c:pt idx="17">
                        <c:v>21553</c:v>
                      </c:pt>
                      <c:pt idx="18">
                        <c:v>21901</c:v>
                      </c:pt>
                      <c:pt idx="19">
                        <c:v>22596</c:v>
                      </c:pt>
                      <c:pt idx="20">
                        <c:v>22944</c:v>
                      </c:pt>
                      <c:pt idx="21">
                        <c:v>23291</c:v>
                      </c:pt>
                      <c:pt idx="22">
                        <c:v>23639</c:v>
                      </c:pt>
                      <c:pt idx="23">
                        <c:v>23986</c:v>
                      </c:pt>
                      <c:pt idx="24">
                        <c:v>24334</c:v>
                      </c:pt>
                      <c:pt idx="25">
                        <c:v>24681</c:v>
                      </c:pt>
                      <c:pt idx="26">
                        <c:v>25376</c:v>
                      </c:pt>
                      <c:pt idx="27">
                        <c:v>25724</c:v>
                      </c:pt>
                      <c:pt idx="28">
                        <c:v>26071</c:v>
                      </c:pt>
                      <c:pt idx="29">
                        <c:v>26419</c:v>
                      </c:pt>
                      <c:pt idx="30">
                        <c:v>26766</c:v>
                      </c:pt>
                      <c:pt idx="31">
                        <c:v>27114</c:v>
                      </c:pt>
                      <c:pt idx="32">
                        <c:v>27461</c:v>
                      </c:pt>
                      <c:pt idx="33">
                        <c:v>27809</c:v>
                      </c:pt>
                      <c:pt idx="34">
                        <c:v>28504</c:v>
                      </c:pt>
                      <c:pt idx="35">
                        <c:v>28851</c:v>
                      </c:pt>
                      <c:pt idx="36">
                        <c:v>29199</c:v>
                      </c:pt>
                      <c:pt idx="37">
                        <c:v>29546</c:v>
                      </c:pt>
                      <c:pt idx="38">
                        <c:v>29894</c:v>
                      </c:pt>
                      <c:pt idx="39">
                        <c:v>30241</c:v>
                      </c:pt>
                      <c:pt idx="40">
                        <c:v>30590</c:v>
                      </c:pt>
                      <c:pt idx="41">
                        <c:v>30937</c:v>
                      </c:pt>
                      <c:pt idx="42">
                        <c:v>31632</c:v>
                      </c:pt>
                      <c:pt idx="43">
                        <c:v>31980</c:v>
                      </c:pt>
                      <c:pt idx="44">
                        <c:v>32327</c:v>
                      </c:pt>
                      <c:pt idx="45">
                        <c:v>32675</c:v>
                      </c:pt>
                      <c:pt idx="46">
                        <c:v>33022</c:v>
                      </c:pt>
                      <c:pt idx="47">
                        <c:v>33370</c:v>
                      </c:pt>
                      <c:pt idx="48">
                        <c:v>33717</c:v>
                      </c:pt>
                      <c:pt idx="49">
                        <c:v>34412</c:v>
                      </c:pt>
                      <c:pt idx="50">
                        <c:v>34760</c:v>
                      </c:pt>
                      <c:pt idx="51">
                        <c:v>35107</c:v>
                      </c:pt>
                      <c:pt idx="52">
                        <c:v>35455</c:v>
                      </c:pt>
                      <c:pt idx="53">
                        <c:v>35802</c:v>
                      </c:pt>
                      <c:pt idx="54">
                        <c:v>36150</c:v>
                      </c:pt>
                      <c:pt idx="55">
                        <c:v>36497</c:v>
                      </c:pt>
                      <c:pt idx="56">
                        <c:v>36845</c:v>
                      </c:pt>
                      <c:pt idx="57">
                        <c:v>37540</c:v>
                      </c:pt>
                      <c:pt idx="58">
                        <c:v>37887</c:v>
                      </c:pt>
                      <c:pt idx="59">
                        <c:v>38235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3EB-4F2F-9CD4-F403992F3986}"/>
                  </c:ext>
                </c:extLst>
              </c15:ser>
            </c15:filteredLineSeries>
            <c15:filteredLine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Sheet1!$V$1:$V$2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Sheet1!$V$3:$V$102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3EB-4F2F-9CD4-F403992F3986}"/>
                  </c:ext>
                </c:extLst>
              </c15:ser>
            </c15:filteredLineSeries>
            <c15:filteredLine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Sheet1!$W$1:$W$2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Sheet1!$W$3:$W$102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10068</c:v>
                      </c:pt>
                      <c:pt idx="1">
                        <c:v>12336</c:v>
                      </c:pt>
                      <c:pt idx="2">
                        <c:v>14604</c:v>
                      </c:pt>
                      <c:pt idx="3">
                        <c:v>16935</c:v>
                      </c:pt>
                      <c:pt idx="4">
                        <c:v>19218</c:v>
                      </c:pt>
                      <c:pt idx="5">
                        <c:v>21502</c:v>
                      </c:pt>
                      <c:pt idx="6">
                        <c:v>23786</c:v>
                      </c:pt>
                      <c:pt idx="7">
                        <c:v>26070</c:v>
                      </c:pt>
                      <c:pt idx="8">
                        <c:v>28353</c:v>
                      </c:pt>
                      <c:pt idx="9">
                        <c:v>30637</c:v>
                      </c:pt>
                      <c:pt idx="10">
                        <c:v>32921</c:v>
                      </c:pt>
                      <c:pt idx="11">
                        <c:v>35394</c:v>
                      </c:pt>
                      <c:pt idx="12">
                        <c:v>37693</c:v>
                      </c:pt>
                      <c:pt idx="13">
                        <c:v>39993</c:v>
                      </c:pt>
                      <c:pt idx="14">
                        <c:v>42292</c:v>
                      </c:pt>
                      <c:pt idx="15">
                        <c:v>44592</c:v>
                      </c:pt>
                      <c:pt idx="16">
                        <c:v>46891</c:v>
                      </c:pt>
                      <c:pt idx="17">
                        <c:v>49191</c:v>
                      </c:pt>
                      <c:pt idx="18">
                        <c:v>51490</c:v>
                      </c:pt>
                      <c:pt idx="19">
                        <c:v>54105</c:v>
                      </c:pt>
                      <c:pt idx="20">
                        <c:v>56420</c:v>
                      </c:pt>
                      <c:pt idx="21">
                        <c:v>58735</c:v>
                      </c:pt>
                      <c:pt idx="22">
                        <c:v>61050</c:v>
                      </c:pt>
                      <c:pt idx="23">
                        <c:v>63366</c:v>
                      </c:pt>
                      <c:pt idx="24">
                        <c:v>65681</c:v>
                      </c:pt>
                      <c:pt idx="25">
                        <c:v>67996</c:v>
                      </c:pt>
                      <c:pt idx="26">
                        <c:v>70737</c:v>
                      </c:pt>
                      <c:pt idx="27">
                        <c:v>73068</c:v>
                      </c:pt>
                      <c:pt idx="28">
                        <c:v>75399</c:v>
                      </c:pt>
                      <c:pt idx="29">
                        <c:v>77730</c:v>
                      </c:pt>
                      <c:pt idx="30">
                        <c:v>80061</c:v>
                      </c:pt>
                      <c:pt idx="31">
                        <c:v>82392</c:v>
                      </c:pt>
                      <c:pt idx="32">
                        <c:v>84723</c:v>
                      </c:pt>
                      <c:pt idx="33">
                        <c:v>87054</c:v>
                      </c:pt>
                      <c:pt idx="34">
                        <c:v>89936</c:v>
                      </c:pt>
                      <c:pt idx="35">
                        <c:v>92283</c:v>
                      </c:pt>
                      <c:pt idx="36">
                        <c:v>94629</c:v>
                      </c:pt>
                      <c:pt idx="37">
                        <c:v>96976</c:v>
                      </c:pt>
                      <c:pt idx="38">
                        <c:v>99323</c:v>
                      </c:pt>
                      <c:pt idx="39">
                        <c:v>101670</c:v>
                      </c:pt>
                      <c:pt idx="40">
                        <c:v>104016</c:v>
                      </c:pt>
                      <c:pt idx="41">
                        <c:v>106363</c:v>
                      </c:pt>
                      <c:pt idx="42">
                        <c:v>109387</c:v>
                      </c:pt>
                      <c:pt idx="43">
                        <c:v>111750</c:v>
                      </c:pt>
                      <c:pt idx="44">
                        <c:v>114112</c:v>
                      </c:pt>
                      <c:pt idx="45">
                        <c:v>116475</c:v>
                      </c:pt>
                      <c:pt idx="46">
                        <c:v>118837</c:v>
                      </c:pt>
                      <c:pt idx="47">
                        <c:v>121200</c:v>
                      </c:pt>
                      <c:pt idx="48">
                        <c:v>123562</c:v>
                      </c:pt>
                      <c:pt idx="49">
                        <c:v>126712</c:v>
                      </c:pt>
                      <c:pt idx="50">
                        <c:v>129090</c:v>
                      </c:pt>
                      <c:pt idx="51">
                        <c:v>131469</c:v>
                      </c:pt>
                      <c:pt idx="52">
                        <c:v>133847</c:v>
                      </c:pt>
                      <c:pt idx="53">
                        <c:v>136225</c:v>
                      </c:pt>
                      <c:pt idx="54">
                        <c:v>138603</c:v>
                      </c:pt>
                      <c:pt idx="55">
                        <c:v>140982</c:v>
                      </c:pt>
                      <c:pt idx="56">
                        <c:v>143360</c:v>
                      </c:pt>
                      <c:pt idx="57">
                        <c:v>146652</c:v>
                      </c:pt>
                      <c:pt idx="58">
                        <c:v>149046</c:v>
                      </c:pt>
                      <c:pt idx="59">
                        <c:v>151440</c:v>
                      </c:pt>
                      <c:pt idx="60">
                        <c:v>153834</c:v>
                      </c:pt>
                      <c:pt idx="61">
                        <c:v>156228</c:v>
                      </c:pt>
                      <c:pt idx="62">
                        <c:v>158622</c:v>
                      </c:pt>
                      <c:pt idx="63">
                        <c:v>161016</c:v>
                      </c:pt>
                      <c:pt idx="64">
                        <c:v>163410</c:v>
                      </c:pt>
                      <c:pt idx="65">
                        <c:v>166843</c:v>
                      </c:pt>
                      <c:pt idx="66">
                        <c:v>169253</c:v>
                      </c:pt>
                      <c:pt idx="67">
                        <c:v>171663</c:v>
                      </c:pt>
                      <c:pt idx="68">
                        <c:v>174072</c:v>
                      </c:pt>
                      <c:pt idx="69">
                        <c:v>176482</c:v>
                      </c:pt>
                      <c:pt idx="70">
                        <c:v>178892</c:v>
                      </c:pt>
                      <c:pt idx="71">
                        <c:v>181302</c:v>
                      </c:pt>
                      <c:pt idx="72">
                        <c:v>183711</c:v>
                      </c:pt>
                      <c:pt idx="73">
                        <c:v>187287</c:v>
                      </c:pt>
                      <c:pt idx="74">
                        <c:v>189712</c:v>
                      </c:pt>
                      <c:pt idx="75">
                        <c:v>192138</c:v>
                      </c:pt>
                      <c:pt idx="76">
                        <c:v>194563</c:v>
                      </c:pt>
                      <c:pt idx="77">
                        <c:v>196989</c:v>
                      </c:pt>
                      <c:pt idx="78">
                        <c:v>199414</c:v>
                      </c:pt>
                      <c:pt idx="79">
                        <c:v>201840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3EB-4F2F-9CD4-F403992F3986}"/>
                  </c:ext>
                </c:extLst>
              </c15:ser>
            </c15:filteredLineSeries>
            <c15:filteredLine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Sheet1!$X$1:$X$2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Sheet1!$X$3:$X$102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1157</c:v>
                      </c:pt>
                      <c:pt idx="1">
                        <c:v>1158</c:v>
                      </c:pt>
                      <c:pt idx="2">
                        <c:v>1159</c:v>
                      </c:pt>
                      <c:pt idx="3">
                        <c:v>1159</c:v>
                      </c:pt>
                      <c:pt idx="4">
                        <c:v>1264</c:v>
                      </c:pt>
                      <c:pt idx="5">
                        <c:v>1265</c:v>
                      </c:pt>
                      <c:pt idx="6">
                        <c:v>1265</c:v>
                      </c:pt>
                      <c:pt idx="7">
                        <c:v>1266</c:v>
                      </c:pt>
                      <c:pt idx="8">
                        <c:v>1266</c:v>
                      </c:pt>
                      <c:pt idx="9">
                        <c:v>1267</c:v>
                      </c:pt>
                      <c:pt idx="10">
                        <c:v>1267</c:v>
                      </c:pt>
                      <c:pt idx="11">
                        <c:v>1268</c:v>
                      </c:pt>
                      <c:pt idx="12">
                        <c:v>1269</c:v>
                      </c:pt>
                      <c:pt idx="13">
                        <c:v>1378</c:v>
                      </c:pt>
                      <c:pt idx="14">
                        <c:v>1378</c:v>
                      </c:pt>
                      <c:pt idx="15">
                        <c:v>1379</c:v>
                      </c:pt>
                      <c:pt idx="16">
                        <c:v>1380</c:v>
                      </c:pt>
                      <c:pt idx="17">
                        <c:v>1380</c:v>
                      </c:pt>
                      <c:pt idx="18">
                        <c:v>1381</c:v>
                      </c:pt>
                      <c:pt idx="19">
                        <c:v>1381</c:v>
                      </c:pt>
                      <c:pt idx="20">
                        <c:v>1382</c:v>
                      </c:pt>
                      <c:pt idx="21">
                        <c:v>1383</c:v>
                      </c:pt>
                      <c:pt idx="22">
                        <c:v>1496</c:v>
                      </c:pt>
                      <c:pt idx="23">
                        <c:v>1497</c:v>
                      </c:pt>
                      <c:pt idx="24">
                        <c:v>1497</c:v>
                      </c:pt>
                      <c:pt idx="25">
                        <c:v>1498</c:v>
                      </c:pt>
                      <c:pt idx="26">
                        <c:v>1499</c:v>
                      </c:pt>
                      <c:pt idx="27">
                        <c:v>1499</c:v>
                      </c:pt>
                      <c:pt idx="28">
                        <c:v>1500</c:v>
                      </c:pt>
                      <c:pt idx="29">
                        <c:v>1500</c:v>
                      </c:pt>
                      <c:pt idx="30">
                        <c:v>1501</c:v>
                      </c:pt>
                      <c:pt idx="31">
                        <c:v>1619</c:v>
                      </c:pt>
                      <c:pt idx="32">
                        <c:v>1620</c:v>
                      </c:pt>
                      <c:pt idx="33">
                        <c:v>1620</c:v>
                      </c:pt>
                      <c:pt idx="34">
                        <c:v>1621</c:v>
                      </c:pt>
                      <c:pt idx="35">
                        <c:v>1621</c:v>
                      </c:pt>
                      <c:pt idx="36">
                        <c:v>1622</c:v>
                      </c:pt>
                      <c:pt idx="37">
                        <c:v>1623</c:v>
                      </c:pt>
                      <c:pt idx="38">
                        <c:v>1623</c:v>
                      </c:pt>
                      <c:pt idx="39">
                        <c:v>1624</c:v>
                      </c:pt>
                      <c:pt idx="40">
                        <c:v>1747</c:v>
                      </c:pt>
                      <c:pt idx="41">
                        <c:v>1747</c:v>
                      </c:pt>
                      <c:pt idx="42">
                        <c:v>1748</c:v>
                      </c:pt>
                      <c:pt idx="43">
                        <c:v>1748</c:v>
                      </c:pt>
                      <c:pt idx="44">
                        <c:v>1749</c:v>
                      </c:pt>
                      <c:pt idx="45">
                        <c:v>1750</c:v>
                      </c:pt>
                      <c:pt idx="46">
                        <c:v>1750</c:v>
                      </c:pt>
                      <c:pt idx="47">
                        <c:v>1751</c:v>
                      </c:pt>
                      <c:pt idx="48">
                        <c:v>1751</c:v>
                      </c:pt>
                      <c:pt idx="49">
                        <c:v>1879</c:v>
                      </c:pt>
                      <c:pt idx="50">
                        <c:v>1879</c:v>
                      </c:pt>
                      <c:pt idx="51">
                        <c:v>1880</c:v>
                      </c:pt>
                      <c:pt idx="52">
                        <c:v>1880</c:v>
                      </c:pt>
                      <c:pt idx="53">
                        <c:v>1881</c:v>
                      </c:pt>
                      <c:pt idx="54">
                        <c:v>1882</c:v>
                      </c:pt>
                      <c:pt idx="55">
                        <c:v>1882</c:v>
                      </c:pt>
                      <c:pt idx="56">
                        <c:v>1883</c:v>
                      </c:pt>
                      <c:pt idx="57">
                        <c:v>1883</c:v>
                      </c:pt>
                      <c:pt idx="58">
                        <c:v>1884</c:v>
                      </c:pt>
                      <c:pt idx="59">
                        <c:v>2016</c:v>
                      </c:pt>
                      <c:pt idx="60">
                        <c:v>2016</c:v>
                      </c:pt>
                      <c:pt idx="61">
                        <c:v>2017</c:v>
                      </c:pt>
                      <c:pt idx="62">
                        <c:v>2017</c:v>
                      </c:pt>
                      <c:pt idx="63">
                        <c:v>2018</c:v>
                      </c:pt>
                      <c:pt idx="64">
                        <c:v>2019</c:v>
                      </c:pt>
                      <c:pt idx="65">
                        <c:v>2019</c:v>
                      </c:pt>
                      <c:pt idx="66">
                        <c:v>2020</c:v>
                      </c:pt>
                      <c:pt idx="67">
                        <c:v>2020</c:v>
                      </c:pt>
                      <c:pt idx="68">
                        <c:v>2157</c:v>
                      </c:pt>
                      <c:pt idx="69">
                        <c:v>2157</c:v>
                      </c:pt>
                      <c:pt idx="70">
                        <c:v>2158</c:v>
                      </c:pt>
                      <c:pt idx="71">
                        <c:v>2159</c:v>
                      </c:pt>
                      <c:pt idx="72">
                        <c:v>2159</c:v>
                      </c:pt>
                      <c:pt idx="73">
                        <c:v>2160</c:v>
                      </c:pt>
                      <c:pt idx="74">
                        <c:v>2160</c:v>
                      </c:pt>
                      <c:pt idx="75">
                        <c:v>2161</c:v>
                      </c:pt>
                      <c:pt idx="76">
                        <c:v>2161</c:v>
                      </c:pt>
                      <c:pt idx="77">
                        <c:v>2302</c:v>
                      </c:pt>
                      <c:pt idx="78">
                        <c:v>2303</c:v>
                      </c:pt>
                      <c:pt idx="79">
                        <c:v>2304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3EB-4F2F-9CD4-F403992F3986}"/>
                  </c:ext>
                </c:extLst>
              </c15:ser>
            </c15:filteredLineSeries>
            <c15:filteredLine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Sheet1!$Y$1:$Y$2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Sheet1!$Y$3:$Y$102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1370</c:v>
                      </c:pt>
                      <c:pt idx="1">
                        <c:v>1370</c:v>
                      </c:pt>
                      <c:pt idx="2">
                        <c:v>1371</c:v>
                      </c:pt>
                      <c:pt idx="3">
                        <c:v>1372</c:v>
                      </c:pt>
                      <c:pt idx="4">
                        <c:v>1486</c:v>
                      </c:pt>
                      <c:pt idx="5">
                        <c:v>1486</c:v>
                      </c:pt>
                      <c:pt idx="6">
                        <c:v>1487</c:v>
                      </c:pt>
                      <c:pt idx="7">
                        <c:v>1487</c:v>
                      </c:pt>
                      <c:pt idx="8">
                        <c:v>1488</c:v>
                      </c:pt>
                      <c:pt idx="9">
                        <c:v>1488</c:v>
                      </c:pt>
                      <c:pt idx="10">
                        <c:v>1489</c:v>
                      </c:pt>
                      <c:pt idx="11">
                        <c:v>1489</c:v>
                      </c:pt>
                      <c:pt idx="12">
                        <c:v>1608</c:v>
                      </c:pt>
                      <c:pt idx="13">
                        <c:v>1608</c:v>
                      </c:pt>
                      <c:pt idx="14">
                        <c:v>1609</c:v>
                      </c:pt>
                      <c:pt idx="15">
                        <c:v>1609</c:v>
                      </c:pt>
                      <c:pt idx="16">
                        <c:v>1610</c:v>
                      </c:pt>
                      <c:pt idx="17">
                        <c:v>1611</c:v>
                      </c:pt>
                      <c:pt idx="18">
                        <c:v>1611</c:v>
                      </c:pt>
                      <c:pt idx="19">
                        <c:v>1612</c:v>
                      </c:pt>
                      <c:pt idx="20">
                        <c:v>1734</c:v>
                      </c:pt>
                      <c:pt idx="21">
                        <c:v>1735</c:v>
                      </c:pt>
                      <c:pt idx="22">
                        <c:v>1736</c:v>
                      </c:pt>
                      <c:pt idx="23">
                        <c:v>1736</c:v>
                      </c:pt>
                      <c:pt idx="24">
                        <c:v>1737</c:v>
                      </c:pt>
                      <c:pt idx="25">
                        <c:v>1737</c:v>
                      </c:pt>
                      <c:pt idx="26">
                        <c:v>1738</c:v>
                      </c:pt>
                      <c:pt idx="27">
                        <c:v>1739</c:v>
                      </c:pt>
                      <c:pt idx="28">
                        <c:v>1739</c:v>
                      </c:pt>
                      <c:pt idx="29">
                        <c:v>1866</c:v>
                      </c:pt>
                      <c:pt idx="30">
                        <c:v>1867</c:v>
                      </c:pt>
                      <c:pt idx="31">
                        <c:v>1868</c:v>
                      </c:pt>
                      <c:pt idx="32">
                        <c:v>1868</c:v>
                      </c:pt>
                      <c:pt idx="33">
                        <c:v>1869</c:v>
                      </c:pt>
                      <c:pt idx="34">
                        <c:v>1869</c:v>
                      </c:pt>
                      <c:pt idx="35">
                        <c:v>1870</c:v>
                      </c:pt>
                      <c:pt idx="36">
                        <c:v>1871</c:v>
                      </c:pt>
                      <c:pt idx="37">
                        <c:v>2002</c:v>
                      </c:pt>
                      <c:pt idx="38">
                        <c:v>2003</c:v>
                      </c:pt>
                      <c:pt idx="39">
                        <c:v>2003</c:v>
                      </c:pt>
                      <c:pt idx="40">
                        <c:v>2004</c:v>
                      </c:pt>
                      <c:pt idx="41">
                        <c:v>2005</c:v>
                      </c:pt>
                      <c:pt idx="42">
                        <c:v>2005</c:v>
                      </c:pt>
                      <c:pt idx="43">
                        <c:v>2006</c:v>
                      </c:pt>
                      <c:pt idx="44">
                        <c:v>2006</c:v>
                      </c:pt>
                      <c:pt idx="45">
                        <c:v>2143</c:v>
                      </c:pt>
                      <c:pt idx="46">
                        <c:v>2144</c:v>
                      </c:pt>
                      <c:pt idx="47">
                        <c:v>2144</c:v>
                      </c:pt>
                      <c:pt idx="48">
                        <c:v>2145</c:v>
                      </c:pt>
                      <c:pt idx="49">
                        <c:v>2146</c:v>
                      </c:pt>
                      <c:pt idx="50">
                        <c:v>2146</c:v>
                      </c:pt>
                      <c:pt idx="51">
                        <c:v>2147</c:v>
                      </c:pt>
                      <c:pt idx="52">
                        <c:v>2147</c:v>
                      </c:pt>
                      <c:pt idx="53">
                        <c:v>2148</c:v>
                      </c:pt>
                      <c:pt idx="54">
                        <c:v>2289</c:v>
                      </c:pt>
                      <c:pt idx="55">
                        <c:v>2289</c:v>
                      </c:pt>
                      <c:pt idx="56">
                        <c:v>2290</c:v>
                      </c:pt>
                      <c:pt idx="57">
                        <c:v>2290</c:v>
                      </c:pt>
                      <c:pt idx="58">
                        <c:v>2291</c:v>
                      </c:pt>
                      <c:pt idx="59">
                        <c:v>2292</c:v>
                      </c:pt>
                      <c:pt idx="60">
                        <c:v>2292</c:v>
                      </c:pt>
                      <c:pt idx="61">
                        <c:v>2293</c:v>
                      </c:pt>
                      <c:pt idx="62">
                        <c:v>2438</c:v>
                      </c:pt>
                      <c:pt idx="63">
                        <c:v>2439</c:v>
                      </c:pt>
                      <c:pt idx="64">
                        <c:v>2439</c:v>
                      </c:pt>
                      <c:pt idx="65">
                        <c:v>2440</c:v>
                      </c:pt>
                      <c:pt idx="66">
                        <c:v>2440</c:v>
                      </c:pt>
                      <c:pt idx="67">
                        <c:v>2441</c:v>
                      </c:pt>
                      <c:pt idx="68">
                        <c:v>2442</c:v>
                      </c:pt>
                      <c:pt idx="69">
                        <c:v>2442</c:v>
                      </c:pt>
                      <c:pt idx="70">
                        <c:v>2592</c:v>
                      </c:pt>
                      <c:pt idx="71">
                        <c:v>2593</c:v>
                      </c:pt>
                      <c:pt idx="72">
                        <c:v>2593</c:v>
                      </c:pt>
                      <c:pt idx="73">
                        <c:v>2594</c:v>
                      </c:pt>
                      <c:pt idx="74">
                        <c:v>2595</c:v>
                      </c:pt>
                      <c:pt idx="75">
                        <c:v>2595</c:v>
                      </c:pt>
                      <c:pt idx="76">
                        <c:v>2596</c:v>
                      </c:pt>
                      <c:pt idx="77">
                        <c:v>2596</c:v>
                      </c:pt>
                      <c:pt idx="78">
                        <c:v>2597</c:v>
                      </c:pt>
                      <c:pt idx="79">
                        <c:v>2752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3EB-4F2F-9CD4-F403992F3986}"/>
                  </c:ext>
                </c:extLst>
              </c15:ser>
            </c15:filteredLineSeries>
            <c15:filteredLine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Sheet1!$Z$1:$Z$2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Sheet1!$Z$3:$Z$102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11066</c:v>
                      </c:pt>
                      <c:pt idx="1">
                        <c:v>11067</c:v>
                      </c:pt>
                      <c:pt idx="2">
                        <c:v>11503</c:v>
                      </c:pt>
                      <c:pt idx="3">
                        <c:v>11504</c:v>
                      </c:pt>
                      <c:pt idx="4">
                        <c:v>11504</c:v>
                      </c:pt>
                      <c:pt idx="5">
                        <c:v>11505</c:v>
                      </c:pt>
                      <c:pt idx="6">
                        <c:v>11949</c:v>
                      </c:pt>
                      <c:pt idx="7">
                        <c:v>11950</c:v>
                      </c:pt>
                      <c:pt idx="8">
                        <c:v>11951</c:v>
                      </c:pt>
                      <c:pt idx="9">
                        <c:v>11951</c:v>
                      </c:pt>
                      <c:pt idx="10">
                        <c:v>12404</c:v>
                      </c:pt>
                      <c:pt idx="11">
                        <c:v>12405</c:v>
                      </c:pt>
                      <c:pt idx="12">
                        <c:v>12405</c:v>
                      </c:pt>
                      <c:pt idx="13">
                        <c:v>12406</c:v>
                      </c:pt>
                      <c:pt idx="14">
                        <c:v>12867</c:v>
                      </c:pt>
                      <c:pt idx="15">
                        <c:v>12868</c:v>
                      </c:pt>
                      <c:pt idx="16">
                        <c:v>12869</c:v>
                      </c:pt>
                      <c:pt idx="17">
                        <c:v>12869</c:v>
                      </c:pt>
                      <c:pt idx="18">
                        <c:v>13339</c:v>
                      </c:pt>
                      <c:pt idx="19">
                        <c:v>13339</c:v>
                      </c:pt>
                      <c:pt idx="20">
                        <c:v>13340</c:v>
                      </c:pt>
                      <c:pt idx="21">
                        <c:v>13341</c:v>
                      </c:pt>
                      <c:pt idx="22">
                        <c:v>13819</c:v>
                      </c:pt>
                      <c:pt idx="23">
                        <c:v>13819</c:v>
                      </c:pt>
                      <c:pt idx="24">
                        <c:v>13820</c:v>
                      </c:pt>
                      <c:pt idx="25">
                        <c:v>13820</c:v>
                      </c:pt>
                      <c:pt idx="26">
                        <c:v>13821</c:v>
                      </c:pt>
                      <c:pt idx="27">
                        <c:v>14308</c:v>
                      </c:pt>
                      <c:pt idx="28">
                        <c:v>14308</c:v>
                      </c:pt>
                      <c:pt idx="29">
                        <c:v>14309</c:v>
                      </c:pt>
                      <c:pt idx="30">
                        <c:v>14310</c:v>
                      </c:pt>
                      <c:pt idx="31">
                        <c:v>14805</c:v>
                      </c:pt>
                      <c:pt idx="32">
                        <c:v>14805</c:v>
                      </c:pt>
                      <c:pt idx="33">
                        <c:v>14806</c:v>
                      </c:pt>
                      <c:pt idx="34">
                        <c:v>14806</c:v>
                      </c:pt>
                      <c:pt idx="35">
                        <c:v>15310</c:v>
                      </c:pt>
                      <c:pt idx="36">
                        <c:v>15311</c:v>
                      </c:pt>
                      <c:pt idx="37">
                        <c:v>15311</c:v>
                      </c:pt>
                      <c:pt idx="38">
                        <c:v>15312</c:v>
                      </c:pt>
                      <c:pt idx="39">
                        <c:v>15824</c:v>
                      </c:pt>
                      <c:pt idx="40">
                        <c:v>15824</c:v>
                      </c:pt>
                      <c:pt idx="41">
                        <c:v>15825</c:v>
                      </c:pt>
                      <c:pt idx="42">
                        <c:v>15825</c:v>
                      </c:pt>
                      <c:pt idx="43">
                        <c:v>16346</c:v>
                      </c:pt>
                      <c:pt idx="44">
                        <c:v>16346</c:v>
                      </c:pt>
                      <c:pt idx="45">
                        <c:v>16347</c:v>
                      </c:pt>
                      <c:pt idx="46">
                        <c:v>16347</c:v>
                      </c:pt>
                      <c:pt idx="47">
                        <c:v>16876</c:v>
                      </c:pt>
                      <c:pt idx="48">
                        <c:v>16877</c:v>
                      </c:pt>
                      <c:pt idx="49">
                        <c:v>16877</c:v>
                      </c:pt>
                      <c:pt idx="50">
                        <c:v>16878</c:v>
                      </c:pt>
                      <c:pt idx="51">
                        <c:v>16878</c:v>
                      </c:pt>
                      <c:pt idx="52">
                        <c:v>17416</c:v>
                      </c:pt>
                      <c:pt idx="53">
                        <c:v>17416</c:v>
                      </c:pt>
                      <c:pt idx="54">
                        <c:v>17417</c:v>
                      </c:pt>
                      <c:pt idx="55">
                        <c:v>17418</c:v>
                      </c:pt>
                      <c:pt idx="56">
                        <c:v>17963</c:v>
                      </c:pt>
                      <c:pt idx="57">
                        <c:v>17964</c:v>
                      </c:pt>
                      <c:pt idx="58">
                        <c:v>17964</c:v>
                      </c:pt>
                      <c:pt idx="59">
                        <c:v>17965</c:v>
                      </c:pt>
                      <c:pt idx="60">
                        <c:v>18519</c:v>
                      </c:pt>
                      <c:pt idx="61">
                        <c:v>18519</c:v>
                      </c:pt>
                      <c:pt idx="62">
                        <c:v>18520</c:v>
                      </c:pt>
                      <c:pt idx="63">
                        <c:v>18521</c:v>
                      </c:pt>
                      <c:pt idx="64">
                        <c:v>19083</c:v>
                      </c:pt>
                      <c:pt idx="65">
                        <c:v>19084</c:v>
                      </c:pt>
                      <c:pt idx="66">
                        <c:v>19084</c:v>
                      </c:pt>
                      <c:pt idx="67">
                        <c:v>19085</c:v>
                      </c:pt>
                      <c:pt idx="68">
                        <c:v>19656</c:v>
                      </c:pt>
                      <c:pt idx="69">
                        <c:v>19656</c:v>
                      </c:pt>
                      <c:pt idx="70">
                        <c:v>19657</c:v>
                      </c:pt>
                      <c:pt idx="71">
                        <c:v>19657</c:v>
                      </c:pt>
                      <c:pt idx="72">
                        <c:v>20237</c:v>
                      </c:pt>
                      <c:pt idx="73">
                        <c:v>20237</c:v>
                      </c:pt>
                      <c:pt idx="74">
                        <c:v>20238</c:v>
                      </c:pt>
                      <c:pt idx="75">
                        <c:v>20238</c:v>
                      </c:pt>
                      <c:pt idx="76">
                        <c:v>20239</c:v>
                      </c:pt>
                      <c:pt idx="77">
                        <c:v>20827</c:v>
                      </c:pt>
                      <c:pt idx="78">
                        <c:v>20827</c:v>
                      </c:pt>
                      <c:pt idx="79">
                        <c:v>20828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3EB-4F2F-9CD4-F403992F3986}"/>
                  </c:ext>
                </c:extLst>
              </c15:ser>
            </c15:filteredLineSeries>
            <c15:filteredLine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Sheet1!$AA$1:$AA$2</c15:sqref>
                        </c15:formulaRef>
                      </c:ext>
                    </c:extLst>
                    <c:strCache>
                      <c:ptCount val="2"/>
                      <c:pt idx="0">
                        <c:v>4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Sheet1!$AA$3:$AA$102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21338</c:v>
                      </c:pt>
                      <c:pt idx="1">
                        <c:v>21812</c:v>
                      </c:pt>
                      <c:pt idx="2">
                        <c:v>22287</c:v>
                      </c:pt>
                      <c:pt idx="3">
                        <c:v>23235</c:v>
                      </c:pt>
                      <c:pt idx="4">
                        <c:v>23709</c:v>
                      </c:pt>
                      <c:pt idx="5">
                        <c:v>24183</c:v>
                      </c:pt>
                      <c:pt idx="6">
                        <c:v>24657</c:v>
                      </c:pt>
                      <c:pt idx="7">
                        <c:v>25131</c:v>
                      </c:pt>
                      <c:pt idx="8">
                        <c:v>25605</c:v>
                      </c:pt>
                      <c:pt idx="9">
                        <c:v>26079</c:v>
                      </c:pt>
                      <c:pt idx="10">
                        <c:v>26553</c:v>
                      </c:pt>
                      <c:pt idx="11">
                        <c:v>27501</c:v>
                      </c:pt>
                      <c:pt idx="12">
                        <c:v>27975</c:v>
                      </c:pt>
                      <c:pt idx="13">
                        <c:v>28450</c:v>
                      </c:pt>
                      <c:pt idx="14">
                        <c:v>28924</c:v>
                      </c:pt>
                      <c:pt idx="15">
                        <c:v>29398</c:v>
                      </c:pt>
                      <c:pt idx="16">
                        <c:v>29872</c:v>
                      </c:pt>
                      <c:pt idx="17">
                        <c:v>30346</c:v>
                      </c:pt>
                      <c:pt idx="18">
                        <c:v>30820</c:v>
                      </c:pt>
                      <c:pt idx="19">
                        <c:v>31768</c:v>
                      </c:pt>
                      <c:pt idx="20">
                        <c:v>32242</c:v>
                      </c:pt>
                      <c:pt idx="21">
                        <c:v>32716</c:v>
                      </c:pt>
                      <c:pt idx="22">
                        <c:v>33190</c:v>
                      </c:pt>
                      <c:pt idx="23">
                        <c:v>33664</c:v>
                      </c:pt>
                      <c:pt idx="24">
                        <c:v>34138</c:v>
                      </c:pt>
                      <c:pt idx="25">
                        <c:v>34612</c:v>
                      </c:pt>
                      <c:pt idx="26">
                        <c:v>35560</c:v>
                      </c:pt>
                      <c:pt idx="27">
                        <c:v>36034</c:v>
                      </c:pt>
                      <c:pt idx="28">
                        <c:v>36508</c:v>
                      </c:pt>
                      <c:pt idx="29">
                        <c:v>36982</c:v>
                      </c:pt>
                      <c:pt idx="30">
                        <c:v>37456</c:v>
                      </c:pt>
                      <c:pt idx="31">
                        <c:v>37930</c:v>
                      </c:pt>
                      <c:pt idx="32">
                        <c:v>38404</c:v>
                      </c:pt>
                      <c:pt idx="33">
                        <c:v>38878</c:v>
                      </c:pt>
                      <c:pt idx="34">
                        <c:v>39826</c:v>
                      </c:pt>
                      <c:pt idx="35">
                        <c:v>40300</c:v>
                      </c:pt>
                      <c:pt idx="36">
                        <c:v>40774</c:v>
                      </c:pt>
                      <c:pt idx="37">
                        <c:v>41248</c:v>
                      </c:pt>
                      <c:pt idx="38">
                        <c:v>41722</c:v>
                      </c:pt>
                      <c:pt idx="39">
                        <c:v>42196</c:v>
                      </c:pt>
                      <c:pt idx="40">
                        <c:v>42670</c:v>
                      </c:pt>
                      <c:pt idx="41">
                        <c:v>43144</c:v>
                      </c:pt>
                      <c:pt idx="42">
                        <c:v>44092</c:v>
                      </c:pt>
                      <c:pt idx="43">
                        <c:v>44566</c:v>
                      </c:pt>
                      <c:pt idx="44">
                        <c:v>45040</c:v>
                      </c:pt>
                      <c:pt idx="45">
                        <c:v>45514</c:v>
                      </c:pt>
                      <c:pt idx="46">
                        <c:v>45988</c:v>
                      </c:pt>
                      <c:pt idx="47">
                        <c:v>46462</c:v>
                      </c:pt>
                      <c:pt idx="48">
                        <c:v>46936</c:v>
                      </c:pt>
                      <c:pt idx="49">
                        <c:v>47885</c:v>
                      </c:pt>
                      <c:pt idx="50">
                        <c:v>48359</c:v>
                      </c:pt>
                      <c:pt idx="51">
                        <c:v>48833</c:v>
                      </c:pt>
                      <c:pt idx="52">
                        <c:v>49307</c:v>
                      </c:pt>
                      <c:pt idx="53">
                        <c:v>49781</c:v>
                      </c:pt>
                      <c:pt idx="54">
                        <c:v>50255</c:v>
                      </c:pt>
                      <c:pt idx="55">
                        <c:v>50730</c:v>
                      </c:pt>
                      <c:pt idx="56">
                        <c:v>51204</c:v>
                      </c:pt>
                      <c:pt idx="57">
                        <c:v>52152</c:v>
                      </c:pt>
                      <c:pt idx="58">
                        <c:v>52626</c:v>
                      </c:pt>
                      <c:pt idx="59">
                        <c:v>53100</c:v>
                      </c:pt>
                      <c:pt idx="60">
                        <c:v>53574</c:v>
                      </c:pt>
                      <c:pt idx="61">
                        <c:v>54048</c:v>
                      </c:pt>
                      <c:pt idx="62">
                        <c:v>54522</c:v>
                      </c:pt>
                      <c:pt idx="63">
                        <c:v>54996</c:v>
                      </c:pt>
                      <c:pt idx="64">
                        <c:v>55470</c:v>
                      </c:pt>
                      <c:pt idx="65">
                        <c:v>56418</c:v>
                      </c:pt>
                      <c:pt idx="66">
                        <c:v>56892</c:v>
                      </c:pt>
                      <c:pt idx="67">
                        <c:v>57366</c:v>
                      </c:pt>
                      <c:pt idx="68">
                        <c:v>57840</c:v>
                      </c:pt>
                      <c:pt idx="69">
                        <c:v>58314</c:v>
                      </c:pt>
                      <c:pt idx="70">
                        <c:v>58788</c:v>
                      </c:pt>
                      <c:pt idx="71">
                        <c:v>59262</c:v>
                      </c:pt>
                      <c:pt idx="72">
                        <c:v>59736</c:v>
                      </c:pt>
                      <c:pt idx="73">
                        <c:v>60684</c:v>
                      </c:pt>
                      <c:pt idx="74">
                        <c:v>61158</c:v>
                      </c:pt>
                      <c:pt idx="75">
                        <c:v>61632</c:v>
                      </c:pt>
                      <c:pt idx="76">
                        <c:v>62106</c:v>
                      </c:pt>
                      <c:pt idx="77">
                        <c:v>62580</c:v>
                      </c:pt>
                      <c:pt idx="78">
                        <c:v>63054</c:v>
                      </c:pt>
                      <c:pt idx="79">
                        <c:v>63528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3EB-4F2F-9CD4-F403992F3986}"/>
                  </c:ext>
                </c:extLst>
              </c15:ser>
            </c15:filteredLineSeries>
            <c15:filteredLine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Sheet1!$AC$1:$AC$2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레벨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Sheet1!$AC$3:$AC$102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3EB-4F2F-9CD4-F403992F3986}"/>
                  </c:ext>
                </c:extLst>
              </c15:ser>
            </c15:filteredLineSeries>
            <c15:filteredLine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Sheet1!$AD$1:$AD$2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체력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Sheet1!$AD$3:$AD$102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12429</c:v>
                      </c:pt>
                      <c:pt idx="1">
                        <c:v>15259</c:v>
                      </c:pt>
                      <c:pt idx="2">
                        <c:v>18089</c:v>
                      </c:pt>
                      <c:pt idx="3">
                        <c:v>20996</c:v>
                      </c:pt>
                      <c:pt idx="4">
                        <c:v>23845</c:v>
                      </c:pt>
                      <c:pt idx="5">
                        <c:v>26694</c:v>
                      </c:pt>
                      <c:pt idx="6">
                        <c:v>29543</c:v>
                      </c:pt>
                      <c:pt idx="7">
                        <c:v>32392</c:v>
                      </c:pt>
                      <c:pt idx="8">
                        <c:v>35241</c:v>
                      </c:pt>
                      <c:pt idx="9">
                        <c:v>38090</c:v>
                      </c:pt>
                      <c:pt idx="10">
                        <c:v>40939</c:v>
                      </c:pt>
                      <c:pt idx="11">
                        <c:v>44019</c:v>
                      </c:pt>
                      <c:pt idx="12">
                        <c:v>46887</c:v>
                      </c:pt>
                      <c:pt idx="13">
                        <c:v>49755</c:v>
                      </c:pt>
                      <c:pt idx="14">
                        <c:v>52623</c:v>
                      </c:pt>
                      <c:pt idx="15">
                        <c:v>55492</c:v>
                      </c:pt>
                      <c:pt idx="16">
                        <c:v>58360</c:v>
                      </c:pt>
                      <c:pt idx="17">
                        <c:v>61228</c:v>
                      </c:pt>
                      <c:pt idx="18">
                        <c:v>64096</c:v>
                      </c:pt>
                      <c:pt idx="19">
                        <c:v>67350</c:v>
                      </c:pt>
                      <c:pt idx="20">
                        <c:v>70237</c:v>
                      </c:pt>
                      <c:pt idx="21">
                        <c:v>73125</c:v>
                      </c:pt>
                      <c:pt idx="22">
                        <c:v>76012</c:v>
                      </c:pt>
                      <c:pt idx="23">
                        <c:v>78900</c:v>
                      </c:pt>
                      <c:pt idx="24">
                        <c:v>81787</c:v>
                      </c:pt>
                      <c:pt idx="25">
                        <c:v>84675</c:v>
                      </c:pt>
                      <c:pt idx="26">
                        <c:v>88082</c:v>
                      </c:pt>
                      <c:pt idx="27">
                        <c:v>90989</c:v>
                      </c:pt>
                      <c:pt idx="28">
                        <c:v>93895</c:v>
                      </c:pt>
                      <c:pt idx="29">
                        <c:v>96802</c:v>
                      </c:pt>
                      <c:pt idx="30">
                        <c:v>99709</c:v>
                      </c:pt>
                      <c:pt idx="31">
                        <c:v>102616</c:v>
                      </c:pt>
                      <c:pt idx="32">
                        <c:v>105522</c:v>
                      </c:pt>
                      <c:pt idx="33">
                        <c:v>108429</c:v>
                      </c:pt>
                      <c:pt idx="34">
                        <c:v>112010</c:v>
                      </c:pt>
                      <c:pt idx="35">
                        <c:v>114936</c:v>
                      </c:pt>
                      <c:pt idx="36">
                        <c:v>117862</c:v>
                      </c:pt>
                      <c:pt idx="37">
                        <c:v>120788</c:v>
                      </c:pt>
                      <c:pt idx="38">
                        <c:v>123714</c:v>
                      </c:pt>
                      <c:pt idx="39">
                        <c:v>126640</c:v>
                      </c:pt>
                      <c:pt idx="40">
                        <c:v>129566</c:v>
                      </c:pt>
                      <c:pt idx="41">
                        <c:v>132492</c:v>
                      </c:pt>
                      <c:pt idx="42">
                        <c:v>136245</c:v>
                      </c:pt>
                      <c:pt idx="43">
                        <c:v>139191</c:v>
                      </c:pt>
                      <c:pt idx="44">
                        <c:v>142136</c:v>
                      </c:pt>
                      <c:pt idx="45">
                        <c:v>145081</c:v>
                      </c:pt>
                      <c:pt idx="46">
                        <c:v>148026</c:v>
                      </c:pt>
                      <c:pt idx="47">
                        <c:v>150972</c:v>
                      </c:pt>
                      <c:pt idx="48">
                        <c:v>153917</c:v>
                      </c:pt>
                      <c:pt idx="49">
                        <c:v>157825</c:v>
                      </c:pt>
                      <c:pt idx="50">
                        <c:v>160789</c:v>
                      </c:pt>
                      <c:pt idx="51">
                        <c:v>163754</c:v>
                      </c:pt>
                      <c:pt idx="52">
                        <c:v>166718</c:v>
                      </c:pt>
                      <c:pt idx="53">
                        <c:v>169683</c:v>
                      </c:pt>
                      <c:pt idx="54">
                        <c:v>172647</c:v>
                      </c:pt>
                      <c:pt idx="55">
                        <c:v>175612</c:v>
                      </c:pt>
                      <c:pt idx="56">
                        <c:v>178576</c:v>
                      </c:pt>
                      <c:pt idx="57">
                        <c:v>182657</c:v>
                      </c:pt>
                      <c:pt idx="58">
                        <c:v>185641</c:v>
                      </c:pt>
                      <c:pt idx="59">
                        <c:v>188625</c:v>
                      </c:pt>
                      <c:pt idx="60">
                        <c:v>191608</c:v>
                      </c:pt>
                      <c:pt idx="61">
                        <c:v>194592</c:v>
                      </c:pt>
                      <c:pt idx="62">
                        <c:v>197576</c:v>
                      </c:pt>
                      <c:pt idx="63">
                        <c:v>200560</c:v>
                      </c:pt>
                      <c:pt idx="64">
                        <c:v>203543</c:v>
                      </c:pt>
                      <c:pt idx="65">
                        <c:v>207798</c:v>
                      </c:pt>
                      <c:pt idx="66">
                        <c:v>210801</c:v>
                      </c:pt>
                      <c:pt idx="67">
                        <c:v>213804</c:v>
                      </c:pt>
                      <c:pt idx="68">
                        <c:v>216807</c:v>
                      </c:pt>
                      <c:pt idx="69">
                        <c:v>219810</c:v>
                      </c:pt>
                      <c:pt idx="70">
                        <c:v>222813</c:v>
                      </c:pt>
                      <c:pt idx="71">
                        <c:v>225816</c:v>
                      </c:pt>
                      <c:pt idx="72">
                        <c:v>228819</c:v>
                      </c:pt>
                      <c:pt idx="73">
                        <c:v>233246</c:v>
                      </c:pt>
                      <c:pt idx="74">
                        <c:v>236268</c:v>
                      </c:pt>
                      <c:pt idx="75">
                        <c:v>239291</c:v>
                      </c:pt>
                      <c:pt idx="76">
                        <c:v>242313</c:v>
                      </c:pt>
                      <c:pt idx="77">
                        <c:v>245335</c:v>
                      </c:pt>
                      <c:pt idx="78">
                        <c:v>248357</c:v>
                      </c:pt>
                      <c:pt idx="79">
                        <c:v>251380</c:v>
                      </c:pt>
                      <c:pt idx="80">
                        <c:v>255961</c:v>
                      </c:pt>
                      <c:pt idx="81">
                        <c:v>259003</c:v>
                      </c:pt>
                      <c:pt idx="82">
                        <c:v>262044</c:v>
                      </c:pt>
                      <c:pt idx="83">
                        <c:v>265086</c:v>
                      </c:pt>
                      <c:pt idx="84">
                        <c:v>268127</c:v>
                      </c:pt>
                      <c:pt idx="85">
                        <c:v>271169</c:v>
                      </c:pt>
                      <c:pt idx="86">
                        <c:v>274210</c:v>
                      </c:pt>
                      <c:pt idx="87">
                        <c:v>277252</c:v>
                      </c:pt>
                      <c:pt idx="88">
                        <c:v>282006</c:v>
                      </c:pt>
                      <c:pt idx="89">
                        <c:v>285067</c:v>
                      </c:pt>
                      <c:pt idx="90">
                        <c:v>288128</c:v>
                      </c:pt>
                      <c:pt idx="91">
                        <c:v>291189</c:v>
                      </c:pt>
                      <c:pt idx="92">
                        <c:v>294249</c:v>
                      </c:pt>
                      <c:pt idx="93">
                        <c:v>297310</c:v>
                      </c:pt>
                      <c:pt idx="94">
                        <c:v>300371</c:v>
                      </c:pt>
                      <c:pt idx="95">
                        <c:v>303432</c:v>
                      </c:pt>
                      <c:pt idx="96">
                        <c:v>308360</c:v>
                      </c:pt>
                      <c:pt idx="97">
                        <c:v>311440</c:v>
                      </c:pt>
                      <c:pt idx="98">
                        <c:v>314520</c:v>
                      </c:pt>
                      <c:pt idx="99">
                        <c:v>317600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3EB-4F2F-9CD4-F403992F3986}"/>
                  </c:ext>
                </c:extLst>
              </c15:ser>
            </c15:filteredLineSeries>
            <c15:filteredLine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Sheet1!$AE$1:$AE$2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근물공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Sheet1!$AE$3:$AE$102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1660</c:v>
                      </c:pt>
                      <c:pt idx="1">
                        <c:v>1660</c:v>
                      </c:pt>
                      <c:pt idx="2">
                        <c:v>1661</c:v>
                      </c:pt>
                      <c:pt idx="3">
                        <c:v>1661</c:v>
                      </c:pt>
                      <c:pt idx="4">
                        <c:v>1800</c:v>
                      </c:pt>
                      <c:pt idx="5">
                        <c:v>1800</c:v>
                      </c:pt>
                      <c:pt idx="6">
                        <c:v>1801</c:v>
                      </c:pt>
                      <c:pt idx="7">
                        <c:v>1802</c:v>
                      </c:pt>
                      <c:pt idx="8">
                        <c:v>1802</c:v>
                      </c:pt>
                      <c:pt idx="9">
                        <c:v>1803</c:v>
                      </c:pt>
                      <c:pt idx="10">
                        <c:v>1803</c:v>
                      </c:pt>
                      <c:pt idx="11">
                        <c:v>1804</c:v>
                      </c:pt>
                      <c:pt idx="12">
                        <c:v>1804</c:v>
                      </c:pt>
                      <c:pt idx="13">
                        <c:v>1948</c:v>
                      </c:pt>
                      <c:pt idx="14">
                        <c:v>1949</c:v>
                      </c:pt>
                      <c:pt idx="15">
                        <c:v>1949</c:v>
                      </c:pt>
                      <c:pt idx="16">
                        <c:v>1950</c:v>
                      </c:pt>
                      <c:pt idx="17">
                        <c:v>1950</c:v>
                      </c:pt>
                      <c:pt idx="18">
                        <c:v>1951</c:v>
                      </c:pt>
                      <c:pt idx="19">
                        <c:v>1951</c:v>
                      </c:pt>
                      <c:pt idx="20">
                        <c:v>1952</c:v>
                      </c:pt>
                      <c:pt idx="21">
                        <c:v>1953</c:v>
                      </c:pt>
                      <c:pt idx="22">
                        <c:v>2102</c:v>
                      </c:pt>
                      <c:pt idx="23">
                        <c:v>2103</c:v>
                      </c:pt>
                      <c:pt idx="24">
                        <c:v>2103</c:v>
                      </c:pt>
                      <c:pt idx="25">
                        <c:v>2104</c:v>
                      </c:pt>
                      <c:pt idx="26">
                        <c:v>2104</c:v>
                      </c:pt>
                      <c:pt idx="27">
                        <c:v>2105</c:v>
                      </c:pt>
                      <c:pt idx="28">
                        <c:v>2105</c:v>
                      </c:pt>
                      <c:pt idx="29">
                        <c:v>2106</c:v>
                      </c:pt>
                      <c:pt idx="30">
                        <c:v>2107</c:v>
                      </c:pt>
                      <c:pt idx="31">
                        <c:v>2262</c:v>
                      </c:pt>
                      <c:pt idx="32">
                        <c:v>2262</c:v>
                      </c:pt>
                      <c:pt idx="33">
                        <c:v>2263</c:v>
                      </c:pt>
                      <c:pt idx="34">
                        <c:v>2263</c:v>
                      </c:pt>
                      <c:pt idx="35">
                        <c:v>2264</c:v>
                      </c:pt>
                      <c:pt idx="36">
                        <c:v>2264</c:v>
                      </c:pt>
                      <c:pt idx="37">
                        <c:v>2265</c:v>
                      </c:pt>
                      <c:pt idx="38">
                        <c:v>2266</c:v>
                      </c:pt>
                      <c:pt idx="39">
                        <c:v>2266</c:v>
                      </c:pt>
                      <c:pt idx="40">
                        <c:v>2427</c:v>
                      </c:pt>
                      <c:pt idx="41">
                        <c:v>2427</c:v>
                      </c:pt>
                      <c:pt idx="42">
                        <c:v>2428</c:v>
                      </c:pt>
                      <c:pt idx="43">
                        <c:v>2428</c:v>
                      </c:pt>
                      <c:pt idx="44">
                        <c:v>2429</c:v>
                      </c:pt>
                      <c:pt idx="45">
                        <c:v>2430</c:v>
                      </c:pt>
                      <c:pt idx="46">
                        <c:v>2430</c:v>
                      </c:pt>
                      <c:pt idx="47">
                        <c:v>2431</c:v>
                      </c:pt>
                      <c:pt idx="48">
                        <c:v>2431</c:v>
                      </c:pt>
                      <c:pt idx="49">
                        <c:v>2597</c:v>
                      </c:pt>
                      <c:pt idx="50">
                        <c:v>2598</c:v>
                      </c:pt>
                      <c:pt idx="51">
                        <c:v>2598</c:v>
                      </c:pt>
                      <c:pt idx="52">
                        <c:v>2599</c:v>
                      </c:pt>
                      <c:pt idx="53">
                        <c:v>2599</c:v>
                      </c:pt>
                      <c:pt idx="54">
                        <c:v>2600</c:v>
                      </c:pt>
                      <c:pt idx="55">
                        <c:v>2601</c:v>
                      </c:pt>
                      <c:pt idx="56">
                        <c:v>2601</c:v>
                      </c:pt>
                      <c:pt idx="57">
                        <c:v>2602</c:v>
                      </c:pt>
                      <c:pt idx="58">
                        <c:v>2602</c:v>
                      </c:pt>
                      <c:pt idx="59">
                        <c:v>2774</c:v>
                      </c:pt>
                      <c:pt idx="60">
                        <c:v>2774</c:v>
                      </c:pt>
                      <c:pt idx="61">
                        <c:v>2775</c:v>
                      </c:pt>
                      <c:pt idx="62">
                        <c:v>2776</c:v>
                      </c:pt>
                      <c:pt idx="63">
                        <c:v>2776</c:v>
                      </c:pt>
                      <c:pt idx="64">
                        <c:v>2777</c:v>
                      </c:pt>
                      <c:pt idx="65">
                        <c:v>2777</c:v>
                      </c:pt>
                      <c:pt idx="66">
                        <c:v>2778</c:v>
                      </c:pt>
                      <c:pt idx="67">
                        <c:v>2778</c:v>
                      </c:pt>
                      <c:pt idx="68">
                        <c:v>2955</c:v>
                      </c:pt>
                      <c:pt idx="69">
                        <c:v>2956</c:v>
                      </c:pt>
                      <c:pt idx="70">
                        <c:v>2957</c:v>
                      </c:pt>
                      <c:pt idx="71">
                        <c:v>2957</c:v>
                      </c:pt>
                      <c:pt idx="72">
                        <c:v>2958</c:v>
                      </c:pt>
                      <c:pt idx="73">
                        <c:v>2959</c:v>
                      </c:pt>
                      <c:pt idx="74">
                        <c:v>2959</c:v>
                      </c:pt>
                      <c:pt idx="75">
                        <c:v>2960</c:v>
                      </c:pt>
                      <c:pt idx="76">
                        <c:v>2960</c:v>
                      </c:pt>
                      <c:pt idx="77">
                        <c:v>3143</c:v>
                      </c:pt>
                      <c:pt idx="78">
                        <c:v>3143</c:v>
                      </c:pt>
                      <c:pt idx="79">
                        <c:v>3144</c:v>
                      </c:pt>
                      <c:pt idx="80">
                        <c:v>3145</c:v>
                      </c:pt>
                      <c:pt idx="81">
                        <c:v>3145</c:v>
                      </c:pt>
                      <c:pt idx="82">
                        <c:v>3146</c:v>
                      </c:pt>
                      <c:pt idx="83">
                        <c:v>3146</c:v>
                      </c:pt>
                      <c:pt idx="84">
                        <c:v>3147</c:v>
                      </c:pt>
                      <c:pt idx="85">
                        <c:v>3147</c:v>
                      </c:pt>
                      <c:pt idx="86">
                        <c:v>3335</c:v>
                      </c:pt>
                      <c:pt idx="87">
                        <c:v>3336</c:v>
                      </c:pt>
                      <c:pt idx="88">
                        <c:v>3337</c:v>
                      </c:pt>
                      <c:pt idx="89">
                        <c:v>3337</c:v>
                      </c:pt>
                      <c:pt idx="90">
                        <c:v>3338</c:v>
                      </c:pt>
                      <c:pt idx="91">
                        <c:v>3338</c:v>
                      </c:pt>
                      <c:pt idx="92">
                        <c:v>3339</c:v>
                      </c:pt>
                      <c:pt idx="93">
                        <c:v>3339</c:v>
                      </c:pt>
                      <c:pt idx="94">
                        <c:v>3340</c:v>
                      </c:pt>
                      <c:pt idx="95">
                        <c:v>3534</c:v>
                      </c:pt>
                      <c:pt idx="96">
                        <c:v>3534</c:v>
                      </c:pt>
                      <c:pt idx="97">
                        <c:v>3535</c:v>
                      </c:pt>
                      <c:pt idx="98">
                        <c:v>3536</c:v>
                      </c:pt>
                      <c:pt idx="99">
                        <c:v>3536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3EB-4F2F-9CD4-F403992F3986}"/>
                  </c:ext>
                </c:extLst>
              </c15:ser>
            </c15:filteredLineSeries>
            <c15:filteredLine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Sheet1!$AF$1:$AF$2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원물공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Sheet1!$AF$3:$AF$102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1940</c:v>
                      </c:pt>
                      <c:pt idx="1">
                        <c:v>1941</c:v>
                      </c:pt>
                      <c:pt idx="2">
                        <c:v>1941</c:v>
                      </c:pt>
                      <c:pt idx="3">
                        <c:v>1942</c:v>
                      </c:pt>
                      <c:pt idx="4">
                        <c:v>2091</c:v>
                      </c:pt>
                      <c:pt idx="5">
                        <c:v>2092</c:v>
                      </c:pt>
                      <c:pt idx="6">
                        <c:v>2092</c:v>
                      </c:pt>
                      <c:pt idx="7">
                        <c:v>2093</c:v>
                      </c:pt>
                      <c:pt idx="8">
                        <c:v>2094</c:v>
                      </c:pt>
                      <c:pt idx="9">
                        <c:v>2094</c:v>
                      </c:pt>
                      <c:pt idx="10">
                        <c:v>2095</c:v>
                      </c:pt>
                      <c:pt idx="11">
                        <c:v>2095</c:v>
                      </c:pt>
                      <c:pt idx="12">
                        <c:v>2250</c:v>
                      </c:pt>
                      <c:pt idx="13">
                        <c:v>2251</c:v>
                      </c:pt>
                      <c:pt idx="14">
                        <c:v>2251</c:v>
                      </c:pt>
                      <c:pt idx="15">
                        <c:v>2252</c:v>
                      </c:pt>
                      <c:pt idx="16">
                        <c:v>2253</c:v>
                      </c:pt>
                      <c:pt idx="17">
                        <c:v>2253</c:v>
                      </c:pt>
                      <c:pt idx="18">
                        <c:v>2254</c:v>
                      </c:pt>
                      <c:pt idx="19">
                        <c:v>2254</c:v>
                      </c:pt>
                      <c:pt idx="20">
                        <c:v>2414</c:v>
                      </c:pt>
                      <c:pt idx="21">
                        <c:v>2415</c:v>
                      </c:pt>
                      <c:pt idx="22">
                        <c:v>2416</c:v>
                      </c:pt>
                      <c:pt idx="23">
                        <c:v>2416</c:v>
                      </c:pt>
                      <c:pt idx="24">
                        <c:v>2417</c:v>
                      </c:pt>
                      <c:pt idx="25">
                        <c:v>2417</c:v>
                      </c:pt>
                      <c:pt idx="26">
                        <c:v>2418</c:v>
                      </c:pt>
                      <c:pt idx="27">
                        <c:v>2419</c:v>
                      </c:pt>
                      <c:pt idx="28">
                        <c:v>2419</c:v>
                      </c:pt>
                      <c:pt idx="29">
                        <c:v>2585</c:v>
                      </c:pt>
                      <c:pt idx="30">
                        <c:v>2586</c:v>
                      </c:pt>
                      <c:pt idx="31">
                        <c:v>2587</c:v>
                      </c:pt>
                      <c:pt idx="32">
                        <c:v>2587</c:v>
                      </c:pt>
                      <c:pt idx="33">
                        <c:v>2588</c:v>
                      </c:pt>
                      <c:pt idx="34">
                        <c:v>2588</c:v>
                      </c:pt>
                      <c:pt idx="35">
                        <c:v>2589</c:v>
                      </c:pt>
                      <c:pt idx="36">
                        <c:v>2589</c:v>
                      </c:pt>
                      <c:pt idx="37">
                        <c:v>2761</c:v>
                      </c:pt>
                      <c:pt idx="38">
                        <c:v>2761</c:v>
                      </c:pt>
                      <c:pt idx="39">
                        <c:v>2762</c:v>
                      </c:pt>
                      <c:pt idx="40">
                        <c:v>2763</c:v>
                      </c:pt>
                      <c:pt idx="41">
                        <c:v>2763</c:v>
                      </c:pt>
                      <c:pt idx="42">
                        <c:v>2764</c:v>
                      </c:pt>
                      <c:pt idx="43">
                        <c:v>2764</c:v>
                      </c:pt>
                      <c:pt idx="44">
                        <c:v>2765</c:v>
                      </c:pt>
                      <c:pt idx="45">
                        <c:v>2942</c:v>
                      </c:pt>
                      <c:pt idx="46">
                        <c:v>2942</c:v>
                      </c:pt>
                      <c:pt idx="47">
                        <c:v>2943</c:v>
                      </c:pt>
                      <c:pt idx="48">
                        <c:v>2943</c:v>
                      </c:pt>
                      <c:pt idx="49">
                        <c:v>2944</c:v>
                      </c:pt>
                      <c:pt idx="50">
                        <c:v>2945</c:v>
                      </c:pt>
                      <c:pt idx="51">
                        <c:v>2945</c:v>
                      </c:pt>
                      <c:pt idx="52">
                        <c:v>2946</c:v>
                      </c:pt>
                      <c:pt idx="53">
                        <c:v>2946</c:v>
                      </c:pt>
                      <c:pt idx="54">
                        <c:v>3129</c:v>
                      </c:pt>
                      <c:pt idx="55">
                        <c:v>3130</c:v>
                      </c:pt>
                      <c:pt idx="56">
                        <c:v>3130</c:v>
                      </c:pt>
                      <c:pt idx="57">
                        <c:v>3131</c:v>
                      </c:pt>
                      <c:pt idx="58">
                        <c:v>3131</c:v>
                      </c:pt>
                      <c:pt idx="59">
                        <c:v>3132</c:v>
                      </c:pt>
                      <c:pt idx="60">
                        <c:v>3132</c:v>
                      </c:pt>
                      <c:pt idx="61">
                        <c:v>3133</c:v>
                      </c:pt>
                      <c:pt idx="62">
                        <c:v>3321</c:v>
                      </c:pt>
                      <c:pt idx="63">
                        <c:v>3322</c:v>
                      </c:pt>
                      <c:pt idx="64">
                        <c:v>3322</c:v>
                      </c:pt>
                      <c:pt idx="65">
                        <c:v>3323</c:v>
                      </c:pt>
                      <c:pt idx="66">
                        <c:v>3323</c:v>
                      </c:pt>
                      <c:pt idx="67">
                        <c:v>3324</c:v>
                      </c:pt>
                      <c:pt idx="68">
                        <c:v>3325</c:v>
                      </c:pt>
                      <c:pt idx="69">
                        <c:v>3325</c:v>
                      </c:pt>
                      <c:pt idx="70">
                        <c:v>3519</c:v>
                      </c:pt>
                      <c:pt idx="71">
                        <c:v>3519</c:v>
                      </c:pt>
                      <c:pt idx="72">
                        <c:v>3520</c:v>
                      </c:pt>
                      <c:pt idx="73">
                        <c:v>3521</c:v>
                      </c:pt>
                      <c:pt idx="74">
                        <c:v>3521</c:v>
                      </c:pt>
                      <c:pt idx="75">
                        <c:v>3522</c:v>
                      </c:pt>
                      <c:pt idx="76">
                        <c:v>3522</c:v>
                      </c:pt>
                      <c:pt idx="77">
                        <c:v>3523</c:v>
                      </c:pt>
                      <c:pt idx="78">
                        <c:v>3524</c:v>
                      </c:pt>
                      <c:pt idx="79">
                        <c:v>3723</c:v>
                      </c:pt>
                      <c:pt idx="80">
                        <c:v>3723</c:v>
                      </c:pt>
                      <c:pt idx="81">
                        <c:v>3724</c:v>
                      </c:pt>
                      <c:pt idx="82">
                        <c:v>3724</c:v>
                      </c:pt>
                      <c:pt idx="83">
                        <c:v>3725</c:v>
                      </c:pt>
                      <c:pt idx="84">
                        <c:v>3725</c:v>
                      </c:pt>
                      <c:pt idx="85">
                        <c:v>3726</c:v>
                      </c:pt>
                      <c:pt idx="86">
                        <c:v>3727</c:v>
                      </c:pt>
                      <c:pt idx="87">
                        <c:v>3931</c:v>
                      </c:pt>
                      <c:pt idx="88">
                        <c:v>3932</c:v>
                      </c:pt>
                      <c:pt idx="89">
                        <c:v>3933</c:v>
                      </c:pt>
                      <c:pt idx="90">
                        <c:v>3933</c:v>
                      </c:pt>
                      <c:pt idx="91">
                        <c:v>3934</c:v>
                      </c:pt>
                      <c:pt idx="92">
                        <c:v>3934</c:v>
                      </c:pt>
                      <c:pt idx="93">
                        <c:v>3935</c:v>
                      </c:pt>
                      <c:pt idx="94">
                        <c:v>3935</c:v>
                      </c:pt>
                      <c:pt idx="95">
                        <c:v>4146</c:v>
                      </c:pt>
                      <c:pt idx="96">
                        <c:v>4146</c:v>
                      </c:pt>
                      <c:pt idx="97">
                        <c:v>4147</c:v>
                      </c:pt>
                      <c:pt idx="98">
                        <c:v>4147</c:v>
                      </c:pt>
                      <c:pt idx="99">
                        <c:v>4148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3EB-4F2F-9CD4-F403992F3986}"/>
                  </c:ext>
                </c:extLst>
              </c15:ser>
            </c15:filteredLineSeries>
            <c15:filteredLine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Sheet1!$AG$1:$AG$2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마공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Sheet1!$AG$3:$AG$102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16278</c:v>
                      </c:pt>
                      <c:pt idx="1">
                        <c:v>16278</c:v>
                      </c:pt>
                      <c:pt idx="2">
                        <c:v>16863</c:v>
                      </c:pt>
                      <c:pt idx="3">
                        <c:v>16863</c:v>
                      </c:pt>
                      <c:pt idx="4">
                        <c:v>16864</c:v>
                      </c:pt>
                      <c:pt idx="5">
                        <c:v>16864</c:v>
                      </c:pt>
                      <c:pt idx="6">
                        <c:v>17459</c:v>
                      </c:pt>
                      <c:pt idx="7">
                        <c:v>17460</c:v>
                      </c:pt>
                      <c:pt idx="8">
                        <c:v>17460</c:v>
                      </c:pt>
                      <c:pt idx="9">
                        <c:v>17461</c:v>
                      </c:pt>
                      <c:pt idx="10">
                        <c:v>18066</c:v>
                      </c:pt>
                      <c:pt idx="11">
                        <c:v>18067</c:v>
                      </c:pt>
                      <c:pt idx="12">
                        <c:v>18067</c:v>
                      </c:pt>
                      <c:pt idx="13">
                        <c:v>18068</c:v>
                      </c:pt>
                      <c:pt idx="14">
                        <c:v>18683</c:v>
                      </c:pt>
                      <c:pt idx="15">
                        <c:v>18684</c:v>
                      </c:pt>
                      <c:pt idx="16">
                        <c:v>18685</c:v>
                      </c:pt>
                      <c:pt idx="17">
                        <c:v>18685</c:v>
                      </c:pt>
                      <c:pt idx="18">
                        <c:v>19311</c:v>
                      </c:pt>
                      <c:pt idx="19">
                        <c:v>19311</c:v>
                      </c:pt>
                      <c:pt idx="20">
                        <c:v>19312</c:v>
                      </c:pt>
                      <c:pt idx="21">
                        <c:v>19313</c:v>
                      </c:pt>
                      <c:pt idx="22">
                        <c:v>19948</c:v>
                      </c:pt>
                      <c:pt idx="23">
                        <c:v>19949</c:v>
                      </c:pt>
                      <c:pt idx="24">
                        <c:v>19949</c:v>
                      </c:pt>
                      <c:pt idx="25">
                        <c:v>19950</c:v>
                      </c:pt>
                      <c:pt idx="26">
                        <c:v>19951</c:v>
                      </c:pt>
                      <c:pt idx="27">
                        <c:v>20597</c:v>
                      </c:pt>
                      <c:pt idx="28">
                        <c:v>20597</c:v>
                      </c:pt>
                      <c:pt idx="29">
                        <c:v>20598</c:v>
                      </c:pt>
                      <c:pt idx="30">
                        <c:v>20599</c:v>
                      </c:pt>
                      <c:pt idx="31">
                        <c:v>21255</c:v>
                      </c:pt>
                      <c:pt idx="32">
                        <c:v>21256</c:v>
                      </c:pt>
                      <c:pt idx="33">
                        <c:v>21256</c:v>
                      </c:pt>
                      <c:pt idx="34">
                        <c:v>21257</c:v>
                      </c:pt>
                      <c:pt idx="35">
                        <c:v>21924</c:v>
                      </c:pt>
                      <c:pt idx="36">
                        <c:v>21925</c:v>
                      </c:pt>
                      <c:pt idx="37">
                        <c:v>21925</c:v>
                      </c:pt>
                      <c:pt idx="38">
                        <c:v>21926</c:v>
                      </c:pt>
                      <c:pt idx="39">
                        <c:v>22603</c:v>
                      </c:pt>
                      <c:pt idx="40">
                        <c:v>22604</c:v>
                      </c:pt>
                      <c:pt idx="41">
                        <c:v>22604</c:v>
                      </c:pt>
                      <c:pt idx="42">
                        <c:v>22605</c:v>
                      </c:pt>
                      <c:pt idx="43">
                        <c:v>23292</c:v>
                      </c:pt>
                      <c:pt idx="44">
                        <c:v>23292</c:v>
                      </c:pt>
                      <c:pt idx="45">
                        <c:v>23293</c:v>
                      </c:pt>
                      <c:pt idx="46">
                        <c:v>23294</c:v>
                      </c:pt>
                      <c:pt idx="47">
                        <c:v>23992</c:v>
                      </c:pt>
                      <c:pt idx="48">
                        <c:v>23992</c:v>
                      </c:pt>
                      <c:pt idx="49">
                        <c:v>23993</c:v>
                      </c:pt>
                      <c:pt idx="50">
                        <c:v>23993</c:v>
                      </c:pt>
                      <c:pt idx="51">
                        <c:v>23994</c:v>
                      </c:pt>
                      <c:pt idx="52">
                        <c:v>24702</c:v>
                      </c:pt>
                      <c:pt idx="53">
                        <c:v>24702</c:v>
                      </c:pt>
                      <c:pt idx="54">
                        <c:v>24703</c:v>
                      </c:pt>
                      <c:pt idx="55">
                        <c:v>24704</c:v>
                      </c:pt>
                      <c:pt idx="56">
                        <c:v>25422</c:v>
                      </c:pt>
                      <c:pt idx="57">
                        <c:v>25423</c:v>
                      </c:pt>
                      <c:pt idx="58">
                        <c:v>25423</c:v>
                      </c:pt>
                      <c:pt idx="59">
                        <c:v>25424</c:v>
                      </c:pt>
                      <c:pt idx="60">
                        <c:v>26153</c:v>
                      </c:pt>
                      <c:pt idx="61">
                        <c:v>26153</c:v>
                      </c:pt>
                      <c:pt idx="62">
                        <c:v>26154</c:v>
                      </c:pt>
                      <c:pt idx="63">
                        <c:v>26154</c:v>
                      </c:pt>
                      <c:pt idx="64">
                        <c:v>26893</c:v>
                      </c:pt>
                      <c:pt idx="65">
                        <c:v>26894</c:v>
                      </c:pt>
                      <c:pt idx="66">
                        <c:v>26894</c:v>
                      </c:pt>
                      <c:pt idx="67">
                        <c:v>26895</c:v>
                      </c:pt>
                      <c:pt idx="68">
                        <c:v>27644</c:v>
                      </c:pt>
                      <c:pt idx="69">
                        <c:v>27645</c:v>
                      </c:pt>
                      <c:pt idx="70">
                        <c:v>27645</c:v>
                      </c:pt>
                      <c:pt idx="71">
                        <c:v>27646</c:v>
                      </c:pt>
                      <c:pt idx="72">
                        <c:v>28406</c:v>
                      </c:pt>
                      <c:pt idx="73">
                        <c:v>28406</c:v>
                      </c:pt>
                      <c:pt idx="74">
                        <c:v>28407</c:v>
                      </c:pt>
                      <c:pt idx="75">
                        <c:v>28407</c:v>
                      </c:pt>
                      <c:pt idx="76">
                        <c:v>28408</c:v>
                      </c:pt>
                      <c:pt idx="77">
                        <c:v>29178</c:v>
                      </c:pt>
                      <c:pt idx="78">
                        <c:v>29178</c:v>
                      </c:pt>
                      <c:pt idx="79">
                        <c:v>29179</c:v>
                      </c:pt>
                      <c:pt idx="80">
                        <c:v>29180</c:v>
                      </c:pt>
                      <c:pt idx="81">
                        <c:v>29960</c:v>
                      </c:pt>
                      <c:pt idx="82">
                        <c:v>29960</c:v>
                      </c:pt>
                      <c:pt idx="83">
                        <c:v>29961</c:v>
                      </c:pt>
                      <c:pt idx="84">
                        <c:v>29961</c:v>
                      </c:pt>
                      <c:pt idx="85">
                        <c:v>30752</c:v>
                      </c:pt>
                      <c:pt idx="86">
                        <c:v>30752</c:v>
                      </c:pt>
                      <c:pt idx="87">
                        <c:v>30753</c:v>
                      </c:pt>
                      <c:pt idx="88">
                        <c:v>30754</c:v>
                      </c:pt>
                      <c:pt idx="89">
                        <c:v>31554</c:v>
                      </c:pt>
                      <c:pt idx="90">
                        <c:v>31555</c:v>
                      </c:pt>
                      <c:pt idx="91">
                        <c:v>31555</c:v>
                      </c:pt>
                      <c:pt idx="92">
                        <c:v>31556</c:v>
                      </c:pt>
                      <c:pt idx="93">
                        <c:v>32367</c:v>
                      </c:pt>
                      <c:pt idx="94">
                        <c:v>32368</c:v>
                      </c:pt>
                      <c:pt idx="95">
                        <c:v>32368</c:v>
                      </c:pt>
                      <c:pt idx="96">
                        <c:v>32369</c:v>
                      </c:pt>
                      <c:pt idx="97">
                        <c:v>33191</c:v>
                      </c:pt>
                      <c:pt idx="98">
                        <c:v>33191</c:v>
                      </c:pt>
                      <c:pt idx="99">
                        <c:v>33192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3EB-4F2F-9CD4-F403992F3986}"/>
                  </c:ext>
                </c:extLst>
              </c15:ser>
            </c15:filteredLineSeries>
            <c15:filteredLine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Sheet1!$AH$1:$AH$2</c15:sqref>
                        </c15:formulaRef>
                      </c:ext>
                    </c:extLst>
                    <c:strCache>
                      <c:ptCount val="2"/>
                      <c:pt idx="0">
                        <c:v>5</c:v>
                      </c:pt>
                      <c:pt idx="1">
                        <c:v>물방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Sheet1!$AH$3:$AH$102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27802</c:v>
                      </c:pt>
                      <c:pt idx="1">
                        <c:v>28381</c:v>
                      </c:pt>
                      <c:pt idx="2">
                        <c:v>28960</c:v>
                      </c:pt>
                      <c:pt idx="3">
                        <c:v>30118</c:v>
                      </c:pt>
                      <c:pt idx="4">
                        <c:v>30697</c:v>
                      </c:pt>
                      <c:pt idx="5">
                        <c:v>31276</c:v>
                      </c:pt>
                      <c:pt idx="6">
                        <c:v>31855</c:v>
                      </c:pt>
                      <c:pt idx="7">
                        <c:v>32434</c:v>
                      </c:pt>
                      <c:pt idx="8">
                        <c:v>33013</c:v>
                      </c:pt>
                      <c:pt idx="9">
                        <c:v>33592</c:v>
                      </c:pt>
                      <c:pt idx="10">
                        <c:v>34171</c:v>
                      </c:pt>
                      <c:pt idx="11">
                        <c:v>35329</c:v>
                      </c:pt>
                      <c:pt idx="12">
                        <c:v>35908</c:v>
                      </c:pt>
                      <c:pt idx="13">
                        <c:v>36487</c:v>
                      </c:pt>
                      <c:pt idx="14">
                        <c:v>37066</c:v>
                      </c:pt>
                      <c:pt idx="15">
                        <c:v>37645</c:v>
                      </c:pt>
                      <c:pt idx="16">
                        <c:v>38224</c:v>
                      </c:pt>
                      <c:pt idx="17">
                        <c:v>38803</c:v>
                      </c:pt>
                      <c:pt idx="18">
                        <c:v>39382</c:v>
                      </c:pt>
                      <c:pt idx="19">
                        <c:v>40540</c:v>
                      </c:pt>
                      <c:pt idx="20">
                        <c:v>41119</c:v>
                      </c:pt>
                      <c:pt idx="21">
                        <c:v>41698</c:v>
                      </c:pt>
                      <c:pt idx="22">
                        <c:v>42277</c:v>
                      </c:pt>
                      <c:pt idx="23">
                        <c:v>42856</c:v>
                      </c:pt>
                      <c:pt idx="24">
                        <c:v>43435</c:v>
                      </c:pt>
                      <c:pt idx="25">
                        <c:v>44014</c:v>
                      </c:pt>
                      <c:pt idx="26">
                        <c:v>45172</c:v>
                      </c:pt>
                      <c:pt idx="27">
                        <c:v>45751</c:v>
                      </c:pt>
                      <c:pt idx="28">
                        <c:v>46330</c:v>
                      </c:pt>
                      <c:pt idx="29">
                        <c:v>46909</c:v>
                      </c:pt>
                      <c:pt idx="30">
                        <c:v>47488</c:v>
                      </c:pt>
                      <c:pt idx="31">
                        <c:v>48068</c:v>
                      </c:pt>
                      <c:pt idx="32">
                        <c:v>48647</c:v>
                      </c:pt>
                      <c:pt idx="33">
                        <c:v>49226</c:v>
                      </c:pt>
                      <c:pt idx="34">
                        <c:v>50385</c:v>
                      </c:pt>
                      <c:pt idx="35">
                        <c:v>50964</c:v>
                      </c:pt>
                      <c:pt idx="36">
                        <c:v>51543</c:v>
                      </c:pt>
                      <c:pt idx="37">
                        <c:v>52122</c:v>
                      </c:pt>
                      <c:pt idx="38">
                        <c:v>52701</c:v>
                      </c:pt>
                      <c:pt idx="39">
                        <c:v>53280</c:v>
                      </c:pt>
                      <c:pt idx="40">
                        <c:v>53859</c:v>
                      </c:pt>
                      <c:pt idx="41">
                        <c:v>54438</c:v>
                      </c:pt>
                      <c:pt idx="42">
                        <c:v>55596</c:v>
                      </c:pt>
                      <c:pt idx="43">
                        <c:v>56175</c:v>
                      </c:pt>
                      <c:pt idx="44">
                        <c:v>56754</c:v>
                      </c:pt>
                      <c:pt idx="45">
                        <c:v>57333</c:v>
                      </c:pt>
                      <c:pt idx="46">
                        <c:v>57912</c:v>
                      </c:pt>
                      <c:pt idx="47">
                        <c:v>58491</c:v>
                      </c:pt>
                      <c:pt idx="48">
                        <c:v>59070</c:v>
                      </c:pt>
                      <c:pt idx="49">
                        <c:v>60228</c:v>
                      </c:pt>
                      <c:pt idx="50">
                        <c:v>60807</c:v>
                      </c:pt>
                      <c:pt idx="51">
                        <c:v>61386</c:v>
                      </c:pt>
                      <c:pt idx="52">
                        <c:v>61965</c:v>
                      </c:pt>
                      <c:pt idx="53">
                        <c:v>62544</c:v>
                      </c:pt>
                      <c:pt idx="54">
                        <c:v>63123</c:v>
                      </c:pt>
                      <c:pt idx="55">
                        <c:v>63702</c:v>
                      </c:pt>
                      <c:pt idx="56">
                        <c:v>64281</c:v>
                      </c:pt>
                      <c:pt idx="57">
                        <c:v>65439</c:v>
                      </c:pt>
                      <c:pt idx="58">
                        <c:v>66018</c:v>
                      </c:pt>
                      <c:pt idx="59">
                        <c:v>66597</c:v>
                      </c:pt>
                      <c:pt idx="60">
                        <c:v>67176</c:v>
                      </c:pt>
                      <c:pt idx="61">
                        <c:v>67755</c:v>
                      </c:pt>
                      <c:pt idx="62">
                        <c:v>68334</c:v>
                      </c:pt>
                      <c:pt idx="63">
                        <c:v>68913</c:v>
                      </c:pt>
                      <c:pt idx="64">
                        <c:v>69492</c:v>
                      </c:pt>
                      <c:pt idx="65">
                        <c:v>70650</c:v>
                      </c:pt>
                      <c:pt idx="66">
                        <c:v>71229</c:v>
                      </c:pt>
                      <c:pt idx="67">
                        <c:v>71808</c:v>
                      </c:pt>
                      <c:pt idx="68">
                        <c:v>72388</c:v>
                      </c:pt>
                      <c:pt idx="69">
                        <c:v>72967</c:v>
                      </c:pt>
                      <c:pt idx="70">
                        <c:v>73546</c:v>
                      </c:pt>
                      <c:pt idx="71">
                        <c:v>74125</c:v>
                      </c:pt>
                      <c:pt idx="72">
                        <c:v>74704</c:v>
                      </c:pt>
                      <c:pt idx="73">
                        <c:v>75862</c:v>
                      </c:pt>
                      <c:pt idx="74">
                        <c:v>76441</c:v>
                      </c:pt>
                      <c:pt idx="75">
                        <c:v>77020</c:v>
                      </c:pt>
                      <c:pt idx="76">
                        <c:v>77599</c:v>
                      </c:pt>
                      <c:pt idx="77">
                        <c:v>78178</c:v>
                      </c:pt>
                      <c:pt idx="78">
                        <c:v>78757</c:v>
                      </c:pt>
                      <c:pt idx="79">
                        <c:v>79336</c:v>
                      </c:pt>
                      <c:pt idx="80">
                        <c:v>80494</c:v>
                      </c:pt>
                      <c:pt idx="81">
                        <c:v>81073</c:v>
                      </c:pt>
                      <c:pt idx="82">
                        <c:v>81652</c:v>
                      </c:pt>
                      <c:pt idx="83">
                        <c:v>82231</c:v>
                      </c:pt>
                      <c:pt idx="84">
                        <c:v>82810</c:v>
                      </c:pt>
                      <c:pt idx="85">
                        <c:v>83389</c:v>
                      </c:pt>
                      <c:pt idx="86">
                        <c:v>83969</c:v>
                      </c:pt>
                      <c:pt idx="87">
                        <c:v>84548</c:v>
                      </c:pt>
                      <c:pt idx="88">
                        <c:v>85706</c:v>
                      </c:pt>
                      <c:pt idx="89">
                        <c:v>86285</c:v>
                      </c:pt>
                      <c:pt idx="90">
                        <c:v>86864</c:v>
                      </c:pt>
                      <c:pt idx="91">
                        <c:v>87443</c:v>
                      </c:pt>
                      <c:pt idx="92">
                        <c:v>88022</c:v>
                      </c:pt>
                      <c:pt idx="93">
                        <c:v>88601</c:v>
                      </c:pt>
                      <c:pt idx="94">
                        <c:v>89180</c:v>
                      </c:pt>
                      <c:pt idx="95">
                        <c:v>89759</c:v>
                      </c:pt>
                      <c:pt idx="96">
                        <c:v>90917</c:v>
                      </c:pt>
                      <c:pt idx="97">
                        <c:v>91496</c:v>
                      </c:pt>
                      <c:pt idx="98">
                        <c:v>92075</c:v>
                      </c:pt>
                      <c:pt idx="99">
                        <c:v>92654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3EB-4F2F-9CD4-F403992F3986}"/>
                  </c:ext>
                </c:extLst>
              </c15:ser>
            </c15:filteredLineSeries>
          </c:ext>
        </c:extLst>
      </c:lineChart>
      <c:catAx>
        <c:axId val="630878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968"/>
        <c:crosses val="autoZero"/>
        <c:auto val="1"/>
        <c:lblAlgn val="ctr"/>
        <c:lblOffset val="100"/>
        <c:noMultiLvlLbl val="0"/>
      </c:catAx>
      <c:valAx>
        <c:axId val="63087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3087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143922</xdr:rowOff>
    </xdr:from>
    <xdr:to>
      <xdr:col>7</xdr:col>
      <xdr:colOff>451758</xdr:colOff>
      <xdr:row>61</xdr:row>
      <xdr:rowOff>18946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25304E2D-6039-49DE-91F2-6DA3E1E1F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61</xdr:row>
      <xdr:rowOff>191547</xdr:rowOff>
    </xdr:from>
    <xdr:to>
      <xdr:col>7</xdr:col>
      <xdr:colOff>461283</xdr:colOff>
      <xdr:row>80</xdr:row>
      <xdr:rowOff>66571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7EE9401A-AF9B-461F-B4EA-3CC83CB0B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533400</xdr:colOff>
      <xdr:row>61</xdr:row>
      <xdr:rowOff>191547</xdr:rowOff>
    </xdr:from>
    <xdr:to>
      <xdr:col>15</xdr:col>
      <xdr:colOff>299358</xdr:colOff>
      <xdr:row>80</xdr:row>
      <xdr:rowOff>66571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E812D8D6-7CDA-453E-AC08-6957FB2879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82</xdr:row>
      <xdr:rowOff>39147</xdr:rowOff>
    </xdr:from>
    <xdr:to>
      <xdr:col>7</xdr:col>
      <xdr:colOff>461283</xdr:colOff>
      <xdr:row>100</xdr:row>
      <xdr:rowOff>123721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490D9DE9-037C-4F22-AFDB-604061071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552450</xdr:colOff>
      <xdr:row>82</xdr:row>
      <xdr:rowOff>39147</xdr:rowOff>
    </xdr:from>
    <xdr:to>
      <xdr:col>15</xdr:col>
      <xdr:colOff>318408</xdr:colOff>
      <xdr:row>100</xdr:row>
      <xdr:rowOff>123721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F1BE124-0FE8-482E-8EDD-71171DA664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">
    <tabColor rgb="FF66FFCC"/>
  </sheetPr>
  <dimension ref="A1:BC586"/>
  <sheetViews>
    <sheetView tabSelected="1" topLeftCell="F1" zoomScaleNormal="100" workbookViewId="0">
      <selection activeCell="J15" sqref="J15"/>
    </sheetView>
    <sheetView workbookViewId="1"/>
  </sheetViews>
  <sheetFormatPr defaultRowHeight="12" x14ac:dyDescent="0.2"/>
  <cols>
    <col min="1" max="1" width="6.125" style="169" customWidth="1"/>
    <col min="2" max="2" width="12.25" style="137" bestFit="1" customWidth="1"/>
    <col min="3" max="4" width="8.5" style="137" bestFit="1" customWidth="1"/>
    <col min="5" max="5" width="21.375" style="206" customWidth="1"/>
    <col min="6" max="6" width="12.75" style="207" bestFit="1" customWidth="1"/>
    <col min="7" max="7" width="9.875" style="169" bestFit="1" customWidth="1"/>
    <col min="8" max="8" width="7.875" style="169" bestFit="1" customWidth="1"/>
    <col min="9" max="9" width="9.5" style="169" bestFit="1" customWidth="1"/>
    <col min="10" max="10" width="11.75" style="137" bestFit="1" customWidth="1"/>
    <col min="11" max="11" width="13.25" style="137" bestFit="1" customWidth="1"/>
    <col min="12" max="12" width="13.75" style="137" bestFit="1" customWidth="1"/>
    <col min="13" max="13" width="15.375" style="137" bestFit="1" customWidth="1"/>
    <col min="14" max="14" width="13.875" style="137" bestFit="1" customWidth="1"/>
    <col min="15" max="15" width="15.5" style="137" bestFit="1" customWidth="1"/>
    <col min="16" max="22" width="15.5" style="137" customWidth="1"/>
    <col min="23" max="23" width="8.625" style="137" bestFit="1" customWidth="1"/>
    <col min="24" max="24" width="9" style="137" bestFit="1" customWidth="1"/>
    <col min="25" max="25" width="8.375" style="137" bestFit="1" customWidth="1"/>
    <col min="26" max="26" width="8.5" style="137" bestFit="1" customWidth="1"/>
    <col min="27" max="27" width="9.5" style="137" bestFit="1" customWidth="1"/>
    <col min="28" max="28" width="8.875" style="137" bestFit="1" customWidth="1"/>
    <col min="29" max="34" width="8.875" style="137" customWidth="1"/>
    <col min="35" max="35" width="10.5" style="208" bestFit="1" customWidth="1"/>
    <col min="36" max="36" width="10.75" style="137" bestFit="1" customWidth="1"/>
    <col min="37" max="37" width="9.125" style="137" bestFit="1" customWidth="1"/>
    <col min="38" max="38" width="10.75" style="137" bestFit="1" customWidth="1"/>
    <col min="39" max="39" width="9.125" style="137" bestFit="1" customWidth="1"/>
    <col min="40" max="40" width="10.75" style="137" bestFit="1" customWidth="1"/>
    <col min="41" max="41" width="9.125" style="137" bestFit="1" customWidth="1"/>
    <col min="42" max="42" width="10.75" style="137" bestFit="1" customWidth="1"/>
    <col min="43" max="43" width="9.125" style="137" bestFit="1" customWidth="1"/>
    <col min="44" max="44" width="6.5" style="172" bestFit="1" customWidth="1"/>
    <col min="45" max="45" width="9.125" style="137" bestFit="1" customWidth="1"/>
    <col min="46" max="47" width="17.5" style="197" customWidth="1"/>
    <col min="48" max="48" width="9" style="163"/>
    <col min="49" max="49" width="2" style="170" customWidth="1"/>
    <col min="50" max="50" width="16.375" style="170" bestFit="1" customWidth="1"/>
    <col min="51" max="51" width="15" style="170" bestFit="1" customWidth="1"/>
    <col min="52" max="52" width="8.5" style="170" bestFit="1" customWidth="1"/>
    <col min="53" max="53" width="2" style="170" customWidth="1"/>
    <col min="54" max="54" width="6.125" style="171" bestFit="1" customWidth="1"/>
    <col min="55" max="55" width="9.5" style="171" bestFit="1" customWidth="1"/>
    <col min="56" max="56" width="2" style="170" customWidth="1"/>
    <col min="57" max="16384" width="9" style="170"/>
  </cols>
  <sheetData>
    <row r="1" spans="1:52" x14ac:dyDescent="0.2">
      <c r="A1" s="182" t="s">
        <v>0</v>
      </c>
      <c r="B1" s="183" t="s">
        <v>1</v>
      </c>
      <c r="C1" s="182" t="s">
        <v>2</v>
      </c>
      <c r="D1" s="182" t="s">
        <v>3</v>
      </c>
      <c r="E1" s="205" t="s">
        <v>4</v>
      </c>
      <c r="F1" s="205" t="s">
        <v>5</v>
      </c>
      <c r="G1" s="182" t="s">
        <v>6</v>
      </c>
      <c r="H1" s="182" t="s">
        <v>7</v>
      </c>
      <c r="I1" s="182" t="s">
        <v>8</v>
      </c>
      <c r="J1" s="182" t="s">
        <v>9</v>
      </c>
      <c r="K1" s="192" t="s">
        <v>10</v>
      </c>
      <c r="L1" s="192" t="s">
        <v>11</v>
      </c>
      <c r="M1" s="192" t="s">
        <v>12</v>
      </c>
      <c r="N1" s="192" t="s">
        <v>13</v>
      </c>
      <c r="O1" s="192" t="s">
        <v>14</v>
      </c>
      <c r="P1" s="218" t="s">
        <v>1127</v>
      </c>
      <c r="Q1" s="218" t="s">
        <v>1128</v>
      </c>
      <c r="R1" s="218" t="s">
        <v>1129</v>
      </c>
      <c r="S1" s="218" t="s">
        <v>1130</v>
      </c>
      <c r="T1" s="218" t="s">
        <v>1131</v>
      </c>
      <c r="U1" s="218" t="s">
        <v>1132</v>
      </c>
      <c r="V1" s="218" t="s">
        <v>1133</v>
      </c>
      <c r="W1" s="218" t="s">
        <v>15</v>
      </c>
      <c r="X1" s="218" t="s">
        <v>16</v>
      </c>
      <c r="Y1" s="218" t="s">
        <v>17</v>
      </c>
      <c r="Z1" s="218" t="s">
        <v>18</v>
      </c>
      <c r="AA1" s="218" t="s">
        <v>19</v>
      </c>
      <c r="AB1" s="218" t="s">
        <v>20</v>
      </c>
      <c r="AC1" s="193" t="s">
        <v>1141</v>
      </c>
      <c r="AD1" s="193" t="s">
        <v>1142</v>
      </c>
      <c r="AE1" s="193" t="s">
        <v>1143</v>
      </c>
      <c r="AF1" s="193" t="s">
        <v>1144</v>
      </c>
      <c r="AG1" s="193" t="s">
        <v>1145</v>
      </c>
      <c r="AH1" s="209" t="s">
        <v>1146</v>
      </c>
      <c r="AI1" s="205" t="s">
        <v>21</v>
      </c>
      <c r="AJ1" s="183" t="s">
        <v>22</v>
      </c>
      <c r="AK1" s="182" t="s">
        <v>995</v>
      </c>
      <c r="AL1" s="183" t="s">
        <v>24</v>
      </c>
      <c r="AM1" s="182" t="s">
        <v>1120</v>
      </c>
      <c r="AN1" s="183" t="s">
        <v>984</v>
      </c>
      <c r="AO1" s="182" t="s">
        <v>985</v>
      </c>
      <c r="AP1" s="183" t="s">
        <v>986</v>
      </c>
      <c r="AQ1" s="182" t="s">
        <v>987</v>
      </c>
      <c r="AR1" s="183" t="s">
        <v>26</v>
      </c>
      <c r="AS1" s="183" t="s">
        <v>27</v>
      </c>
      <c r="AT1" s="183" t="s">
        <v>28</v>
      </c>
      <c r="AU1" s="183" t="s">
        <v>29</v>
      </c>
    </row>
    <row r="2" spans="1:52" x14ac:dyDescent="0.2">
      <c r="A2" s="173">
        <v>55001</v>
      </c>
      <c r="B2" s="172" t="s">
        <v>30</v>
      </c>
      <c r="C2" s="172">
        <v>86001</v>
      </c>
      <c r="D2" s="172">
        <v>150001</v>
      </c>
      <c r="E2" s="206" t="s">
        <v>1081</v>
      </c>
      <c r="F2" s="207">
        <v>3</v>
      </c>
      <c r="G2" s="173">
        <v>13000</v>
      </c>
      <c r="H2" s="173">
        <v>9000</v>
      </c>
      <c r="I2" s="173">
        <v>10000</v>
      </c>
      <c r="J2" s="172">
        <v>1</v>
      </c>
      <c r="K2" s="190">
        <f>IF($J2=1,INDEX('큐펫&amp;몹 정리(최신)'!P:P,MATCH($E2,'큐펫&amp;몹 정리(최신)'!$B:$B,0))*20,IF($J2=2,INDEX('큐펫&amp;몹 정리(최신)'!P:P,MATCH($E2,'큐펫&amp;몹 정리(최신)'!$B:$B,0))*25,IF($J2=3,INDEX('큐펫&amp;몹 정리(최신)'!P:P,MATCH($E2,'큐펫&amp;몹 정리(최신)'!$B:$B,0))*30,IF($J2=4,INDEX('큐펫&amp;몹 정리(최신)'!P:P,MATCH($E2,'큐펫&amp;몹 정리(최신)'!$B:$B,0))*35,INDEX('큐펫&amp;몹 정리(최신)'!P:P,MATCH($E2,'큐펫&amp;몹 정리(최신)'!$B:$B,0))*40))))</f>
        <v>900</v>
      </c>
      <c r="L2" s="190">
        <f>IF($J2=1,INDEX('큐펫&amp;몹 정리(최신)'!Q:Q,MATCH($E2,'큐펫&amp;몹 정리(최신)'!$B:$B,0))*20,IF($J2=2,INDEX('큐펫&amp;몹 정리(최신)'!Q:Q,MATCH($E2,'큐펫&amp;몹 정리(최신)'!$B:$B,0))*25,IF($J2=3,INDEX('큐펫&amp;몹 정리(최신)'!Q:Q,MATCH($E2,'큐펫&amp;몹 정리(최신)'!$B:$B,0))*30,IF($J2=4,INDEX('큐펫&amp;몹 정리(최신)'!Q:Q,MATCH($E2,'큐펫&amp;몹 정리(최신)'!$B:$B,0))*35,INDEX('큐펫&amp;몹 정리(최신)'!Q:Q,MATCH($E2,'큐펫&amp;몹 정리(최신)'!$B:$B,0))*40))))</f>
        <v>80</v>
      </c>
      <c r="M2" s="190">
        <f>IF($J2=1,INDEX('큐펫&amp;몹 정리(최신)'!R:R,MATCH($E2,'큐펫&amp;몹 정리(최신)'!$B:$B,0))*20,IF($J2=2,INDEX('큐펫&amp;몹 정리(최신)'!R:R,MATCH($E2,'큐펫&amp;몹 정리(최신)'!$B:$B,0))*25,IF($J2=3,INDEX('큐펫&amp;몹 정리(최신)'!R:R,MATCH($E2,'큐펫&amp;몹 정리(최신)'!$B:$B,0))*30,IF($J2=4,INDEX('큐펫&amp;몹 정리(최신)'!R:R,MATCH($E2,'큐펫&amp;몹 정리(최신)'!$B:$B,0))*35,INDEX('큐펫&amp;몹 정리(최신)'!R:R,MATCH($E2,'큐펫&amp;몹 정리(최신)'!$B:$B,0))*40))))</f>
        <v>160</v>
      </c>
      <c r="N2" s="190">
        <f>IF($J2=1,INDEX('큐펫&amp;몹 정리(최신)'!S:S,MATCH($E2,'큐펫&amp;몹 정리(최신)'!$B:$B,0))*20,IF($J2=2,INDEX('큐펫&amp;몹 정리(최신)'!S:S,MATCH($E2,'큐펫&amp;몹 정리(최신)'!$B:$B,0))*25,IF($J2=3,INDEX('큐펫&amp;몹 정리(최신)'!S:S,MATCH($E2,'큐펫&amp;몹 정리(최신)'!$B:$B,0))*30,IF($J2=4,INDEX('큐펫&amp;몹 정리(최신)'!S:S,MATCH($E2,'큐펫&amp;몹 정리(최신)'!$B:$B,0))*35,INDEX('큐펫&amp;몹 정리(최신)'!S:S,MATCH($E2,'큐펫&amp;몹 정리(최신)'!$B:$B,0))*40))))</f>
        <v>300</v>
      </c>
      <c r="O2" s="190">
        <f>IF($J2=1,INDEX('큐펫&amp;몹 정리(최신)'!T:T,MATCH($E2,'큐펫&amp;몹 정리(최신)'!$B:$B,0))*20,IF($J2=2,INDEX('큐펫&amp;몹 정리(최신)'!T:T,MATCH($E2,'큐펫&amp;몹 정리(최신)'!$B:$B,0))*25,IF($J2=3,INDEX('큐펫&amp;몹 정리(최신)'!T:T,MATCH($E2,'큐펫&amp;몹 정리(최신)'!$B:$B,0))*30,IF($J2=4,INDEX('큐펫&amp;몹 정리(최신)'!T:T,MATCH($E2,'큐펫&amp;몹 정리(최신)'!$B:$B,0))*35,INDEX('큐펫&amp;몹 정리(최신)'!T:T,MATCH($E2,'큐펫&amp;몹 정리(최신)'!$B:$B,0))*40))))</f>
        <v>560</v>
      </c>
      <c r="P2" s="217">
        <v>20</v>
      </c>
      <c r="Q2" s="217">
        <f>ROUNDDOWN((100*QUOTIENT(K2,20))+((P2*K2)*(1+(Y2/100))),)</f>
        <v>29520</v>
      </c>
      <c r="R2" s="217">
        <f>ROUNDDOWN((((W2*W2)*L2)/100)+(W2*2)+(AA2/4)+(AB2/5)+(P2/2),)</f>
        <v>287</v>
      </c>
      <c r="S2" s="217">
        <f>ROUNDDOWN((((AA2*AA2)*L2)/100)+(AA2*2)+(W2/4)+(AB2/5)+(P2/2),)</f>
        <v>348</v>
      </c>
      <c r="T2" s="217">
        <f>ROUNDDOWN((((((Z2*Z2)*M2)/100+(Z2*2))+(AB2/4))+(AA2/8))+(P2/2),)</f>
        <v>2792</v>
      </c>
      <c r="U2" s="217">
        <f>ROUNDDOWN(((Y2+P2)*N2)/2,)+ROUNDDOWN(W2/4,)+ROUNDDOWN(X2/10,)</f>
        <v>8857</v>
      </c>
      <c r="V2" s="217">
        <f>ROUNDDOWN(((Y2+P2)*O2)/4,)+Z2</f>
        <v>8301</v>
      </c>
      <c r="W2" s="217">
        <f>ROUND(AC2+(INDEX(Ref!B$1:B$9,MATCH($AI2,Ref!$A$1:$A$9,0))*P2*0.0001),)</f>
        <v>17</v>
      </c>
      <c r="X2" s="217">
        <f>ROUND(AD2+(INDEX(Ref!C$1:C$9,MATCH($AI2,Ref!$A$1:$A$9,0))*$P2*0.0001),)</f>
        <v>32</v>
      </c>
      <c r="Y2" s="217">
        <f>ROUND(AE2+(INDEX(Ref!D$1:D$9,MATCH($AI2,Ref!$A$1:$A$9,0))*$P2*0.0001),)</f>
        <v>39</v>
      </c>
      <c r="Z2" s="217">
        <f>ROUND(AF2+(INDEX(Ref!E$1:E$9,MATCH($AI2,Ref!$A$1:$A$9,0))*$P2*0.0001),)</f>
        <v>41</v>
      </c>
      <c r="AA2" s="217">
        <f>ROUND(AG2+(INDEX(Ref!F$1:F$9,MATCH($AI2,Ref!$A$1:$A$9,0))*$P2*0.0001),)</f>
        <v>19</v>
      </c>
      <c r="AB2" s="217">
        <f>ROUND(AH2+(INDEX(Ref!G$1:G$9,MATCH($AI2,Ref!$A$1:$A$9,0))*$P2*0.0001),)</f>
        <v>36</v>
      </c>
      <c r="AC2" s="137">
        <v>15</v>
      </c>
      <c r="AD2" s="137">
        <v>28</v>
      </c>
      <c r="AE2" s="137">
        <v>36</v>
      </c>
      <c r="AF2" s="137">
        <v>36</v>
      </c>
      <c r="AG2" s="137">
        <v>17</v>
      </c>
      <c r="AH2" s="137">
        <v>32</v>
      </c>
      <c r="AI2" s="208">
        <v>6</v>
      </c>
      <c r="AJ2" s="173">
        <v>3000</v>
      </c>
      <c r="AK2" s="173">
        <v>30001</v>
      </c>
      <c r="AL2" s="173">
        <v>2000</v>
      </c>
      <c r="AM2" s="173">
        <v>30004</v>
      </c>
      <c r="AN2" s="191">
        <v>0</v>
      </c>
      <c r="AO2" s="173">
        <v>34001</v>
      </c>
      <c r="AP2" s="173">
        <v>0</v>
      </c>
      <c r="AQ2" s="173">
        <v>34004</v>
      </c>
      <c r="AR2" s="172">
        <v>1</v>
      </c>
      <c r="AS2" s="172">
        <v>0</v>
      </c>
      <c r="AT2" s="198">
        <v>78001</v>
      </c>
      <c r="AU2" s="194" t="s">
        <v>31</v>
      </c>
      <c r="AX2" s="221" t="s">
        <v>32</v>
      </c>
      <c r="AY2" s="222"/>
      <c r="AZ2" s="223"/>
    </row>
    <row r="3" spans="1:52" x14ac:dyDescent="0.2">
      <c r="A3" s="173">
        <v>55001</v>
      </c>
      <c r="B3" s="172" t="s">
        <v>30</v>
      </c>
      <c r="C3" s="172">
        <v>86001</v>
      </c>
      <c r="D3" s="172">
        <v>150001</v>
      </c>
      <c r="E3" s="206" t="s">
        <v>1081</v>
      </c>
      <c r="F3" s="207">
        <v>3</v>
      </c>
      <c r="G3" s="173">
        <v>13000</v>
      </c>
      <c r="H3" s="173">
        <v>9000</v>
      </c>
      <c r="I3" s="173">
        <v>10000</v>
      </c>
      <c r="J3" s="172">
        <v>2</v>
      </c>
      <c r="K3" s="190">
        <f>IF($J3=1,INDEX('큐펫&amp;몹 정리(최신)'!P:P,MATCH($E3,'큐펫&amp;몹 정리(최신)'!$B:$B,0))*20,IF($J3=2,INDEX('큐펫&amp;몹 정리(최신)'!P:P,MATCH($E3,'큐펫&amp;몹 정리(최신)'!$B:$B,0))*25,IF($J3=3,INDEX('큐펫&amp;몹 정리(최신)'!P:P,MATCH($E3,'큐펫&amp;몹 정리(최신)'!$B:$B,0))*30,IF($J3=4,INDEX('큐펫&amp;몹 정리(최신)'!P:P,MATCH($E3,'큐펫&amp;몹 정리(최신)'!$B:$B,0))*35,INDEX('큐펫&amp;몹 정리(최신)'!P:P,MATCH($E3,'큐펫&amp;몹 정리(최신)'!$B:$B,0))*40))))</f>
        <v>1125</v>
      </c>
      <c r="L3" s="190">
        <f>IF($J3=1,INDEX('큐펫&amp;몹 정리(최신)'!Q:Q,MATCH($E3,'큐펫&amp;몹 정리(최신)'!$B:$B,0))*20,IF($J3=2,INDEX('큐펫&amp;몹 정리(최신)'!Q:Q,MATCH($E3,'큐펫&amp;몹 정리(최신)'!$B:$B,0))*25,IF($J3=3,INDEX('큐펫&amp;몹 정리(최신)'!Q:Q,MATCH($E3,'큐펫&amp;몹 정리(최신)'!$B:$B,0))*30,IF($J3=4,INDEX('큐펫&amp;몹 정리(최신)'!Q:Q,MATCH($E3,'큐펫&amp;몹 정리(최신)'!$B:$B,0))*35,INDEX('큐펫&amp;몹 정리(최신)'!Q:Q,MATCH($E3,'큐펫&amp;몹 정리(최신)'!$B:$B,0))*40))))</f>
        <v>100</v>
      </c>
      <c r="M3" s="190">
        <f>IF($J3=1,INDEX('큐펫&amp;몹 정리(최신)'!R:R,MATCH($E3,'큐펫&amp;몹 정리(최신)'!$B:$B,0))*20,IF($J3=2,INDEX('큐펫&amp;몹 정리(최신)'!R:R,MATCH($E3,'큐펫&amp;몹 정리(최신)'!$B:$B,0))*25,IF($J3=3,INDEX('큐펫&amp;몹 정리(최신)'!R:R,MATCH($E3,'큐펫&amp;몹 정리(최신)'!$B:$B,0))*30,IF($J3=4,INDEX('큐펫&amp;몹 정리(최신)'!R:R,MATCH($E3,'큐펫&amp;몹 정리(최신)'!$B:$B,0))*35,INDEX('큐펫&amp;몹 정리(최신)'!R:R,MATCH($E3,'큐펫&amp;몹 정리(최신)'!$B:$B,0))*40))))</f>
        <v>200</v>
      </c>
      <c r="N3" s="190">
        <f>IF($J3=1,INDEX('큐펫&amp;몹 정리(최신)'!S:S,MATCH($E3,'큐펫&amp;몹 정리(최신)'!$B:$B,0))*20,IF($J3=2,INDEX('큐펫&amp;몹 정리(최신)'!S:S,MATCH($E3,'큐펫&amp;몹 정리(최신)'!$B:$B,0))*25,IF($J3=3,INDEX('큐펫&amp;몹 정리(최신)'!S:S,MATCH($E3,'큐펫&amp;몹 정리(최신)'!$B:$B,0))*30,IF($J3=4,INDEX('큐펫&amp;몹 정리(최신)'!S:S,MATCH($E3,'큐펫&amp;몹 정리(최신)'!$B:$B,0))*35,INDEX('큐펫&amp;몹 정리(최신)'!S:S,MATCH($E3,'큐펫&amp;몹 정리(최신)'!$B:$B,0))*40))))</f>
        <v>375</v>
      </c>
      <c r="O3" s="190">
        <f>IF($J3=1,INDEX('큐펫&amp;몹 정리(최신)'!T:T,MATCH($E3,'큐펫&amp;몹 정리(최신)'!$B:$B,0))*20,IF($J3=2,INDEX('큐펫&amp;몹 정리(최신)'!T:T,MATCH($E3,'큐펫&amp;몹 정리(최신)'!$B:$B,0))*25,IF($J3=3,INDEX('큐펫&amp;몹 정리(최신)'!T:T,MATCH($E3,'큐펫&amp;몹 정리(최신)'!$B:$B,0))*30,IF($J3=4,INDEX('큐펫&amp;몹 정리(최신)'!T:T,MATCH($E3,'큐펫&amp;몹 정리(최신)'!$B:$B,0))*35,INDEX('큐펫&amp;몹 정리(최신)'!T:T,MATCH($E3,'큐펫&amp;몹 정리(최신)'!$B:$B,0))*40))))</f>
        <v>700</v>
      </c>
      <c r="P3" s="217">
        <v>40</v>
      </c>
      <c r="Q3" s="217">
        <f t="shared" ref="Q3:Q66" si="0">ROUNDDOWN((100*QUOTIENT(K3,20))+((P3*K3)*(1+(Y3/100))),)</f>
        <v>70400</v>
      </c>
      <c r="R3" s="217">
        <f t="shared" ref="R3:R66" si="1">ROUNDDOWN((((W3*W3)*L3)/100)+(W3*2)+(AA3/4)+(AB3/5)+(P3/2),)</f>
        <v>517</v>
      </c>
      <c r="S3" s="217">
        <f t="shared" ref="S3:S66" si="2">ROUNDDOWN((((AA3*AA3)*L3)/100)+(AA3*2)+(W3/4)+(AB3/5)+(P3/2),)</f>
        <v>658</v>
      </c>
      <c r="T3" s="217">
        <f t="shared" ref="T3:T66" si="3">ROUNDDOWN((((((Z3*Z3)*M3)/100+(Z3*2))+(AB3/4))+(AA3/8))+(P3/2),)</f>
        <v>5338</v>
      </c>
      <c r="U3" s="217">
        <f t="shared" ref="U3:U66" si="4">ROUNDDOWN(((Y3+P3)*N3)/2,)+ROUNDDOWN(W3/4,)+ROUNDDOWN(X3/10,)</f>
        <v>15759</v>
      </c>
      <c r="V3" s="217">
        <f t="shared" ref="V3:V66" si="5">ROUNDDOWN(((Y3+P3)*O3)/4,)+Z3</f>
        <v>14751</v>
      </c>
      <c r="W3" s="217">
        <f>ROUND(AC3+(INDEX(Ref!B$1:B$9,MATCH($AI3,Ref!$A$1:$A$9,0))*P3*0.0001),)</f>
        <v>21</v>
      </c>
      <c r="X3" s="217">
        <f>ROUND(AD3+(INDEX(Ref!C$1:C$9,MATCH($AI3,Ref!$A$1:$A$9,0))*$P3*0.0001),)</f>
        <v>40</v>
      </c>
      <c r="Y3" s="217">
        <f>ROUND(AE3+(INDEX(Ref!D$1:D$9,MATCH($AI3,Ref!$A$1:$A$9,0))*$P3*0.0001),)</f>
        <v>44</v>
      </c>
      <c r="Z3" s="217">
        <f>ROUND(AF3+(INDEX(Ref!E$1:E$9,MATCH($AI3,Ref!$A$1:$A$9,0))*$P3*0.0001),)</f>
        <v>51</v>
      </c>
      <c r="AA3" s="217">
        <f>ROUND(AG3+(INDEX(Ref!F$1:F$9,MATCH($AI3,Ref!$A$1:$A$9,0))*$P3*0.0001),)</f>
        <v>24</v>
      </c>
      <c r="AB3" s="217">
        <f>ROUND(AH3+(INDEX(Ref!G$1:G$9,MATCH($AI3,Ref!$A$1:$A$9,0))*$P3*0.0001),)</f>
        <v>44</v>
      </c>
      <c r="AC3" s="137">
        <v>17</v>
      </c>
      <c r="AD3" s="137">
        <v>32</v>
      </c>
      <c r="AE3" s="137">
        <v>39</v>
      </c>
      <c r="AF3" s="137">
        <v>41</v>
      </c>
      <c r="AG3" s="137">
        <v>19</v>
      </c>
      <c r="AH3" s="137">
        <v>36</v>
      </c>
      <c r="AI3" s="208">
        <v>6</v>
      </c>
      <c r="AJ3" s="173">
        <v>3000</v>
      </c>
      <c r="AK3" s="173">
        <v>30002</v>
      </c>
      <c r="AL3" s="173">
        <v>2000</v>
      </c>
      <c r="AM3" s="173">
        <v>30004</v>
      </c>
      <c r="AN3" s="191">
        <v>0</v>
      </c>
      <c r="AO3" s="173">
        <v>34002</v>
      </c>
      <c r="AP3" s="173">
        <v>0</v>
      </c>
      <c r="AQ3" s="173">
        <v>34004</v>
      </c>
      <c r="AR3" s="172">
        <v>1</v>
      </c>
      <c r="AS3" s="172">
        <v>0</v>
      </c>
      <c r="AT3" s="198">
        <v>78001</v>
      </c>
      <c r="AU3" s="194" t="s">
        <v>31</v>
      </c>
      <c r="AX3" s="201" t="s">
        <v>4</v>
      </c>
      <c r="AY3" s="201" t="s">
        <v>33</v>
      </c>
      <c r="AZ3" s="201" t="s">
        <v>34</v>
      </c>
    </row>
    <row r="4" spans="1:52" x14ac:dyDescent="0.2">
      <c r="A4" s="173">
        <v>55001</v>
      </c>
      <c r="B4" s="172" t="s">
        <v>30</v>
      </c>
      <c r="C4" s="172">
        <v>86001</v>
      </c>
      <c r="D4" s="172">
        <v>150001</v>
      </c>
      <c r="E4" s="206" t="s">
        <v>1081</v>
      </c>
      <c r="F4" s="207">
        <v>3</v>
      </c>
      <c r="G4" s="173">
        <v>13000</v>
      </c>
      <c r="H4" s="173">
        <v>9000</v>
      </c>
      <c r="I4" s="173">
        <v>10000</v>
      </c>
      <c r="J4" s="172">
        <v>3</v>
      </c>
      <c r="K4" s="190">
        <f>IF($J4=1,INDEX('큐펫&amp;몹 정리(최신)'!P:P,MATCH($E4,'큐펫&amp;몹 정리(최신)'!$B:$B,0))*20,IF($J4=2,INDEX('큐펫&amp;몹 정리(최신)'!P:P,MATCH($E4,'큐펫&amp;몹 정리(최신)'!$B:$B,0))*25,IF($J4=3,INDEX('큐펫&amp;몹 정리(최신)'!P:P,MATCH($E4,'큐펫&amp;몹 정리(최신)'!$B:$B,0))*30,IF($J4=4,INDEX('큐펫&amp;몹 정리(최신)'!P:P,MATCH($E4,'큐펫&amp;몹 정리(최신)'!$B:$B,0))*35,INDEX('큐펫&amp;몹 정리(최신)'!P:P,MATCH($E4,'큐펫&amp;몹 정리(최신)'!$B:$B,0))*40))))</f>
        <v>1350</v>
      </c>
      <c r="L4" s="190">
        <f>IF($J4=1,INDEX('큐펫&amp;몹 정리(최신)'!Q:Q,MATCH($E4,'큐펫&amp;몹 정리(최신)'!$B:$B,0))*20,IF($J4=2,INDEX('큐펫&amp;몹 정리(최신)'!Q:Q,MATCH($E4,'큐펫&amp;몹 정리(최신)'!$B:$B,0))*25,IF($J4=3,INDEX('큐펫&amp;몹 정리(최신)'!Q:Q,MATCH($E4,'큐펫&amp;몹 정리(최신)'!$B:$B,0))*30,IF($J4=4,INDEX('큐펫&amp;몹 정리(최신)'!Q:Q,MATCH($E4,'큐펫&amp;몹 정리(최신)'!$B:$B,0))*35,INDEX('큐펫&amp;몹 정리(최신)'!Q:Q,MATCH($E4,'큐펫&amp;몹 정리(최신)'!$B:$B,0))*40))))</f>
        <v>120</v>
      </c>
      <c r="M4" s="190">
        <f>IF($J4=1,INDEX('큐펫&amp;몹 정리(최신)'!R:R,MATCH($E4,'큐펫&amp;몹 정리(최신)'!$B:$B,0))*20,IF($J4=2,INDEX('큐펫&amp;몹 정리(최신)'!R:R,MATCH($E4,'큐펫&amp;몹 정리(최신)'!$B:$B,0))*25,IF($J4=3,INDEX('큐펫&amp;몹 정리(최신)'!R:R,MATCH($E4,'큐펫&amp;몹 정리(최신)'!$B:$B,0))*30,IF($J4=4,INDEX('큐펫&amp;몹 정리(최신)'!R:R,MATCH($E4,'큐펫&amp;몹 정리(최신)'!$B:$B,0))*35,INDEX('큐펫&amp;몹 정리(최신)'!R:R,MATCH($E4,'큐펫&amp;몹 정리(최신)'!$B:$B,0))*40))))</f>
        <v>240</v>
      </c>
      <c r="N4" s="190">
        <f>IF($J4=1,INDEX('큐펫&amp;몹 정리(최신)'!S:S,MATCH($E4,'큐펫&amp;몹 정리(최신)'!$B:$B,0))*20,IF($J4=2,INDEX('큐펫&amp;몹 정리(최신)'!S:S,MATCH($E4,'큐펫&amp;몹 정리(최신)'!$B:$B,0))*25,IF($J4=3,INDEX('큐펫&amp;몹 정리(최신)'!S:S,MATCH($E4,'큐펫&amp;몹 정리(최신)'!$B:$B,0))*30,IF($J4=4,INDEX('큐펫&amp;몹 정리(최신)'!S:S,MATCH($E4,'큐펫&amp;몹 정리(최신)'!$B:$B,0))*35,INDEX('큐펫&amp;몹 정리(최신)'!S:S,MATCH($E4,'큐펫&amp;몹 정리(최신)'!$B:$B,0))*40))))</f>
        <v>450</v>
      </c>
      <c r="O4" s="190">
        <f>IF($J4=1,INDEX('큐펫&amp;몹 정리(최신)'!T:T,MATCH($E4,'큐펫&amp;몹 정리(최신)'!$B:$B,0))*20,IF($J4=2,INDEX('큐펫&amp;몹 정리(최신)'!T:T,MATCH($E4,'큐펫&amp;몹 정리(최신)'!$B:$B,0))*25,IF($J4=3,INDEX('큐펫&amp;몹 정리(최신)'!T:T,MATCH($E4,'큐펫&amp;몹 정리(최신)'!$B:$B,0))*30,IF($J4=4,INDEX('큐펫&amp;몹 정리(최신)'!T:T,MATCH($E4,'큐펫&amp;몹 정리(최신)'!$B:$B,0))*35,INDEX('큐펫&amp;몹 정리(최신)'!T:T,MATCH($E4,'큐펫&amp;몹 정리(최신)'!$B:$B,0))*40))))</f>
        <v>840</v>
      </c>
      <c r="P4" s="217">
        <v>60</v>
      </c>
      <c r="Q4" s="217">
        <f t="shared" si="0"/>
        <v>128200</v>
      </c>
      <c r="R4" s="217">
        <f t="shared" si="1"/>
        <v>910</v>
      </c>
      <c r="S4" s="217">
        <f t="shared" si="2"/>
        <v>1043</v>
      </c>
      <c r="T4" s="217">
        <f t="shared" si="3"/>
        <v>8806</v>
      </c>
      <c r="U4" s="217">
        <f t="shared" si="4"/>
        <v>24760</v>
      </c>
      <c r="V4" s="217">
        <f t="shared" si="5"/>
        <v>23160</v>
      </c>
      <c r="W4" s="217">
        <f>ROUND(AC4+(INDEX(Ref!B$1:B$9,MATCH($AI4,Ref!$A$1:$A$9,0))*P4*0.0001),)</f>
        <v>26</v>
      </c>
      <c r="X4" s="217">
        <f>ROUND(AD4+(INDEX(Ref!C$1:C$9,MATCH($AI4,Ref!$A$1:$A$9,0))*$P4*0.0001),)</f>
        <v>47</v>
      </c>
      <c r="Y4" s="217">
        <f>ROUND(AE4+(INDEX(Ref!D$1:D$9,MATCH($AI4,Ref!$A$1:$A$9,0))*$P4*0.0001),)</f>
        <v>50</v>
      </c>
      <c r="Z4" s="217">
        <f>ROUND(AF4+(INDEX(Ref!E$1:E$9,MATCH($AI4,Ref!$A$1:$A$9,0))*$P4*0.0001),)</f>
        <v>60</v>
      </c>
      <c r="AA4" s="217">
        <f>ROUND(AG4+(INDEX(Ref!F$1:F$9,MATCH($AI4,Ref!$A$1:$A$9,0))*$P4*0.0001),)</f>
        <v>28</v>
      </c>
      <c r="AB4" s="217">
        <f>ROUND(AH4+(INDEX(Ref!G$1:G$9,MATCH($AI4,Ref!$A$1:$A$9,0))*$P4*0.0001),)</f>
        <v>53</v>
      </c>
      <c r="AC4" s="137">
        <v>19</v>
      </c>
      <c r="AD4" s="137">
        <v>36</v>
      </c>
      <c r="AE4" s="137">
        <v>42</v>
      </c>
      <c r="AF4" s="137">
        <v>46</v>
      </c>
      <c r="AG4" s="137">
        <v>21</v>
      </c>
      <c r="AH4" s="137">
        <v>40</v>
      </c>
      <c r="AI4" s="208">
        <v>6</v>
      </c>
      <c r="AJ4" s="173">
        <v>3000</v>
      </c>
      <c r="AK4" s="173">
        <v>30002</v>
      </c>
      <c r="AL4" s="173">
        <v>2000</v>
      </c>
      <c r="AM4" s="173">
        <v>30005</v>
      </c>
      <c r="AN4" s="191">
        <v>0</v>
      </c>
      <c r="AO4" s="173">
        <v>34002</v>
      </c>
      <c r="AP4" s="173">
        <v>0</v>
      </c>
      <c r="AQ4" s="173">
        <v>34005</v>
      </c>
      <c r="AR4" s="172">
        <v>1</v>
      </c>
      <c r="AS4" s="172">
        <v>0</v>
      </c>
      <c r="AT4" s="198">
        <v>78001</v>
      </c>
      <c r="AU4" s="194" t="s">
        <v>31</v>
      </c>
      <c r="AX4" s="165" t="s">
        <v>35</v>
      </c>
      <c r="AY4" s="164" t="s">
        <v>36</v>
      </c>
      <c r="AZ4" s="164" t="s">
        <v>37</v>
      </c>
    </row>
    <row r="5" spans="1:52" x14ac:dyDescent="0.2">
      <c r="A5" s="173">
        <v>55001</v>
      </c>
      <c r="B5" s="172" t="s">
        <v>30</v>
      </c>
      <c r="C5" s="172">
        <v>86001</v>
      </c>
      <c r="D5" s="172">
        <v>150001</v>
      </c>
      <c r="E5" s="206" t="s">
        <v>1081</v>
      </c>
      <c r="F5" s="207">
        <v>3</v>
      </c>
      <c r="G5" s="173">
        <v>13000</v>
      </c>
      <c r="H5" s="173">
        <v>9000</v>
      </c>
      <c r="I5" s="173">
        <v>10000</v>
      </c>
      <c r="J5" s="172">
        <v>4</v>
      </c>
      <c r="K5" s="190">
        <f>IF($J5=1,INDEX('큐펫&amp;몹 정리(최신)'!P:P,MATCH($E5,'큐펫&amp;몹 정리(최신)'!$B:$B,0))*20,IF($J5=2,INDEX('큐펫&amp;몹 정리(최신)'!P:P,MATCH($E5,'큐펫&amp;몹 정리(최신)'!$B:$B,0))*25,IF($J5=3,INDEX('큐펫&amp;몹 정리(최신)'!P:P,MATCH($E5,'큐펫&amp;몹 정리(최신)'!$B:$B,0))*30,IF($J5=4,INDEX('큐펫&amp;몹 정리(최신)'!P:P,MATCH($E5,'큐펫&amp;몹 정리(최신)'!$B:$B,0))*35,INDEX('큐펫&amp;몹 정리(최신)'!P:P,MATCH($E5,'큐펫&amp;몹 정리(최신)'!$B:$B,0))*40))))</f>
        <v>1575</v>
      </c>
      <c r="L5" s="190">
        <f>IF($J5=1,INDEX('큐펫&amp;몹 정리(최신)'!Q:Q,MATCH($E5,'큐펫&amp;몹 정리(최신)'!$B:$B,0))*20,IF($J5=2,INDEX('큐펫&amp;몹 정리(최신)'!Q:Q,MATCH($E5,'큐펫&amp;몹 정리(최신)'!$B:$B,0))*25,IF($J5=3,INDEX('큐펫&amp;몹 정리(최신)'!Q:Q,MATCH($E5,'큐펫&amp;몹 정리(최신)'!$B:$B,0))*30,IF($J5=4,INDEX('큐펫&amp;몹 정리(최신)'!Q:Q,MATCH($E5,'큐펫&amp;몹 정리(최신)'!$B:$B,0))*35,INDEX('큐펫&amp;몹 정리(최신)'!Q:Q,MATCH($E5,'큐펫&amp;몹 정리(최신)'!$B:$B,0))*40))))</f>
        <v>140</v>
      </c>
      <c r="M5" s="190">
        <f>IF($J5=1,INDEX('큐펫&amp;몹 정리(최신)'!R:R,MATCH($E5,'큐펫&amp;몹 정리(최신)'!$B:$B,0))*20,IF($J5=2,INDEX('큐펫&amp;몹 정리(최신)'!R:R,MATCH($E5,'큐펫&amp;몹 정리(최신)'!$B:$B,0))*25,IF($J5=3,INDEX('큐펫&amp;몹 정리(최신)'!R:R,MATCH($E5,'큐펫&amp;몹 정리(최신)'!$B:$B,0))*30,IF($J5=4,INDEX('큐펫&amp;몹 정리(최신)'!R:R,MATCH($E5,'큐펫&amp;몹 정리(최신)'!$B:$B,0))*35,INDEX('큐펫&amp;몹 정리(최신)'!R:R,MATCH($E5,'큐펫&amp;몹 정리(최신)'!$B:$B,0))*40))))</f>
        <v>280</v>
      </c>
      <c r="N5" s="190">
        <f>IF($J5=1,INDEX('큐펫&amp;몹 정리(최신)'!S:S,MATCH($E5,'큐펫&amp;몹 정리(최신)'!$B:$B,0))*20,IF($J5=2,INDEX('큐펫&amp;몹 정리(최신)'!S:S,MATCH($E5,'큐펫&amp;몹 정리(최신)'!$B:$B,0))*25,IF($J5=3,INDEX('큐펫&amp;몹 정리(최신)'!S:S,MATCH($E5,'큐펫&amp;몹 정리(최신)'!$B:$B,0))*30,IF($J5=4,INDEX('큐펫&amp;몹 정리(최신)'!S:S,MATCH($E5,'큐펫&amp;몹 정리(최신)'!$B:$B,0))*35,INDEX('큐펫&amp;몹 정리(최신)'!S:S,MATCH($E5,'큐펫&amp;몹 정리(최신)'!$B:$B,0))*40))))</f>
        <v>525</v>
      </c>
      <c r="O5" s="190">
        <f>IF($J5=1,INDEX('큐펫&amp;몹 정리(최신)'!T:T,MATCH($E5,'큐펫&amp;몹 정리(최신)'!$B:$B,0))*20,IF($J5=2,INDEX('큐펫&amp;몹 정리(최신)'!T:T,MATCH($E5,'큐펫&amp;몹 정리(최신)'!$B:$B,0))*25,IF($J5=3,INDEX('큐펫&amp;몹 정리(최신)'!T:T,MATCH($E5,'큐펫&amp;몹 정리(최신)'!$B:$B,0))*30,IF($J5=4,INDEX('큐펫&amp;몹 정리(최신)'!T:T,MATCH($E5,'큐펫&amp;몹 정리(최신)'!$B:$B,0))*35,INDEX('큐펫&amp;몹 정리(최신)'!T:T,MATCH($E5,'큐펫&amp;몹 정리(최신)'!$B:$B,0))*40))))</f>
        <v>980</v>
      </c>
      <c r="P5" s="217">
        <v>80</v>
      </c>
      <c r="Q5" s="217">
        <f t="shared" si="0"/>
        <v>201840</v>
      </c>
      <c r="R5" s="217">
        <f t="shared" si="1"/>
        <v>1468</v>
      </c>
      <c r="S5" s="217">
        <f t="shared" si="2"/>
        <v>1746</v>
      </c>
      <c r="T5" s="217">
        <f t="shared" si="3"/>
        <v>13919</v>
      </c>
      <c r="U5" s="217">
        <f t="shared" si="4"/>
        <v>35187</v>
      </c>
      <c r="V5" s="217">
        <f t="shared" si="5"/>
        <v>32900</v>
      </c>
      <c r="W5" s="217">
        <f>ROUND(AC5+(INDEX(Ref!B$1:B$9,MATCH($AI5,Ref!$A$1:$A$9,0))*P5*0.0001),)</f>
        <v>31</v>
      </c>
      <c r="X5" s="217">
        <f>ROUND(AD5+(INDEX(Ref!C$1:C$9,MATCH($AI5,Ref!$A$1:$A$9,0))*$P5*0.0001),)</f>
        <v>54</v>
      </c>
      <c r="Y5" s="217">
        <f>ROUND(AE5+(INDEX(Ref!D$1:D$9,MATCH($AI5,Ref!$A$1:$A$9,0))*$P5*0.0001),)</f>
        <v>54</v>
      </c>
      <c r="Z5" s="217">
        <f>ROUND(AF5+(INDEX(Ref!E$1:E$9,MATCH($AI5,Ref!$A$1:$A$9,0))*$P5*0.0001),)</f>
        <v>70</v>
      </c>
      <c r="AA5" s="217">
        <f>ROUND(AG5+(INDEX(Ref!F$1:F$9,MATCH($AI5,Ref!$A$1:$A$9,0))*$P5*0.0001),)</f>
        <v>34</v>
      </c>
      <c r="AB5" s="217">
        <f>ROUND(AH5+(INDEX(Ref!G$1:G$9,MATCH($AI5,Ref!$A$1:$A$9,0))*$P5*0.0001),)</f>
        <v>61</v>
      </c>
      <c r="AC5" s="137">
        <v>22</v>
      </c>
      <c r="AD5" s="137">
        <v>39</v>
      </c>
      <c r="AE5" s="137">
        <v>44</v>
      </c>
      <c r="AF5" s="137">
        <v>51</v>
      </c>
      <c r="AG5" s="137">
        <v>24</v>
      </c>
      <c r="AH5" s="137">
        <v>44</v>
      </c>
      <c r="AI5" s="208">
        <v>6</v>
      </c>
      <c r="AJ5" s="173">
        <v>3000</v>
      </c>
      <c r="AK5" s="173">
        <v>30003</v>
      </c>
      <c r="AL5" s="173">
        <v>2000</v>
      </c>
      <c r="AM5" s="173">
        <v>30005</v>
      </c>
      <c r="AN5" s="191">
        <v>0</v>
      </c>
      <c r="AO5" s="173">
        <v>34003</v>
      </c>
      <c r="AP5" s="173">
        <v>0</v>
      </c>
      <c r="AQ5" s="173">
        <v>34005</v>
      </c>
      <c r="AR5" s="172">
        <v>1</v>
      </c>
      <c r="AS5" s="172">
        <v>0</v>
      </c>
      <c r="AT5" s="198">
        <v>78001</v>
      </c>
      <c r="AU5" s="194" t="s">
        <v>31</v>
      </c>
      <c r="AX5" s="165" t="s">
        <v>1</v>
      </c>
      <c r="AY5" s="166" t="s">
        <v>38</v>
      </c>
      <c r="AZ5" s="164" t="s">
        <v>39</v>
      </c>
    </row>
    <row r="6" spans="1:52" x14ac:dyDescent="0.2">
      <c r="A6" s="173">
        <v>55001</v>
      </c>
      <c r="B6" s="172" t="s">
        <v>30</v>
      </c>
      <c r="C6" s="172">
        <v>86001</v>
      </c>
      <c r="D6" s="172">
        <v>150001</v>
      </c>
      <c r="E6" s="206" t="s">
        <v>1081</v>
      </c>
      <c r="F6" s="207">
        <v>3</v>
      </c>
      <c r="G6" s="173">
        <v>13000</v>
      </c>
      <c r="H6" s="173">
        <v>9000</v>
      </c>
      <c r="I6" s="173">
        <v>10000</v>
      </c>
      <c r="J6" s="172">
        <v>5</v>
      </c>
      <c r="K6" s="190">
        <f>IF($J6=1,INDEX('큐펫&amp;몹 정리(최신)'!P:P,MATCH($E6,'큐펫&amp;몹 정리(최신)'!$B:$B,0))*20,IF($J6=2,INDEX('큐펫&amp;몹 정리(최신)'!P:P,MATCH($E6,'큐펫&amp;몹 정리(최신)'!$B:$B,0))*25,IF($J6=3,INDEX('큐펫&amp;몹 정리(최신)'!P:P,MATCH($E6,'큐펫&amp;몹 정리(최신)'!$B:$B,0))*30,IF($J6=4,INDEX('큐펫&amp;몹 정리(최신)'!P:P,MATCH($E6,'큐펫&amp;몹 정리(최신)'!$B:$B,0))*35,INDEX('큐펫&amp;몹 정리(최신)'!P:P,MATCH($E6,'큐펫&amp;몹 정리(최신)'!$B:$B,0))*40))))</f>
        <v>1800</v>
      </c>
      <c r="L6" s="190">
        <f>IF($J6=1,INDEX('큐펫&amp;몹 정리(최신)'!Q:Q,MATCH($E6,'큐펫&amp;몹 정리(최신)'!$B:$B,0))*20,IF($J6=2,INDEX('큐펫&amp;몹 정리(최신)'!Q:Q,MATCH($E6,'큐펫&amp;몹 정리(최신)'!$B:$B,0))*25,IF($J6=3,INDEX('큐펫&amp;몹 정리(최신)'!Q:Q,MATCH($E6,'큐펫&amp;몹 정리(최신)'!$B:$B,0))*30,IF($J6=4,INDEX('큐펫&amp;몹 정리(최신)'!Q:Q,MATCH($E6,'큐펫&amp;몹 정리(최신)'!$B:$B,0))*35,INDEX('큐펫&amp;몹 정리(최신)'!Q:Q,MATCH($E6,'큐펫&amp;몹 정리(최신)'!$B:$B,0))*40))))</f>
        <v>160</v>
      </c>
      <c r="M6" s="190">
        <f>IF($J6=1,INDEX('큐펫&amp;몹 정리(최신)'!R:R,MATCH($E6,'큐펫&amp;몹 정리(최신)'!$B:$B,0))*20,IF($J6=2,INDEX('큐펫&amp;몹 정리(최신)'!R:R,MATCH($E6,'큐펫&amp;몹 정리(최신)'!$B:$B,0))*25,IF($J6=3,INDEX('큐펫&amp;몹 정리(최신)'!R:R,MATCH($E6,'큐펫&amp;몹 정리(최신)'!$B:$B,0))*30,IF($J6=4,INDEX('큐펫&amp;몹 정리(최신)'!R:R,MATCH($E6,'큐펫&amp;몹 정리(최신)'!$B:$B,0))*35,INDEX('큐펫&amp;몹 정리(최신)'!R:R,MATCH($E6,'큐펫&amp;몹 정리(최신)'!$B:$B,0))*40))))</f>
        <v>320</v>
      </c>
      <c r="N6" s="190">
        <f>IF($J6=1,INDEX('큐펫&amp;몹 정리(최신)'!S:S,MATCH($E6,'큐펫&amp;몹 정리(최신)'!$B:$B,0))*20,IF($J6=2,INDEX('큐펫&amp;몹 정리(최신)'!S:S,MATCH($E6,'큐펫&amp;몹 정리(최신)'!$B:$B,0))*25,IF($J6=3,INDEX('큐펫&amp;몹 정리(최신)'!S:S,MATCH($E6,'큐펫&amp;몹 정리(최신)'!$B:$B,0))*30,IF($J6=4,INDEX('큐펫&amp;몹 정리(최신)'!S:S,MATCH($E6,'큐펫&amp;몹 정리(최신)'!$B:$B,0))*35,INDEX('큐펫&amp;몹 정리(최신)'!S:S,MATCH($E6,'큐펫&amp;몹 정리(최신)'!$B:$B,0))*40))))</f>
        <v>600</v>
      </c>
      <c r="O6" s="190">
        <f>IF($J6=1,INDEX('큐펫&amp;몹 정리(최신)'!T:T,MATCH($E6,'큐펫&amp;몹 정리(최신)'!$B:$B,0))*20,IF($J6=2,INDEX('큐펫&amp;몹 정리(최신)'!T:T,MATCH($E6,'큐펫&amp;몹 정리(최신)'!$B:$B,0))*25,IF($J6=3,INDEX('큐펫&amp;몹 정리(최신)'!T:T,MATCH($E6,'큐펫&amp;몹 정리(최신)'!$B:$B,0))*30,IF($J6=4,INDEX('큐펫&amp;몹 정리(최신)'!T:T,MATCH($E6,'큐펫&amp;몹 정리(최신)'!$B:$B,0))*35,INDEX('큐펫&amp;몹 정리(최신)'!T:T,MATCH($E6,'큐펫&amp;몹 정리(최신)'!$B:$B,0))*40))))</f>
        <v>1120</v>
      </c>
      <c r="P6" s="217">
        <v>100</v>
      </c>
      <c r="Q6" s="217">
        <f t="shared" si="0"/>
        <v>297000</v>
      </c>
      <c r="R6" s="217">
        <f t="shared" si="1"/>
        <v>2103</v>
      </c>
      <c r="S6" s="217">
        <f t="shared" si="2"/>
        <v>2458</v>
      </c>
      <c r="T6" s="217">
        <f t="shared" si="3"/>
        <v>20712</v>
      </c>
      <c r="U6" s="217">
        <f t="shared" si="4"/>
        <v>48014</v>
      </c>
      <c r="V6" s="217">
        <f t="shared" si="5"/>
        <v>44880</v>
      </c>
      <c r="W6" s="217">
        <f>ROUND(AC6+(INDEX(Ref!B$1:B$9,MATCH($AI6,Ref!$A$1:$A$9,0))*P6*0.0001),)</f>
        <v>35</v>
      </c>
      <c r="X6" s="217">
        <f>ROUND(AD6+(INDEX(Ref!C$1:C$9,MATCH($AI6,Ref!$A$1:$A$9,0))*$P6*0.0001),)</f>
        <v>62</v>
      </c>
      <c r="Y6" s="217">
        <f>ROUND(AE6+(INDEX(Ref!D$1:D$9,MATCH($AI6,Ref!$A$1:$A$9,0))*$P6*0.0001),)</f>
        <v>60</v>
      </c>
      <c r="Z6" s="217">
        <f>ROUND(AF6+(INDEX(Ref!E$1:E$9,MATCH($AI6,Ref!$A$1:$A$9,0))*$P6*0.0001),)</f>
        <v>80</v>
      </c>
      <c r="AA6" s="217">
        <f>ROUND(AG6+(INDEX(Ref!F$1:F$9,MATCH($AI6,Ref!$A$1:$A$9,0))*$P6*0.0001),)</f>
        <v>38</v>
      </c>
      <c r="AB6" s="217">
        <f>ROUND(AH6+(INDEX(Ref!G$1:G$9,MATCH($AI6,Ref!$A$1:$A$9,0))*$P6*0.0001),)</f>
        <v>69</v>
      </c>
      <c r="AC6" s="137">
        <v>24</v>
      </c>
      <c r="AD6" s="137">
        <v>43</v>
      </c>
      <c r="AE6" s="137">
        <v>47</v>
      </c>
      <c r="AF6" s="137">
        <v>56</v>
      </c>
      <c r="AG6" s="137">
        <v>26</v>
      </c>
      <c r="AH6" s="137">
        <v>48</v>
      </c>
      <c r="AI6" s="208">
        <v>6</v>
      </c>
      <c r="AJ6" s="173">
        <v>3000</v>
      </c>
      <c r="AK6" s="173">
        <v>30003</v>
      </c>
      <c r="AL6" s="173">
        <v>2000</v>
      </c>
      <c r="AM6" s="173">
        <v>30006</v>
      </c>
      <c r="AN6" s="191">
        <v>0</v>
      </c>
      <c r="AO6" s="173">
        <v>34003</v>
      </c>
      <c r="AP6" s="173">
        <v>0</v>
      </c>
      <c r="AQ6" s="173">
        <v>34006</v>
      </c>
      <c r="AR6" s="172">
        <v>1</v>
      </c>
      <c r="AS6" s="172">
        <v>0</v>
      </c>
      <c r="AT6" s="198">
        <v>78001</v>
      </c>
      <c r="AU6" s="194" t="s">
        <v>31</v>
      </c>
      <c r="AX6" s="200" t="s">
        <v>2</v>
      </c>
      <c r="AY6" s="166" t="s">
        <v>40</v>
      </c>
      <c r="AZ6" s="164" t="s">
        <v>41</v>
      </c>
    </row>
    <row r="7" spans="1:52" x14ac:dyDescent="0.2">
      <c r="A7" s="173">
        <v>55002</v>
      </c>
      <c r="B7" s="173" t="s">
        <v>42</v>
      </c>
      <c r="C7" s="173">
        <v>86002</v>
      </c>
      <c r="D7" s="173">
        <v>150002</v>
      </c>
      <c r="E7" s="206" t="s">
        <v>43</v>
      </c>
      <c r="F7" s="207">
        <v>5</v>
      </c>
      <c r="G7" s="173">
        <v>13000</v>
      </c>
      <c r="H7" s="173">
        <v>9000</v>
      </c>
      <c r="I7" s="173">
        <v>10000</v>
      </c>
      <c r="J7" s="173">
        <v>1</v>
      </c>
      <c r="K7" s="190">
        <f>IF($J7=1,INDEX('큐펫&amp;몹 정리(최신)'!P:P,MATCH($E7,'큐펫&amp;몹 정리(최신)'!$B:$B,0))*20,IF($J7=2,INDEX('큐펫&amp;몹 정리(최신)'!P:P,MATCH($E7,'큐펫&amp;몹 정리(최신)'!$B:$B,0))*25,IF($J7=3,INDEX('큐펫&amp;몹 정리(최신)'!P:P,MATCH($E7,'큐펫&amp;몹 정리(최신)'!$B:$B,0))*30,IF($J7=4,INDEX('큐펫&amp;몹 정리(최신)'!P:P,MATCH($E7,'큐펫&amp;몹 정리(최신)'!$B:$B,0))*35,INDEX('큐펫&amp;몹 정리(최신)'!P:P,MATCH($E7,'큐펫&amp;몹 정리(최신)'!$B:$B,0))*40))))</f>
        <v>920</v>
      </c>
      <c r="L7" s="190">
        <f>IF($J7=1,INDEX('큐펫&amp;몹 정리(최신)'!Q:Q,MATCH($E7,'큐펫&amp;몹 정리(최신)'!$B:$B,0))*20,IF($J7=2,INDEX('큐펫&amp;몹 정리(최신)'!Q:Q,MATCH($E7,'큐펫&amp;몹 정리(최신)'!$B:$B,0))*25,IF($J7=3,INDEX('큐펫&amp;몹 정리(최신)'!Q:Q,MATCH($E7,'큐펫&amp;몹 정리(최신)'!$B:$B,0))*30,IF($J7=4,INDEX('큐펫&amp;몹 정리(최신)'!Q:Q,MATCH($E7,'큐펫&amp;몹 정리(최신)'!$B:$B,0))*35,INDEX('큐펫&amp;몹 정리(최신)'!Q:Q,MATCH($E7,'큐펫&amp;몹 정리(최신)'!$B:$B,0))*40))))</f>
        <v>60</v>
      </c>
      <c r="M7" s="190">
        <f>IF($J7=1,INDEX('큐펫&amp;몹 정리(최신)'!R:R,MATCH($E7,'큐펫&amp;몹 정리(최신)'!$B:$B,0))*20,IF($J7=2,INDEX('큐펫&amp;몹 정리(최신)'!R:R,MATCH($E7,'큐펫&amp;몹 정리(최신)'!$B:$B,0))*25,IF($J7=3,INDEX('큐펫&amp;몹 정리(최신)'!R:R,MATCH($E7,'큐펫&amp;몹 정리(최신)'!$B:$B,0))*30,IF($J7=4,INDEX('큐펫&amp;몹 정리(최신)'!R:R,MATCH($E7,'큐펫&amp;몹 정리(최신)'!$B:$B,0))*35,INDEX('큐펫&amp;몹 정리(최신)'!R:R,MATCH($E7,'큐펫&amp;몹 정리(최신)'!$B:$B,0))*40))))</f>
        <v>60</v>
      </c>
      <c r="N7" s="190">
        <f>IF($J7=1,INDEX('큐펫&amp;몹 정리(최신)'!S:S,MATCH($E7,'큐펫&amp;몹 정리(최신)'!$B:$B,0))*20,IF($J7=2,INDEX('큐펫&amp;몹 정리(최신)'!S:S,MATCH($E7,'큐펫&amp;몹 정리(최신)'!$B:$B,0))*25,IF($J7=3,INDEX('큐펫&amp;몹 정리(최신)'!S:S,MATCH($E7,'큐펫&amp;몹 정리(최신)'!$B:$B,0))*30,IF($J7=4,INDEX('큐펫&amp;몹 정리(최신)'!S:S,MATCH($E7,'큐펫&amp;몹 정리(최신)'!$B:$B,0))*35,INDEX('큐펫&amp;몹 정리(최신)'!S:S,MATCH($E7,'큐펫&amp;몹 정리(최신)'!$B:$B,0))*40))))</f>
        <v>720</v>
      </c>
      <c r="O7" s="190">
        <f>IF($J7=1,INDEX('큐펫&amp;몹 정리(최신)'!T:T,MATCH($E7,'큐펫&amp;몹 정리(최신)'!$B:$B,0))*20,IF($J7=2,INDEX('큐펫&amp;몹 정리(최신)'!T:T,MATCH($E7,'큐펫&amp;몹 정리(최신)'!$B:$B,0))*25,IF($J7=3,INDEX('큐펫&amp;몹 정리(최신)'!T:T,MATCH($E7,'큐펫&amp;몹 정리(최신)'!$B:$B,0))*30,IF($J7=4,INDEX('큐펫&amp;몹 정리(최신)'!T:T,MATCH($E7,'큐펫&amp;몹 정리(최신)'!$B:$B,0))*35,INDEX('큐펫&amp;몹 정리(최신)'!T:T,MATCH($E7,'큐펫&amp;몹 정리(최신)'!$B:$B,0))*40))))</f>
        <v>240</v>
      </c>
      <c r="P7" s="217">
        <v>20</v>
      </c>
      <c r="Q7" s="217">
        <f t="shared" si="0"/>
        <v>30176</v>
      </c>
      <c r="R7" s="217">
        <f t="shared" si="1"/>
        <v>234</v>
      </c>
      <c r="S7" s="217">
        <f t="shared" si="2"/>
        <v>1112</v>
      </c>
      <c r="T7" s="217">
        <f t="shared" si="3"/>
        <v>278</v>
      </c>
      <c r="U7" s="217">
        <f t="shared" si="4"/>
        <v>21247</v>
      </c>
      <c r="V7" s="217">
        <f t="shared" si="5"/>
        <v>3559</v>
      </c>
      <c r="W7" s="217">
        <f>ROUND(AC7+(INDEX(Ref!B$1:B$9,MATCH($AI7,Ref!$A$1:$A$9,0))*P7*0.0001),)</f>
        <v>17</v>
      </c>
      <c r="X7" s="217">
        <f>ROUND(AD7+(INDEX(Ref!C$1:C$9,MATCH($AI7,Ref!$A$1:$A$9,0))*$P7*0.0001),)</f>
        <v>32</v>
      </c>
      <c r="Y7" s="217">
        <f>ROUND(AE7+(INDEX(Ref!D$1:D$9,MATCH($AI7,Ref!$A$1:$A$9,0))*$P7*0.0001),)</f>
        <v>39</v>
      </c>
      <c r="Z7" s="217">
        <f>ROUND(AF7+(INDEX(Ref!E$1:E$9,MATCH($AI7,Ref!$A$1:$A$9,0))*$P7*0.0001),)</f>
        <v>19</v>
      </c>
      <c r="AA7" s="217">
        <f>ROUND(AG7+(INDEX(Ref!F$1:F$9,MATCH($AI7,Ref!$A$1:$A$9,0))*$P7*0.0001),)</f>
        <v>41</v>
      </c>
      <c r="AB7" s="217">
        <f>ROUND(AH7+(INDEX(Ref!G$1:G$9,MATCH($AI7,Ref!$A$1:$A$9,0))*$P7*0.0001),)</f>
        <v>36</v>
      </c>
      <c r="AC7" s="137">
        <v>15</v>
      </c>
      <c r="AD7" s="137">
        <v>28</v>
      </c>
      <c r="AE7" s="137">
        <v>36</v>
      </c>
      <c r="AF7" s="137">
        <v>17</v>
      </c>
      <c r="AG7" s="137">
        <v>36</v>
      </c>
      <c r="AH7" s="137">
        <v>32</v>
      </c>
      <c r="AI7" s="208">
        <v>5</v>
      </c>
      <c r="AJ7" s="173">
        <v>3000</v>
      </c>
      <c r="AK7" s="173">
        <v>30007</v>
      </c>
      <c r="AL7" s="173">
        <v>2000</v>
      </c>
      <c r="AM7" s="173">
        <v>30010</v>
      </c>
      <c r="AN7" s="173">
        <v>0</v>
      </c>
      <c r="AO7" s="173">
        <v>34007</v>
      </c>
      <c r="AP7" s="173">
        <v>0</v>
      </c>
      <c r="AQ7" s="173">
        <v>34010</v>
      </c>
      <c r="AR7" s="173">
        <v>1</v>
      </c>
      <c r="AS7" s="173">
        <v>0</v>
      </c>
      <c r="AT7" s="199">
        <v>78002</v>
      </c>
      <c r="AU7" s="195" t="s">
        <v>44</v>
      </c>
      <c r="AX7" s="165" t="s">
        <v>3</v>
      </c>
      <c r="AY7" s="164" t="s">
        <v>45</v>
      </c>
      <c r="AZ7" s="164" t="s">
        <v>46</v>
      </c>
    </row>
    <row r="8" spans="1:52" x14ac:dyDescent="0.2">
      <c r="A8" s="173">
        <v>55002</v>
      </c>
      <c r="B8" s="173" t="s">
        <v>42</v>
      </c>
      <c r="C8" s="173">
        <v>86002</v>
      </c>
      <c r="D8" s="173">
        <v>150002</v>
      </c>
      <c r="E8" s="206" t="s">
        <v>43</v>
      </c>
      <c r="F8" s="207">
        <v>5</v>
      </c>
      <c r="G8" s="173">
        <v>13000</v>
      </c>
      <c r="H8" s="173">
        <v>9000</v>
      </c>
      <c r="I8" s="173">
        <v>10000</v>
      </c>
      <c r="J8" s="173">
        <v>2</v>
      </c>
      <c r="K8" s="190">
        <f>IF($J8=1,INDEX('큐펫&amp;몹 정리(최신)'!P:P,MATCH($E8,'큐펫&amp;몹 정리(최신)'!$B:$B,0))*20,IF($J8=2,INDEX('큐펫&amp;몹 정리(최신)'!P:P,MATCH($E8,'큐펫&amp;몹 정리(최신)'!$B:$B,0))*25,IF($J8=3,INDEX('큐펫&amp;몹 정리(최신)'!P:P,MATCH($E8,'큐펫&amp;몹 정리(최신)'!$B:$B,0))*30,IF($J8=4,INDEX('큐펫&amp;몹 정리(최신)'!P:P,MATCH($E8,'큐펫&amp;몹 정리(최신)'!$B:$B,0))*35,INDEX('큐펫&amp;몹 정리(최신)'!P:P,MATCH($E8,'큐펫&amp;몹 정리(최신)'!$B:$B,0))*40))))</f>
        <v>1150</v>
      </c>
      <c r="L8" s="190">
        <f>IF($J8=1,INDEX('큐펫&amp;몹 정리(최신)'!Q:Q,MATCH($E8,'큐펫&amp;몹 정리(최신)'!$B:$B,0))*20,IF($J8=2,INDEX('큐펫&amp;몹 정리(최신)'!Q:Q,MATCH($E8,'큐펫&amp;몹 정리(최신)'!$B:$B,0))*25,IF($J8=3,INDEX('큐펫&amp;몹 정리(최신)'!Q:Q,MATCH($E8,'큐펫&amp;몹 정리(최신)'!$B:$B,0))*30,IF($J8=4,INDEX('큐펫&amp;몹 정리(최신)'!Q:Q,MATCH($E8,'큐펫&amp;몹 정리(최신)'!$B:$B,0))*35,INDEX('큐펫&amp;몹 정리(최신)'!Q:Q,MATCH($E8,'큐펫&amp;몹 정리(최신)'!$B:$B,0))*40))))</f>
        <v>75</v>
      </c>
      <c r="M8" s="190">
        <f>IF($J8=1,INDEX('큐펫&amp;몹 정리(최신)'!R:R,MATCH($E8,'큐펫&amp;몹 정리(최신)'!$B:$B,0))*20,IF($J8=2,INDEX('큐펫&amp;몹 정리(최신)'!R:R,MATCH($E8,'큐펫&amp;몹 정리(최신)'!$B:$B,0))*25,IF($J8=3,INDEX('큐펫&amp;몹 정리(최신)'!R:R,MATCH($E8,'큐펫&amp;몹 정리(최신)'!$B:$B,0))*30,IF($J8=4,INDEX('큐펫&amp;몹 정리(최신)'!R:R,MATCH($E8,'큐펫&amp;몹 정리(최신)'!$B:$B,0))*35,INDEX('큐펫&amp;몹 정리(최신)'!R:R,MATCH($E8,'큐펫&amp;몹 정리(최신)'!$B:$B,0))*40))))</f>
        <v>75</v>
      </c>
      <c r="N8" s="190">
        <f>IF($J8=1,INDEX('큐펫&amp;몹 정리(최신)'!S:S,MATCH($E8,'큐펫&amp;몹 정리(최신)'!$B:$B,0))*20,IF($J8=2,INDEX('큐펫&amp;몹 정리(최신)'!S:S,MATCH($E8,'큐펫&amp;몹 정리(최신)'!$B:$B,0))*25,IF($J8=3,INDEX('큐펫&amp;몹 정리(최신)'!S:S,MATCH($E8,'큐펫&amp;몹 정리(최신)'!$B:$B,0))*30,IF($J8=4,INDEX('큐펫&amp;몹 정리(최신)'!S:S,MATCH($E8,'큐펫&amp;몹 정리(최신)'!$B:$B,0))*35,INDEX('큐펫&amp;몹 정리(최신)'!S:S,MATCH($E8,'큐펫&amp;몹 정리(최신)'!$B:$B,0))*40))))</f>
        <v>900</v>
      </c>
      <c r="O8" s="190">
        <f>IF($J8=1,INDEX('큐펫&amp;몹 정리(최신)'!T:T,MATCH($E8,'큐펫&amp;몹 정리(최신)'!$B:$B,0))*20,IF($J8=2,INDEX('큐펫&amp;몹 정리(최신)'!T:T,MATCH($E8,'큐펫&amp;몹 정리(최신)'!$B:$B,0))*25,IF($J8=3,INDEX('큐펫&amp;몹 정리(최신)'!T:T,MATCH($E8,'큐펫&amp;몹 정리(최신)'!$B:$B,0))*30,IF($J8=4,INDEX('큐펫&amp;몹 정리(최신)'!T:T,MATCH($E8,'큐펫&amp;몹 정리(최신)'!$B:$B,0))*35,INDEX('큐펫&amp;몹 정리(최신)'!T:T,MATCH($E8,'큐펫&amp;몹 정리(최신)'!$B:$B,0))*40))))</f>
        <v>300</v>
      </c>
      <c r="P8" s="217">
        <v>40</v>
      </c>
      <c r="Q8" s="217">
        <f t="shared" si="0"/>
        <v>71940</v>
      </c>
      <c r="R8" s="217">
        <f t="shared" si="1"/>
        <v>414</v>
      </c>
      <c r="S8" s="217">
        <f t="shared" si="2"/>
        <v>2086</v>
      </c>
      <c r="T8" s="217">
        <f t="shared" si="3"/>
        <v>517</v>
      </c>
      <c r="U8" s="217">
        <f t="shared" si="4"/>
        <v>37809</v>
      </c>
      <c r="V8" s="217">
        <f t="shared" si="5"/>
        <v>6324</v>
      </c>
      <c r="W8" s="217">
        <f>ROUND(AC8+(INDEX(Ref!B$1:B$9,MATCH($AI8,Ref!$A$1:$A$9,0))*P8*0.0001),)</f>
        <v>21</v>
      </c>
      <c r="X8" s="217">
        <f>ROUND(AD8+(INDEX(Ref!C$1:C$9,MATCH($AI8,Ref!$A$1:$A$9,0))*$P8*0.0001),)</f>
        <v>40</v>
      </c>
      <c r="Y8" s="217">
        <f>ROUND(AE8+(INDEX(Ref!D$1:D$9,MATCH($AI8,Ref!$A$1:$A$9,0))*$P8*0.0001),)</f>
        <v>44</v>
      </c>
      <c r="Z8" s="217">
        <f>ROUND(AF8+(INDEX(Ref!E$1:E$9,MATCH($AI8,Ref!$A$1:$A$9,0))*$P8*0.0001),)</f>
        <v>24</v>
      </c>
      <c r="AA8" s="217">
        <f>ROUND(AG8+(INDEX(Ref!F$1:F$9,MATCH($AI8,Ref!$A$1:$A$9,0))*$P8*0.0001),)</f>
        <v>51</v>
      </c>
      <c r="AB8" s="217">
        <f>ROUND(AH8+(INDEX(Ref!G$1:G$9,MATCH($AI8,Ref!$A$1:$A$9,0))*$P8*0.0001),)</f>
        <v>44</v>
      </c>
      <c r="AC8" s="137">
        <v>17</v>
      </c>
      <c r="AD8" s="137">
        <v>32</v>
      </c>
      <c r="AE8" s="137">
        <v>39</v>
      </c>
      <c r="AF8" s="137">
        <v>19</v>
      </c>
      <c r="AG8" s="137">
        <v>41</v>
      </c>
      <c r="AH8" s="137">
        <v>36</v>
      </c>
      <c r="AI8" s="208">
        <v>5</v>
      </c>
      <c r="AJ8" s="173">
        <v>3000</v>
      </c>
      <c r="AK8" s="173">
        <v>30008</v>
      </c>
      <c r="AL8" s="173">
        <v>2000</v>
      </c>
      <c r="AM8" s="173">
        <v>30010</v>
      </c>
      <c r="AN8" s="173">
        <v>0</v>
      </c>
      <c r="AO8" s="173">
        <v>34008</v>
      </c>
      <c r="AP8" s="173">
        <v>0</v>
      </c>
      <c r="AQ8" s="173">
        <v>34010</v>
      </c>
      <c r="AR8" s="173">
        <v>1</v>
      </c>
      <c r="AS8" s="173">
        <v>0</v>
      </c>
      <c r="AT8" s="199">
        <v>78002</v>
      </c>
      <c r="AU8" s="195" t="s">
        <v>44</v>
      </c>
      <c r="AX8" s="165" t="s">
        <v>5</v>
      </c>
      <c r="AY8" s="165" t="s">
        <v>47</v>
      </c>
      <c r="AZ8" s="165" t="s">
        <v>48</v>
      </c>
    </row>
    <row r="9" spans="1:52" x14ac:dyDescent="0.2">
      <c r="A9" s="173">
        <v>55002</v>
      </c>
      <c r="B9" s="173" t="s">
        <v>42</v>
      </c>
      <c r="C9" s="173">
        <v>86002</v>
      </c>
      <c r="D9" s="173">
        <v>150002</v>
      </c>
      <c r="E9" s="206" t="s">
        <v>43</v>
      </c>
      <c r="F9" s="207">
        <v>5</v>
      </c>
      <c r="G9" s="173">
        <v>13000</v>
      </c>
      <c r="H9" s="173">
        <v>9000</v>
      </c>
      <c r="I9" s="173">
        <v>10000</v>
      </c>
      <c r="J9" s="173">
        <v>3</v>
      </c>
      <c r="K9" s="190">
        <f>IF($J9=1,INDEX('큐펫&amp;몹 정리(최신)'!P:P,MATCH($E9,'큐펫&amp;몹 정리(최신)'!$B:$B,0))*20,IF($J9=2,INDEX('큐펫&amp;몹 정리(최신)'!P:P,MATCH($E9,'큐펫&amp;몹 정리(최신)'!$B:$B,0))*25,IF($J9=3,INDEX('큐펫&amp;몹 정리(최신)'!P:P,MATCH($E9,'큐펫&amp;몹 정리(최신)'!$B:$B,0))*30,IF($J9=4,INDEX('큐펫&amp;몹 정리(최신)'!P:P,MATCH($E9,'큐펫&amp;몹 정리(최신)'!$B:$B,0))*35,INDEX('큐펫&amp;몹 정리(최신)'!P:P,MATCH($E9,'큐펫&amp;몹 정리(최신)'!$B:$B,0))*40))))</f>
        <v>1380</v>
      </c>
      <c r="L9" s="190">
        <f>IF($J9=1,INDEX('큐펫&amp;몹 정리(최신)'!Q:Q,MATCH($E9,'큐펫&amp;몹 정리(최신)'!$B:$B,0))*20,IF($J9=2,INDEX('큐펫&amp;몹 정리(최신)'!Q:Q,MATCH($E9,'큐펫&amp;몹 정리(최신)'!$B:$B,0))*25,IF($J9=3,INDEX('큐펫&amp;몹 정리(최신)'!Q:Q,MATCH($E9,'큐펫&amp;몹 정리(최신)'!$B:$B,0))*30,IF($J9=4,INDEX('큐펫&amp;몹 정리(최신)'!Q:Q,MATCH($E9,'큐펫&amp;몹 정리(최신)'!$B:$B,0))*35,INDEX('큐펫&amp;몹 정리(최신)'!Q:Q,MATCH($E9,'큐펫&amp;몹 정리(최신)'!$B:$B,0))*40))))</f>
        <v>90</v>
      </c>
      <c r="M9" s="190">
        <f>IF($J9=1,INDEX('큐펫&amp;몹 정리(최신)'!R:R,MATCH($E9,'큐펫&amp;몹 정리(최신)'!$B:$B,0))*20,IF($J9=2,INDEX('큐펫&amp;몹 정리(최신)'!R:R,MATCH($E9,'큐펫&amp;몹 정리(최신)'!$B:$B,0))*25,IF($J9=3,INDEX('큐펫&amp;몹 정리(최신)'!R:R,MATCH($E9,'큐펫&amp;몹 정리(최신)'!$B:$B,0))*30,IF($J9=4,INDEX('큐펫&amp;몹 정리(최신)'!R:R,MATCH($E9,'큐펫&amp;몹 정리(최신)'!$B:$B,0))*35,INDEX('큐펫&amp;몹 정리(최신)'!R:R,MATCH($E9,'큐펫&amp;몹 정리(최신)'!$B:$B,0))*40))))</f>
        <v>90</v>
      </c>
      <c r="N9" s="190">
        <f>IF($J9=1,INDEX('큐펫&amp;몹 정리(최신)'!S:S,MATCH($E9,'큐펫&amp;몹 정리(최신)'!$B:$B,0))*20,IF($J9=2,INDEX('큐펫&amp;몹 정리(최신)'!S:S,MATCH($E9,'큐펫&amp;몹 정리(최신)'!$B:$B,0))*25,IF($J9=3,INDEX('큐펫&amp;몹 정리(최신)'!S:S,MATCH($E9,'큐펫&amp;몹 정리(최신)'!$B:$B,0))*30,IF($J9=4,INDEX('큐펫&amp;몹 정리(최신)'!S:S,MATCH($E9,'큐펫&amp;몹 정리(최신)'!$B:$B,0))*35,INDEX('큐펫&amp;몹 정리(최신)'!S:S,MATCH($E9,'큐펫&amp;몹 정리(최신)'!$B:$B,0))*40))))</f>
        <v>1080</v>
      </c>
      <c r="O9" s="190">
        <f>IF($J9=1,INDEX('큐펫&amp;몹 정리(최신)'!T:T,MATCH($E9,'큐펫&amp;몹 정리(최신)'!$B:$B,0))*20,IF($J9=2,INDEX('큐펫&amp;몹 정리(최신)'!T:T,MATCH($E9,'큐펫&amp;몹 정리(최신)'!$B:$B,0))*25,IF($J9=3,INDEX('큐펫&amp;몹 정리(최신)'!T:T,MATCH($E9,'큐펫&amp;몹 정리(최신)'!$B:$B,0))*30,IF($J9=4,INDEX('큐펫&amp;몹 정리(최신)'!T:T,MATCH($E9,'큐펫&amp;몹 정리(최신)'!$B:$B,0))*35,INDEX('큐펫&amp;몹 정리(최신)'!T:T,MATCH($E9,'큐펫&amp;몹 정리(최신)'!$B:$B,0))*40))))</f>
        <v>360</v>
      </c>
      <c r="P9" s="217">
        <v>60</v>
      </c>
      <c r="Q9" s="217">
        <f t="shared" si="0"/>
        <v>131100</v>
      </c>
      <c r="R9" s="217">
        <f t="shared" si="1"/>
        <v>716</v>
      </c>
      <c r="S9" s="217">
        <f t="shared" si="2"/>
        <v>3407</v>
      </c>
      <c r="T9" s="217">
        <f t="shared" si="3"/>
        <v>812</v>
      </c>
      <c r="U9" s="217">
        <f t="shared" si="4"/>
        <v>59410</v>
      </c>
      <c r="V9" s="217">
        <f t="shared" si="5"/>
        <v>9928</v>
      </c>
      <c r="W9" s="217">
        <f>ROUND(AC9+(INDEX(Ref!B$1:B$9,MATCH($AI9,Ref!$A$1:$A$9,0))*P9*0.0001),)</f>
        <v>26</v>
      </c>
      <c r="X9" s="217">
        <f>ROUND(AD9+(INDEX(Ref!C$1:C$9,MATCH($AI9,Ref!$A$1:$A$9,0))*$P9*0.0001),)</f>
        <v>47</v>
      </c>
      <c r="Y9" s="217">
        <f>ROUND(AE9+(INDEX(Ref!D$1:D$9,MATCH($AI9,Ref!$A$1:$A$9,0))*$P9*0.0001),)</f>
        <v>50</v>
      </c>
      <c r="Z9" s="217">
        <f>ROUND(AF9+(INDEX(Ref!E$1:E$9,MATCH($AI9,Ref!$A$1:$A$9,0))*$P9*0.0001),)</f>
        <v>28</v>
      </c>
      <c r="AA9" s="217">
        <f>ROUND(AG9+(INDEX(Ref!F$1:F$9,MATCH($AI9,Ref!$A$1:$A$9,0))*$P9*0.0001),)</f>
        <v>60</v>
      </c>
      <c r="AB9" s="217">
        <f>ROUND(AH9+(INDEX(Ref!G$1:G$9,MATCH($AI9,Ref!$A$1:$A$9,0))*$P9*0.0001),)</f>
        <v>53</v>
      </c>
      <c r="AC9" s="137">
        <v>19</v>
      </c>
      <c r="AD9" s="137">
        <v>36</v>
      </c>
      <c r="AE9" s="137">
        <v>42</v>
      </c>
      <c r="AF9" s="137">
        <v>21</v>
      </c>
      <c r="AG9" s="137">
        <v>46</v>
      </c>
      <c r="AH9" s="137">
        <v>40</v>
      </c>
      <c r="AI9" s="208">
        <v>5</v>
      </c>
      <c r="AJ9" s="173">
        <v>3000</v>
      </c>
      <c r="AK9" s="173">
        <v>30008</v>
      </c>
      <c r="AL9" s="173">
        <v>2000</v>
      </c>
      <c r="AM9" s="173">
        <v>30011</v>
      </c>
      <c r="AN9" s="173">
        <v>0</v>
      </c>
      <c r="AO9" s="173">
        <v>34008</v>
      </c>
      <c r="AP9" s="173">
        <v>0</v>
      </c>
      <c r="AQ9" s="173">
        <v>34011</v>
      </c>
      <c r="AR9" s="173">
        <v>1</v>
      </c>
      <c r="AS9" s="173">
        <v>0</v>
      </c>
      <c r="AT9" s="199">
        <v>78002</v>
      </c>
      <c r="AU9" s="195" t="s">
        <v>44</v>
      </c>
      <c r="AX9" s="165" t="s">
        <v>6</v>
      </c>
      <c r="AY9" s="165" t="s">
        <v>49</v>
      </c>
      <c r="AZ9" s="165" t="s">
        <v>50</v>
      </c>
    </row>
    <row r="10" spans="1:52" x14ac:dyDescent="0.2">
      <c r="A10" s="173">
        <v>55002</v>
      </c>
      <c r="B10" s="173" t="s">
        <v>42</v>
      </c>
      <c r="C10" s="173">
        <v>86002</v>
      </c>
      <c r="D10" s="173">
        <v>150002</v>
      </c>
      <c r="E10" s="206" t="s">
        <v>43</v>
      </c>
      <c r="F10" s="207">
        <v>5</v>
      </c>
      <c r="G10" s="173">
        <v>13000</v>
      </c>
      <c r="H10" s="173">
        <v>9000</v>
      </c>
      <c r="I10" s="173">
        <v>10000</v>
      </c>
      <c r="J10" s="173">
        <v>4</v>
      </c>
      <c r="K10" s="190">
        <f>IF($J10=1,INDEX('큐펫&amp;몹 정리(최신)'!P:P,MATCH($E10,'큐펫&amp;몹 정리(최신)'!$B:$B,0))*20,IF($J10=2,INDEX('큐펫&amp;몹 정리(최신)'!P:P,MATCH($E10,'큐펫&amp;몹 정리(최신)'!$B:$B,0))*25,IF($J10=3,INDEX('큐펫&amp;몹 정리(최신)'!P:P,MATCH($E10,'큐펫&amp;몹 정리(최신)'!$B:$B,0))*30,IF($J10=4,INDEX('큐펫&amp;몹 정리(최신)'!P:P,MATCH($E10,'큐펫&amp;몹 정리(최신)'!$B:$B,0))*35,INDEX('큐펫&amp;몹 정리(최신)'!P:P,MATCH($E10,'큐펫&amp;몹 정리(최신)'!$B:$B,0))*40))))</f>
        <v>1610</v>
      </c>
      <c r="L10" s="190">
        <f>IF($J10=1,INDEX('큐펫&amp;몹 정리(최신)'!Q:Q,MATCH($E10,'큐펫&amp;몹 정리(최신)'!$B:$B,0))*20,IF($J10=2,INDEX('큐펫&amp;몹 정리(최신)'!Q:Q,MATCH($E10,'큐펫&amp;몹 정리(최신)'!$B:$B,0))*25,IF($J10=3,INDEX('큐펫&amp;몹 정리(최신)'!Q:Q,MATCH($E10,'큐펫&amp;몹 정리(최신)'!$B:$B,0))*30,IF($J10=4,INDEX('큐펫&amp;몹 정리(최신)'!Q:Q,MATCH($E10,'큐펫&amp;몹 정리(최신)'!$B:$B,0))*35,INDEX('큐펫&amp;몹 정리(최신)'!Q:Q,MATCH($E10,'큐펫&amp;몹 정리(최신)'!$B:$B,0))*40))))</f>
        <v>105</v>
      </c>
      <c r="M10" s="190">
        <f>IF($J10=1,INDEX('큐펫&amp;몹 정리(최신)'!R:R,MATCH($E10,'큐펫&amp;몹 정리(최신)'!$B:$B,0))*20,IF($J10=2,INDEX('큐펫&amp;몹 정리(최신)'!R:R,MATCH($E10,'큐펫&amp;몹 정리(최신)'!$B:$B,0))*25,IF($J10=3,INDEX('큐펫&amp;몹 정리(최신)'!R:R,MATCH($E10,'큐펫&amp;몹 정리(최신)'!$B:$B,0))*30,IF($J10=4,INDEX('큐펫&amp;몹 정리(최신)'!R:R,MATCH($E10,'큐펫&amp;몹 정리(최신)'!$B:$B,0))*35,INDEX('큐펫&amp;몹 정리(최신)'!R:R,MATCH($E10,'큐펫&amp;몹 정리(최신)'!$B:$B,0))*40))))</f>
        <v>105</v>
      </c>
      <c r="N10" s="190">
        <f>IF($J10=1,INDEX('큐펫&amp;몹 정리(최신)'!S:S,MATCH($E10,'큐펫&amp;몹 정리(최신)'!$B:$B,0))*20,IF($J10=2,INDEX('큐펫&amp;몹 정리(최신)'!S:S,MATCH($E10,'큐펫&amp;몹 정리(최신)'!$B:$B,0))*25,IF($J10=3,INDEX('큐펫&amp;몹 정리(최신)'!S:S,MATCH($E10,'큐펫&amp;몹 정리(최신)'!$B:$B,0))*30,IF($J10=4,INDEX('큐펫&amp;몹 정리(최신)'!S:S,MATCH($E10,'큐펫&amp;몹 정리(최신)'!$B:$B,0))*35,INDEX('큐펫&amp;몹 정리(최신)'!S:S,MATCH($E10,'큐펫&amp;몹 정리(최신)'!$B:$B,0))*40))))</f>
        <v>1260</v>
      </c>
      <c r="O10" s="190">
        <f>IF($J10=1,INDEX('큐펫&amp;몹 정리(최신)'!T:T,MATCH($E10,'큐펫&amp;몹 정리(최신)'!$B:$B,0))*20,IF($J10=2,INDEX('큐펫&amp;몹 정리(최신)'!T:T,MATCH($E10,'큐펫&amp;몹 정리(최신)'!$B:$B,0))*25,IF($J10=3,INDEX('큐펫&amp;몹 정리(최신)'!T:T,MATCH($E10,'큐펫&amp;몹 정리(최신)'!$B:$B,0))*30,IF($J10=4,INDEX('큐펫&amp;몹 정리(최신)'!T:T,MATCH($E10,'큐펫&amp;몹 정리(최신)'!$B:$B,0))*35,INDEX('큐펫&amp;몹 정리(최신)'!T:T,MATCH($E10,'큐펫&amp;몹 정리(최신)'!$B:$B,0))*40))))</f>
        <v>420</v>
      </c>
      <c r="P10" s="217">
        <v>80</v>
      </c>
      <c r="Q10" s="217">
        <f t="shared" si="0"/>
        <v>206352</v>
      </c>
      <c r="R10" s="217">
        <f t="shared" si="1"/>
        <v>1140</v>
      </c>
      <c r="S10" s="217">
        <f t="shared" si="2"/>
        <v>5344</v>
      </c>
      <c r="T10" s="217">
        <f t="shared" si="3"/>
        <v>1345</v>
      </c>
      <c r="U10" s="217">
        <f t="shared" si="4"/>
        <v>84432</v>
      </c>
      <c r="V10" s="217">
        <f t="shared" si="5"/>
        <v>14104</v>
      </c>
      <c r="W10" s="217">
        <f>ROUND(AC10+(INDEX(Ref!B$1:B$9,MATCH($AI10,Ref!$A$1:$A$9,0))*P10*0.0001),)</f>
        <v>31</v>
      </c>
      <c r="X10" s="217">
        <f>ROUND(AD10+(INDEX(Ref!C$1:C$9,MATCH($AI10,Ref!$A$1:$A$9,0))*$P10*0.0001),)</f>
        <v>54</v>
      </c>
      <c r="Y10" s="217">
        <f>ROUND(AE10+(INDEX(Ref!D$1:D$9,MATCH($AI10,Ref!$A$1:$A$9,0))*$P10*0.0001),)</f>
        <v>54</v>
      </c>
      <c r="Z10" s="217">
        <f>ROUND(AF10+(INDEX(Ref!E$1:E$9,MATCH($AI10,Ref!$A$1:$A$9,0))*$P10*0.0001),)</f>
        <v>34</v>
      </c>
      <c r="AA10" s="217">
        <f>ROUND(AG10+(INDEX(Ref!F$1:F$9,MATCH($AI10,Ref!$A$1:$A$9,0))*$P10*0.0001),)</f>
        <v>70</v>
      </c>
      <c r="AB10" s="217">
        <f>ROUND(AH10+(INDEX(Ref!G$1:G$9,MATCH($AI10,Ref!$A$1:$A$9,0))*$P10*0.0001),)</f>
        <v>61</v>
      </c>
      <c r="AC10" s="137">
        <v>22</v>
      </c>
      <c r="AD10" s="137">
        <v>39</v>
      </c>
      <c r="AE10" s="137">
        <v>44</v>
      </c>
      <c r="AF10" s="137">
        <v>24</v>
      </c>
      <c r="AG10" s="137">
        <v>51</v>
      </c>
      <c r="AH10" s="137">
        <v>44</v>
      </c>
      <c r="AI10" s="208">
        <v>5</v>
      </c>
      <c r="AJ10" s="173">
        <v>3000</v>
      </c>
      <c r="AK10" s="173">
        <v>30009</v>
      </c>
      <c r="AL10" s="173">
        <v>2000</v>
      </c>
      <c r="AM10" s="173">
        <v>30011</v>
      </c>
      <c r="AN10" s="173">
        <v>0</v>
      </c>
      <c r="AO10" s="173">
        <v>34009</v>
      </c>
      <c r="AP10" s="173">
        <v>0</v>
      </c>
      <c r="AQ10" s="173">
        <v>34011</v>
      </c>
      <c r="AR10" s="173">
        <v>1</v>
      </c>
      <c r="AS10" s="173">
        <v>0</v>
      </c>
      <c r="AT10" s="199">
        <v>78002</v>
      </c>
      <c r="AU10" s="195" t="s">
        <v>44</v>
      </c>
      <c r="AX10" s="165" t="s">
        <v>7</v>
      </c>
      <c r="AY10" s="165" t="s">
        <v>51</v>
      </c>
      <c r="AZ10" s="165" t="s">
        <v>50</v>
      </c>
    </row>
    <row r="11" spans="1:52" x14ac:dyDescent="0.2">
      <c r="A11" s="173">
        <v>55002</v>
      </c>
      <c r="B11" s="173" t="s">
        <v>42</v>
      </c>
      <c r="C11" s="173">
        <v>86002</v>
      </c>
      <c r="D11" s="173">
        <v>150002</v>
      </c>
      <c r="E11" s="206" t="s">
        <v>43</v>
      </c>
      <c r="F11" s="207">
        <v>5</v>
      </c>
      <c r="G11" s="173">
        <v>13000</v>
      </c>
      <c r="H11" s="173">
        <v>9000</v>
      </c>
      <c r="I11" s="173">
        <v>10000</v>
      </c>
      <c r="J11" s="173">
        <v>5</v>
      </c>
      <c r="K11" s="190">
        <f>IF($J11=1,INDEX('큐펫&amp;몹 정리(최신)'!P:P,MATCH($E11,'큐펫&amp;몹 정리(최신)'!$B:$B,0))*20,IF($J11=2,INDEX('큐펫&amp;몹 정리(최신)'!P:P,MATCH($E11,'큐펫&amp;몹 정리(최신)'!$B:$B,0))*25,IF($J11=3,INDEX('큐펫&amp;몹 정리(최신)'!P:P,MATCH($E11,'큐펫&amp;몹 정리(최신)'!$B:$B,0))*30,IF($J11=4,INDEX('큐펫&amp;몹 정리(최신)'!P:P,MATCH($E11,'큐펫&amp;몹 정리(최신)'!$B:$B,0))*35,INDEX('큐펫&amp;몹 정리(최신)'!P:P,MATCH($E11,'큐펫&amp;몹 정리(최신)'!$B:$B,0))*40))))</f>
        <v>1840</v>
      </c>
      <c r="L11" s="190">
        <f>IF($J11=1,INDEX('큐펫&amp;몹 정리(최신)'!Q:Q,MATCH($E11,'큐펫&amp;몹 정리(최신)'!$B:$B,0))*20,IF($J11=2,INDEX('큐펫&amp;몹 정리(최신)'!Q:Q,MATCH($E11,'큐펫&amp;몹 정리(최신)'!$B:$B,0))*25,IF($J11=3,INDEX('큐펫&amp;몹 정리(최신)'!Q:Q,MATCH($E11,'큐펫&amp;몹 정리(최신)'!$B:$B,0))*30,IF($J11=4,INDEX('큐펫&amp;몹 정리(최신)'!Q:Q,MATCH($E11,'큐펫&amp;몹 정리(최신)'!$B:$B,0))*35,INDEX('큐펫&amp;몹 정리(최신)'!Q:Q,MATCH($E11,'큐펫&amp;몹 정리(최신)'!$B:$B,0))*40))))</f>
        <v>120</v>
      </c>
      <c r="M11" s="190">
        <f>IF($J11=1,INDEX('큐펫&amp;몹 정리(최신)'!R:R,MATCH($E11,'큐펫&amp;몹 정리(최신)'!$B:$B,0))*20,IF($J11=2,INDEX('큐펫&amp;몹 정리(최신)'!R:R,MATCH($E11,'큐펫&amp;몹 정리(최신)'!$B:$B,0))*25,IF($J11=3,INDEX('큐펫&amp;몹 정리(최신)'!R:R,MATCH($E11,'큐펫&amp;몹 정리(최신)'!$B:$B,0))*30,IF($J11=4,INDEX('큐펫&amp;몹 정리(최신)'!R:R,MATCH($E11,'큐펫&amp;몹 정리(최신)'!$B:$B,0))*35,INDEX('큐펫&amp;몹 정리(최신)'!R:R,MATCH($E11,'큐펫&amp;몹 정리(최신)'!$B:$B,0))*40))))</f>
        <v>120</v>
      </c>
      <c r="N11" s="190">
        <f>IF($J11=1,INDEX('큐펫&amp;몹 정리(최신)'!S:S,MATCH($E11,'큐펫&amp;몹 정리(최신)'!$B:$B,0))*20,IF($J11=2,INDEX('큐펫&amp;몹 정리(최신)'!S:S,MATCH($E11,'큐펫&amp;몹 정리(최신)'!$B:$B,0))*25,IF($J11=3,INDEX('큐펫&amp;몹 정리(최신)'!S:S,MATCH($E11,'큐펫&amp;몹 정리(최신)'!$B:$B,0))*30,IF($J11=4,INDEX('큐펫&amp;몹 정리(최신)'!S:S,MATCH($E11,'큐펫&amp;몹 정리(최신)'!$B:$B,0))*35,INDEX('큐펫&amp;몹 정리(최신)'!S:S,MATCH($E11,'큐펫&amp;몹 정리(최신)'!$B:$B,0))*40))))</f>
        <v>1440</v>
      </c>
      <c r="O11" s="190">
        <f>IF($J11=1,INDEX('큐펫&amp;몹 정리(최신)'!T:T,MATCH($E11,'큐펫&amp;몹 정리(최신)'!$B:$B,0))*20,IF($J11=2,INDEX('큐펫&amp;몹 정리(최신)'!T:T,MATCH($E11,'큐펫&amp;몹 정리(최신)'!$B:$B,0))*25,IF($J11=3,INDEX('큐펫&amp;몹 정리(최신)'!T:T,MATCH($E11,'큐펫&amp;몹 정리(최신)'!$B:$B,0))*30,IF($J11=4,INDEX('큐펫&amp;몹 정리(최신)'!T:T,MATCH($E11,'큐펫&amp;몹 정리(최신)'!$B:$B,0))*35,INDEX('큐펫&amp;몹 정리(최신)'!T:T,MATCH($E11,'큐펫&amp;몹 정리(최신)'!$B:$B,0))*40))))</f>
        <v>480</v>
      </c>
      <c r="P11" s="217">
        <v>100</v>
      </c>
      <c r="Q11" s="217">
        <f t="shared" si="0"/>
        <v>303600</v>
      </c>
      <c r="R11" s="217">
        <f t="shared" si="1"/>
        <v>1623</v>
      </c>
      <c r="S11" s="217">
        <f t="shared" si="2"/>
        <v>7912</v>
      </c>
      <c r="T11" s="217">
        <f t="shared" si="3"/>
        <v>1886</v>
      </c>
      <c r="U11" s="217">
        <f t="shared" si="4"/>
        <v>115214</v>
      </c>
      <c r="V11" s="217">
        <f t="shared" si="5"/>
        <v>19238</v>
      </c>
      <c r="W11" s="217">
        <f>ROUND(AC11+(INDEX(Ref!B$1:B$9,MATCH($AI11,Ref!$A$1:$A$9,0))*P11*0.0001),)</f>
        <v>35</v>
      </c>
      <c r="X11" s="217">
        <f>ROUND(AD11+(INDEX(Ref!C$1:C$9,MATCH($AI11,Ref!$A$1:$A$9,0))*$P11*0.0001),)</f>
        <v>62</v>
      </c>
      <c r="Y11" s="217">
        <f>ROUND(AE11+(INDEX(Ref!D$1:D$9,MATCH($AI11,Ref!$A$1:$A$9,0))*$P11*0.0001),)</f>
        <v>60</v>
      </c>
      <c r="Z11" s="217">
        <f>ROUND(AF11+(INDEX(Ref!E$1:E$9,MATCH($AI11,Ref!$A$1:$A$9,0))*$P11*0.0001),)</f>
        <v>38</v>
      </c>
      <c r="AA11" s="217">
        <f>ROUND(AG11+(INDEX(Ref!F$1:F$9,MATCH($AI11,Ref!$A$1:$A$9,0))*$P11*0.0001),)</f>
        <v>80</v>
      </c>
      <c r="AB11" s="217">
        <f>ROUND(AH11+(INDEX(Ref!G$1:G$9,MATCH($AI11,Ref!$A$1:$A$9,0))*$P11*0.0001),)</f>
        <v>69</v>
      </c>
      <c r="AC11" s="137">
        <v>24</v>
      </c>
      <c r="AD11" s="137">
        <v>43</v>
      </c>
      <c r="AE11" s="137">
        <v>47</v>
      </c>
      <c r="AF11" s="137">
        <v>26</v>
      </c>
      <c r="AG11" s="137">
        <v>56</v>
      </c>
      <c r="AH11" s="137">
        <v>48</v>
      </c>
      <c r="AI11" s="208">
        <v>5</v>
      </c>
      <c r="AJ11" s="173">
        <v>3000</v>
      </c>
      <c r="AK11" s="173">
        <v>30009</v>
      </c>
      <c r="AL11" s="173">
        <v>2000</v>
      </c>
      <c r="AM11" s="173">
        <v>30012</v>
      </c>
      <c r="AN11" s="173">
        <v>0</v>
      </c>
      <c r="AO11" s="173">
        <v>34009</v>
      </c>
      <c r="AP11" s="173">
        <v>0</v>
      </c>
      <c r="AQ11" s="173">
        <v>34012</v>
      </c>
      <c r="AR11" s="173">
        <v>1</v>
      </c>
      <c r="AS11" s="173">
        <v>0</v>
      </c>
      <c r="AT11" s="199">
        <v>78002</v>
      </c>
      <c r="AU11" s="195" t="s">
        <v>44</v>
      </c>
      <c r="AX11" s="165" t="s">
        <v>8</v>
      </c>
      <c r="AY11" s="165" t="s">
        <v>52</v>
      </c>
      <c r="AZ11" s="165" t="s">
        <v>50</v>
      </c>
    </row>
    <row r="12" spans="1:52" x14ac:dyDescent="0.2">
      <c r="A12" s="173">
        <v>55003</v>
      </c>
      <c r="B12" s="173" t="s">
        <v>53</v>
      </c>
      <c r="C12" s="173">
        <v>86003</v>
      </c>
      <c r="D12" s="173">
        <v>150003</v>
      </c>
      <c r="E12" s="206" t="s">
        <v>54</v>
      </c>
      <c r="F12" s="207">
        <v>1</v>
      </c>
      <c r="G12" s="173">
        <v>11500</v>
      </c>
      <c r="H12" s="173">
        <v>9500</v>
      </c>
      <c r="I12" s="173">
        <v>10000</v>
      </c>
      <c r="J12" s="173">
        <v>1</v>
      </c>
      <c r="K12" s="190">
        <f>IF($J12=1,INDEX('큐펫&amp;몹 정리(최신)'!P:P,MATCH($E12,'큐펫&amp;몹 정리(최신)'!$B:$B,0))*20,IF($J12=2,INDEX('큐펫&amp;몹 정리(최신)'!P:P,MATCH($E12,'큐펫&amp;몹 정리(최신)'!$B:$B,0))*25,IF($J12=3,INDEX('큐펫&amp;몹 정리(최신)'!P:P,MATCH($E12,'큐펫&amp;몹 정리(최신)'!$B:$B,0))*30,IF($J12=4,INDEX('큐펫&amp;몹 정리(최신)'!P:P,MATCH($E12,'큐펫&amp;몹 정리(최신)'!$B:$B,0))*35,INDEX('큐펫&amp;몹 정리(최신)'!P:P,MATCH($E12,'큐펫&amp;몹 정리(최신)'!$B:$B,0))*40))))</f>
        <v>600</v>
      </c>
      <c r="L12" s="190">
        <f>IF($J12=1,INDEX('큐펫&amp;몹 정리(최신)'!Q:Q,MATCH($E12,'큐펫&amp;몹 정리(최신)'!$B:$B,0))*20,IF($J12=2,INDEX('큐펫&amp;몹 정리(최신)'!Q:Q,MATCH($E12,'큐펫&amp;몹 정리(최신)'!$B:$B,0))*25,IF($J12=3,INDEX('큐펫&amp;몹 정리(최신)'!Q:Q,MATCH($E12,'큐펫&amp;몹 정리(최신)'!$B:$B,0))*30,IF($J12=4,INDEX('큐펫&amp;몹 정리(최신)'!Q:Q,MATCH($E12,'큐펫&amp;몹 정리(최신)'!$B:$B,0))*35,INDEX('큐펫&amp;몹 정리(최신)'!Q:Q,MATCH($E12,'큐펫&amp;몹 정리(최신)'!$B:$B,0))*40))))</f>
        <v>100</v>
      </c>
      <c r="M12" s="190">
        <f>IF($J12=1,INDEX('큐펫&amp;몹 정리(최신)'!R:R,MATCH($E12,'큐펫&amp;몹 정리(최신)'!$B:$B,0))*20,IF($J12=2,INDEX('큐펫&amp;몹 정리(최신)'!R:R,MATCH($E12,'큐펫&amp;몹 정리(최신)'!$B:$B,0))*25,IF($J12=3,INDEX('큐펫&amp;몹 정리(최신)'!R:R,MATCH($E12,'큐펫&amp;몹 정리(최신)'!$B:$B,0))*30,IF($J12=4,INDEX('큐펫&amp;몹 정리(최신)'!R:R,MATCH($E12,'큐펫&amp;몹 정리(최신)'!$B:$B,0))*35,INDEX('큐펫&amp;몹 정리(최신)'!R:R,MATCH($E12,'큐펫&amp;몹 정리(최신)'!$B:$B,0))*40))))</f>
        <v>360</v>
      </c>
      <c r="N12" s="190">
        <f>IF($J12=1,INDEX('큐펫&amp;몹 정리(최신)'!S:S,MATCH($E12,'큐펫&amp;몹 정리(최신)'!$B:$B,0))*20,IF($J12=2,INDEX('큐펫&amp;몹 정리(최신)'!S:S,MATCH($E12,'큐펫&amp;몹 정리(최신)'!$B:$B,0))*25,IF($J12=3,INDEX('큐펫&amp;몹 정리(최신)'!S:S,MATCH($E12,'큐펫&amp;몹 정리(최신)'!$B:$B,0))*30,IF($J12=4,INDEX('큐펫&amp;몹 정리(최신)'!S:S,MATCH($E12,'큐펫&amp;몹 정리(최신)'!$B:$B,0))*35,INDEX('큐펫&amp;몹 정리(최신)'!S:S,MATCH($E12,'큐펫&amp;몹 정리(최신)'!$B:$B,0))*40))))</f>
        <v>380</v>
      </c>
      <c r="O12" s="190">
        <f>IF($J12=1,INDEX('큐펫&amp;몹 정리(최신)'!T:T,MATCH($E12,'큐펫&amp;몹 정리(최신)'!$B:$B,0))*20,IF($J12=2,INDEX('큐펫&amp;몹 정리(최신)'!T:T,MATCH($E12,'큐펫&amp;몹 정리(최신)'!$B:$B,0))*25,IF($J12=3,INDEX('큐펫&amp;몹 정리(최신)'!T:T,MATCH($E12,'큐펫&amp;몹 정리(최신)'!$B:$B,0))*30,IF($J12=4,INDEX('큐펫&amp;몹 정리(최신)'!T:T,MATCH($E12,'큐펫&amp;몹 정리(최신)'!$B:$B,0))*35,INDEX('큐펫&amp;몹 정리(최신)'!T:T,MATCH($E12,'큐펫&amp;몹 정리(최신)'!$B:$B,0))*40))))</f>
        <v>560</v>
      </c>
      <c r="P12" s="217">
        <v>20</v>
      </c>
      <c r="Q12" s="217">
        <f t="shared" si="0"/>
        <v>21240</v>
      </c>
      <c r="R12" s="217">
        <f t="shared" si="1"/>
        <v>418</v>
      </c>
      <c r="S12" s="217">
        <f t="shared" si="2"/>
        <v>593</v>
      </c>
      <c r="T12" s="217">
        <f t="shared" si="3"/>
        <v>6760</v>
      </c>
      <c r="U12" s="217">
        <f t="shared" si="4"/>
        <v>13686</v>
      </c>
      <c r="V12" s="217">
        <f t="shared" si="5"/>
        <v>10123</v>
      </c>
      <c r="W12" s="217">
        <f>ROUND(AC12+(INDEX(Ref!B$1:B$9,MATCH($AI12,Ref!$A$1:$A$9,0))*P12*0.0001),)</f>
        <v>19</v>
      </c>
      <c r="X12" s="217">
        <f>ROUND(AD12+(INDEX(Ref!C$1:C$9,MATCH($AI12,Ref!$A$1:$A$9,0))*$P12*0.0001),)</f>
        <v>26</v>
      </c>
      <c r="Y12" s="217">
        <f>ROUND(AE12+(INDEX(Ref!D$1:D$9,MATCH($AI12,Ref!$A$1:$A$9,0))*$P12*0.0001),)</f>
        <v>52</v>
      </c>
      <c r="Z12" s="217">
        <f>ROUND(AF12+(INDEX(Ref!E$1:E$9,MATCH($AI12,Ref!$A$1:$A$9,0))*$P12*0.0001),)</f>
        <v>43</v>
      </c>
      <c r="AA12" s="217">
        <f>ROUND(AG12+(INDEX(Ref!F$1:F$9,MATCH($AI12,Ref!$A$1:$A$9,0))*$P12*0.0001),)</f>
        <v>23</v>
      </c>
      <c r="AB12" s="217">
        <f>ROUND(AH12+(INDEX(Ref!G$1:G$9,MATCH($AI12,Ref!$A$1:$A$9,0))*$P12*0.0001),)</f>
        <v>21</v>
      </c>
      <c r="AC12" s="137">
        <v>17</v>
      </c>
      <c r="AD12" s="137">
        <v>23</v>
      </c>
      <c r="AE12" s="137">
        <v>48</v>
      </c>
      <c r="AF12" s="137">
        <v>38</v>
      </c>
      <c r="AG12" s="137">
        <v>20</v>
      </c>
      <c r="AH12" s="137">
        <v>18</v>
      </c>
      <c r="AI12" s="208">
        <v>2</v>
      </c>
      <c r="AJ12" s="173">
        <v>3000</v>
      </c>
      <c r="AK12" s="173">
        <v>30013</v>
      </c>
      <c r="AL12" s="173">
        <v>2000</v>
      </c>
      <c r="AM12" s="173">
        <v>30016</v>
      </c>
      <c r="AN12" s="173">
        <v>0</v>
      </c>
      <c r="AO12" s="173">
        <f>AK12+4000</f>
        <v>34013</v>
      </c>
      <c r="AP12" s="173">
        <v>0</v>
      </c>
      <c r="AQ12" s="173">
        <f>AM12+4000</f>
        <v>34016</v>
      </c>
      <c r="AR12" s="173">
        <v>1</v>
      </c>
      <c r="AS12" s="173">
        <v>0</v>
      </c>
      <c r="AT12" s="199">
        <v>78003</v>
      </c>
      <c r="AU12" s="195" t="s">
        <v>55</v>
      </c>
      <c r="AX12" s="165" t="s">
        <v>56</v>
      </c>
      <c r="AY12" s="165" t="s">
        <v>57</v>
      </c>
      <c r="AZ12" s="165" t="s">
        <v>58</v>
      </c>
    </row>
    <row r="13" spans="1:52" x14ac:dyDescent="0.2">
      <c r="A13" s="173">
        <v>55003</v>
      </c>
      <c r="B13" s="173" t="s">
        <v>53</v>
      </c>
      <c r="C13" s="173">
        <v>86003</v>
      </c>
      <c r="D13" s="173">
        <v>150003</v>
      </c>
      <c r="E13" s="206" t="s">
        <v>54</v>
      </c>
      <c r="F13" s="207">
        <v>1</v>
      </c>
      <c r="G13" s="173">
        <v>11500</v>
      </c>
      <c r="H13" s="173">
        <v>9500</v>
      </c>
      <c r="I13" s="173">
        <v>10000</v>
      </c>
      <c r="J13" s="173">
        <v>2</v>
      </c>
      <c r="K13" s="190">
        <f>IF($J13=1,INDEX('큐펫&amp;몹 정리(최신)'!P:P,MATCH($E13,'큐펫&amp;몹 정리(최신)'!$B:$B,0))*20,IF($J13=2,INDEX('큐펫&amp;몹 정리(최신)'!P:P,MATCH($E13,'큐펫&amp;몹 정리(최신)'!$B:$B,0))*25,IF($J13=3,INDEX('큐펫&amp;몹 정리(최신)'!P:P,MATCH($E13,'큐펫&amp;몹 정리(최신)'!$B:$B,0))*30,IF($J13=4,INDEX('큐펫&amp;몹 정리(최신)'!P:P,MATCH($E13,'큐펫&amp;몹 정리(최신)'!$B:$B,0))*35,INDEX('큐펫&amp;몹 정리(최신)'!P:P,MATCH($E13,'큐펫&amp;몹 정리(최신)'!$B:$B,0))*40))))</f>
        <v>750</v>
      </c>
      <c r="L13" s="190">
        <f>IF($J13=1,INDEX('큐펫&amp;몹 정리(최신)'!Q:Q,MATCH($E13,'큐펫&amp;몹 정리(최신)'!$B:$B,0))*20,IF($J13=2,INDEX('큐펫&amp;몹 정리(최신)'!Q:Q,MATCH($E13,'큐펫&amp;몹 정리(최신)'!$B:$B,0))*25,IF($J13=3,INDEX('큐펫&amp;몹 정리(최신)'!Q:Q,MATCH($E13,'큐펫&amp;몹 정리(최신)'!$B:$B,0))*30,IF($J13=4,INDEX('큐펫&amp;몹 정리(최신)'!Q:Q,MATCH($E13,'큐펫&amp;몹 정리(최신)'!$B:$B,0))*35,INDEX('큐펫&amp;몹 정리(최신)'!Q:Q,MATCH($E13,'큐펫&amp;몹 정리(최신)'!$B:$B,0))*40))))</f>
        <v>125</v>
      </c>
      <c r="M13" s="190">
        <f>IF($J13=1,INDEX('큐펫&amp;몹 정리(최신)'!R:R,MATCH($E13,'큐펫&amp;몹 정리(최신)'!$B:$B,0))*20,IF($J13=2,INDEX('큐펫&amp;몹 정리(최신)'!R:R,MATCH($E13,'큐펫&amp;몹 정리(최신)'!$B:$B,0))*25,IF($J13=3,INDEX('큐펫&amp;몹 정리(최신)'!R:R,MATCH($E13,'큐펫&amp;몹 정리(최신)'!$B:$B,0))*30,IF($J13=4,INDEX('큐펫&amp;몹 정리(최신)'!R:R,MATCH($E13,'큐펫&amp;몹 정리(최신)'!$B:$B,0))*35,INDEX('큐펫&amp;몹 정리(최신)'!R:R,MATCH($E13,'큐펫&amp;몹 정리(최신)'!$B:$B,0))*40))))</f>
        <v>450</v>
      </c>
      <c r="N13" s="190">
        <f>IF($J13=1,INDEX('큐펫&amp;몹 정리(최신)'!S:S,MATCH($E13,'큐펫&amp;몹 정리(최신)'!$B:$B,0))*20,IF($J13=2,INDEX('큐펫&amp;몹 정리(최신)'!S:S,MATCH($E13,'큐펫&amp;몹 정리(최신)'!$B:$B,0))*25,IF($J13=3,INDEX('큐펫&amp;몹 정리(최신)'!S:S,MATCH($E13,'큐펫&amp;몹 정리(최신)'!$B:$B,0))*30,IF($J13=4,INDEX('큐펫&amp;몹 정리(최신)'!S:S,MATCH($E13,'큐펫&amp;몹 정리(최신)'!$B:$B,0))*35,INDEX('큐펫&amp;몹 정리(최신)'!S:S,MATCH($E13,'큐펫&amp;몹 정리(최신)'!$B:$B,0))*40))))</f>
        <v>475</v>
      </c>
      <c r="O13" s="190">
        <f>IF($J13=1,INDEX('큐펫&amp;몹 정리(최신)'!T:T,MATCH($E13,'큐펫&amp;몹 정리(최신)'!$B:$B,0))*20,IF($J13=2,INDEX('큐펫&amp;몹 정리(최신)'!T:T,MATCH($E13,'큐펫&amp;몹 정리(최신)'!$B:$B,0))*25,IF($J13=3,INDEX('큐펫&amp;몹 정리(최신)'!T:T,MATCH($E13,'큐펫&amp;몹 정리(최신)'!$B:$B,0))*30,IF($J13=4,INDEX('큐펫&amp;몹 정리(최신)'!T:T,MATCH($E13,'큐펫&amp;몹 정리(최신)'!$B:$B,0))*35,INDEX('큐펫&amp;몹 정리(최신)'!T:T,MATCH($E13,'큐펫&amp;몹 정리(최신)'!$B:$B,0))*40))))</f>
        <v>700</v>
      </c>
      <c r="P13" s="217">
        <v>40</v>
      </c>
      <c r="Q13" s="217">
        <f t="shared" si="0"/>
        <v>51700</v>
      </c>
      <c r="R13" s="217">
        <f t="shared" si="1"/>
        <v>800</v>
      </c>
      <c r="S13" s="217">
        <f t="shared" si="2"/>
        <v>1140</v>
      </c>
      <c r="T13" s="217">
        <f t="shared" si="3"/>
        <v>12776</v>
      </c>
      <c r="U13" s="217">
        <f t="shared" si="4"/>
        <v>23759</v>
      </c>
      <c r="V13" s="217">
        <f t="shared" si="5"/>
        <v>17553</v>
      </c>
      <c r="W13" s="217">
        <f>ROUND(AC13+(INDEX(Ref!B$1:B$9,MATCH($AI13,Ref!$A$1:$A$9,0))*P13*0.0001),)</f>
        <v>24</v>
      </c>
      <c r="X13" s="217">
        <f>ROUND(AD13+(INDEX(Ref!C$1:C$9,MATCH($AI13,Ref!$A$1:$A$9,0))*$P13*0.0001),)</f>
        <v>32</v>
      </c>
      <c r="Y13" s="217">
        <f>ROUND(AE13+(INDEX(Ref!D$1:D$9,MATCH($AI13,Ref!$A$1:$A$9,0))*$P13*0.0001),)</f>
        <v>60</v>
      </c>
      <c r="Z13" s="217">
        <f>ROUND(AF13+(INDEX(Ref!E$1:E$9,MATCH($AI13,Ref!$A$1:$A$9,0))*$P13*0.0001),)</f>
        <v>53</v>
      </c>
      <c r="AA13" s="217">
        <f>ROUND(AG13+(INDEX(Ref!F$1:F$9,MATCH($AI13,Ref!$A$1:$A$9,0))*$P13*0.0001),)</f>
        <v>29</v>
      </c>
      <c r="AB13" s="217">
        <f>ROUND(AH13+(INDEX(Ref!G$1:G$9,MATCH($AI13,Ref!$A$1:$A$9,0))*$P13*0.0001),)</f>
        <v>26</v>
      </c>
      <c r="AC13" s="137">
        <v>19</v>
      </c>
      <c r="AD13" s="137">
        <v>26</v>
      </c>
      <c r="AE13" s="137">
        <v>52</v>
      </c>
      <c r="AF13" s="137">
        <v>43</v>
      </c>
      <c r="AG13" s="137">
        <v>23</v>
      </c>
      <c r="AH13" s="137">
        <v>21</v>
      </c>
      <c r="AI13" s="208">
        <v>2</v>
      </c>
      <c r="AJ13" s="173">
        <v>3000</v>
      </c>
      <c r="AK13" s="173">
        <v>30014</v>
      </c>
      <c r="AL13" s="173">
        <v>2000</v>
      </c>
      <c r="AM13" s="173">
        <v>30016</v>
      </c>
      <c r="AN13" s="173">
        <v>0</v>
      </c>
      <c r="AO13" s="173">
        <f t="shared" ref="AO13:AO76" si="6">AK13+4000</f>
        <v>34014</v>
      </c>
      <c r="AP13" s="173">
        <v>0</v>
      </c>
      <c r="AQ13" s="173">
        <f t="shared" ref="AQ13:AQ76" si="7">AM13+4000</f>
        <v>34016</v>
      </c>
      <c r="AR13" s="173">
        <v>1</v>
      </c>
      <c r="AS13" s="173">
        <v>0</v>
      </c>
      <c r="AT13" s="199">
        <v>78003</v>
      </c>
      <c r="AU13" s="195" t="s">
        <v>55</v>
      </c>
      <c r="AX13" s="203" t="s">
        <v>10</v>
      </c>
      <c r="AY13" s="203" t="s">
        <v>59</v>
      </c>
      <c r="AZ13" s="203" t="s">
        <v>60</v>
      </c>
    </row>
    <row r="14" spans="1:52" x14ac:dyDescent="0.2">
      <c r="A14" s="173">
        <v>55003</v>
      </c>
      <c r="B14" s="173" t="s">
        <v>53</v>
      </c>
      <c r="C14" s="173">
        <v>86003</v>
      </c>
      <c r="D14" s="173">
        <v>150003</v>
      </c>
      <c r="E14" s="206" t="s">
        <v>54</v>
      </c>
      <c r="F14" s="207">
        <v>1</v>
      </c>
      <c r="G14" s="173">
        <v>11500</v>
      </c>
      <c r="H14" s="173">
        <v>9500</v>
      </c>
      <c r="I14" s="173">
        <v>10000</v>
      </c>
      <c r="J14" s="173">
        <v>3</v>
      </c>
      <c r="K14" s="190">
        <f>IF($J14=1,INDEX('큐펫&amp;몹 정리(최신)'!P:P,MATCH($E14,'큐펫&amp;몹 정리(최신)'!$B:$B,0))*20,IF($J14=2,INDEX('큐펫&amp;몹 정리(최신)'!P:P,MATCH($E14,'큐펫&amp;몹 정리(최신)'!$B:$B,0))*25,IF($J14=3,INDEX('큐펫&amp;몹 정리(최신)'!P:P,MATCH($E14,'큐펫&amp;몹 정리(최신)'!$B:$B,0))*30,IF($J14=4,INDEX('큐펫&amp;몹 정리(최신)'!P:P,MATCH($E14,'큐펫&amp;몹 정리(최신)'!$B:$B,0))*35,INDEX('큐펫&amp;몹 정리(최신)'!P:P,MATCH($E14,'큐펫&amp;몹 정리(최신)'!$B:$B,0))*40))))</f>
        <v>900</v>
      </c>
      <c r="L14" s="190">
        <f>IF($J14=1,INDEX('큐펫&amp;몹 정리(최신)'!Q:Q,MATCH($E14,'큐펫&amp;몹 정리(최신)'!$B:$B,0))*20,IF($J14=2,INDEX('큐펫&amp;몹 정리(최신)'!Q:Q,MATCH($E14,'큐펫&amp;몹 정리(최신)'!$B:$B,0))*25,IF($J14=3,INDEX('큐펫&amp;몹 정리(최신)'!Q:Q,MATCH($E14,'큐펫&amp;몹 정리(최신)'!$B:$B,0))*30,IF($J14=4,INDEX('큐펫&amp;몹 정리(최신)'!Q:Q,MATCH($E14,'큐펫&amp;몹 정리(최신)'!$B:$B,0))*35,INDEX('큐펫&amp;몹 정리(최신)'!Q:Q,MATCH($E14,'큐펫&amp;몹 정리(최신)'!$B:$B,0))*40))))</f>
        <v>150</v>
      </c>
      <c r="M14" s="190">
        <f>IF($J14=1,INDEX('큐펫&amp;몹 정리(최신)'!R:R,MATCH($E14,'큐펫&amp;몹 정리(최신)'!$B:$B,0))*20,IF($J14=2,INDEX('큐펫&amp;몹 정리(최신)'!R:R,MATCH($E14,'큐펫&amp;몹 정리(최신)'!$B:$B,0))*25,IF($J14=3,INDEX('큐펫&amp;몹 정리(최신)'!R:R,MATCH($E14,'큐펫&amp;몹 정리(최신)'!$B:$B,0))*30,IF($J14=4,INDEX('큐펫&amp;몹 정리(최신)'!R:R,MATCH($E14,'큐펫&amp;몹 정리(최신)'!$B:$B,0))*35,INDEX('큐펫&amp;몹 정리(최신)'!R:R,MATCH($E14,'큐펫&amp;몹 정리(최신)'!$B:$B,0))*40))))</f>
        <v>540</v>
      </c>
      <c r="N14" s="190">
        <f>IF($J14=1,INDEX('큐펫&amp;몹 정리(최신)'!S:S,MATCH($E14,'큐펫&amp;몹 정리(최신)'!$B:$B,0))*20,IF($J14=2,INDEX('큐펫&amp;몹 정리(최신)'!S:S,MATCH($E14,'큐펫&amp;몹 정리(최신)'!$B:$B,0))*25,IF($J14=3,INDEX('큐펫&amp;몹 정리(최신)'!S:S,MATCH($E14,'큐펫&amp;몹 정리(최신)'!$B:$B,0))*30,IF($J14=4,INDEX('큐펫&amp;몹 정리(최신)'!S:S,MATCH($E14,'큐펫&amp;몹 정리(최신)'!$B:$B,0))*35,INDEX('큐펫&amp;몹 정리(최신)'!S:S,MATCH($E14,'큐펫&amp;몹 정리(최신)'!$B:$B,0))*40))))</f>
        <v>570</v>
      </c>
      <c r="O14" s="190">
        <f>IF($J14=1,INDEX('큐펫&amp;몹 정리(최신)'!T:T,MATCH($E14,'큐펫&amp;몹 정리(최신)'!$B:$B,0))*20,IF($J14=2,INDEX('큐펫&amp;몹 정리(최신)'!T:T,MATCH($E14,'큐펫&amp;몹 정리(최신)'!$B:$B,0))*25,IF($J14=3,INDEX('큐펫&amp;몹 정리(최신)'!T:T,MATCH($E14,'큐펫&amp;몹 정리(최신)'!$B:$B,0))*30,IF($J14=4,INDEX('큐펫&amp;몹 정리(최신)'!T:T,MATCH($E14,'큐펫&amp;몹 정리(최신)'!$B:$B,0))*35,INDEX('큐펫&amp;몹 정리(최신)'!T:T,MATCH($E14,'큐펫&amp;몹 정리(최신)'!$B:$B,0))*40))))</f>
        <v>840</v>
      </c>
      <c r="P14" s="217">
        <v>60</v>
      </c>
      <c r="Q14" s="217">
        <f t="shared" si="0"/>
        <v>95220</v>
      </c>
      <c r="R14" s="217">
        <f t="shared" si="1"/>
        <v>1276</v>
      </c>
      <c r="S14" s="217">
        <f t="shared" si="2"/>
        <v>1845</v>
      </c>
      <c r="T14" s="217">
        <f t="shared" si="3"/>
        <v>21600</v>
      </c>
      <c r="U14" s="217">
        <f t="shared" si="4"/>
        <v>36491</v>
      </c>
      <c r="V14" s="217">
        <f t="shared" si="5"/>
        <v>26943</v>
      </c>
      <c r="W14" s="217">
        <f>ROUND(AC14+(INDEX(Ref!B$1:B$9,MATCH($AI14,Ref!$A$1:$A$9,0))*P14*0.0001),)</f>
        <v>28</v>
      </c>
      <c r="X14" s="217">
        <f>ROUND(AD14+(INDEX(Ref!C$1:C$9,MATCH($AI14,Ref!$A$1:$A$9,0))*$P14*0.0001),)</f>
        <v>40</v>
      </c>
      <c r="Y14" s="217">
        <f>ROUND(AE14+(INDEX(Ref!D$1:D$9,MATCH($AI14,Ref!$A$1:$A$9,0))*$P14*0.0001),)</f>
        <v>68</v>
      </c>
      <c r="Z14" s="217">
        <f>ROUND(AF14+(INDEX(Ref!E$1:E$9,MATCH($AI14,Ref!$A$1:$A$9,0))*$P14*0.0001),)</f>
        <v>63</v>
      </c>
      <c r="AA14" s="217">
        <f>ROUND(AG14+(INDEX(Ref!F$1:F$9,MATCH($AI14,Ref!$A$1:$A$9,0))*$P14*0.0001),)</f>
        <v>34</v>
      </c>
      <c r="AB14" s="217">
        <f>ROUND(AH14+(INDEX(Ref!G$1:G$9,MATCH($AI14,Ref!$A$1:$A$9,0))*$P14*0.0001),)</f>
        <v>31</v>
      </c>
      <c r="AC14" s="137">
        <v>21</v>
      </c>
      <c r="AD14" s="137">
        <v>30</v>
      </c>
      <c r="AE14" s="137">
        <v>56</v>
      </c>
      <c r="AF14" s="137">
        <v>48.000000000000007</v>
      </c>
      <c r="AG14" s="137">
        <v>26</v>
      </c>
      <c r="AH14" s="137">
        <v>23</v>
      </c>
      <c r="AI14" s="208">
        <v>2</v>
      </c>
      <c r="AJ14" s="173">
        <v>3000</v>
      </c>
      <c r="AK14" s="173">
        <v>30014</v>
      </c>
      <c r="AL14" s="173">
        <v>2000</v>
      </c>
      <c r="AM14" s="173">
        <v>30017</v>
      </c>
      <c r="AN14" s="173">
        <v>0</v>
      </c>
      <c r="AO14" s="173">
        <f t="shared" si="6"/>
        <v>34014</v>
      </c>
      <c r="AP14" s="173">
        <v>0</v>
      </c>
      <c r="AQ14" s="173">
        <f t="shared" si="7"/>
        <v>34017</v>
      </c>
      <c r="AR14" s="173">
        <v>1</v>
      </c>
      <c r="AS14" s="173">
        <v>0</v>
      </c>
      <c r="AT14" s="199">
        <v>78003</v>
      </c>
      <c r="AU14" s="195" t="s">
        <v>55</v>
      </c>
      <c r="AX14" s="203" t="s">
        <v>11</v>
      </c>
      <c r="AY14" s="203" t="s">
        <v>988</v>
      </c>
      <c r="AZ14" s="203" t="s">
        <v>60</v>
      </c>
    </row>
    <row r="15" spans="1:52" x14ac:dyDescent="0.2">
      <c r="A15" s="173">
        <v>55003</v>
      </c>
      <c r="B15" s="173" t="s">
        <v>53</v>
      </c>
      <c r="C15" s="173">
        <v>86003</v>
      </c>
      <c r="D15" s="173">
        <v>150003</v>
      </c>
      <c r="E15" s="206" t="s">
        <v>54</v>
      </c>
      <c r="F15" s="207">
        <v>1</v>
      </c>
      <c r="G15" s="173">
        <v>11500</v>
      </c>
      <c r="H15" s="173">
        <v>9500</v>
      </c>
      <c r="I15" s="173">
        <v>10000</v>
      </c>
      <c r="J15" s="173">
        <v>4</v>
      </c>
      <c r="K15" s="190">
        <f>IF($J15=1,INDEX('큐펫&amp;몹 정리(최신)'!P:P,MATCH($E15,'큐펫&amp;몹 정리(최신)'!$B:$B,0))*20,IF($J15=2,INDEX('큐펫&amp;몹 정리(최신)'!P:P,MATCH($E15,'큐펫&amp;몹 정리(최신)'!$B:$B,0))*25,IF($J15=3,INDEX('큐펫&amp;몹 정리(최신)'!P:P,MATCH($E15,'큐펫&amp;몹 정리(최신)'!$B:$B,0))*30,IF($J15=4,INDEX('큐펫&amp;몹 정리(최신)'!P:P,MATCH($E15,'큐펫&amp;몹 정리(최신)'!$B:$B,0))*35,INDEX('큐펫&amp;몹 정리(최신)'!P:P,MATCH($E15,'큐펫&amp;몹 정리(최신)'!$B:$B,0))*40))))</f>
        <v>1050</v>
      </c>
      <c r="L15" s="190">
        <f>IF($J15=1,INDEX('큐펫&amp;몹 정리(최신)'!Q:Q,MATCH($E15,'큐펫&amp;몹 정리(최신)'!$B:$B,0))*20,IF($J15=2,INDEX('큐펫&amp;몹 정리(최신)'!Q:Q,MATCH($E15,'큐펫&amp;몹 정리(최신)'!$B:$B,0))*25,IF($J15=3,INDEX('큐펫&amp;몹 정리(최신)'!Q:Q,MATCH($E15,'큐펫&amp;몹 정리(최신)'!$B:$B,0))*30,IF($J15=4,INDEX('큐펫&amp;몹 정리(최신)'!Q:Q,MATCH($E15,'큐펫&amp;몹 정리(최신)'!$B:$B,0))*35,INDEX('큐펫&amp;몹 정리(최신)'!Q:Q,MATCH($E15,'큐펫&amp;몹 정리(최신)'!$B:$B,0))*40))))</f>
        <v>175</v>
      </c>
      <c r="M15" s="190">
        <f>IF($J15=1,INDEX('큐펫&amp;몹 정리(최신)'!R:R,MATCH($E15,'큐펫&amp;몹 정리(최신)'!$B:$B,0))*20,IF($J15=2,INDEX('큐펫&amp;몹 정리(최신)'!R:R,MATCH($E15,'큐펫&amp;몹 정리(최신)'!$B:$B,0))*25,IF($J15=3,INDEX('큐펫&amp;몹 정리(최신)'!R:R,MATCH($E15,'큐펫&amp;몹 정리(최신)'!$B:$B,0))*30,IF($J15=4,INDEX('큐펫&amp;몹 정리(최신)'!R:R,MATCH($E15,'큐펫&amp;몹 정리(최신)'!$B:$B,0))*35,INDEX('큐펫&amp;몹 정리(최신)'!R:R,MATCH($E15,'큐펫&amp;몹 정리(최신)'!$B:$B,0))*40))))</f>
        <v>630</v>
      </c>
      <c r="N15" s="190">
        <f>IF($J15=1,INDEX('큐펫&amp;몹 정리(최신)'!S:S,MATCH($E15,'큐펫&amp;몹 정리(최신)'!$B:$B,0))*20,IF($J15=2,INDEX('큐펫&amp;몹 정리(최신)'!S:S,MATCH($E15,'큐펫&amp;몹 정리(최신)'!$B:$B,0))*25,IF($J15=3,INDEX('큐펫&amp;몹 정리(최신)'!S:S,MATCH($E15,'큐펫&amp;몹 정리(최신)'!$B:$B,0))*30,IF($J15=4,INDEX('큐펫&amp;몹 정리(최신)'!S:S,MATCH($E15,'큐펫&amp;몹 정리(최신)'!$B:$B,0))*35,INDEX('큐펫&amp;몹 정리(최신)'!S:S,MATCH($E15,'큐펫&amp;몹 정리(최신)'!$B:$B,0))*40))))</f>
        <v>665</v>
      </c>
      <c r="O15" s="190">
        <f>IF($J15=1,INDEX('큐펫&amp;몹 정리(최신)'!T:T,MATCH($E15,'큐펫&amp;몹 정리(최신)'!$B:$B,0))*20,IF($J15=2,INDEX('큐펫&amp;몹 정리(최신)'!T:T,MATCH($E15,'큐펫&amp;몹 정리(최신)'!$B:$B,0))*25,IF($J15=3,INDEX('큐펫&amp;몹 정리(최신)'!T:T,MATCH($E15,'큐펫&amp;몹 정리(최신)'!$B:$B,0))*30,IF($J15=4,INDEX('큐펫&amp;몹 정리(최신)'!T:T,MATCH($E15,'큐펫&amp;몹 정리(최신)'!$B:$B,0))*35,INDEX('큐펫&amp;몹 정리(최신)'!T:T,MATCH($E15,'큐펫&amp;몹 정리(최신)'!$B:$B,0))*40))))</f>
        <v>980</v>
      </c>
      <c r="P15" s="217">
        <v>80</v>
      </c>
      <c r="Q15" s="217">
        <f t="shared" si="0"/>
        <v>153040</v>
      </c>
      <c r="R15" s="217">
        <f t="shared" si="1"/>
        <v>2147</v>
      </c>
      <c r="S15" s="217">
        <f t="shared" si="2"/>
        <v>2795</v>
      </c>
      <c r="T15" s="217">
        <f t="shared" si="3"/>
        <v>33772</v>
      </c>
      <c r="U15" s="217">
        <f t="shared" si="4"/>
        <v>51882</v>
      </c>
      <c r="V15" s="217">
        <f t="shared" si="5"/>
        <v>38293</v>
      </c>
      <c r="W15" s="217">
        <f>ROUND(AC15+(INDEX(Ref!B$1:B$9,MATCH($AI15,Ref!$A$1:$A$9,0))*P15*0.0001),)</f>
        <v>34</v>
      </c>
      <c r="X15" s="217">
        <f>ROUND(AD15+(INDEX(Ref!C$1:C$9,MATCH($AI15,Ref!$A$1:$A$9,0))*$P15*0.0001),)</f>
        <v>46</v>
      </c>
      <c r="Y15" s="217">
        <f>ROUND(AE15+(INDEX(Ref!D$1:D$9,MATCH($AI15,Ref!$A$1:$A$9,0))*$P15*0.0001),)</f>
        <v>76</v>
      </c>
      <c r="Z15" s="217">
        <f>ROUND(AF15+(INDEX(Ref!E$1:E$9,MATCH($AI15,Ref!$A$1:$A$9,0))*$P15*0.0001),)</f>
        <v>73</v>
      </c>
      <c r="AA15" s="217">
        <f>ROUND(AG15+(INDEX(Ref!F$1:F$9,MATCH($AI15,Ref!$A$1:$A$9,0))*$P15*0.0001),)</f>
        <v>39</v>
      </c>
      <c r="AB15" s="217">
        <f>ROUND(AH15+(INDEX(Ref!G$1:G$9,MATCH($AI15,Ref!$A$1:$A$9,0))*$P15*0.0001),)</f>
        <v>36</v>
      </c>
      <c r="AC15" s="137">
        <v>24</v>
      </c>
      <c r="AD15" s="137">
        <v>33</v>
      </c>
      <c r="AE15" s="137">
        <v>60</v>
      </c>
      <c r="AF15" s="137">
        <v>53</v>
      </c>
      <c r="AG15" s="137">
        <v>28</v>
      </c>
      <c r="AH15" s="137">
        <v>26</v>
      </c>
      <c r="AI15" s="208">
        <v>2</v>
      </c>
      <c r="AJ15" s="173">
        <v>3000</v>
      </c>
      <c r="AK15" s="173">
        <v>30015</v>
      </c>
      <c r="AL15" s="173">
        <v>2000</v>
      </c>
      <c r="AM15" s="173">
        <v>30017</v>
      </c>
      <c r="AN15" s="173">
        <v>0</v>
      </c>
      <c r="AO15" s="173">
        <f t="shared" si="6"/>
        <v>34015</v>
      </c>
      <c r="AP15" s="173">
        <v>0</v>
      </c>
      <c r="AQ15" s="173">
        <f t="shared" si="7"/>
        <v>34017</v>
      </c>
      <c r="AR15" s="173">
        <v>1</v>
      </c>
      <c r="AS15" s="173">
        <v>0</v>
      </c>
      <c r="AT15" s="199">
        <v>78003</v>
      </c>
      <c r="AU15" s="195" t="s">
        <v>55</v>
      </c>
      <c r="AX15" s="203" t="s">
        <v>61</v>
      </c>
      <c r="AY15" s="203" t="s">
        <v>62</v>
      </c>
      <c r="AZ15" s="203" t="s">
        <v>60</v>
      </c>
    </row>
    <row r="16" spans="1:52" x14ac:dyDescent="0.2">
      <c r="A16" s="173">
        <v>55003</v>
      </c>
      <c r="B16" s="173" t="s">
        <v>53</v>
      </c>
      <c r="C16" s="173">
        <v>86003</v>
      </c>
      <c r="D16" s="173">
        <v>150003</v>
      </c>
      <c r="E16" s="206" t="s">
        <v>54</v>
      </c>
      <c r="F16" s="207">
        <v>1</v>
      </c>
      <c r="G16" s="173">
        <v>11500</v>
      </c>
      <c r="H16" s="173">
        <v>9500</v>
      </c>
      <c r="I16" s="173">
        <v>10000</v>
      </c>
      <c r="J16" s="173">
        <v>5</v>
      </c>
      <c r="K16" s="190">
        <f>IF($J16=1,INDEX('큐펫&amp;몹 정리(최신)'!P:P,MATCH($E16,'큐펫&amp;몹 정리(최신)'!$B:$B,0))*20,IF($J16=2,INDEX('큐펫&amp;몹 정리(최신)'!P:P,MATCH($E16,'큐펫&amp;몹 정리(최신)'!$B:$B,0))*25,IF($J16=3,INDEX('큐펫&amp;몹 정리(최신)'!P:P,MATCH($E16,'큐펫&amp;몹 정리(최신)'!$B:$B,0))*30,IF($J16=4,INDEX('큐펫&amp;몹 정리(최신)'!P:P,MATCH($E16,'큐펫&amp;몹 정리(최신)'!$B:$B,0))*35,INDEX('큐펫&amp;몹 정리(최신)'!P:P,MATCH($E16,'큐펫&amp;몹 정리(최신)'!$B:$B,0))*40))))</f>
        <v>1200</v>
      </c>
      <c r="L16" s="190">
        <f>IF($J16=1,INDEX('큐펫&amp;몹 정리(최신)'!Q:Q,MATCH($E16,'큐펫&amp;몹 정리(최신)'!$B:$B,0))*20,IF($J16=2,INDEX('큐펫&amp;몹 정리(최신)'!Q:Q,MATCH($E16,'큐펫&amp;몹 정리(최신)'!$B:$B,0))*25,IF($J16=3,INDEX('큐펫&amp;몹 정리(최신)'!Q:Q,MATCH($E16,'큐펫&amp;몹 정리(최신)'!$B:$B,0))*30,IF($J16=4,INDEX('큐펫&amp;몹 정리(최신)'!Q:Q,MATCH($E16,'큐펫&amp;몹 정리(최신)'!$B:$B,0))*35,INDEX('큐펫&amp;몹 정리(최신)'!Q:Q,MATCH($E16,'큐펫&amp;몹 정리(최신)'!$B:$B,0))*40))))</f>
        <v>200</v>
      </c>
      <c r="M16" s="190">
        <f>IF($J16=1,INDEX('큐펫&amp;몹 정리(최신)'!R:R,MATCH($E16,'큐펫&amp;몹 정리(최신)'!$B:$B,0))*20,IF($J16=2,INDEX('큐펫&amp;몹 정리(최신)'!R:R,MATCH($E16,'큐펫&amp;몹 정리(최신)'!$B:$B,0))*25,IF($J16=3,INDEX('큐펫&amp;몹 정리(최신)'!R:R,MATCH($E16,'큐펫&amp;몹 정리(최신)'!$B:$B,0))*30,IF($J16=4,INDEX('큐펫&amp;몹 정리(최신)'!R:R,MATCH($E16,'큐펫&amp;몹 정리(최신)'!$B:$B,0))*35,INDEX('큐펫&amp;몹 정리(최신)'!R:R,MATCH($E16,'큐펫&amp;몹 정리(최신)'!$B:$B,0))*40))))</f>
        <v>720</v>
      </c>
      <c r="N16" s="190">
        <f>IF($J16=1,INDEX('큐펫&amp;몹 정리(최신)'!S:S,MATCH($E16,'큐펫&amp;몹 정리(최신)'!$B:$B,0))*20,IF($J16=2,INDEX('큐펫&amp;몹 정리(최신)'!S:S,MATCH($E16,'큐펫&amp;몹 정리(최신)'!$B:$B,0))*25,IF($J16=3,INDEX('큐펫&amp;몹 정리(최신)'!S:S,MATCH($E16,'큐펫&amp;몹 정리(최신)'!$B:$B,0))*30,IF($J16=4,INDEX('큐펫&amp;몹 정리(최신)'!S:S,MATCH($E16,'큐펫&amp;몹 정리(최신)'!$B:$B,0))*35,INDEX('큐펫&amp;몹 정리(최신)'!S:S,MATCH($E16,'큐펫&amp;몹 정리(최신)'!$B:$B,0))*40))))</f>
        <v>760</v>
      </c>
      <c r="O16" s="190">
        <f>IF($J16=1,INDEX('큐펫&amp;몹 정리(최신)'!T:T,MATCH($E16,'큐펫&amp;몹 정리(최신)'!$B:$B,0))*20,IF($J16=2,INDEX('큐펫&amp;몹 정리(최신)'!T:T,MATCH($E16,'큐펫&amp;몹 정리(최신)'!$B:$B,0))*25,IF($J16=3,INDEX('큐펫&amp;몹 정리(최신)'!T:T,MATCH($E16,'큐펫&amp;몹 정리(최신)'!$B:$B,0))*30,IF($J16=4,INDEX('큐펫&amp;몹 정리(최신)'!T:T,MATCH($E16,'큐펫&amp;몹 정리(최신)'!$B:$B,0))*35,INDEX('큐펫&amp;몹 정리(최신)'!T:T,MATCH($E16,'큐펫&amp;몹 정리(최신)'!$B:$B,0))*40))))</f>
        <v>1120</v>
      </c>
      <c r="P16" s="217">
        <v>100</v>
      </c>
      <c r="Q16" s="217">
        <f t="shared" si="0"/>
        <v>226800</v>
      </c>
      <c r="R16" s="217">
        <f t="shared" si="1"/>
        <v>3033</v>
      </c>
      <c r="S16" s="217">
        <f t="shared" si="2"/>
        <v>4207</v>
      </c>
      <c r="T16" s="217">
        <f t="shared" si="3"/>
        <v>49832</v>
      </c>
      <c r="U16" s="217">
        <f t="shared" si="4"/>
        <v>69934</v>
      </c>
      <c r="V16" s="217">
        <f t="shared" si="5"/>
        <v>51603</v>
      </c>
      <c r="W16" s="217">
        <f>ROUND(AC16+(INDEX(Ref!B$1:B$9,MATCH($AI16,Ref!$A$1:$A$9,0))*P16*0.0001),)</f>
        <v>38</v>
      </c>
      <c r="X16" s="217">
        <f>ROUND(AD16+(INDEX(Ref!C$1:C$9,MATCH($AI16,Ref!$A$1:$A$9,0))*$P16*0.0001),)</f>
        <v>52</v>
      </c>
      <c r="Y16" s="217">
        <f>ROUND(AE16+(INDEX(Ref!D$1:D$9,MATCH($AI16,Ref!$A$1:$A$9,0))*$P16*0.0001),)</f>
        <v>84</v>
      </c>
      <c r="Z16" s="217">
        <f>ROUND(AF16+(INDEX(Ref!E$1:E$9,MATCH($AI16,Ref!$A$1:$A$9,0))*$P16*0.0001),)</f>
        <v>83</v>
      </c>
      <c r="AA16" s="217">
        <f>ROUND(AG16+(INDEX(Ref!F$1:F$9,MATCH($AI16,Ref!$A$1:$A$9,0))*$P16*0.0001),)</f>
        <v>45</v>
      </c>
      <c r="AB16" s="217">
        <f>ROUND(AH16+(INDEX(Ref!G$1:G$9,MATCH($AI16,Ref!$A$1:$A$9,0))*$P16*0.0001),)</f>
        <v>42</v>
      </c>
      <c r="AC16" s="137">
        <v>26</v>
      </c>
      <c r="AD16" s="137">
        <v>36</v>
      </c>
      <c r="AE16" s="137">
        <v>64</v>
      </c>
      <c r="AF16" s="137">
        <v>58.000000000000007</v>
      </c>
      <c r="AG16" s="137">
        <v>31</v>
      </c>
      <c r="AH16" s="137">
        <v>29</v>
      </c>
      <c r="AI16" s="208">
        <v>2</v>
      </c>
      <c r="AJ16" s="173">
        <v>3000</v>
      </c>
      <c r="AK16" s="173">
        <v>30015</v>
      </c>
      <c r="AL16" s="173">
        <v>2000</v>
      </c>
      <c r="AM16" s="173">
        <v>30018</v>
      </c>
      <c r="AN16" s="173">
        <v>0</v>
      </c>
      <c r="AO16" s="173">
        <f t="shared" si="6"/>
        <v>34015</v>
      </c>
      <c r="AP16" s="173">
        <v>0</v>
      </c>
      <c r="AQ16" s="173">
        <f t="shared" si="7"/>
        <v>34018</v>
      </c>
      <c r="AR16" s="173">
        <v>1</v>
      </c>
      <c r="AS16" s="173">
        <v>0</v>
      </c>
      <c r="AT16" s="199">
        <v>78003</v>
      </c>
      <c r="AU16" s="195" t="s">
        <v>55</v>
      </c>
      <c r="AX16" s="203" t="s">
        <v>13</v>
      </c>
      <c r="AY16" s="203" t="s">
        <v>63</v>
      </c>
      <c r="AZ16" s="203" t="s">
        <v>60</v>
      </c>
    </row>
    <row r="17" spans="1:55" x14ac:dyDescent="0.2">
      <c r="A17" s="173">
        <v>55004</v>
      </c>
      <c r="B17" s="173" t="s">
        <v>64</v>
      </c>
      <c r="C17" s="173">
        <v>86004</v>
      </c>
      <c r="D17" s="173">
        <v>150004</v>
      </c>
      <c r="E17" s="206" t="s">
        <v>65</v>
      </c>
      <c r="F17" s="207">
        <v>3</v>
      </c>
      <c r="G17" s="173">
        <v>8500</v>
      </c>
      <c r="H17" s="173">
        <v>8500</v>
      </c>
      <c r="I17" s="173">
        <v>10000</v>
      </c>
      <c r="J17" s="173">
        <v>1</v>
      </c>
      <c r="K17" s="190">
        <f>IF($J17=1,INDEX('큐펫&amp;몹 정리(최신)'!P:P,MATCH($E17,'큐펫&amp;몹 정리(최신)'!$B:$B,0))*20,IF($J17=2,INDEX('큐펫&amp;몹 정리(최신)'!P:P,MATCH($E17,'큐펫&amp;몹 정리(최신)'!$B:$B,0))*25,IF($J17=3,INDEX('큐펫&amp;몹 정리(최신)'!P:P,MATCH($E17,'큐펫&amp;몹 정리(최신)'!$B:$B,0))*30,IF($J17=4,INDEX('큐펫&amp;몹 정리(최신)'!P:P,MATCH($E17,'큐펫&amp;몹 정리(최신)'!$B:$B,0))*35,INDEX('큐펫&amp;몹 정리(최신)'!P:P,MATCH($E17,'큐펫&amp;몹 정리(최신)'!$B:$B,0))*40))))</f>
        <v>760</v>
      </c>
      <c r="L17" s="190">
        <f>IF($J17=1,INDEX('큐펫&amp;몹 정리(최신)'!Q:Q,MATCH($E17,'큐펫&amp;몹 정리(최신)'!$B:$B,0))*20,IF($J17=2,INDEX('큐펫&amp;몹 정리(최신)'!Q:Q,MATCH($E17,'큐펫&amp;몹 정리(최신)'!$B:$B,0))*25,IF($J17=3,INDEX('큐펫&amp;몹 정리(최신)'!Q:Q,MATCH($E17,'큐펫&amp;몹 정리(최신)'!$B:$B,0))*30,IF($J17=4,INDEX('큐펫&amp;몹 정리(최신)'!Q:Q,MATCH($E17,'큐펫&amp;몹 정리(최신)'!$B:$B,0))*35,INDEX('큐펫&amp;몹 정리(최신)'!Q:Q,MATCH($E17,'큐펫&amp;몹 정리(최신)'!$B:$B,0))*40))))</f>
        <v>80</v>
      </c>
      <c r="M17" s="190">
        <f>IF($J17=1,INDEX('큐펫&amp;몹 정리(최신)'!R:R,MATCH($E17,'큐펫&amp;몹 정리(최신)'!$B:$B,0))*20,IF($J17=2,INDEX('큐펫&amp;몹 정리(최신)'!R:R,MATCH($E17,'큐펫&amp;몹 정리(최신)'!$B:$B,0))*25,IF($J17=3,INDEX('큐펫&amp;몹 정리(최신)'!R:R,MATCH($E17,'큐펫&amp;몹 정리(최신)'!$B:$B,0))*30,IF($J17=4,INDEX('큐펫&amp;몹 정리(최신)'!R:R,MATCH($E17,'큐펫&amp;몹 정리(최신)'!$B:$B,0))*35,INDEX('큐펫&amp;몹 정리(최신)'!R:R,MATCH($E17,'큐펫&amp;몹 정리(최신)'!$B:$B,0))*40))))</f>
        <v>360</v>
      </c>
      <c r="N17" s="190">
        <f>IF($J17=1,INDEX('큐펫&amp;몹 정리(최신)'!S:S,MATCH($E17,'큐펫&amp;몹 정리(최신)'!$B:$B,0))*20,IF($J17=2,INDEX('큐펫&amp;몹 정리(최신)'!S:S,MATCH($E17,'큐펫&amp;몹 정리(최신)'!$B:$B,0))*25,IF($J17=3,INDEX('큐펫&amp;몹 정리(최신)'!S:S,MATCH($E17,'큐펫&amp;몹 정리(최신)'!$B:$B,0))*30,IF($J17=4,INDEX('큐펫&amp;몹 정리(최신)'!S:S,MATCH($E17,'큐펫&amp;몹 정리(최신)'!$B:$B,0))*35,INDEX('큐펫&amp;몹 정리(최신)'!S:S,MATCH($E17,'큐펫&amp;몹 정리(최신)'!$B:$B,0))*40))))</f>
        <v>320</v>
      </c>
      <c r="O17" s="190">
        <f>IF($J17=1,INDEX('큐펫&amp;몹 정리(최신)'!T:T,MATCH($E17,'큐펫&amp;몹 정리(최신)'!$B:$B,0))*20,IF($J17=2,INDEX('큐펫&amp;몹 정리(최신)'!T:T,MATCH($E17,'큐펫&amp;몹 정리(최신)'!$B:$B,0))*25,IF($J17=3,INDEX('큐펫&amp;몹 정리(최신)'!T:T,MATCH($E17,'큐펫&amp;몹 정리(최신)'!$B:$B,0))*30,IF($J17=4,INDEX('큐펫&amp;몹 정리(최신)'!T:T,MATCH($E17,'큐펫&amp;몹 정리(최신)'!$B:$B,0))*35,INDEX('큐펫&amp;몹 정리(최신)'!T:T,MATCH($E17,'큐펫&amp;몹 정리(최신)'!$B:$B,0))*40))))</f>
        <v>480</v>
      </c>
      <c r="P17" s="217">
        <v>20</v>
      </c>
      <c r="Q17" s="217">
        <f t="shared" si="0"/>
        <v>25536</v>
      </c>
      <c r="R17" s="217">
        <f t="shared" si="1"/>
        <v>418</v>
      </c>
      <c r="S17" s="217">
        <f t="shared" si="2"/>
        <v>704</v>
      </c>
      <c r="T17" s="217">
        <f t="shared" si="3"/>
        <v>4251</v>
      </c>
      <c r="U17" s="217">
        <f t="shared" si="4"/>
        <v>10087</v>
      </c>
      <c r="V17" s="217">
        <f t="shared" si="5"/>
        <v>7594</v>
      </c>
      <c r="W17" s="217">
        <f>ROUND(AC17+(INDEX(Ref!B$1:B$9,MATCH($AI17,Ref!$A$1:$A$9,0))*P17*0.0001),)</f>
        <v>21</v>
      </c>
      <c r="X17" s="217">
        <f>ROUND(AD17+(INDEX(Ref!C$1:C$9,MATCH($AI17,Ref!$A$1:$A$9,0))*$P17*0.0001),)</f>
        <v>26</v>
      </c>
      <c r="Y17" s="217">
        <f>ROUND(AE17+(INDEX(Ref!D$1:D$9,MATCH($AI17,Ref!$A$1:$A$9,0))*$P17*0.0001),)</f>
        <v>43</v>
      </c>
      <c r="Z17" s="217">
        <f>ROUND(AF17+(INDEX(Ref!E$1:E$9,MATCH($AI17,Ref!$A$1:$A$9,0))*$P17*0.0001),)</f>
        <v>34</v>
      </c>
      <c r="AA17" s="217">
        <f>ROUND(AG17+(INDEX(Ref!F$1:F$9,MATCH($AI17,Ref!$A$1:$A$9,0))*$P17*0.0001),)</f>
        <v>28</v>
      </c>
      <c r="AB17" s="217">
        <f>ROUND(AH17+(INDEX(Ref!G$1:G$9,MATCH($AI17,Ref!$A$1:$A$9,0))*$P17*0.0001),)</f>
        <v>32</v>
      </c>
      <c r="AC17" s="137">
        <v>18</v>
      </c>
      <c r="AD17" s="137">
        <v>23</v>
      </c>
      <c r="AE17" s="137">
        <v>40</v>
      </c>
      <c r="AF17" s="137">
        <v>30</v>
      </c>
      <c r="AG17" s="137">
        <v>25</v>
      </c>
      <c r="AH17" s="137">
        <v>28</v>
      </c>
      <c r="AI17" s="208">
        <v>8</v>
      </c>
      <c r="AJ17" s="173">
        <v>3000</v>
      </c>
      <c r="AK17" s="173">
        <v>30019</v>
      </c>
      <c r="AL17" s="173">
        <v>2000</v>
      </c>
      <c r="AM17" s="173">
        <v>30022</v>
      </c>
      <c r="AN17" s="173">
        <v>0</v>
      </c>
      <c r="AO17" s="173">
        <f t="shared" si="6"/>
        <v>34019</v>
      </c>
      <c r="AP17" s="173">
        <v>0</v>
      </c>
      <c r="AQ17" s="173">
        <f t="shared" si="7"/>
        <v>34022</v>
      </c>
      <c r="AR17" s="173">
        <v>1</v>
      </c>
      <c r="AS17" s="173">
        <v>0</v>
      </c>
      <c r="AT17" s="199">
        <v>78004</v>
      </c>
      <c r="AU17" s="195" t="s">
        <v>66</v>
      </c>
      <c r="AX17" s="203" t="s">
        <v>14</v>
      </c>
      <c r="AY17" s="203" t="s">
        <v>67</v>
      </c>
      <c r="AZ17" s="203" t="s">
        <v>60</v>
      </c>
    </row>
    <row r="18" spans="1:55" x14ac:dyDescent="0.2">
      <c r="A18" s="173">
        <v>55004</v>
      </c>
      <c r="B18" s="173" t="s">
        <v>64</v>
      </c>
      <c r="C18" s="173">
        <v>86004</v>
      </c>
      <c r="D18" s="173">
        <v>150004</v>
      </c>
      <c r="E18" s="206" t="s">
        <v>65</v>
      </c>
      <c r="F18" s="207">
        <v>3</v>
      </c>
      <c r="G18" s="173">
        <v>8500</v>
      </c>
      <c r="H18" s="173">
        <v>8500</v>
      </c>
      <c r="I18" s="173">
        <v>10000</v>
      </c>
      <c r="J18" s="173">
        <v>2</v>
      </c>
      <c r="K18" s="190">
        <f>IF($J18=1,INDEX('큐펫&amp;몹 정리(최신)'!P:P,MATCH($E18,'큐펫&amp;몹 정리(최신)'!$B:$B,0))*20,IF($J18=2,INDEX('큐펫&amp;몹 정리(최신)'!P:P,MATCH($E18,'큐펫&amp;몹 정리(최신)'!$B:$B,0))*25,IF($J18=3,INDEX('큐펫&amp;몹 정리(최신)'!P:P,MATCH($E18,'큐펫&amp;몹 정리(최신)'!$B:$B,0))*30,IF($J18=4,INDEX('큐펫&amp;몹 정리(최신)'!P:P,MATCH($E18,'큐펫&amp;몹 정리(최신)'!$B:$B,0))*35,INDEX('큐펫&amp;몹 정리(최신)'!P:P,MATCH($E18,'큐펫&amp;몹 정리(최신)'!$B:$B,0))*40))))</f>
        <v>950</v>
      </c>
      <c r="L18" s="190">
        <f>IF($J18=1,INDEX('큐펫&amp;몹 정리(최신)'!Q:Q,MATCH($E18,'큐펫&amp;몹 정리(최신)'!$B:$B,0))*20,IF($J18=2,INDEX('큐펫&amp;몹 정리(최신)'!Q:Q,MATCH($E18,'큐펫&amp;몹 정리(최신)'!$B:$B,0))*25,IF($J18=3,INDEX('큐펫&amp;몹 정리(최신)'!Q:Q,MATCH($E18,'큐펫&amp;몹 정리(최신)'!$B:$B,0))*30,IF($J18=4,INDEX('큐펫&amp;몹 정리(최신)'!Q:Q,MATCH($E18,'큐펫&amp;몹 정리(최신)'!$B:$B,0))*35,INDEX('큐펫&amp;몹 정리(최신)'!Q:Q,MATCH($E18,'큐펫&amp;몹 정리(최신)'!$B:$B,0))*40))))</f>
        <v>100</v>
      </c>
      <c r="M18" s="190">
        <f>IF($J18=1,INDEX('큐펫&amp;몹 정리(최신)'!R:R,MATCH($E18,'큐펫&amp;몹 정리(최신)'!$B:$B,0))*20,IF($J18=2,INDEX('큐펫&amp;몹 정리(최신)'!R:R,MATCH($E18,'큐펫&amp;몹 정리(최신)'!$B:$B,0))*25,IF($J18=3,INDEX('큐펫&amp;몹 정리(최신)'!R:R,MATCH($E18,'큐펫&amp;몹 정리(최신)'!$B:$B,0))*30,IF($J18=4,INDEX('큐펫&amp;몹 정리(최신)'!R:R,MATCH($E18,'큐펫&amp;몹 정리(최신)'!$B:$B,0))*35,INDEX('큐펫&amp;몹 정리(최신)'!R:R,MATCH($E18,'큐펫&amp;몹 정리(최신)'!$B:$B,0))*40))))</f>
        <v>450</v>
      </c>
      <c r="N18" s="190">
        <f>IF($J18=1,INDEX('큐펫&amp;몹 정리(최신)'!S:S,MATCH($E18,'큐펫&amp;몹 정리(최신)'!$B:$B,0))*20,IF($J18=2,INDEX('큐펫&amp;몹 정리(최신)'!S:S,MATCH($E18,'큐펫&amp;몹 정리(최신)'!$B:$B,0))*25,IF($J18=3,INDEX('큐펫&amp;몹 정리(최신)'!S:S,MATCH($E18,'큐펫&amp;몹 정리(최신)'!$B:$B,0))*30,IF($J18=4,INDEX('큐펫&amp;몹 정리(최신)'!S:S,MATCH($E18,'큐펫&amp;몹 정리(최신)'!$B:$B,0))*35,INDEX('큐펫&amp;몹 정리(최신)'!S:S,MATCH($E18,'큐펫&amp;몹 정리(최신)'!$B:$B,0))*40))))</f>
        <v>400</v>
      </c>
      <c r="O18" s="190">
        <f>IF($J18=1,INDEX('큐펫&amp;몹 정리(최신)'!T:T,MATCH($E18,'큐펫&amp;몹 정리(최신)'!$B:$B,0))*20,IF($J18=2,INDEX('큐펫&amp;몹 정리(최신)'!T:T,MATCH($E18,'큐펫&amp;몹 정리(최신)'!$B:$B,0))*25,IF($J18=3,INDEX('큐펫&amp;몹 정리(최신)'!T:T,MATCH($E18,'큐펫&amp;몹 정리(최신)'!$B:$B,0))*30,IF($J18=4,INDEX('큐펫&amp;몹 정리(최신)'!T:T,MATCH($E18,'큐펫&amp;몹 정리(최신)'!$B:$B,0))*35,INDEX('큐펫&amp;몹 정리(최신)'!T:T,MATCH($E18,'큐펫&amp;몹 정리(최신)'!$B:$B,0))*40))))</f>
        <v>600</v>
      </c>
      <c r="P18" s="217">
        <v>40</v>
      </c>
      <c r="Q18" s="217">
        <f t="shared" si="0"/>
        <v>61320</v>
      </c>
      <c r="R18" s="217">
        <f t="shared" si="1"/>
        <v>764</v>
      </c>
      <c r="S18" s="217">
        <f t="shared" si="2"/>
        <v>1329</v>
      </c>
      <c r="T18" s="217">
        <f t="shared" si="3"/>
        <v>8056</v>
      </c>
      <c r="U18" s="217">
        <f t="shared" si="4"/>
        <v>17809</v>
      </c>
      <c r="V18" s="217">
        <f t="shared" si="5"/>
        <v>13392</v>
      </c>
      <c r="W18" s="217">
        <f>ROUND(AC18+(INDEX(Ref!B$1:B$9,MATCH($AI18,Ref!$A$1:$A$9,0))*P18*0.0001),)</f>
        <v>26</v>
      </c>
      <c r="X18" s="217">
        <f>ROUND(AD18+(INDEX(Ref!C$1:C$9,MATCH($AI18,Ref!$A$1:$A$9,0))*$P18*0.0001),)</f>
        <v>32</v>
      </c>
      <c r="Y18" s="217">
        <f>ROUND(AE18+(INDEX(Ref!D$1:D$9,MATCH($AI18,Ref!$A$1:$A$9,0))*$P18*0.0001),)</f>
        <v>49</v>
      </c>
      <c r="Z18" s="217">
        <f>ROUND(AF18+(INDEX(Ref!E$1:E$9,MATCH($AI18,Ref!$A$1:$A$9,0))*$P18*0.0001),)</f>
        <v>42</v>
      </c>
      <c r="AA18" s="217">
        <f>ROUND(AG18+(INDEX(Ref!F$1:F$9,MATCH($AI18,Ref!$A$1:$A$9,0))*$P18*0.0001),)</f>
        <v>35</v>
      </c>
      <c r="AB18" s="217">
        <f>ROUND(AH18+(INDEX(Ref!G$1:G$9,MATCH($AI18,Ref!$A$1:$A$9,0))*$P18*0.0001),)</f>
        <v>40</v>
      </c>
      <c r="AC18" s="137">
        <v>21</v>
      </c>
      <c r="AD18" s="137">
        <v>26</v>
      </c>
      <c r="AE18" s="137">
        <v>43</v>
      </c>
      <c r="AF18" s="137">
        <v>34</v>
      </c>
      <c r="AG18" s="137">
        <v>28</v>
      </c>
      <c r="AH18" s="137">
        <v>32</v>
      </c>
      <c r="AI18" s="208">
        <v>8</v>
      </c>
      <c r="AJ18" s="173">
        <v>3000</v>
      </c>
      <c r="AK18" s="173">
        <v>30020</v>
      </c>
      <c r="AL18" s="173">
        <v>2000</v>
      </c>
      <c r="AM18" s="173">
        <v>30022</v>
      </c>
      <c r="AN18" s="173">
        <v>0</v>
      </c>
      <c r="AO18" s="173">
        <f t="shared" si="6"/>
        <v>34020</v>
      </c>
      <c r="AP18" s="173">
        <v>0</v>
      </c>
      <c r="AQ18" s="173">
        <f t="shared" si="7"/>
        <v>34022</v>
      </c>
      <c r="AR18" s="173">
        <v>1</v>
      </c>
      <c r="AS18" s="173">
        <v>0</v>
      </c>
      <c r="AT18" s="199">
        <v>78004</v>
      </c>
      <c r="AU18" s="195" t="s">
        <v>66</v>
      </c>
      <c r="AX18" s="204" t="s">
        <v>15</v>
      </c>
      <c r="AY18" s="204" t="s">
        <v>989</v>
      </c>
      <c r="AZ18" s="204" t="s">
        <v>60</v>
      </c>
    </row>
    <row r="19" spans="1:55" x14ac:dyDescent="0.2">
      <c r="A19" s="173">
        <v>55004</v>
      </c>
      <c r="B19" s="173" t="s">
        <v>64</v>
      </c>
      <c r="C19" s="173">
        <v>86004</v>
      </c>
      <c r="D19" s="173">
        <v>150004</v>
      </c>
      <c r="E19" s="206" t="s">
        <v>65</v>
      </c>
      <c r="F19" s="207">
        <v>3</v>
      </c>
      <c r="G19" s="173">
        <v>8500</v>
      </c>
      <c r="H19" s="173">
        <v>8500</v>
      </c>
      <c r="I19" s="173">
        <v>10000</v>
      </c>
      <c r="J19" s="173">
        <v>3</v>
      </c>
      <c r="K19" s="190">
        <f>IF($J19=1,INDEX('큐펫&amp;몹 정리(최신)'!P:P,MATCH($E19,'큐펫&amp;몹 정리(최신)'!$B:$B,0))*20,IF($J19=2,INDEX('큐펫&amp;몹 정리(최신)'!P:P,MATCH($E19,'큐펫&amp;몹 정리(최신)'!$B:$B,0))*25,IF($J19=3,INDEX('큐펫&amp;몹 정리(최신)'!P:P,MATCH($E19,'큐펫&amp;몹 정리(최신)'!$B:$B,0))*30,IF($J19=4,INDEX('큐펫&amp;몹 정리(최신)'!P:P,MATCH($E19,'큐펫&amp;몹 정리(최신)'!$B:$B,0))*35,INDEX('큐펫&amp;몹 정리(최신)'!P:P,MATCH($E19,'큐펫&amp;몹 정리(최신)'!$B:$B,0))*40))))</f>
        <v>1140</v>
      </c>
      <c r="L19" s="190">
        <f>IF($J19=1,INDEX('큐펫&amp;몹 정리(최신)'!Q:Q,MATCH($E19,'큐펫&amp;몹 정리(최신)'!$B:$B,0))*20,IF($J19=2,INDEX('큐펫&amp;몹 정리(최신)'!Q:Q,MATCH($E19,'큐펫&amp;몹 정리(최신)'!$B:$B,0))*25,IF($J19=3,INDEX('큐펫&amp;몹 정리(최신)'!Q:Q,MATCH($E19,'큐펫&amp;몹 정리(최신)'!$B:$B,0))*30,IF($J19=4,INDEX('큐펫&amp;몹 정리(최신)'!Q:Q,MATCH($E19,'큐펫&amp;몹 정리(최신)'!$B:$B,0))*35,INDEX('큐펫&amp;몹 정리(최신)'!Q:Q,MATCH($E19,'큐펫&amp;몹 정리(최신)'!$B:$B,0))*40))))</f>
        <v>120</v>
      </c>
      <c r="M19" s="190">
        <f>IF($J19=1,INDEX('큐펫&amp;몹 정리(최신)'!R:R,MATCH($E19,'큐펫&amp;몹 정리(최신)'!$B:$B,0))*20,IF($J19=2,INDEX('큐펫&amp;몹 정리(최신)'!R:R,MATCH($E19,'큐펫&amp;몹 정리(최신)'!$B:$B,0))*25,IF($J19=3,INDEX('큐펫&amp;몹 정리(최신)'!R:R,MATCH($E19,'큐펫&amp;몹 정리(최신)'!$B:$B,0))*30,IF($J19=4,INDEX('큐펫&amp;몹 정리(최신)'!R:R,MATCH($E19,'큐펫&amp;몹 정리(최신)'!$B:$B,0))*35,INDEX('큐펫&amp;몹 정리(최신)'!R:R,MATCH($E19,'큐펫&amp;몹 정리(최신)'!$B:$B,0))*40))))</f>
        <v>540</v>
      </c>
      <c r="N19" s="190">
        <f>IF($J19=1,INDEX('큐펫&amp;몹 정리(최신)'!S:S,MATCH($E19,'큐펫&amp;몹 정리(최신)'!$B:$B,0))*20,IF($J19=2,INDEX('큐펫&amp;몹 정리(최신)'!S:S,MATCH($E19,'큐펫&amp;몹 정리(최신)'!$B:$B,0))*25,IF($J19=3,INDEX('큐펫&amp;몹 정리(최신)'!S:S,MATCH($E19,'큐펫&amp;몹 정리(최신)'!$B:$B,0))*30,IF($J19=4,INDEX('큐펫&amp;몹 정리(최신)'!S:S,MATCH($E19,'큐펫&amp;몹 정리(최신)'!$B:$B,0))*35,INDEX('큐펫&amp;몹 정리(최신)'!S:S,MATCH($E19,'큐펫&amp;몹 정리(최신)'!$B:$B,0))*40))))</f>
        <v>480</v>
      </c>
      <c r="O19" s="190">
        <f>IF($J19=1,INDEX('큐펫&amp;몹 정리(최신)'!T:T,MATCH($E19,'큐펫&amp;몹 정리(최신)'!$B:$B,0))*20,IF($J19=2,INDEX('큐펫&amp;몹 정리(최신)'!T:T,MATCH($E19,'큐펫&amp;몹 정리(최신)'!$B:$B,0))*25,IF($J19=3,INDEX('큐펫&amp;몹 정리(최신)'!T:T,MATCH($E19,'큐펫&amp;몹 정리(최신)'!$B:$B,0))*30,IF($J19=4,INDEX('큐펫&amp;몹 정리(최신)'!T:T,MATCH($E19,'큐펫&amp;몹 정리(최신)'!$B:$B,0))*35,INDEX('큐펫&amp;몹 정리(최신)'!T:T,MATCH($E19,'큐펫&amp;몹 정리(최신)'!$B:$B,0))*40))))</f>
        <v>720</v>
      </c>
      <c r="P19" s="217">
        <v>60</v>
      </c>
      <c r="Q19" s="217">
        <f t="shared" si="0"/>
        <v>111036</v>
      </c>
      <c r="R19" s="217">
        <f t="shared" si="1"/>
        <v>1265</v>
      </c>
      <c r="S19" s="217">
        <f t="shared" si="2"/>
        <v>2247</v>
      </c>
      <c r="T19" s="217">
        <f t="shared" si="3"/>
        <v>13647</v>
      </c>
      <c r="U19" s="217">
        <f t="shared" si="4"/>
        <v>27371</v>
      </c>
      <c r="V19" s="217">
        <f t="shared" si="5"/>
        <v>20570</v>
      </c>
      <c r="W19" s="217">
        <f>ROUND(AC19+(INDEX(Ref!B$1:B$9,MATCH($AI19,Ref!$A$1:$A$9,0))*P19*0.0001),)</f>
        <v>31</v>
      </c>
      <c r="X19" s="217">
        <f>ROUND(AD19+(INDEX(Ref!C$1:C$9,MATCH($AI19,Ref!$A$1:$A$9,0))*$P19*0.0001),)</f>
        <v>40</v>
      </c>
      <c r="Y19" s="217">
        <f>ROUND(AE19+(INDEX(Ref!D$1:D$9,MATCH($AI19,Ref!$A$1:$A$9,0))*$P19*0.0001),)</f>
        <v>54</v>
      </c>
      <c r="Z19" s="217">
        <f>ROUND(AF19+(INDEX(Ref!E$1:E$9,MATCH($AI19,Ref!$A$1:$A$9,0))*$P19*0.0001),)</f>
        <v>50</v>
      </c>
      <c r="AA19" s="217">
        <f>ROUND(AG19+(INDEX(Ref!F$1:F$9,MATCH($AI19,Ref!$A$1:$A$9,0))*$P19*0.0001),)</f>
        <v>42</v>
      </c>
      <c r="AB19" s="217">
        <f>ROUND(AH19+(INDEX(Ref!G$1:G$9,MATCH($AI19,Ref!$A$1:$A$9,0))*$P19*0.0001),)</f>
        <v>47</v>
      </c>
      <c r="AC19" s="137">
        <v>23</v>
      </c>
      <c r="AD19" s="137">
        <v>30</v>
      </c>
      <c r="AE19" s="137">
        <v>45</v>
      </c>
      <c r="AF19" s="137">
        <v>38</v>
      </c>
      <c r="AG19" s="137">
        <v>32</v>
      </c>
      <c r="AH19" s="137">
        <v>36</v>
      </c>
      <c r="AI19" s="208">
        <v>8</v>
      </c>
      <c r="AJ19" s="173">
        <v>3000</v>
      </c>
      <c r="AK19" s="173">
        <v>30020</v>
      </c>
      <c r="AL19" s="173">
        <v>2000</v>
      </c>
      <c r="AM19" s="173">
        <v>30023</v>
      </c>
      <c r="AN19" s="173">
        <v>0</v>
      </c>
      <c r="AO19" s="173">
        <f t="shared" si="6"/>
        <v>34020</v>
      </c>
      <c r="AP19" s="173">
        <v>0</v>
      </c>
      <c r="AQ19" s="173">
        <f t="shared" si="7"/>
        <v>34023</v>
      </c>
      <c r="AR19" s="173">
        <v>1</v>
      </c>
      <c r="AS19" s="173">
        <v>0</v>
      </c>
      <c r="AT19" s="199">
        <v>78004</v>
      </c>
      <c r="AU19" s="195" t="s">
        <v>66</v>
      </c>
      <c r="AX19" s="204" t="s">
        <v>16</v>
      </c>
      <c r="AY19" s="204" t="s">
        <v>990</v>
      </c>
      <c r="AZ19" s="204" t="s">
        <v>60</v>
      </c>
    </row>
    <row r="20" spans="1:55" x14ac:dyDescent="0.2">
      <c r="A20" s="173">
        <v>55004</v>
      </c>
      <c r="B20" s="173" t="s">
        <v>64</v>
      </c>
      <c r="C20" s="173">
        <v>86004</v>
      </c>
      <c r="D20" s="173">
        <v>150004</v>
      </c>
      <c r="E20" s="206" t="s">
        <v>65</v>
      </c>
      <c r="F20" s="207">
        <v>3</v>
      </c>
      <c r="G20" s="173">
        <v>8500</v>
      </c>
      <c r="H20" s="173">
        <v>8500</v>
      </c>
      <c r="I20" s="173">
        <v>10000</v>
      </c>
      <c r="J20" s="173">
        <v>4</v>
      </c>
      <c r="K20" s="190">
        <f>IF($J20=1,INDEX('큐펫&amp;몹 정리(최신)'!P:P,MATCH($E20,'큐펫&amp;몹 정리(최신)'!$B:$B,0))*20,IF($J20=2,INDEX('큐펫&amp;몹 정리(최신)'!P:P,MATCH($E20,'큐펫&amp;몹 정리(최신)'!$B:$B,0))*25,IF($J20=3,INDEX('큐펫&amp;몹 정리(최신)'!P:P,MATCH($E20,'큐펫&amp;몹 정리(최신)'!$B:$B,0))*30,IF($J20=4,INDEX('큐펫&amp;몹 정리(최신)'!P:P,MATCH($E20,'큐펫&amp;몹 정리(최신)'!$B:$B,0))*35,INDEX('큐펫&amp;몹 정리(최신)'!P:P,MATCH($E20,'큐펫&amp;몹 정리(최신)'!$B:$B,0))*40))))</f>
        <v>1330</v>
      </c>
      <c r="L20" s="190">
        <f>IF($J20=1,INDEX('큐펫&amp;몹 정리(최신)'!Q:Q,MATCH($E20,'큐펫&amp;몹 정리(최신)'!$B:$B,0))*20,IF($J20=2,INDEX('큐펫&amp;몹 정리(최신)'!Q:Q,MATCH($E20,'큐펫&amp;몹 정리(최신)'!$B:$B,0))*25,IF($J20=3,INDEX('큐펫&amp;몹 정리(최신)'!Q:Q,MATCH($E20,'큐펫&amp;몹 정리(최신)'!$B:$B,0))*30,IF($J20=4,INDEX('큐펫&amp;몹 정리(최신)'!Q:Q,MATCH($E20,'큐펫&amp;몹 정리(최신)'!$B:$B,0))*35,INDEX('큐펫&amp;몹 정리(최신)'!Q:Q,MATCH($E20,'큐펫&amp;몹 정리(최신)'!$B:$B,0))*40))))</f>
        <v>140</v>
      </c>
      <c r="M20" s="190">
        <f>IF($J20=1,INDEX('큐펫&amp;몹 정리(최신)'!R:R,MATCH($E20,'큐펫&amp;몹 정리(최신)'!$B:$B,0))*20,IF($J20=2,INDEX('큐펫&amp;몹 정리(최신)'!R:R,MATCH($E20,'큐펫&amp;몹 정리(최신)'!$B:$B,0))*25,IF($J20=3,INDEX('큐펫&amp;몹 정리(최신)'!R:R,MATCH($E20,'큐펫&amp;몹 정리(최신)'!$B:$B,0))*30,IF($J20=4,INDEX('큐펫&amp;몹 정리(최신)'!R:R,MATCH($E20,'큐펫&amp;몹 정리(최신)'!$B:$B,0))*35,INDEX('큐펫&amp;몹 정리(최신)'!R:R,MATCH($E20,'큐펫&amp;몹 정리(최신)'!$B:$B,0))*40))))</f>
        <v>630</v>
      </c>
      <c r="N20" s="190">
        <f>IF($J20=1,INDEX('큐펫&amp;몹 정리(최신)'!S:S,MATCH($E20,'큐펫&amp;몹 정리(최신)'!$B:$B,0))*20,IF($J20=2,INDEX('큐펫&amp;몹 정리(최신)'!S:S,MATCH($E20,'큐펫&amp;몹 정리(최신)'!$B:$B,0))*25,IF($J20=3,INDEX('큐펫&amp;몹 정리(최신)'!S:S,MATCH($E20,'큐펫&amp;몹 정리(최신)'!$B:$B,0))*30,IF($J20=4,INDEX('큐펫&amp;몹 정리(최신)'!S:S,MATCH($E20,'큐펫&amp;몹 정리(최신)'!$B:$B,0))*35,INDEX('큐펫&amp;몹 정리(최신)'!S:S,MATCH($E20,'큐펫&amp;몹 정리(최신)'!$B:$B,0))*40))))</f>
        <v>560</v>
      </c>
      <c r="O20" s="190">
        <f>IF($J20=1,INDEX('큐펫&amp;몹 정리(최신)'!T:T,MATCH($E20,'큐펫&amp;몹 정리(최신)'!$B:$B,0))*20,IF($J20=2,INDEX('큐펫&amp;몹 정리(최신)'!T:T,MATCH($E20,'큐펫&amp;몹 정리(최신)'!$B:$B,0))*25,IF($J20=3,INDEX('큐펫&amp;몹 정리(최신)'!T:T,MATCH($E20,'큐펫&amp;몹 정리(최신)'!$B:$B,0))*30,IF($J20=4,INDEX('큐펫&amp;몹 정리(최신)'!T:T,MATCH($E20,'큐펫&amp;몹 정리(최신)'!$B:$B,0))*35,INDEX('큐펫&amp;몹 정리(최신)'!T:T,MATCH($E20,'큐펫&amp;몹 정리(최신)'!$B:$B,0))*40))))</f>
        <v>840</v>
      </c>
      <c r="P20" s="217">
        <v>80</v>
      </c>
      <c r="Q20" s="217">
        <f t="shared" si="0"/>
        <v>177904</v>
      </c>
      <c r="R20" s="217">
        <f t="shared" si="1"/>
        <v>1949</v>
      </c>
      <c r="S20" s="217">
        <f t="shared" si="2"/>
        <v>3519</v>
      </c>
      <c r="T20" s="217">
        <f t="shared" si="3"/>
        <v>21368</v>
      </c>
      <c r="U20" s="217">
        <f t="shared" si="4"/>
        <v>39493</v>
      </c>
      <c r="V20" s="217">
        <f t="shared" si="5"/>
        <v>29668</v>
      </c>
      <c r="W20" s="217">
        <f>ROUND(AC20+(INDEX(Ref!B$1:B$9,MATCH($AI20,Ref!$A$1:$A$9,0))*P20*0.0001),)</f>
        <v>36</v>
      </c>
      <c r="X20" s="217">
        <f>ROUND(AD20+(INDEX(Ref!C$1:C$9,MATCH($AI20,Ref!$A$1:$A$9,0))*$P20*0.0001),)</f>
        <v>46</v>
      </c>
      <c r="Y20" s="217">
        <f>ROUND(AE20+(INDEX(Ref!D$1:D$9,MATCH($AI20,Ref!$A$1:$A$9,0))*$P20*0.0001),)</f>
        <v>61</v>
      </c>
      <c r="Z20" s="217">
        <f>ROUND(AF20+(INDEX(Ref!E$1:E$9,MATCH($AI20,Ref!$A$1:$A$9,0))*$P20*0.0001),)</f>
        <v>58</v>
      </c>
      <c r="AA20" s="217">
        <f>ROUND(AG20+(INDEX(Ref!F$1:F$9,MATCH($AI20,Ref!$A$1:$A$9,0))*$P20*0.0001),)</f>
        <v>49</v>
      </c>
      <c r="AB20" s="217">
        <f>ROUND(AH20+(INDEX(Ref!G$1:G$9,MATCH($AI20,Ref!$A$1:$A$9,0))*$P20*0.0001),)</f>
        <v>54</v>
      </c>
      <c r="AC20" s="137">
        <v>26</v>
      </c>
      <c r="AD20" s="137">
        <v>33</v>
      </c>
      <c r="AE20" s="137">
        <v>49</v>
      </c>
      <c r="AF20" s="137">
        <v>42</v>
      </c>
      <c r="AG20" s="137">
        <v>35</v>
      </c>
      <c r="AH20" s="137">
        <v>39</v>
      </c>
      <c r="AI20" s="208">
        <v>8</v>
      </c>
      <c r="AJ20" s="173">
        <v>3000</v>
      </c>
      <c r="AK20" s="173">
        <v>30021</v>
      </c>
      <c r="AL20" s="173">
        <v>2000</v>
      </c>
      <c r="AM20" s="173">
        <v>30023</v>
      </c>
      <c r="AN20" s="173">
        <v>0</v>
      </c>
      <c r="AO20" s="173">
        <f t="shared" si="6"/>
        <v>34021</v>
      </c>
      <c r="AP20" s="173">
        <v>0</v>
      </c>
      <c r="AQ20" s="173">
        <f t="shared" si="7"/>
        <v>34023</v>
      </c>
      <c r="AR20" s="173">
        <v>1</v>
      </c>
      <c r="AS20" s="173">
        <v>0</v>
      </c>
      <c r="AT20" s="199">
        <v>78004</v>
      </c>
      <c r="AU20" s="195" t="s">
        <v>66</v>
      </c>
      <c r="AX20" s="204" t="s">
        <v>17</v>
      </c>
      <c r="AY20" s="204" t="s">
        <v>991</v>
      </c>
      <c r="AZ20" s="204" t="s">
        <v>60</v>
      </c>
    </row>
    <row r="21" spans="1:55" x14ac:dyDescent="0.2">
      <c r="A21" s="173">
        <v>55004</v>
      </c>
      <c r="B21" s="173" t="s">
        <v>64</v>
      </c>
      <c r="C21" s="173">
        <v>86004</v>
      </c>
      <c r="D21" s="173">
        <v>150004</v>
      </c>
      <c r="E21" s="206" t="s">
        <v>65</v>
      </c>
      <c r="F21" s="207">
        <v>3</v>
      </c>
      <c r="G21" s="173">
        <v>8500</v>
      </c>
      <c r="H21" s="173">
        <v>8500</v>
      </c>
      <c r="I21" s="173">
        <v>10000</v>
      </c>
      <c r="J21" s="173">
        <v>5</v>
      </c>
      <c r="K21" s="190">
        <f>IF($J21=1,INDEX('큐펫&amp;몹 정리(최신)'!P:P,MATCH($E21,'큐펫&amp;몹 정리(최신)'!$B:$B,0))*20,IF($J21=2,INDEX('큐펫&amp;몹 정리(최신)'!P:P,MATCH($E21,'큐펫&amp;몹 정리(최신)'!$B:$B,0))*25,IF($J21=3,INDEX('큐펫&amp;몹 정리(최신)'!P:P,MATCH($E21,'큐펫&amp;몹 정리(최신)'!$B:$B,0))*30,IF($J21=4,INDEX('큐펫&amp;몹 정리(최신)'!P:P,MATCH($E21,'큐펫&amp;몹 정리(최신)'!$B:$B,0))*35,INDEX('큐펫&amp;몹 정리(최신)'!P:P,MATCH($E21,'큐펫&amp;몹 정리(최신)'!$B:$B,0))*40))))</f>
        <v>1520</v>
      </c>
      <c r="L21" s="190">
        <f>IF($J21=1,INDEX('큐펫&amp;몹 정리(최신)'!Q:Q,MATCH($E21,'큐펫&amp;몹 정리(최신)'!$B:$B,0))*20,IF($J21=2,INDEX('큐펫&amp;몹 정리(최신)'!Q:Q,MATCH($E21,'큐펫&amp;몹 정리(최신)'!$B:$B,0))*25,IF($J21=3,INDEX('큐펫&amp;몹 정리(최신)'!Q:Q,MATCH($E21,'큐펫&amp;몹 정리(최신)'!$B:$B,0))*30,IF($J21=4,INDEX('큐펫&amp;몹 정리(최신)'!Q:Q,MATCH($E21,'큐펫&amp;몹 정리(최신)'!$B:$B,0))*35,INDEX('큐펫&amp;몹 정리(최신)'!Q:Q,MATCH($E21,'큐펫&amp;몹 정리(최신)'!$B:$B,0))*40))))</f>
        <v>160</v>
      </c>
      <c r="M21" s="190">
        <f>IF($J21=1,INDEX('큐펫&amp;몹 정리(최신)'!R:R,MATCH($E21,'큐펫&amp;몹 정리(최신)'!$B:$B,0))*20,IF($J21=2,INDEX('큐펫&amp;몹 정리(최신)'!R:R,MATCH($E21,'큐펫&amp;몹 정리(최신)'!$B:$B,0))*25,IF($J21=3,INDEX('큐펫&amp;몹 정리(최신)'!R:R,MATCH($E21,'큐펫&amp;몹 정리(최신)'!$B:$B,0))*30,IF($J21=4,INDEX('큐펫&amp;몹 정리(최신)'!R:R,MATCH($E21,'큐펫&amp;몹 정리(최신)'!$B:$B,0))*35,INDEX('큐펫&amp;몹 정리(최신)'!R:R,MATCH($E21,'큐펫&amp;몹 정리(최신)'!$B:$B,0))*40))))</f>
        <v>720</v>
      </c>
      <c r="N21" s="190">
        <f>IF($J21=1,INDEX('큐펫&amp;몹 정리(최신)'!S:S,MATCH($E21,'큐펫&amp;몹 정리(최신)'!$B:$B,0))*20,IF($J21=2,INDEX('큐펫&amp;몹 정리(최신)'!S:S,MATCH($E21,'큐펫&amp;몹 정리(최신)'!$B:$B,0))*25,IF($J21=3,INDEX('큐펫&amp;몹 정리(최신)'!S:S,MATCH($E21,'큐펫&amp;몹 정리(최신)'!$B:$B,0))*30,IF($J21=4,INDEX('큐펫&amp;몹 정리(최신)'!S:S,MATCH($E21,'큐펫&amp;몹 정리(최신)'!$B:$B,0))*35,INDEX('큐펫&amp;몹 정리(최신)'!S:S,MATCH($E21,'큐펫&amp;몹 정리(최신)'!$B:$B,0))*40))))</f>
        <v>640</v>
      </c>
      <c r="O21" s="190">
        <f>IF($J21=1,INDEX('큐펫&amp;몹 정리(최신)'!T:T,MATCH($E21,'큐펫&amp;몹 정리(최신)'!$B:$B,0))*20,IF($J21=2,INDEX('큐펫&amp;몹 정리(최신)'!T:T,MATCH($E21,'큐펫&amp;몹 정리(최신)'!$B:$B,0))*25,IF($J21=3,INDEX('큐펫&amp;몹 정리(최신)'!T:T,MATCH($E21,'큐펫&amp;몹 정리(최신)'!$B:$B,0))*30,IF($J21=4,INDEX('큐펫&amp;몹 정리(최신)'!T:T,MATCH($E21,'큐펫&amp;몹 정리(최신)'!$B:$B,0))*35,INDEX('큐펫&amp;몹 정리(최신)'!T:T,MATCH($E21,'큐펫&amp;몹 정리(최신)'!$B:$B,0))*40))))</f>
        <v>960</v>
      </c>
      <c r="P21" s="217">
        <v>100</v>
      </c>
      <c r="Q21" s="217">
        <f t="shared" si="0"/>
        <v>259920</v>
      </c>
      <c r="R21" s="217">
        <f t="shared" si="1"/>
        <v>2982</v>
      </c>
      <c r="S21" s="217">
        <f t="shared" si="2"/>
        <v>5202</v>
      </c>
      <c r="T21" s="217">
        <f t="shared" si="3"/>
        <v>31567</v>
      </c>
      <c r="U21" s="217">
        <f t="shared" si="4"/>
        <v>53135</v>
      </c>
      <c r="V21" s="217">
        <f t="shared" si="5"/>
        <v>39906</v>
      </c>
      <c r="W21" s="217">
        <f>ROUND(AC21+(INDEX(Ref!B$1:B$9,MATCH($AI21,Ref!$A$1:$A$9,0))*P21*0.0001),)</f>
        <v>42</v>
      </c>
      <c r="X21" s="217">
        <f>ROUND(AD21+(INDEX(Ref!C$1:C$9,MATCH($AI21,Ref!$A$1:$A$9,0))*$P21*0.0001),)</f>
        <v>52</v>
      </c>
      <c r="Y21" s="217">
        <f>ROUND(AE21+(INDEX(Ref!D$1:D$9,MATCH($AI21,Ref!$A$1:$A$9,0))*$P21*0.0001),)</f>
        <v>66</v>
      </c>
      <c r="Z21" s="217">
        <f>ROUND(AF21+(INDEX(Ref!E$1:E$9,MATCH($AI21,Ref!$A$1:$A$9,0))*$P21*0.0001),)</f>
        <v>66</v>
      </c>
      <c r="AA21" s="217">
        <f>ROUND(AG21+(INDEX(Ref!F$1:F$9,MATCH($AI21,Ref!$A$1:$A$9,0))*$P21*0.0001),)</f>
        <v>56</v>
      </c>
      <c r="AB21" s="217">
        <f>ROUND(AH21+(INDEX(Ref!G$1:G$9,MATCH($AI21,Ref!$A$1:$A$9,0))*$P21*0.0001),)</f>
        <v>62</v>
      </c>
      <c r="AC21" s="137">
        <v>29</v>
      </c>
      <c r="AD21" s="137">
        <v>36</v>
      </c>
      <c r="AE21" s="137">
        <v>51</v>
      </c>
      <c r="AF21" s="137">
        <v>46</v>
      </c>
      <c r="AG21" s="137">
        <v>39</v>
      </c>
      <c r="AH21" s="137">
        <v>43</v>
      </c>
      <c r="AI21" s="208">
        <v>8</v>
      </c>
      <c r="AJ21" s="173">
        <v>3000</v>
      </c>
      <c r="AK21" s="173">
        <v>30021</v>
      </c>
      <c r="AL21" s="173">
        <v>2000</v>
      </c>
      <c r="AM21" s="173">
        <v>30024</v>
      </c>
      <c r="AN21" s="173">
        <v>0</v>
      </c>
      <c r="AO21" s="173">
        <f t="shared" si="6"/>
        <v>34021</v>
      </c>
      <c r="AP21" s="173">
        <v>0</v>
      </c>
      <c r="AQ21" s="173">
        <f t="shared" si="7"/>
        <v>34024</v>
      </c>
      <c r="AR21" s="173">
        <v>1</v>
      </c>
      <c r="AS21" s="173">
        <v>0</v>
      </c>
      <c r="AT21" s="199">
        <v>78004</v>
      </c>
      <c r="AU21" s="195" t="s">
        <v>66</v>
      </c>
      <c r="AX21" s="204" t="s">
        <v>18</v>
      </c>
      <c r="AY21" s="204" t="s">
        <v>992</v>
      </c>
      <c r="AZ21" s="204" t="s">
        <v>60</v>
      </c>
    </row>
    <row r="22" spans="1:55" x14ac:dyDescent="0.2">
      <c r="A22" s="173">
        <v>55005</v>
      </c>
      <c r="B22" s="172" t="s">
        <v>68</v>
      </c>
      <c r="C22" s="172">
        <v>86005</v>
      </c>
      <c r="D22" s="172">
        <v>150005</v>
      </c>
      <c r="E22" s="206" t="s">
        <v>69</v>
      </c>
      <c r="F22" s="207">
        <v>5</v>
      </c>
      <c r="G22" s="172">
        <v>8500</v>
      </c>
      <c r="H22" s="172">
        <v>8500</v>
      </c>
      <c r="I22" s="172">
        <v>10000</v>
      </c>
      <c r="J22" s="172">
        <v>1</v>
      </c>
      <c r="K22" s="190">
        <f>IF($J22=1,INDEX('큐펫&amp;몹 정리(최신)'!P:P,MATCH($E22,'큐펫&amp;몹 정리(최신)'!$B:$B,0))*20,IF($J22=2,INDEX('큐펫&amp;몹 정리(최신)'!P:P,MATCH($E22,'큐펫&amp;몹 정리(최신)'!$B:$B,0))*25,IF($J22=3,INDEX('큐펫&amp;몹 정리(최신)'!P:P,MATCH($E22,'큐펫&amp;몹 정리(최신)'!$B:$B,0))*30,IF($J22=4,INDEX('큐펫&amp;몹 정리(최신)'!P:P,MATCH($E22,'큐펫&amp;몹 정리(최신)'!$B:$B,0))*35,INDEX('큐펫&amp;몹 정리(최신)'!P:P,MATCH($E22,'큐펫&amp;몹 정리(최신)'!$B:$B,0))*40))))</f>
        <v>860</v>
      </c>
      <c r="L22" s="190">
        <f>IF($J22=1,INDEX('큐펫&amp;몹 정리(최신)'!Q:Q,MATCH($E22,'큐펫&amp;몹 정리(최신)'!$B:$B,0))*20,IF($J22=2,INDEX('큐펫&amp;몹 정리(최신)'!Q:Q,MATCH($E22,'큐펫&amp;몹 정리(최신)'!$B:$B,0))*25,IF($J22=3,INDEX('큐펫&amp;몹 정리(최신)'!Q:Q,MATCH($E22,'큐펫&amp;몹 정리(최신)'!$B:$B,0))*30,IF($J22=4,INDEX('큐펫&amp;몹 정리(최신)'!Q:Q,MATCH($E22,'큐펫&amp;몹 정리(최신)'!$B:$B,0))*35,INDEX('큐펫&amp;몹 정리(최신)'!Q:Q,MATCH($E22,'큐펫&amp;몹 정리(최신)'!$B:$B,0))*40))))</f>
        <v>80</v>
      </c>
      <c r="M22" s="190">
        <f>IF($J22=1,INDEX('큐펫&amp;몹 정리(최신)'!R:R,MATCH($E22,'큐펫&amp;몹 정리(최신)'!$B:$B,0))*20,IF($J22=2,INDEX('큐펫&amp;몹 정리(최신)'!R:R,MATCH($E22,'큐펫&amp;몹 정리(최신)'!$B:$B,0))*25,IF($J22=3,INDEX('큐펫&amp;몹 정리(최신)'!R:R,MATCH($E22,'큐펫&amp;몹 정리(최신)'!$B:$B,0))*30,IF($J22=4,INDEX('큐펫&amp;몹 정리(최신)'!R:R,MATCH($E22,'큐펫&amp;몹 정리(최신)'!$B:$B,0))*35,INDEX('큐펫&amp;몹 정리(최신)'!R:R,MATCH($E22,'큐펫&amp;몹 정리(최신)'!$B:$B,0))*40))))</f>
        <v>540</v>
      </c>
      <c r="N22" s="190">
        <f>IF($J22=1,INDEX('큐펫&amp;몹 정리(최신)'!S:S,MATCH($E22,'큐펫&amp;몹 정리(최신)'!$B:$B,0))*20,IF($J22=2,INDEX('큐펫&amp;몹 정리(최신)'!S:S,MATCH($E22,'큐펫&amp;몹 정리(최신)'!$B:$B,0))*25,IF($J22=3,INDEX('큐펫&amp;몹 정리(최신)'!S:S,MATCH($E22,'큐펫&amp;몹 정리(최신)'!$B:$B,0))*30,IF($J22=4,INDEX('큐펫&amp;몹 정리(최신)'!S:S,MATCH($E22,'큐펫&amp;몹 정리(최신)'!$B:$B,0))*35,INDEX('큐펫&amp;몹 정리(최신)'!S:S,MATCH($E22,'큐펫&amp;몹 정리(최신)'!$B:$B,0))*40))))</f>
        <v>180</v>
      </c>
      <c r="O22" s="190">
        <f>IF($J22=1,INDEX('큐펫&amp;몹 정리(최신)'!T:T,MATCH($E22,'큐펫&amp;몹 정리(최신)'!$B:$B,0))*20,IF($J22=2,INDEX('큐펫&amp;몹 정리(최신)'!T:T,MATCH($E22,'큐펫&amp;몹 정리(최신)'!$B:$B,0))*25,IF($J22=3,INDEX('큐펫&amp;몹 정리(최신)'!T:T,MATCH($E22,'큐펫&amp;몹 정리(최신)'!$B:$B,0))*30,IF($J22=4,INDEX('큐펫&amp;몹 정리(최신)'!T:T,MATCH($E22,'큐펫&amp;몹 정리(최신)'!$B:$B,0))*35,INDEX('큐펫&amp;몹 정리(최신)'!T:T,MATCH($E22,'큐펫&amp;몹 정리(최신)'!$B:$B,0))*40))))</f>
        <v>340</v>
      </c>
      <c r="P22" s="217">
        <v>20</v>
      </c>
      <c r="Q22" s="217">
        <f t="shared" si="0"/>
        <v>28896</v>
      </c>
      <c r="R22" s="217">
        <f t="shared" si="1"/>
        <v>418</v>
      </c>
      <c r="S22" s="217">
        <f t="shared" si="2"/>
        <v>704</v>
      </c>
      <c r="T22" s="217">
        <f t="shared" si="3"/>
        <v>6331</v>
      </c>
      <c r="U22" s="217">
        <f t="shared" si="4"/>
        <v>5677</v>
      </c>
      <c r="V22" s="217">
        <f t="shared" si="5"/>
        <v>5389</v>
      </c>
      <c r="W22" s="217">
        <f>ROUND(AC22+(INDEX(Ref!B$1:B$9,MATCH($AI22,Ref!$A$1:$A$9,0))*P22*0.0001),)</f>
        <v>21</v>
      </c>
      <c r="X22" s="217">
        <f>ROUND(AD22+(INDEX(Ref!C$1:C$9,MATCH($AI22,Ref!$A$1:$A$9,0))*$P22*0.0001),)</f>
        <v>26</v>
      </c>
      <c r="Y22" s="217">
        <f>ROUND(AE22+(INDEX(Ref!D$1:D$9,MATCH($AI22,Ref!$A$1:$A$9,0))*$P22*0.0001),)</f>
        <v>43</v>
      </c>
      <c r="Z22" s="217">
        <f>ROUND(AF22+(INDEX(Ref!E$1:E$9,MATCH($AI22,Ref!$A$1:$A$9,0))*$P22*0.0001),)</f>
        <v>34</v>
      </c>
      <c r="AA22" s="217">
        <f>ROUND(AG22+(INDEX(Ref!F$1:F$9,MATCH($AI22,Ref!$A$1:$A$9,0))*$P22*0.0001),)</f>
        <v>28</v>
      </c>
      <c r="AB22" s="217">
        <f>ROUND(AH22+(INDEX(Ref!G$1:G$9,MATCH($AI22,Ref!$A$1:$A$9,0))*$P22*0.0001),)</f>
        <v>32</v>
      </c>
      <c r="AC22" s="137">
        <v>18</v>
      </c>
      <c r="AD22" s="137">
        <v>23</v>
      </c>
      <c r="AE22" s="137">
        <v>40</v>
      </c>
      <c r="AF22" s="137">
        <v>30</v>
      </c>
      <c r="AG22" s="137">
        <v>25</v>
      </c>
      <c r="AH22" s="137">
        <v>28</v>
      </c>
      <c r="AI22" s="208">
        <v>8</v>
      </c>
      <c r="AJ22" s="172">
        <v>3000</v>
      </c>
      <c r="AK22" s="172">
        <v>30025</v>
      </c>
      <c r="AL22" s="172">
        <v>2000</v>
      </c>
      <c r="AM22" s="172">
        <v>30028</v>
      </c>
      <c r="AN22" s="172">
        <v>0</v>
      </c>
      <c r="AO22" s="172">
        <f t="shared" si="6"/>
        <v>34025</v>
      </c>
      <c r="AP22" s="172">
        <v>0</v>
      </c>
      <c r="AQ22" s="172">
        <f t="shared" si="7"/>
        <v>34028</v>
      </c>
      <c r="AR22" s="172">
        <v>1</v>
      </c>
      <c r="AS22" s="172">
        <v>0</v>
      </c>
      <c r="AT22" s="199">
        <v>78005</v>
      </c>
      <c r="AU22" s="195" t="s">
        <v>70</v>
      </c>
      <c r="AX22" s="204" t="s">
        <v>19</v>
      </c>
      <c r="AY22" s="204" t="s">
        <v>993</v>
      </c>
      <c r="AZ22" s="204" t="s">
        <v>60</v>
      </c>
    </row>
    <row r="23" spans="1:55" x14ac:dyDescent="0.2">
      <c r="A23" s="173">
        <v>55005</v>
      </c>
      <c r="B23" s="172" t="s">
        <v>68</v>
      </c>
      <c r="C23" s="172">
        <v>86005</v>
      </c>
      <c r="D23" s="172">
        <v>150005</v>
      </c>
      <c r="E23" s="206" t="s">
        <v>69</v>
      </c>
      <c r="F23" s="207">
        <v>5</v>
      </c>
      <c r="G23" s="172">
        <v>8500</v>
      </c>
      <c r="H23" s="172">
        <v>8500</v>
      </c>
      <c r="I23" s="172">
        <v>10000</v>
      </c>
      <c r="J23" s="172">
        <v>2</v>
      </c>
      <c r="K23" s="190">
        <f>IF($J23=1,INDEX('큐펫&amp;몹 정리(최신)'!P:P,MATCH($E23,'큐펫&amp;몹 정리(최신)'!$B:$B,0))*20,IF($J23=2,INDEX('큐펫&amp;몹 정리(최신)'!P:P,MATCH($E23,'큐펫&amp;몹 정리(최신)'!$B:$B,0))*25,IF($J23=3,INDEX('큐펫&amp;몹 정리(최신)'!P:P,MATCH($E23,'큐펫&amp;몹 정리(최신)'!$B:$B,0))*30,IF($J23=4,INDEX('큐펫&amp;몹 정리(최신)'!P:P,MATCH($E23,'큐펫&amp;몹 정리(최신)'!$B:$B,0))*35,INDEX('큐펫&amp;몹 정리(최신)'!P:P,MATCH($E23,'큐펫&amp;몹 정리(최신)'!$B:$B,0))*40))))</f>
        <v>1075</v>
      </c>
      <c r="L23" s="190">
        <f>IF($J23=1,INDEX('큐펫&amp;몹 정리(최신)'!Q:Q,MATCH($E23,'큐펫&amp;몹 정리(최신)'!$B:$B,0))*20,IF($J23=2,INDEX('큐펫&amp;몹 정리(최신)'!Q:Q,MATCH($E23,'큐펫&amp;몹 정리(최신)'!$B:$B,0))*25,IF($J23=3,INDEX('큐펫&amp;몹 정리(최신)'!Q:Q,MATCH($E23,'큐펫&amp;몹 정리(최신)'!$B:$B,0))*30,IF($J23=4,INDEX('큐펫&amp;몹 정리(최신)'!Q:Q,MATCH($E23,'큐펫&amp;몹 정리(최신)'!$B:$B,0))*35,INDEX('큐펫&amp;몹 정리(최신)'!Q:Q,MATCH($E23,'큐펫&amp;몹 정리(최신)'!$B:$B,0))*40))))</f>
        <v>100</v>
      </c>
      <c r="M23" s="190">
        <f>IF($J23=1,INDEX('큐펫&amp;몹 정리(최신)'!R:R,MATCH($E23,'큐펫&amp;몹 정리(최신)'!$B:$B,0))*20,IF($J23=2,INDEX('큐펫&amp;몹 정리(최신)'!R:R,MATCH($E23,'큐펫&amp;몹 정리(최신)'!$B:$B,0))*25,IF($J23=3,INDEX('큐펫&amp;몹 정리(최신)'!R:R,MATCH($E23,'큐펫&amp;몹 정리(최신)'!$B:$B,0))*30,IF($J23=4,INDEX('큐펫&amp;몹 정리(최신)'!R:R,MATCH($E23,'큐펫&amp;몹 정리(최신)'!$B:$B,0))*35,INDEX('큐펫&amp;몹 정리(최신)'!R:R,MATCH($E23,'큐펫&amp;몹 정리(최신)'!$B:$B,0))*40))))</f>
        <v>675</v>
      </c>
      <c r="N23" s="190">
        <f>IF($J23=1,INDEX('큐펫&amp;몹 정리(최신)'!S:S,MATCH($E23,'큐펫&amp;몹 정리(최신)'!$B:$B,0))*20,IF($J23=2,INDEX('큐펫&amp;몹 정리(최신)'!S:S,MATCH($E23,'큐펫&amp;몹 정리(최신)'!$B:$B,0))*25,IF($J23=3,INDEX('큐펫&amp;몹 정리(최신)'!S:S,MATCH($E23,'큐펫&amp;몹 정리(최신)'!$B:$B,0))*30,IF($J23=4,INDEX('큐펫&amp;몹 정리(최신)'!S:S,MATCH($E23,'큐펫&amp;몹 정리(최신)'!$B:$B,0))*35,INDEX('큐펫&amp;몹 정리(최신)'!S:S,MATCH($E23,'큐펫&amp;몹 정리(최신)'!$B:$B,0))*40))))</f>
        <v>225</v>
      </c>
      <c r="O23" s="190">
        <f>IF($J23=1,INDEX('큐펫&amp;몹 정리(최신)'!T:T,MATCH($E23,'큐펫&amp;몹 정리(최신)'!$B:$B,0))*20,IF($J23=2,INDEX('큐펫&amp;몹 정리(최신)'!T:T,MATCH($E23,'큐펫&amp;몹 정리(최신)'!$B:$B,0))*25,IF($J23=3,INDEX('큐펫&amp;몹 정리(최신)'!T:T,MATCH($E23,'큐펫&amp;몹 정리(최신)'!$B:$B,0))*30,IF($J23=4,INDEX('큐펫&amp;몹 정리(최신)'!T:T,MATCH($E23,'큐펫&amp;몹 정리(최신)'!$B:$B,0))*35,INDEX('큐펫&amp;몹 정리(최신)'!T:T,MATCH($E23,'큐펫&amp;몹 정리(최신)'!$B:$B,0))*40))))</f>
        <v>425</v>
      </c>
      <c r="P23" s="217">
        <v>40</v>
      </c>
      <c r="Q23" s="217">
        <f t="shared" si="0"/>
        <v>69370</v>
      </c>
      <c r="R23" s="217">
        <f t="shared" si="1"/>
        <v>764</v>
      </c>
      <c r="S23" s="217">
        <f t="shared" si="2"/>
        <v>1329</v>
      </c>
      <c r="T23" s="217">
        <f t="shared" si="3"/>
        <v>12025</v>
      </c>
      <c r="U23" s="217">
        <f t="shared" si="4"/>
        <v>10021</v>
      </c>
      <c r="V23" s="217">
        <f t="shared" si="5"/>
        <v>9498</v>
      </c>
      <c r="W23" s="217">
        <f>ROUND(AC23+(INDEX(Ref!B$1:B$9,MATCH($AI23,Ref!$A$1:$A$9,0))*P23*0.0001),)</f>
        <v>26</v>
      </c>
      <c r="X23" s="217">
        <f>ROUND(AD23+(INDEX(Ref!C$1:C$9,MATCH($AI23,Ref!$A$1:$A$9,0))*$P23*0.0001),)</f>
        <v>32</v>
      </c>
      <c r="Y23" s="217">
        <f>ROUND(AE23+(INDEX(Ref!D$1:D$9,MATCH($AI23,Ref!$A$1:$A$9,0))*$P23*0.0001),)</f>
        <v>49</v>
      </c>
      <c r="Z23" s="217">
        <f>ROUND(AF23+(INDEX(Ref!E$1:E$9,MATCH($AI23,Ref!$A$1:$A$9,0))*$P23*0.0001),)</f>
        <v>42</v>
      </c>
      <c r="AA23" s="217">
        <f>ROUND(AG23+(INDEX(Ref!F$1:F$9,MATCH($AI23,Ref!$A$1:$A$9,0))*$P23*0.0001),)</f>
        <v>35</v>
      </c>
      <c r="AB23" s="217">
        <f>ROUND(AH23+(INDEX(Ref!G$1:G$9,MATCH($AI23,Ref!$A$1:$A$9,0))*$P23*0.0001),)</f>
        <v>40</v>
      </c>
      <c r="AC23" s="137">
        <v>21</v>
      </c>
      <c r="AD23" s="137">
        <v>26</v>
      </c>
      <c r="AE23" s="137">
        <v>43</v>
      </c>
      <c r="AF23" s="137">
        <v>34</v>
      </c>
      <c r="AG23" s="137">
        <v>28</v>
      </c>
      <c r="AH23" s="137">
        <v>32</v>
      </c>
      <c r="AI23" s="208">
        <v>8</v>
      </c>
      <c r="AJ23" s="172">
        <v>3000</v>
      </c>
      <c r="AK23" s="172">
        <v>30026</v>
      </c>
      <c r="AL23" s="172">
        <v>2000</v>
      </c>
      <c r="AM23" s="172">
        <v>30028</v>
      </c>
      <c r="AN23" s="172">
        <v>0</v>
      </c>
      <c r="AO23" s="172">
        <f t="shared" si="6"/>
        <v>34026</v>
      </c>
      <c r="AP23" s="172">
        <v>0</v>
      </c>
      <c r="AQ23" s="172">
        <f t="shared" si="7"/>
        <v>34028</v>
      </c>
      <c r="AR23" s="172">
        <v>1</v>
      </c>
      <c r="AS23" s="172">
        <v>0</v>
      </c>
      <c r="AT23" s="199">
        <v>78005</v>
      </c>
      <c r="AU23" s="195" t="s">
        <v>70</v>
      </c>
      <c r="AX23" s="204" t="s">
        <v>20</v>
      </c>
      <c r="AY23" s="204" t="s">
        <v>994</v>
      </c>
      <c r="AZ23" s="204" t="s">
        <v>60</v>
      </c>
    </row>
    <row r="24" spans="1:55" x14ac:dyDescent="0.2">
      <c r="A24" s="173">
        <v>55005</v>
      </c>
      <c r="B24" s="172" t="s">
        <v>68</v>
      </c>
      <c r="C24" s="172">
        <v>86005</v>
      </c>
      <c r="D24" s="172">
        <v>150005</v>
      </c>
      <c r="E24" s="206" t="s">
        <v>69</v>
      </c>
      <c r="F24" s="207">
        <v>5</v>
      </c>
      <c r="G24" s="172">
        <v>8500</v>
      </c>
      <c r="H24" s="172">
        <v>8500</v>
      </c>
      <c r="I24" s="172">
        <v>10000</v>
      </c>
      <c r="J24" s="172">
        <v>3</v>
      </c>
      <c r="K24" s="190">
        <f>IF($J24=1,INDEX('큐펫&amp;몹 정리(최신)'!P:P,MATCH($E24,'큐펫&amp;몹 정리(최신)'!$B:$B,0))*20,IF($J24=2,INDEX('큐펫&amp;몹 정리(최신)'!P:P,MATCH($E24,'큐펫&amp;몹 정리(최신)'!$B:$B,0))*25,IF($J24=3,INDEX('큐펫&amp;몹 정리(최신)'!P:P,MATCH($E24,'큐펫&amp;몹 정리(최신)'!$B:$B,0))*30,IF($J24=4,INDEX('큐펫&amp;몹 정리(최신)'!P:P,MATCH($E24,'큐펫&amp;몹 정리(최신)'!$B:$B,0))*35,INDEX('큐펫&amp;몹 정리(최신)'!P:P,MATCH($E24,'큐펫&amp;몹 정리(최신)'!$B:$B,0))*40))))</f>
        <v>1290</v>
      </c>
      <c r="L24" s="190">
        <f>IF($J24=1,INDEX('큐펫&amp;몹 정리(최신)'!Q:Q,MATCH($E24,'큐펫&amp;몹 정리(최신)'!$B:$B,0))*20,IF($J24=2,INDEX('큐펫&amp;몹 정리(최신)'!Q:Q,MATCH($E24,'큐펫&amp;몹 정리(최신)'!$B:$B,0))*25,IF($J24=3,INDEX('큐펫&amp;몹 정리(최신)'!Q:Q,MATCH($E24,'큐펫&amp;몹 정리(최신)'!$B:$B,0))*30,IF($J24=4,INDEX('큐펫&amp;몹 정리(최신)'!Q:Q,MATCH($E24,'큐펫&amp;몹 정리(최신)'!$B:$B,0))*35,INDEX('큐펫&amp;몹 정리(최신)'!Q:Q,MATCH($E24,'큐펫&amp;몹 정리(최신)'!$B:$B,0))*40))))</f>
        <v>120</v>
      </c>
      <c r="M24" s="190">
        <f>IF($J24=1,INDEX('큐펫&amp;몹 정리(최신)'!R:R,MATCH($E24,'큐펫&amp;몹 정리(최신)'!$B:$B,0))*20,IF($J24=2,INDEX('큐펫&amp;몹 정리(최신)'!R:R,MATCH($E24,'큐펫&amp;몹 정리(최신)'!$B:$B,0))*25,IF($J24=3,INDEX('큐펫&amp;몹 정리(최신)'!R:R,MATCH($E24,'큐펫&amp;몹 정리(최신)'!$B:$B,0))*30,IF($J24=4,INDEX('큐펫&amp;몹 정리(최신)'!R:R,MATCH($E24,'큐펫&amp;몹 정리(최신)'!$B:$B,0))*35,INDEX('큐펫&amp;몹 정리(최신)'!R:R,MATCH($E24,'큐펫&amp;몹 정리(최신)'!$B:$B,0))*40))))</f>
        <v>810</v>
      </c>
      <c r="N24" s="190">
        <f>IF($J24=1,INDEX('큐펫&amp;몹 정리(최신)'!S:S,MATCH($E24,'큐펫&amp;몹 정리(최신)'!$B:$B,0))*20,IF($J24=2,INDEX('큐펫&amp;몹 정리(최신)'!S:S,MATCH($E24,'큐펫&amp;몹 정리(최신)'!$B:$B,0))*25,IF($J24=3,INDEX('큐펫&amp;몹 정리(최신)'!S:S,MATCH($E24,'큐펫&amp;몹 정리(최신)'!$B:$B,0))*30,IF($J24=4,INDEX('큐펫&amp;몹 정리(최신)'!S:S,MATCH($E24,'큐펫&amp;몹 정리(최신)'!$B:$B,0))*35,INDEX('큐펫&amp;몹 정리(최신)'!S:S,MATCH($E24,'큐펫&amp;몹 정리(최신)'!$B:$B,0))*40))))</f>
        <v>270</v>
      </c>
      <c r="O24" s="190">
        <f>IF($J24=1,INDEX('큐펫&amp;몹 정리(최신)'!T:T,MATCH($E24,'큐펫&amp;몹 정리(최신)'!$B:$B,0))*20,IF($J24=2,INDEX('큐펫&amp;몹 정리(최신)'!T:T,MATCH($E24,'큐펫&amp;몹 정리(최신)'!$B:$B,0))*25,IF($J24=3,INDEX('큐펫&amp;몹 정리(최신)'!T:T,MATCH($E24,'큐펫&amp;몹 정리(최신)'!$B:$B,0))*30,IF($J24=4,INDEX('큐펫&amp;몹 정리(최신)'!T:T,MATCH($E24,'큐펫&amp;몹 정리(최신)'!$B:$B,0))*35,INDEX('큐펫&amp;몹 정리(최신)'!T:T,MATCH($E24,'큐펫&amp;몹 정리(최신)'!$B:$B,0))*40))))</f>
        <v>510</v>
      </c>
      <c r="P24" s="217">
        <v>60</v>
      </c>
      <c r="Q24" s="217">
        <f t="shared" si="0"/>
        <v>125596</v>
      </c>
      <c r="R24" s="217">
        <f t="shared" si="1"/>
        <v>1265</v>
      </c>
      <c r="S24" s="217">
        <f t="shared" si="2"/>
        <v>2247</v>
      </c>
      <c r="T24" s="217">
        <f t="shared" si="3"/>
        <v>20397</v>
      </c>
      <c r="U24" s="217">
        <f t="shared" si="4"/>
        <v>15401</v>
      </c>
      <c r="V24" s="217">
        <f t="shared" si="5"/>
        <v>14585</v>
      </c>
      <c r="W24" s="217">
        <f>ROUND(AC24+(INDEX(Ref!B$1:B$9,MATCH($AI24,Ref!$A$1:$A$9,0))*P24*0.0001),)</f>
        <v>31</v>
      </c>
      <c r="X24" s="217">
        <f>ROUND(AD24+(INDEX(Ref!C$1:C$9,MATCH($AI24,Ref!$A$1:$A$9,0))*$P24*0.0001),)</f>
        <v>40</v>
      </c>
      <c r="Y24" s="217">
        <f>ROUND(AE24+(INDEX(Ref!D$1:D$9,MATCH($AI24,Ref!$A$1:$A$9,0))*$P24*0.0001),)</f>
        <v>54</v>
      </c>
      <c r="Z24" s="217">
        <f>ROUND(AF24+(INDEX(Ref!E$1:E$9,MATCH($AI24,Ref!$A$1:$A$9,0))*$P24*0.0001),)</f>
        <v>50</v>
      </c>
      <c r="AA24" s="217">
        <f>ROUND(AG24+(INDEX(Ref!F$1:F$9,MATCH($AI24,Ref!$A$1:$A$9,0))*$P24*0.0001),)</f>
        <v>42</v>
      </c>
      <c r="AB24" s="217">
        <f>ROUND(AH24+(INDEX(Ref!G$1:G$9,MATCH($AI24,Ref!$A$1:$A$9,0))*$P24*0.0001),)</f>
        <v>47</v>
      </c>
      <c r="AC24" s="137">
        <v>23</v>
      </c>
      <c r="AD24" s="137">
        <v>30</v>
      </c>
      <c r="AE24" s="137">
        <v>45</v>
      </c>
      <c r="AF24" s="137">
        <v>38</v>
      </c>
      <c r="AG24" s="137">
        <v>32</v>
      </c>
      <c r="AH24" s="137">
        <v>36</v>
      </c>
      <c r="AI24" s="208">
        <v>8</v>
      </c>
      <c r="AJ24" s="172">
        <v>3000</v>
      </c>
      <c r="AK24" s="172">
        <v>30026</v>
      </c>
      <c r="AL24" s="172">
        <v>2000</v>
      </c>
      <c r="AM24" s="172">
        <v>30029</v>
      </c>
      <c r="AN24" s="172">
        <v>0</v>
      </c>
      <c r="AO24" s="172">
        <f t="shared" si="6"/>
        <v>34026</v>
      </c>
      <c r="AP24" s="172">
        <v>0</v>
      </c>
      <c r="AQ24" s="172">
        <f t="shared" si="7"/>
        <v>34029</v>
      </c>
      <c r="AR24" s="172">
        <v>1</v>
      </c>
      <c r="AS24" s="172">
        <v>0</v>
      </c>
      <c r="AT24" s="199">
        <v>78005</v>
      </c>
      <c r="AU24" s="195" t="s">
        <v>70</v>
      </c>
      <c r="AX24" s="165" t="s">
        <v>71</v>
      </c>
      <c r="AY24" s="165" t="s">
        <v>72</v>
      </c>
      <c r="AZ24" s="165" t="s">
        <v>48</v>
      </c>
      <c r="BB24" s="224" t="s">
        <v>21</v>
      </c>
      <c r="BC24" s="224"/>
    </row>
    <row r="25" spans="1:55" x14ac:dyDescent="0.2">
      <c r="A25" s="173">
        <v>55005</v>
      </c>
      <c r="B25" s="172" t="s">
        <v>68</v>
      </c>
      <c r="C25" s="172">
        <v>86005</v>
      </c>
      <c r="D25" s="172">
        <v>150005</v>
      </c>
      <c r="E25" s="206" t="s">
        <v>69</v>
      </c>
      <c r="F25" s="207">
        <v>5</v>
      </c>
      <c r="G25" s="172">
        <v>8500</v>
      </c>
      <c r="H25" s="172">
        <v>8500</v>
      </c>
      <c r="I25" s="172">
        <v>10000</v>
      </c>
      <c r="J25" s="172">
        <v>4</v>
      </c>
      <c r="K25" s="190">
        <f>IF($J25=1,INDEX('큐펫&amp;몹 정리(최신)'!P:P,MATCH($E25,'큐펫&amp;몹 정리(최신)'!$B:$B,0))*20,IF($J25=2,INDEX('큐펫&amp;몹 정리(최신)'!P:P,MATCH($E25,'큐펫&amp;몹 정리(최신)'!$B:$B,0))*25,IF($J25=3,INDEX('큐펫&amp;몹 정리(최신)'!P:P,MATCH($E25,'큐펫&amp;몹 정리(최신)'!$B:$B,0))*30,IF($J25=4,INDEX('큐펫&amp;몹 정리(최신)'!P:P,MATCH($E25,'큐펫&amp;몹 정리(최신)'!$B:$B,0))*35,INDEX('큐펫&amp;몹 정리(최신)'!P:P,MATCH($E25,'큐펫&amp;몹 정리(최신)'!$B:$B,0))*40))))</f>
        <v>1505</v>
      </c>
      <c r="L25" s="190">
        <f>IF($J25=1,INDEX('큐펫&amp;몹 정리(최신)'!Q:Q,MATCH($E25,'큐펫&amp;몹 정리(최신)'!$B:$B,0))*20,IF($J25=2,INDEX('큐펫&amp;몹 정리(최신)'!Q:Q,MATCH($E25,'큐펫&amp;몹 정리(최신)'!$B:$B,0))*25,IF($J25=3,INDEX('큐펫&amp;몹 정리(최신)'!Q:Q,MATCH($E25,'큐펫&amp;몹 정리(최신)'!$B:$B,0))*30,IF($J25=4,INDEX('큐펫&amp;몹 정리(최신)'!Q:Q,MATCH($E25,'큐펫&amp;몹 정리(최신)'!$B:$B,0))*35,INDEX('큐펫&amp;몹 정리(최신)'!Q:Q,MATCH($E25,'큐펫&amp;몹 정리(최신)'!$B:$B,0))*40))))</f>
        <v>140</v>
      </c>
      <c r="M25" s="190">
        <f>IF($J25=1,INDEX('큐펫&amp;몹 정리(최신)'!R:R,MATCH($E25,'큐펫&amp;몹 정리(최신)'!$B:$B,0))*20,IF($J25=2,INDEX('큐펫&amp;몹 정리(최신)'!R:R,MATCH($E25,'큐펫&amp;몹 정리(최신)'!$B:$B,0))*25,IF($J25=3,INDEX('큐펫&amp;몹 정리(최신)'!R:R,MATCH($E25,'큐펫&amp;몹 정리(최신)'!$B:$B,0))*30,IF($J25=4,INDEX('큐펫&amp;몹 정리(최신)'!R:R,MATCH($E25,'큐펫&amp;몹 정리(최신)'!$B:$B,0))*35,INDEX('큐펫&amp;몹 정리(최신)'!R:R,MATCH($E25,'큐펫&amp;몹 정리(최신)'!$B:$B,0))*40))))</f>
        <v>945</v>
      </c>
      <c r="N25" s="190">
        <f>IF($J25=1,INDEX('큐펫&amp;몹 정리(최신)'!S:S,MATCH($E25,'큐펫&amp;몹 정리(최신)'!$B:$B,0))*20,IF($J25=2,INDEX('큐펫&amp;몹 정리(최신)'!S:S,MATCH($E25,'큐펫&amp;몹 정리(최신)'!$B:$B,0))*25,IF($J25=3,INDEX('큐펫&amp;몹 정리(최신)'!S:S,MATCH($E25,'큐펫&amp;몹 정리(최신)'!$B:$B,0))*30,IF($J25=4,INDEX('큐펫&amp;몹 정리(최신)'!S:S,MATCH($E25,'큐펫&amp;몹 정리(최신)'!$B:$B,0))*35,INDEX('큐펫&amp;몹 정리(최신)'!S:S,MATCH($E25,'큐펫&amp;몹 정리(최신)'!$B:$B,0))*40))))</f>
        <v>315</v>
      </c>
      <c r="O25" s="190">
        <f>IF($J25=1,INDEX('큐펫&amp;몹 정리(최신)'!T:T,MATCH($E25,'큐펫&amp;몹 정리(최신)'!$B:$B,0))*20,IF($J25=2,INDEX('큐펫&amp;몹 정리(최신)'!T:T,MATCH($E25,'큐펫&amp;몹 정리(최신)'!$B:$B,0))*25,IF($J25=3,INDEX('큐펫&amp;몹 정리(최신)'!T:T,MATCH($E25,'큐펫&amp;몹 정리(최신)'!$B:$B,0))*30,IF($J25=4,INDEX('큐펫&amp;몹 정리(최신)'!T:T,MATCH($E25,'큐펫&amp;몹 정리(최신)'!$B:$B,0))*35,INDEX('큐펫&amp;몹 정리(최신)'!T:T,MATCH($E25,'큐펫&amp;몹 정리(최신)'!$B:$B,0))*40))))</f>
        <v>595</v>
      </c>
      <c r="P25" s="217">
        <v>80</v>
      </c>
      <c r="Q25" s="217">
        <f t="shared" si="0"/>
        <v>201344</v>
      </c>
      <c r="R25" s="217">
        <f t="shared" si="1"/>
        <v>1949</v>
      </c>
      <c r="S25" s="217">
        <f t="shared" si="2"/>
        <v>3519</v>
      </c>
      <c r="T25" s="217">
        <f t="shared" si="3"/>
        <v>31965</v>
      </c>
      <c r="U25" s="217">
        <f t="shared" si="4"/>
        <v>22220</v>
      </c>
      <c r="V25" s="217">
        <f t="shared" si="5"/>
        <v>21031</v>
      </c>
      <c r="W25" s="217">
        <f>ROUND(AC25+(INDEX(Ref!B$1:B$9,MATCH($AI25,Ref!$A$1:$A$9,0))*P25*0.0001),)</f>
        <v>36</v>
      </c>
      <c r="X25" s="217">
        <f>ROUND(AD25+(INDEX(Ref!C$1:C$9,MATCH($AI25,Ref!$A$1:$A$9,0))*$P25*0.0001),)</f>
        <v>46</v>
      </c>
      <c r="Y25" s="217">
        <f>ROUND(AE25+(INDEX(Ref!D$1:D$9,MATCH($AI25,Ref!$A$1:$A$9,0))*$P25*0.0001),)</f>
        <v>61</v>
      </c>
      <c r="Z25" s="217">
        <f>ROUND(AF25+(INDEX(Ref!E$1:E$9,MATCH($AI25,Ref!$A$1:$A$9,0))*$P25*0.0001),)</f>
        <v>58</v>
      </c>
      <c r="AA25" s="217">
        <f>ROUND(AG25+(INDEX(Ref!F$1:F$9,MATCH($AI25,Ref!$A$1:$A$9,0))*$P25*0.0001),)</f>
        <v>49</v>
      </c>
      <c r="AB25" s="217">
        <f>ROUND(AH25+(INDEX(Ref!G$1:G$9,MATCH($AI25,Ref!$A$1:$A$9,0))*$P25*0.0001),)</f>
        <v>54</v>
      </c>
      <c r="AC25" s="137">
        <v>26</v>
      </c>
      <c r="AD25" s="137">
        <v>33</v>
      </c>
      <c r="AE25" s="137">
        <v>49</v>
      </c>
      <c r="AF25" s="137">
        <v>42</v>
      </c>
      <c r="AG25" s="137">
        <v>35</v>
      </c>
      <c r="AH25" s="137">
        <v>39</v>
      </c>
      <c r="AI25" s="208">
        <v>8</v>
      </c>
      <c r="AJ25" s="172">
        <v>3000</v>
      </c>
      <c r="AK25" s="172">
        <v>30027</v>
      </c>
      <c r="AL25" s="172">
        <v>2000</v>
      </c>
      <c r="AM25" s="172">
        <v>30029</v>
      </c>
      <c r="AN25" s="172">
        <v>0</v>
      </c>
      <c r="AO25" s="172">
        <f t="shared" si="6"/>
        <v>34027</v>
      </c>
      <c r="AP25" s="172">
        <v>0</v>
      </c>
      <c r="AQ25" s="172">
        <f t="shared" si="7"/>
        <v>34029</v>
      </c>
      <c r="AR25" s="172">
        <v>1</v>
      </c>
      <c r="AS25" s="172">
        <v>0</v>
      </c>
      <c r="AT25" s="199">
        <v>78005</v>
      </c>
      <c r="AU25" s="195" t="s">
        <v>70</v>
      </c>
      <c r="AX25" s="165" t="s">
        <v>22</v>
      </c>
      <c r="AY25" s="165" t="s">
        <v>73</v>
      </c>
      <c r="AZ25" s="165" t="s">
        <v>74</v>
      </c>
      <c r="BB25" s="201" t="s">
        <v>75</v>
      </c>
      <c r="BC25" s="201" t="s">
        <v>76</v>
      </c>
    </row>
    <row r="26" spans="1:55" x14ac:dyDescent="0.2">
      <c r="A26" s="173">
        <v>55005</v>
      </c>
      <c r="B26" s="172" t="s">
        <v>68</v>
      </c>
      <c r="C26" s="172">
        <v>86005</v>
      </c>
      <c r="D26" s="172">
        <v>150005</v>
      </c>
      <c r="E26" s="206" t="s">
        <v>69</v>
      </c>
      <c r="F26" s="207">
        <v>5</v>
      </c>
      <c r="G26" s="172">
        <v>8500</v>
      </c>
      <c r="H26" s="172">
        <v>8500</v>
      </c>
      <c r="I26" s="172">
        <v>10000</v>
      </c>
      <c r="J26" s="172">
        <v>5</v>
      </c>
      <c r="K26" s="190">
        <f>IF($J26=1,INDEX('큐펫&amp;몹 정리(최신)'!P:P,MATCH($E26,'큐펫&amp;몹 정리(최신)'!$B:$B,0))*20,IF($J26=2,INDEX('큐펫&amp;몹 정리(최신)'!P:P,MATCH($E26,'큐펫&amp;몹 정리(최신)'!$B:$B,0))*25,IF($J26=3,INDEX('큐펫&amp;몹 정리(최신)'!P:P,MATCH($E26,'큐펫&amp;몹 정리(최신)'!$B:$B,0))*30,IF($J26=4,INDEX('큐펫&amp;몹 정리(최신)'!P:P,MATCH($E26,'큐펫&amp;몹 정리(최신)'!$B:$B,0))*35,INDEX('큐펫&amp;몹 정리(최신)'!P:P,MATCH($E26,'큐펫&amp;몹 정리(최신)'!$B:$B,0))*40))))</f>
        <v>1720</v>
      </c>
      <c r="L26" s="190">
        <f>IF($J26=1,INDEX('큐펫&amp;몹 정리(최신)'!Q:Q,MATCH($E26,'큐펫&amp;몹 정리(최신)'!$B:$B,0))*20,IF($J26=2,INDEX('큐펫&amp;몹 정리(최신)'!Q:Q,MATCH($E26,'큐펫&amp;몹 정리(최신)'!$B:$B,0))*25,IF($J26=3,INDEX('큐펫&amp;몹 정리(최신)'!Q:Q,MATCH($E26,'큐펫&amp;몹 정리(최신)'!$B:$B,0))*30,IF($J26=4,INDEX('큐펫&amp;몹 정리(최신)'!Q:Q,MATCH($E26,'큐펫&amp;몹 정리(최신)'!$B:$B,0))*35,INDEX('큐펫&amp;몹 정리(최신)'!Q:Q,MATCH($E26,'큐펫&amp;몹 정리(최신)'!$B:$B,0))*40))))</f>
        <v>160</v>
      </c>
      <c r="M26" s="190">
        <f>IF($J26=1,INDEX('큐펫&amp;몹 정리(최신)'!R:R,MATCH($E26,'큐펫&amp;몹 정리(최신)'!$B:$B,0))*20,IF($J26=2,INDEX('큐펫&amp;몹 정리(최신)'!R:R,MATCH($E26,'큐펫&amp;몹 정리(최신)'!$B:$B,0))*25,IF($J26=3,INDEX('큐펫&amp;몹 정리(최신)'!R:R,MATCH($E26,'큐펫&amp;몹 정리(최신)'!$B:$B,0))*30,IF($J26=4,INDEX('큐펫&amp;몹 정리(최신)'!R:R,MATCH($E26,'큐펫&amp;몹 정리(최신)'!$B:$B,0))*35,INDEX('큐펫&amp;몹 정리(최신)'!R:R,MATCH($E26,'큐펫&amp;몹 정리(최신)'!$B:$B,0))*40))))</f>
        <v>1080</v>
      </c>
      <c r="N26" s="190">
        <f>IF($J26=1,INDEX('큐펫&amp;몹 정리(최신)'!S:S,MATCH($E26,'큐펫&amp;몹 정리(최신)'!$B:$B,0))*20,IF($J26=2,INDEX('큐펫&amp;몹 정리(최신)'!S:S,MATCH($E26,'큐펫&amp;몹 정리(최신)'!$B:$B,0))*25,IF($J26=3,INDEX('큐펫&amp;몹 정리(최신)'!S:S,MATCH($E26,'큐펫&amp;몹 정리(최신)'!$B:$B,0))*30,IF($J26=4,INDEX('큐펫&amp;몹 정리(최신)'!S:S,MATCH($E26,'큐펫&amp;몹 정리(최신)'!$B:$B,0))*35,INDEX('큐펫&amp;몹 정리(최신)'!S:S,MATCH($E26,'큐펫&amp;몹 정리(최신)'!$B:$B,0))*40))))</f>
        <v>360</v>
      </c>
      <c r="O26" s="190">
        <f>IF($J26=1,INDEX('큐펫&amp;몹 정리(최신)'!T:T,MATCH($E26,'큐펫&amp;몹 정리(최신)'!$B:$B,0))*20,IF($J26=2,INDEX('큐펫&amp;몹 정리(최신)'!T:T,MATCH($E26,'큐펫&amp;몹 정리(최신)'!$B:$B,0))*25,IF($J26=3,INDEX('큐펫&amp;몹 정리(최신)'!T:T,MATCH($E26,'큐펫&amp;몹 정리(최신)'!$B:$B,0))*30,IF($J26=4,INDEX('큐펫&amp;몹 정리(최신)'!T:T,MATCH($E26,'큐펫&amp;몹 정리(최신)'!$B:$B,0))*35,INDEX('큐펫&amp;몹 정리(최신)'!T:T,MATCH($E26,'큐펫&amp;몹 정리(최신)'!$B:$B,0))*40))))</f>
        <v>680</v>
      </c>
      <c r="P26" s="217">
        <v>100</v>
      </c>
      <c r="Q26" s="217">
        <f t="shared" si="0"/>
        <v>294120</v>
      </c>
      <c r="R26" s="217">
        <f t="shared" si="1"/>
        <v>2982</v>
      </c>
      <c r="S26" s="217">
        <f t="shared" si="2"/>
        <v>5202</v>
      </c>
      <c r="T26" s="217">
        <f t="shared" si="3"/>
        <v>47249</v>
      </c>
      <c r="U26" s="217">
        <f t="shared" si="4"/>
        <v>29895</v>
      </c>
      <c r="V26" s="217">
        <f t="shared" si="5"/>
        <v>28286</v>
      </c>
      <c r="W26" s="217">
        <f>ROUND(AC26+(INDEX(Ref!B$1:B$9,MATCH($AI26,Ref!$A$1:$A$9,0))*P26*0.0001),)</f>
        <v>42</v>
      </c>
      <c r="X26" s="217">
        <f>ROUND(AD26+(INDEX(Ref!C$1:C$9,MATCH($AI26,Ref!$A$1:$A$9,0))*$P26*0.0001),)</f>
        <v>52</v>
      </c>
      <c r="Y26" s="217">
        <f>ROUND(AE26+(INDEX(Ref!D$1:D$9,MATCH($AI26,Ref!$A$1:$A$9,0))*$P26*0.0001),)</f>
        <v>66</v>
      </c>
      <c r="Z26" s="217">
        <f>ROUND(AF26+(INDEX(Ref!E$1:E$9,MATCH($AI26,Ref!$A$1:$A$9,0))*$P26*0.0001),)</f>
        <v>66</v>
      </c>
      <c r="AA26" s="217">
        <f>ROUND(AG26+(INDEX(Ref!F$1:F$9,MATCH($AI26,Ref!$A$1:$A$9,0))*$P26*0.0001),)</f>
        <v>56</v>
      </c>
      <c r="AB26" s="217">
        <f>ROUND(AH26+(INDEX(Ref!G$1:G$9,MATCH($AI26,Ref!$A$1:$A$9,0))*$P26*0.0001),)</f>
        <v>62</v>
      </c>
      <c r="AC26" s="137">
        <v>29</v>
      </c>
      <c r="AD26" s="137">
        <v>36</v>
      </c>
      <c r="AE26" s="137">
        <v>51</v>
      </c>
      <c r="AF26" s="137">
        <v>46</v>
      </c>
      <c r="AG26" s="137">
        <v>39</v>
      </c>
      <c r="AH26" s="137">
        <v>43</v>
      </c>
      <c r="AI26" s="208">
        <v>8</v>
      </c>
      <c r="AJ26" s="172">
        <v>3000</v>
      </c>
      <c r="AK26" s="172">
        <v>30027</v>
      </c>
      <c r="AL26" s="172">
        <v>2000</v>
      </c>
      <c r="AM26" s="172">
        <v>30030</v>
      </c>
      <c r="AN26" s="172">
        <v>0</v>
      </c>
      <c r="AO26" s="172">
        <f t="shared" si="6"/>
        <v>34027</v>
      </c>
      <c r="AP26" s="172">
        <v>0</v>
      </c>
      <c r="AQ26" s="172">
        <f t="shared" si="7"/>
        <v>34030</v>
      </c>
      <c r="AR26" s="172">
        <v>1</v>
      </c>
      <c r="AS26" s="172">
        <v>0</v>
      </c>
      <c r="AT26" s="199">
        <v>78005</v>
      </c>
      <c r="AU26" s="195" t="s">
        <v>70</v>
      </c>
      <c r="AX26" s="165" t="s">
        <v>23</v>
      </c>
      <c r="AY26" s="165" t="s">
        <v>77</v>
      </c>
      <c r="AZ26" s="165" t="s">
        <v>37</v>
      </c>
      <c r="BB26" s="167">
        <v>1</v>
      </c>
      <c r="BC26" s="167" t="s">
        <v>78</v>
      </c>
    </row>
    <row r="27" spans="1:55" x14ac:dyDescent="0.2">
      <c r="A27" s="173">
        <v>55006</v>
      </c>
      <c r="B27" s="172" t="s">
        <v>79</v>
      </c>
      <c r="C27" s="172">
        <v>86006</v>
      </c>
      <c r="D27" s="172">
        <v>150006</v>
      </c>
      <c r="E27" s="206" t="s">
        <v>80</v>
      </c>
      <c r="F27" s="207">
        <v>5</v>
      </c>
      <c r="G27" s="172">
        <v>8500</v>
      </c>
      <c r="H27" s="172">
        <v>8500</v>
      </c>
      <c r="I27" s="172">
        <v>10000</v>
      </c>
      <c r="J27" s="172">
        <v>1</v>
      </c>
      <c r="K27" s="190">
        <f>IF($J27=1,INDEX('큐펫&amp;몹 정리(최신)'!P:P,MATCH($E27,'큐펫&amp;몹 정리(최신)'!$B:$B,0))*20,IF($J27=2,INDEX('큐펫&amp;몹 정리(최신)'!P:P,MATCH($E27,'큐펫&amp;몹 정리(최신)'!$B:$B,0))*25,IF($J27=3,INDEX('큐펫&amp;몹 정리(최신)'!P:P,MATCH($E27,'큐펫&amp;몹 정리(최신)'!$B:$B,0))*30,IF($J27=4,INDEX('큐펫&amp;몹 정리(최신)'!P:P,MATCH($E27,'큐펫&amp;몹 정리(최신)'!$B:$B,0))*35,INDEX('큐펫&amp;몹 정리(최신)'!P:P,MATCH($E27,'큐펫&amp;몹 정리(최신)'!$B:$B,0))*40))))</f>
        <v>800</v>
      </c>
      <c r="L27" s="190">
        <f>IF($J27=1,INDEX('큐펫&amp;몹 정리(최신)'!Q:Q,MATCH($E27,'큐펫&amp;몹 정리(최신)'!$B:$B,0))*20,IF($J27=2,INDEX('큐펫&amp;몹 정리(최신)'!Q:Q,MATCH($E27,'큐펫&amp;몹 정리(최신)'!$B:$B,0))*25,IF($J27=3,INDEX('큐펫&amp;몹 정리(최신)'!Q:Q,MATCH($E27,'큐펫&amp;몹 정리(최신)'!$B:$B,0))*30,IF($J27=4,INDEX('큐펫&amp;몹 정리(최신)'!Q:Q,MATCH($E27,'큐펫&amp;몹 정리(최신)'!$B:$B,0))*35,INDEX('큐펫&amp;몹 정리(최신)'!Q:Q,MATCH($E27,'큐펫&amp;몹 정리(최신)'!$B:$B,0))*40))))</f>
        <v>320</v>
      </c>
      <c r="M27" s="190">
        <f>IF($J27=1,INDEX('큐펫&amp;몹 정리(최신)'!R:R,MATCH($E27,'큐펫&amp;몹 정리(최신)'!$B:$B,0))*20,IF($J27=2,INDEX('큐펫&amp;몹 정리(최신)'!R:R,MATCH($E27,'큐펫&amp;몹 정리(최신)'!$B:$B,0))*25,IF($J27=3,INDEX('큐펫&amp;몹 정리(최신)'!R:R,MATCH($E27,'큐펫&amp;몹 정리(최신)'!$B:$B,0))*30,IF($J27=4,INDEX('큐펫&amp;몹 정리(최신)'!R:R,MATCH($E27,'큐펫&amp;몹 정리(최신)'!$B:$B,0))*35,INDEX('큐펫&amp;몹 정리(최신)'!R:R,MATCH($E27,'큐펫&amp;몹 정리(최신)'!$B:$B,0))*40))))</f>
        <v>140</v>
      </c>
      <c r="N27" s="190">
        <f>IF($J27=1,INDEX('큐펫&amp;몹 정리(최신)'!S:S,MATCH($E27,'큐펫&amp;몹 정리(최신)'!$B:$B,0))*20,IF($J27=2,INDEX('큐펫&amp;몹 정리(최신)'!S:S,MATCH($E27,'큐펫&amp;몹 정리(최신)'!$B:$B,0))*25,IF($J27=3,INDEX('큐펫&amp;몹 정리(최신)'!S:S,MATCH($E27,'큐펫&amp;몹 정리(최신)'!$B:$B,0))*30,IF($J27=4,INDEX('큐펫&amp;몹 정리(최신)'!S:S,MATCH($E27,'큐펫&amp;몹 정리(최신)'!$B:$B,0))*35,INDEX('큐펫&amp;몹 정리(최신)'!S:S,MATCH($E27,'큐펫&amp;몹 정리(최신)'!$B:$B,0))*40))))</f>
        <v>340</v>
      </c>
      <c r="O27" s="190">
        <f>IF($J27=1,INDEX('큐펫&amp;몹 정리(최신)'!T:T,MATCH($E27,'큐펫&amp;몹 정리(최신)'!$B:$B,0))*20,IF($J27=2,INDEX('큐펫&amp;몹 정리(최신)'!T:T,MATCH($E27,'큐펫&amp;몹 정리(최신)'!$B:$B,0))*25,IF($J27=3,INDEX('큐펫&amp;몹 정리(최신)'!T:T,MATCH($E27,'큐펫&amp;몹 정리(최신)'!$B:$B,0))*30,IF($J27=4,INDEX('큐펫&amp;몹 정리(최신)'!T:T,MATCH($E27,'큐펫&amp;몹 정리(최신)'!$B:$B,0))*35,INDEX('큐펫&amp;몹 정리(최신)'!T:T,MATCH($E27,'큐펫&amp;몹 정리(최신)'!$B:$B,0))*40))))</f>
        <v>400</v>
      </c>
      <c r="P27" s="217">
        <v>20</v>
      </c>
      <c r="Q27" s="217">
        <f t="shared" si="0"/>
        <v>26880</v>
      </c>
      <c r="R27" s="217">
        <f t="shared" si="1"/>
        <v>3790</v>
      </c>
      <c r="S27" s="217">
        <f t="shared" si="2"/>
        <v>2589</v>
      </c>
      <c r="T27" s="217">
        <f t="shared" si="3"/>
        <v>680</v>
      </c>
      <c r="U27" s="217">
        <f t="shared" si="4"/>
        <v>10720</v>
      </c>
      <c r="V27" s="217">
        <f t="shared" si="5"/>
        <v>6321</v>
      </c>
      <c r="W27" s="217">
        <f>ROUND(AC27+(INDEX(Ref!B$1:B$9,MATCH($AI27,Ref!$A$1:$A$9,0))*P27*0.0001),)</f>
        <v>34</v>
      </c>
      <c r="X27" s="217">
        <f>ROUND(AD27+(INDEX(Ref!C$1:C$9,MATCH($AI27,Ref!$A$1:$A$9,0))*$P27*0.0001),)</f>
        <v>26</v>
      </c>
      <c r="Y27" s="217">
        <f>ROUND(AE27+(INDEX(Ref!D$1:D$9,MATCH($AI27,Ref!$A$1:$A$9,0))*$P27*0.0001),)</f>
        <v>43</v>
      </c>
      <c r="Z27" s="217">
        <f>ROUND(AF27+(INDEX(Ref!E$1:E$9,MATCH($AI27,Ref!$A$1:$A$9,0))*$P27*0.0001),)</f>
        <v>21</v>
      </c>
      <c r="AA27" s="217">
        <f>ROUND(AG27+(INDEX(Ref!F$1:F$9,MATCH($AI27,Ref!$A$1:$A$9,0))*$P27*0.0001),)</f>
        <v>28</v>
      </c>
      <c r="AB27" s="217">
        <f>ROUND(AH27+(INDEX(Ref!G$1:G$9,MATCH($AI27,Ref!$A$1:$A$9,0))*$P27*0.0001),)</f>
        <v>32</v>
      </c>
      <c r="AC27" s="137">
        <v>30</v>
      </c>
      <c r="AD27" s="137">
        <v>23</v>
      </c>
      <c r="AE27" s="137">
        <v>40</v>
      </c>
      <c r="AF27" s="137">
        <v>18</v>
      </c>
      <c r="AG27" s="137">
        <v>25</v>
      </c>
      <c r="AH27" s="137">
        <v>28</v>
      </c>
      <c r="AI27" s="208">
        <v>7</v>
      </c>
      <c r="AJ27" s="172">
        <v>3000</v>
      </c>
      <c r="AK27" s="172">
        <v>30031</v>
      </c>
      <c r="AL27" s="172">
        <v>2000</v>
      </c>
      <c r="AM27" s="172">
        <v>30034</v>
      </c>
      <c r="AN27" s="172">
        <v>0</v>
      </c>
      <c r="AO27" s="172">
        <f t="shared" si="6"/>
        <v>34031</v>
      </c>
      <c r="AP27" s="172">
        <v>0</v>
      </c>
      <c r="AQ27" s="172">
        <f t="shared" si="7"/>
        <v>34034</v>
      </c>
      <c r="AR27" s="172">
        <v>1</v>
      </c>
      <c r="AS27" s="172">
        <v>0</v>
      </c>
      <c r="AT27" s="199">
        <v>78006</v>
      </c>
      <c r="AU27" s="196" t="s">
        <v>81</v>
      </c>
      <c r="AX27" s="165" t="s">
        <v>24</v>
      </c>
      <c r="AY27" s="165" t="s">
        <v>82</v>
      </c>
      <c r="AZ27" s="165" t="s">
        <v>74</v>
      </c>
      <c r="BB27" s="167">
        <v>2</v>
      </c>
      <c r="BC27" s="167" t="s">
        <v>83</v>
      </c>
    </row>
    <row r="28" spans="1:55" x14ac:dyDescent="0.2">
      <c r="A28" s="173">
        <v>55006</v>
      </c>
      <c r="B28" s="172" t="s">
        <v>79</v>
      </c>
      <c r="C28" s="172">
        <v>86006</v>
      </c>
      <c r="D28" s="172">
        <v>150006</v>
      </c>
      <c r="E28" s="206" t="s">
        <v>80</v>
      </c>
      <c r="F28" s="207">
        <v>5</v>
      </c>
      <c r="G28" s="172">
        <v>8500</v>
      </c>
      <c r="H28" s="172">
        <v>8500</v>
      </c>
      <c r="I28" s="172">
        <v>10000</v>
      </c>
      <c r="J28" s="172">
        <v>2</v>
      </c>
      <c r="K28" s="190">
        <f>IF($J28=1,INDEX('큐펫&amp;몹 정리(최신)'!P:P,MATCH($E28,'큐펫&amp;몹 정리(최신)'!$B:$B,0))*20,IF($J28=2,INDEX('큐펫&amp;몹 정리(최신)'!P:P,MATCH($E28,'큐펫&amp;몹 정리(최신)'!$B:$B,0))*25,IF($J28=3,INDEX('큐펫&amp;몹 정리(최신)'!P:P,MATCH($E28,'큐펫&amp;몹 정리(최신)'!$B:$B,0))*30,IF($J28=4,INDEX('큐펫&amp;몹 정리(최신)'!P:P,MATCH($E28,'큐펫&amp;몹 정리(최신)'!$B:$B,0))*35,INDEX('큐펫&amp;몹 정리(최신)'!P:P,MATCH($E28,'큐펫&amp;몹 정리(최신)'!$B:$B,0))*40))))</f>
        <v>1000</v>
      </c>
      <c r="L28" s="190">
        <f>IF($J28=1,INDEX('큐펫&amp;몹 정리(최신)'!Q:Q,MATCH($E28,'큐펫&amp;몹 정리(최신)'!$B:$B,0))*20,IF($J28=2,INDEX('큐펫&amp;몹 정리(최신)'!Q:Q,MATCH($E28,'큐펫&amp;몹 정리(최신)'!$B:$B,0))*25,IF($J28=3,INDEX('큐펫&amp;몹 정리(최신)'!Q:Q,MATCH($E28,'큐펫&amp;몹 정리(최신)'!$B:$B,0))*30,IF($J28=4,INDEX('큐펫&amp;몹 정리(최신)'!Q:Q,MATCH($E28,'큐펫&amp;몹 정리(최신)'!$B:$B,0))*35,INDEX('큐펫&amp;몹 정리(최신)'!Q:Q,MATCH($E28,'큐펫&amp;몹 정리(최신)'!$B:$B,0))*40))))</f>
        <v>400</v>
      </c>
      <c r="M28" s="190">
        <f>IF($J28=1,INDEX('큐펫&amp;몹 정리(최신)'!R:R,MATCH($E28,'큐펫&amp;몹 정리(최신)'!$B:$B,0))*20,IF($J28=2,INDEX('큐펫&amp;몹 정리(최신)'!R:R,MATCH($E28,'큐펫&amp;몹 정리(최신)'!$B:$B,0))*25,IF($J28=3,INDEX('큐펫&amp;몹 정리(최신)'!R:R,MATCH($E28,'큐펫&amp;몹 정리(최신)'!$B:$B,0))*30,IF($J28=4,INDEX('큐펫&amp;몹 정리(최신)'!R:R,MATCH($E28,'큐펫&amp;몹 정리(최신)'!$B:$B,0))*35,INDEX('큐펫&amp;몹 정리(최신)'!R:R,MATCH($E28,'큐펫&amp;몹 정리(최신)'!$B:$B,0))*40))))</f>
        <v>175</v>
      </c>
      <c r="N28" s="190">
        <f>IF($J28=1,INDEX('큐펫&amp;몹 정리(최신)'!S:S,MATCH($E28,'큐펫&amp;몹 정리(최신)'!$B:$B,0))*20,IF($J28=2,INDEX('큐펫&amp;몹 정리(최신)'!S:S,MATCH($E28,'큐펫&amp;몹 정리(최신)'!$B:$B,0))*25,IF($J28=3,INDEX('큐펫&amp;몹 정리(최신)'!S:S,MATCH($E28,'큐펫&amp;몹 정리(최신)'!$B:$B,0))*30,IF($J28=4,INDEX('큐펫&amp;몹 정리(최신)'!S:S,MATCH($E28,'큐펫&amp;몹 정리(최신)'!$B:$B,0))*35,INDEX('큐펫&amp;몹 정리(최신)'!S:S,MATCH($E28,'큐펫&amp;몹 정리(최신)'!$B:$B,0))*40))))</f>
        <v>425</v>
      </c>
      <c r="O28" s="190">
        <f>IF($J28=1,INDEX('큐펫&amp;몹 정리(최신)'!T:T,MATCH($E28,'큐펫&amp;몹 정리(최신)'!$B:$B,0))*20,IF($J28=2,INDEX('큐펫&amp;몹 정리(최신)'!T:T,MATCH($E28,'큐펫&amp;몹 정리(최신)'!$B:$B,0))*25,IF($J28=3,INDEX('큐펫&amp;몹 정리(최신)'!T:T,MATCH($E28,'큐펫&amp;몹 정리(최신)'!$B:$B,0))*30,IF($J28=4,INDEX('큐펫&amp;몹 정리(최신)'!T:T,MATCH($E28,'큐펫&amp;몹 정리(최신)'!$B:$B,0))*35,INDEX('큐펫&amp;몹 정리(최신)'!T:T,MATCH($E28,'큐펫&amp;몹 정리(최신)'!$B:$B,0))*40))))</f>
        <v>500</v>
      </c>
      <c r="P28" s="217">
        <v>40</v>
      </c>
      <c r="Q28" s="217">
        <f t="shared" si="0"/>
        <v>64600</v>
      </c>
      <c r="R28" s="217">
        <f t="shared" si="1"/>
        <v>7176</v>
      </c>
      <c r="S28" s="217">
        <f t="shared" si="2"/>
        <v>5008</v>
      </c>
      <c r="T28" s="217">
        <f t="shared" si="3"/>
        <v>1269</v>
      </c>
      <c r="U28" s="217">
        <f t="shared" si="4"/>
        <v>18925</v>
      </c>
      <c r="V28" s="217">
        <f t="shared" si="5"/>
        <v>11151</v>
      </c>
      <c r="W28" s="217">
        <f>ROUND(AC28+(INDEX(Ref!B$1:B$9,MATCH($AI28,Ref!$A$1:$A$9,0))*P28*0.0001),)</f>
        <v>42</v>
      </c>
      <c r="X28" s="217">
        <f>ROUND(AD28+(INDEX(Ref!C$1:C$9,MATCH($AI28,Ref!$A$1:$A$9,0))*$P28*0.0001),)</f>
        <v>32</v>
      </c>
      <c r="Y28" s="217">
        <f>ROUND(AE28+(INDEX(Ref!D$1:D$9,MATCH($AI28,Ref!$A$1:$A$9,0))*$P28*0.0001),)</f>
        <v>49</v>
      </c>
      <c r="Z28" s="217">
        <f>ROUND(AF28+(INDEX(Ref!E$1:E$9,MATCH($AI28,Ref!$A$1:$A$9,0))*$P28*0.0001),)</f>
        <v>26</v>
      </c>
      <c r="AA28" s="217">
        <f>ROUND(AG28+(INDEX(Ref!F$1:F$9,MATCH($AI28,Ref!$A$1:$A$9,0))*$P28*0.0001),)</f>
        <v>35</v>
      </c>
      <c r="AB28" s="217">
        <f>ROUND(AH28+(INDEX(Ref!G$1:G$9,MATCH($AI28,Ref!$A$1:$A$9,0))*$P28*0.0001),)</f>
        <v>40</v>
      </c>
      <c r="AC28" s="137">
        <v>34</v>
      </c>
      <c r="AD28" s="137">
        <v>26</v>
      </c>
      <c r="AE28" s="137">
        <v>43</v>
      </c>
      <c r="AF28" s="137">
        <v>21</v>
      </c>
      <c r="AG28" s="137">
        <v>28</v>
      </c>
      <c r="AH28" s="137">
        <v>32</v>
      </c>
      <c r="AI28" s="208">
        <v>7</v>
      </c>
      <c r="AJ28" s="172">
        <v>3000</v>
      </c>
      <c r="AK28" s="172">
        <v>30032</v>
      </c>
      <c r="AL28" s="172">
        <v>2000</v>
      </c>
      <c r="AM28" s="172">
        <v>30034</v>
      </c>
      <c r="AN28" s="172">
        <v>0</v>
      </c>
      <c r="AO28" s="172">
        <f t="shared" si="6"/>
        <v>34032</v>
      </c>
      <c r="AP28" s="172">
        <v>0</v>
      </c>
      <c r="AQ28" s="172">
        <f t="shared" si="7"/>
        <v>34034</v>
      </c>
      <c r="AR28" s="172">
        <v>1</v>
      </c>
      <c r="AS28" s="172">
        <v>0</v>
      </c>
      <c r="AT28" s="199">
        <v>78006</v>
      </c>
      <c r="AU28" s="196" t="s">
        <v>81</v>
      </c>
      <c r="AX28" s="165" t="s">
        <v>25</v>
      </c>
      <c r="AY28" s="165" t="s">
        <v>77</v>
      </c>
      <c r="AZ28" s="165" t="s">
        <v>37</v>
      </c>
      <c r="BB28" s="167">
        <v>3</v>
      </c>
      <c r="BC28" s="167" t="s">
        <v>84</v>
      </c>
    </row>
    <row r="29" spans="1:55" x14ac:dyDescent="0.2">
      <c r="A29" s="173">
        <v>55006</v>
      </c>
      <c r="B29" s="172" t="s">
        <v>79</v>
      </c>
      <c r="C29" s="172">
        <v>86006</v>
      </c>
      <c r="D29" s="172">
        <v>150006</v>
      </c>
      <c r="E29" s="206" t="s">
        <v>80</v>
      </c>
      <c r="F29" s="207">
        <v>5</v>
      </c>
      <c r="G29" s="172">
        <v>8500</v>
      </c>
      <c r="H29" s="172">
        <v>8500</v>
      </c>
      <c r="I29" s="172">
        <v>10000</v>
      </c>
      <c r="J29" s="172">
        <v>3</v>
      </c>
      <c r="K29" s="190">
        <f>IF($J29=1,INDEX('큐펫&amp;몹 정리(최신)'!P:P,MATCH($E29,'큐펫&amp;몹 정리(최신)'!$B:$B,0))*20,IF($J29=2,INDEX('큐펫&amp;몹 정리(최신)'!P:P,MATCH($E29,'큐펫&amp;몹 정리(최신)'!$B:$B,0))*25,IF($J29=3,INDEX('큐펫&amp;몹 정리(최신)'!P:P,MATCH($E29,'큐펫&amp;몹 정리(최신)'!$B:$B,0))*30,IF($J29=4,INDEX('큐펫&amp;몹 정리(최신)'!P:P,MATCH($E29,'큐펫&amp;몹 정리(최신)'!$B:$B,0))*35,INDEX('큐펫&amp;몹 정리(최신)'!P:P,MATCH($E29,'큐펫&amp;몹 정리(최신)'!$B:$B,0))*40))))</f>
        <v>1200</v>
      </c>
      <c r="L29" s="190">
        <f>IF($J29=1,INDEX('큐펫&amp;몹 정리(최신)'!Q:Q,MATCH($E29,'큐펫&amp;몹 정리(최신)'!$B:$B,0))*20,IF($J29=2,INDEX('큐펫&amp;몹 정리(최신)'!Q:Q,MATCH($E29,'큐펫&amp;몹 정리(최신)'!$B:$B,0))*25,IF($J29=3,INDEX('큐펫&amp;몹 정리(최신)'!Q:Q,MATCH($E29,'큐펫&amp;몹 정리(최신)'!$B:$B,0))*30,IF($J29=4,INDEX('큐펫&amp;몹 정리(최신)'!Q:Q,MATCH($E29,'큐펫&amp;몹 정리(최신)'!$B:$B,0))*35,INDEX('큐펫&amp;몹 정리(최신)'!Q:Q,MATCH($E29,'큐펫&amp;몹 정리(최신)'!$B:$B,0))*40))))</f>
        <v>480</v>
      </c>
      <c r="M29" s="190">
        <f>IF($J29=1,INDEX('큐펫&amp;몹 정리(최신)'!R:R,MATCH($E29,'큐펫&amp;몹 정리(최신)'!$B:$B,0))*20,IF($J29=2,INDEX('큐펫&amp;몹 정리(최신)'!R:R,MATCH($E29,'큐펫&amp;몹 정리(최신)'!$B:$B,0))*25,IF($J29=3,INDEX('큐펫&amp;몹 정리(최신)'!R:R,MATCH($E29,'큐펫&amp;몹 정리(최신)'!$B:$B,0))*30,IF($J29=4,INDEX('큐펫&amp;몹 정리(최신)'!R:R,MATCH($E29,'큐펫&amp;몹 정리(최신)'!$B:$B,0))*35,INDEX('큐펫&amp;몹 정리(최신)'!R:R,MATCH($E29,'큐펫&amp;몹 정리(최신)'!$B:$B,0))*40))))</f>
        <v>210</v>
      </c>
      <c r="N29" s="190">
        <f>IF($J29=1,INDEX('큐펫&amp;몹 정리(최신)'!S:S,MATCH($E29,'큐펫&amp;몹 정리(최신)'!$B:$B,0))*20,IF($J29=2,INDEX('큐펫&amp;몹 정리(최신)'!S:S,MATCH($E29,'큐펫&amp;몹 정리(최신)'!$B:$B,0))*25,IF($J29=3,INDEX('큐펫&amp;몹 정리(최신)'!S:S,MATCH($E29,'큐펫&amp;몹 정리(최신)'!$B:$B,0))*30,IF($J29=4,INDEX('큐펫&amp;몹 정리(최신)'!S:S,MATCH($E29,'큐펫&amp;몹 정리(최신)'!$B:$B,0))*35,INDEX('큐펫&amp;몹 정리(최신)'!S:S,MATCH($E29,'큐펫&amp;몹 정리(최신)'!$B:$B,0))*40))))</f>
        <v>510</v>
      </c>
      <c r="O29" s="190">
        <f>IF($J29=1,INDEX('큐펫&amp;몹 정리(최신)'!T:T,MATCH($E29,'큐펫&amp;몹 정리(최신)'!$B:$B,0))*20,IF($J29=2,INDEX('큐펫&amp;몹 정리(최신)'!T:T,MATCH($E29,'큐펫&amp;몹 정리(최신)'!$B:$B,0))*25,IF($J29=3,INDEX('큐펫&amp;몹 정리(최신)'!T:T,MATCH($E29,'큐펫&amp;몹 정리(최신)'!$B:$B,0))*30,IF($J29=4,INDEX('큐펫&amp;몹 정리(최신)'!T:T,MATCH($E29,'큐펫&amp;몹 정리(최신)'!$B:$B,0))*35,INDEX('큐펫&amp;몹 정리(최신)'!T:T,MATCH($E29,'큐펫&amp;몹 정리(최신)'!$B:$B,0))*40))))</f>
        <v>600</v>
      </c>
      <c r="P29" s="217">
        <v>60</v>
      </c>
      <c r="Q29" s="217">
        <f t="shared" si="0"/>
        <v>116880</v>
      </c>
      <c r="R29" s="217">
        <f t="shared" si="1"/>
        <v>12149</v>
      </c>
      <c r="S29" s="217">
        <f t="shared" si="2"/>
        <v>8603</v>
      </c>
      <c r="T29" s="217">
        <f t="shared" si="3"/>
        <v>2127</v>
      </c>
      <c r="U29" s="217">
        <f t="shared" si="4"/>
        <v>29086</v>
      </c>
      <c r="V29" s="217">
        <f t="shared" si="5"/>
        <v>17131</v>
      </c>
      <c r="W29" s="217">
        <f>ROUND(AC29+(INDEX(Ref!B$1:B$9,MATCH($AI29,Ref!$A$1:$A$9,0))*P29*0.0001),)</f>
        <v>50</v>
      </c>
      <c r="X29" s="217">
        <f>ROUND(AD29+(INDEX(Ref!C$1:C$9,MATCH($AI29,Ref!$A$1:$A$9,0))*$P29*0.0001),)</f>
        <v>40</v>
      </c>
      <c r="Y29" s="217">
        <f>ROUND(AE29+(INDEX(Ref!D$1:D$9,MATCH($AI29,Ref!$A$1:$A$9,0))*$P29*0.0001),)</f>
        <v>54</v>
      </c>
      <c r="Z29" s="217">
        <f>ROUND(AF29+(INDEX(Ref!E$1:E$9,MATCH($AI29,Ref!$A$1:$A$9,0))*$P29*0.0001),)</f>
        <v>31</v>
      </c>
      <c r="AA29" s="217">
        <f>ROUND(AG29+(INDEX(Ref!F$1:F$9,MATCH($AI29,Ref!$A$1:$A$9,0))*$P29*0.0001),)</f>
        <v>42</v>
      </c>
      <c r="AB29" s="217">
        <f>ROUND(AH29+(INDEX(Ref!G$1:G$9,MATCH($AI29,Ref!$A$1:$A$9,0))*$P29*0.0001),)</f>
        <v>47</v>
      </c>
      <c r="AC29" s="137">
        <v>38</v>
      </c>
      <c r="AD29" s="137">
        <v>30</v>
      </c>
      <c r="AE29" s="137">
        <v>45</v>
      </c>
      <c r="AF29" s="137">
        <v>23</v>
      </c>
      <c r="AG29" s="137">
        <v>32</v>
      </c>
      <c r="AH29" s="137">
        <v>36</v>
      </c>
      <c r="AI29" s="208">
        <v>7</v>
      </c>
      <c r="AJ29" s="172">
        <v>3000</v>
      </c>
      <c r="AK29" s="172">
        <v>30032</v>
      </c>
      <c r="AL29" s="172">
        <v>2000</v>
      </c>
      <c r="AM29" s="172">
        <v>30035</v>
      </c>
      <c r="AN29" s="172">
        <v>0</v>
      </c>
      <c r="AO29" s="172">
        <f t="shared" si="6"/>
        <v>34032</v>
      </c>
      <c r="AP29" s="172">
        <v>0</v>
      </c>
      <c r="AQ29" s="172">
        <f t="shared" si="7"/>
        <v>34035</v>
      </c>
      <c r="AR29" s="172">
        <v>1</v>
      </c>
      <c r="AS29" s="172">
        <v>0</v>
      </c>
      <c r="AT29" s="199">
        <v>78006</v>
      </c>
      <c r="AU29" s="196" t="s">
        <v>81</v>
      </c>
      <c r="AX29" s="202" t="s">
        <v>26</v>
      </c>
      <c r="AY29" s="200" t="s">
        <v>85</v>
      </c>
      <c r="AZ29" s="200" t="s">
        <v>86</v>
      </c>
      <c r="BB29" s="167">
        <v>4</v>
      </c>
      <c r="BC29" s="167" t="s">
        <v>87</v>
      </c>
    </row>
    <row r="30" spans="1:55" x14ac:dyDescent="0.2">
      <c r="A30" s="173">
        <v>55006</v>
      </c>
      <c r="B30" s="172" t="s">
        <v>79</v>
      </c>
      <c r="C30" s="172">
        <v>86006</v>
      </c>
      <c r="D30" s="172">
        <v>150006</v>
      </c>
      <c r="E30" s="206" t="s">
        <v>80</v>
      </c>
      <c r="F30" s="207">
        <v>5</v>
      </c>
      <c r="G30" s="172">
        <v>8500</v>
      </c>
      <c r="H30" s="172">
        <v>8500</v>
      </c>
      <c r="I30" s="172">
        <v>10000</v>
      </c>
      <c r="J30" s="172">
        <v>4</v>
      </c>
      <c r="K30" s="190">
        <f>IF($J30=1,INDEX('큐펫&amp;몹 정리(최신)'!P:P,MATCH($E30,'큐펫&amp;몹 정리(최신)'!$B:$B,0))*20,IF($J30=2,INDEX('큐펫&amp;몹 정리(최신)'!P:P,MATCH($E30,'큐펫&amp;몹 정리(최신)'!$B:$B,0))*25,IF($J30=3,INDEX('큐펫&amp;몹 정리(최신)'!P:P,MATCH($E30,'큐펫&amp;몹 정리(최신)'!$B:$B,0))*30,IF($J30=4,INDEX('큐펫&amp;몹 정리(최신)'!P:P,MATCH($E30,'큐펫&amp;몹 정리(최신)'!$B:$B,0))*35,INDEX('큐펫&amp;몹 정리(최신)'!P:P,MATCH($E30,'큐펫&amp;몹 정리(최신)'!$B:$B,0))*40))))</f>
        <v>1400</v>
      </c>
      <c r="L30" s="190">
        <f>IF($J30=1,INDEX('큐펫&amp;몹 정리(최신)'!Q:Q,MATCH($E30,'큐펫&amp;몹 정리(최신)'!$B:$B,0))*20,IF($J30=2,INDEX('큐펫&amp;몹 정리(최신)'!Q:Q,MATCH($E30,'큐펫&amp;몹 정리(최신)'!$B:$B,0))*25,IF($J30=3,INDEX('큐펫&amp;몹 정리(최신)'!Q:Q,MATCH($E30,'큐펫&amp;몹 정리(최신)'!$B:$B,0))*30,IF($J30=4,INDEX('큐펫&amp;몹 정리(최신)'!Q:Q,MATCH($E30,'큐펫&amp;몹 정리(최신)'!$B:$B,0))*35,INDEX('큐펫&amp;몹 정리(최신)'!Q:Q,MATCH($E30,'큐펫&amp;몹 정리(최신)'!$B:$B,0))*40))))</f>
        <v>560</v>
      </c>
      <c r="M30" s="190">
        <f>IF($J30=1,INDEX('큐펫&amp;몹 정리(최신)'!R:R,MATCH($E30,'큐펫&amp;몹 정리(최신)'!$B:$B,0))*20,IF($J30=2,INDEX('큐펫&amp;몹 정리(최신)'!R:R,MATCH($E30,'큐펫&amp;몹 정리(최신)'!$B:$B,0))*25,IF($J30=3,INDEX('큐펫&amp;몹 정리(최신)'!R:R,MATCH($E30,'큐펫&amp;몹 정리(최신)'!$B:$B,0))*30,IF($J30=4,INDEX('큐펫&amp;몹 정리(최신)'!R:R,MATCH($E30,'큐펫&amp;몹 정리(최신)'!$B:$B,0))*35,INDEX('큐펫&amp;몹 정리(최신)'!R:R,MATCH($E30,'큐펫&amp;몹 정리(최신)'!$B:$B,0))*40))))</f>
        <v>245</v>
      </c>
      <c r="N30" s="190">
        <f>IF($J30=1,INDEX('큐펫&amp;몹 정리(최신)'!S:S,MATCH($E30,'큐펫&amp;몹 정리(최신)'!$B:$B,0))*20,IF($J30=2,INDEX('큐펫&amp;몹 정리(최신)'!S:S,MATCH($E30,'큐펫&amp;몹 정리(최신)'!$B:$B,0))*25,IF($J30=3,INDEX('큐펫&amp;몹 정리(최신)'!S:S,MATCH($E30,'큐펫&amp;몹 정리(최신)'!$B:$B,0))*30,IF($J30=4,INDEX('큐펫&amp;몹 정리(최신)'!S:S,MATCH($E30,'큐펫&amp;몹 정리(최신)'!$B:$B,0))*35,INDEX('큐펫&amp;몹 정리(최신)'!S:S,MATCH($E30,'큐펫&amp;몹 정리(최신)'!$B:$B,0))*40))))</f>
        <v>595</v>
      </c>
      <c r="O30" s="190">
        <f>IF($J30=1,INDEX('큐펫&amp;몹 정리(최신)'!T:T,MATCH($E30,'큐펫&amp;몹 정리(최신)'!$B:$B,0))*20,IF($J30=2,INDEX('큐펫&amp;몹 정리(최신)'!T:T,MATCH($E30,'큐펫&amp;몹 정리(최신)'!$B:$B,0))*25,IF($J30=3,INDEX('큐펫&amp;몹 정리(최신)'!T:T,MATCH($E30,'큐펫&amp;몹 정리(최신)'!$B:$B,0))*30,IF($J30=4,INDEX('큐펫&amp;몹 정리(최신)'!T:T,MATCH($E30,'큐펫&amp;몹 정리(최신)'!$B:$B,0))*35,INDEX('큐펫&amp;몹 정리(최신)'!T:T,MATCH($E30,'큐펫&amp;몹 정리(최신)'!$B:$B,0))*40))))</f>
        <v>700</v>
      </c>
      <c r="P30" s="217">
        <v>80</v>
      </c>
      <c r="Q30" s="217">
        <f t="shared" si="0"/>
        <v>187320</v>
      </c>
      <c r="R30" s="217">
        <f t="shared" si="1"/>
        <v>19017</v>
      </c>
      <c r="S30" s="217">
        <f t="shared" si="2"/>
        <v>13608</v>
      </c>
      <c r="T30" s="217">
        <f t="shared" si="3"/>
        <v>3306</v>
      </c>
      <c r="U30" s="217">
        <f t="shared" si="4"/>
        <v>41965</v>
      </c>
      <c r="V30" s="217">
        <f t="shared" si="5"/>
        <v>24711</v>
      </c>
      <c r="W30" s="217">
        <f>ROUND(AC30+(INDEX(Ref!B$1:B$9,MATCH($AI30,Ref!$A$1:$A$9,0))*P30*0.0001),)</f>
        <v>58</v>
      </c>
      <c r="X30" s="217">
        <f>ROUND(AD30+(INDEX(Ref!C$1:C$9,MATCH($AI30,Ref!$A$1:$A$9,0))*$P30*0.0001),)</f>
        <v>46</v>
      </c>
      <c r="Y30" s="217">
        <f>ROUND(AE30+(INDEX(Ref!D$1:D$9,MATCH($AI30,Ref!$A$1:$A$9,0))*$P30*0.0001),)</f>
        <v>61</v>
      </c>
      <c r="Z30" s="217">
        <f>ROUND(AF30+(INDEX(Ref!E$1:E$9,MATCH($AI30,Ref!$A$1:$A$9,0))*$P30*0.0001),)</f>
        <v>36</v>
      </c>
      <c r="AA30" s="217">
        <f>ROUND(AG30+(INDEX(Ref!F$1:F$9,MATCH($AI30,Ref!$A$1:$A$9,0))*$P30*0.0001),)</f>
        <v>49</v>
      </c>
      <c r="AB30" s="217">
        <f>ROUND(AH30+(INDEX(Ref!G$1:G$9,MATCH($AI30,Ref!$A$1:$A$9,0))*$P30*0.0001),)</f>
        <v>54</v>
      </c>
      <c r="AC30" s="137">
        <v>42</v>
      </c>
      <c r="AD30" s="137">
        <v>33</v>
      </c>
      <c r="AE30" s="137">
        <v>49</v>
      </c>
      <c r="AF30" s="137">
        <v>26</v>
      </c>
      <c r="AG30" s="137">
        <v>35</v>
      </c>
      <c r="AH30" s="137">
        <v>39</v>
      </c>
      <c r="AI30" s="208">
        <v>7</v>
      </c>
      <c r="AJ30" s="172">
        <v>3000</v>
      </c>
      <c r="AK30" s="172">
        <v>30033</v>
      </c>
      <c r="AL30" s="172">
        <v>2000</v>
      </c>
      <c r="AM30" s="172">
        <v>30035</v>
      </c>
      <c r="AN30" s="172">
        <v>0</v>
      </c>
      <c r="AO30" s="172">
        <f t="shared" si="6"/>
        <v>34033</v>
      </c>
      <c r="AP30" s="172">
        <v>0</v>
      </c>
      <c r="AQ30" s="172">
        <f t="shared" si="7"/>
        <v>34035</v>
      </c>
      <c r="AR30" s="172">
        <v>1</v>
      </c>
      <c r="AS30" s="172">
        <v>0</v>
      </c>
      <c r="AT30" s="199">
        <v>78006</v>
      </c>
      <c r="AU30" s="196" t="s">
        <v>81</v>
      </c>
      <c r="AX30" s="165" t="s">
        <v>27</v>
      </c>
      <c r="AY30" s="165" t="s">
        <v>88</v>
      </c>
      <c r="AZ30" s="165" t="s">
        <v>89</v>
      </c>
      <c r="BB30" s="167">
        <v>5</v>
      </c>
      <c r="BC30" s="167" t="s">
        <v>90</v>
      </c>
    </row>
    <row r="31" spans="1:55" x14ac:dyDescent="0.2">
      <c r="A31" s="173">
        <v>55006</v>
      </c>
      <c r="B31" s="172" t="s">
        <v>79</v>
      </c>
      <c r="C31" s="172">
        <v>86006</v>
      </c>
      <c r="D31" s="172">
        <v>150006</v>
      </c>
      <c r="E31" s="206" t="s">
        <v>80</v>
      </c>
      <c r="F31" s="207">
        <v>5</v>
      </c>
      <c r="G31" s="172">
        <v>8500</v>
      </c>
      <c r="H31" s="172">
        <v>8500</v>
      </c>
      <c r="I31" s="172">
        <v>10000</v>
      </c>
      <c r="J31" s="172">
        <v>5</v>
      </c>
      <c r="K31" s="190">
        <f>IF($J31=1,INDEX('큐펫&amp;몹 정리(최신)'!P:P,MATCH($E31,'큐펫&amp;몹 정리(최신)'!$B:$B,0))*20,IF($J31=2,INDEX('큐펫&amp;몹 정리(최신)'!P:P,MATCH($E31,'큐펫&amp;몹 정리(최신)'!$B:$B,0))*25,IF($J31=3,INDEX('큐펫&amp;몹 정리(최신)'!P:P,MATCH($E31,'큐펫&amp;몹 정리(최신)'!$B:$B,0))*30,IF($J31=4,INDEX('큐펫&amp;몹 정리(최신)'!P:P,MATCH($E31,'큐펫&amp;몹 정리(최신)'!$B:$B,0))*35,INDEX('큐펫&amp;몹 정리(최신)'!P:P,MATCH($E31,'큐펫&amp;몹 정리(최신)'!$B:$B,0))*40))))</f>
        <v>1600</v>
      </c>
      <c r="L31" s="190">
        <f>IF($J31=1,INDEX('큐펫&amp;몹 정리(최신)'!Q:Q,MATCH($E31,'큐펫&amp;몹 정리(최신)'!$B:$B,0))*20,IF($J31=2,INDEX('큐펫&amp;몹 정리(최신)'!Q:Q,MATCH($E31,'큐펫&amp;몹 정리(최신)'!$B:$B,0))*25,IF($J31=3,INDEX('큐펫&amp;몹 정리(최신)'!Q:Q,MATCH($E31,'큐펫&amp;몹 정리(최신)'!$B:$B,0))*30,IF($J31=4,INDEX('큐펫&amp;몹 정리(최신)'!Q:Q,MATCH($E31,'큐펫&amp;몹 정리(최신)'!$B:$B,0))*35,INDEX('큐펫&amp;몹 정리(최신)'!Q:Q,MATCH($E31,'큐펫&amp;몹 정리(최신)'!$B:$B,0))*40))))</f>
        <v>640</v>
      </c>
      <c r="M31" s="190">
        <f>IF($J31=1,INDEX('큐펫&amp;몹 정리(최신)'!R:R,MATCH($E31,'큐펫&amp;몹 정리(최신)'!$B:$B,0))*20,IF($J31=2,INDEX('큐펫&amp;몹 정리(최신)'!R:R,MATCH($E31,'큐펫&amp;몹 정리(최신)'!$B:$B,0))*25,IF($J31=3,INDEX('큐펫&amp;몹 정리(최신)'!R:R,MATCH($E31,'큐펫&amp;몹 정리(최신)'!$B:$B,0))*30,IF($J31=4,INDEX('큐펫&amp;몹 정리(최신)'!R:R,MATCH($E31,'큐펫&amp;몹 정리(최신)'!$B:$B,0))*35,INDEX('큐펫&amp;몹 정리(최신)'!R:R,MATCH($E31,'큐펫&amp;몹 정리(최신)'!$B:$B,0))*40))))</f>
        <v>280</v>
      </c>
      <c r="N31" s="190">
        <f>IF($J31=1,INDEX('큐펫&amp;몹 정리(최신)'!S:S,MATCH($E31,'큐펫&amp;몹 정리(최신)'!$B:$B,0))*20,IF($J31=2,INDEX('큐펫&amp;몹 정리(최신)'!S:S,MATCH($E31,'큐펫&amp;몹 정리(최신)'!$B:$B,0))*25,IF($J31=3,INDEX('큐펫&amp;몹 정리(최신)'!S:S,MATCH($E31,'큐펫&amp;몹 정리(최신)'!$B:$B,0))*30,IF($J31=4,INDEX('큐펫&amp;몹 정리(최신)'!S:S,MATCH($E31,'큐펫&amp;몹 정리(최신)'!$B:$B,0))*35,INDEX('큐펫&amp;몹 정리(최신)'!S:S,MATCH($E31,'큐펫&amp;몹 정리(최신)'!$B:$B,0))*40))))</f>
        <v>680</v>
      </c>
      <c r="O31" s="190">
        <f>IF($J31=1,INDEX('큐펫&amp;몹 정리(최신)'!T:T,MATCH($E31,'큐펫&amp;몹 정리(최신)'!$B:$B,0))*20,IF($J31=2,INDEX('큐펫&amp;몹 정리(최신)'!T:T,MATCH($E31,'큐펫&amp;몹 정리(최신)'!$B:$B,0))*25,IF($J31=3,INDEX('큐펫&amp;몹 정리(최신)'!T:T,MATCH($E31,'큐펫&amp;몹 정리(최신)'!$B:$B,0))*30,IF($J31=4,INDEX('큐펫&amp;몹 정리(최신)'!T:T,MATCH($E31,'큐펫&amp;몹 정리(최신)'!$B:$B,0))*35,INDEX('큐펫&amp;몹 정리(최신)'!T:T,MATCH($E31,'큐펫&amp;몹 정리(최신)'!$B:$B,0))*40))))</f>
        <v>800</v>
      </c>
      <c r="P31" s="217">
        <v>100</v>
      </c>
      <c r="Q31" s="217">
        <f t="shared" si="0"/>
        <v>275200</v>
      </c>
      <c r="R31" s="217">
        <f t="shared" si="1"/>
        <v>28086</v>
      </c>
      <c r="S31" s="217">
        <f t="shared" si="2"/>
        <v>19548</v>
      </c>
      <c r="T31" s="217">
        <f t="shared" si="3"/>
        <v>5095</v>
      </c>
      <c r="U31" s="217">
        <f t="shared" si="4"/>
        <v>56801</v>
      </c>
      <c r="V31" s="217">
        <f t="shared" si="5"/>
        <v>33442</v>
      </c>
      <c r="W31" s="217">
        <f>ROUND(AC31+(INDEX(Ref!B$1:B$9,MATCH($AI31,Ref!$A$1:$A$9,0))*P31*0.0001),)</f>
        <v>66</v>
      </c>
      <c r="X31" s="217">
        <f>ROUND(AD31+(INDEX(Ref!C$1:C$9,MATCH($AI31,Ref!$A$1:$A$9,0))*$P31*0.0001),)</f>
        <v>52</v>
      </c>
      <c r="Y31" s="217">
        <f>ROUND(AE31+(INDEX(Ref!D$1:D$9,MATCH($AI31,Ref!$A$1:$A$9,0))*$P31*0.0001),)</f>
        <v>67</v>
      </c>
      <c r="Z31" s="217">
        <f>ROUND(AF31+(INDEX(Ref!E$1:E$9,MATCH($AI31,Ref!$A$1:$A$9,0))*$P31*0.0001),)</f>
        <v>42</v>
      </c>
      <c r="AA31" s="217">
        <f>ROUND(AG31+(INDEX(Ref!F$1:F$9,MATCH($AI31,Ref!$A$1:$A$9,0))*$P31*0.0001),)</f>
        <v>55</v>
      </c>
      <c r="AB31" s="217">
        <f>ROUND(AH31+(INDEX(Ref!G$1:G$9,MATCH($AI31,Ref!$A$1:$A$9,0))*$P31*0.0001),)</f>
        <v>62</v>
      </c>
      <c r="AC31" s="137">
        <v>46</v>
      </c>
      <c r="AD31" s="137">
        <v>36</v>
      </c>
      <c r="AE31" s="137">
        <v>52</v>
      </c>
      <c r="AF31" s="137">
        <v>29</v>
      </c>
      <c r="AG31" s="137">
        <v>38</v>
      </c>
      <c r="AH31" s="137">
        <v>43</v>
      </c>
      <c r="AI31" s="208">
        <v>7</v>
      </c>
      <c r="AJ31" s="172">
        <v>3000</v>
      </c>
      <c r="AK31" s="172">
        <v>30033</v>
      </c>
      <c r="AL31" s="172">
        <v>2000</v>
      </c>
      <c r="AM31" s="172">
        <v>30036</v>
      </c>
      <c r="AN31" s="172">
        <v>0</v>
      </c>
      <c r="AO31" s="172">
        <f t="shared" si="6"/>
        <v>34033</v>
      </c>
      <c r="AP31" s="172">
        <v>0</v>
      </c>
      <c r="AQ31" s="172">
        <f t="shared" si="7"/>
        <v>34036</v>
      </c>
      <c r="AR31" s="172">
        <v>1</v>
      </c>
      <c r="AS31" s="172">
        <v>0</v>
      </c>
      <c r="AT31" s="199">
        <v>78006</v>
      </c>
      <c r="AU31" s="196" t="s">
        <v>81</v>
      </c>
      <c r="AX31" s="202" t="s">
        <v>91</v>
      </c>
      <c r="AY31" s="200" t="s">
        <v>92</v>
      </c>
      <c r="AZ31" s="200" t="s">
        <v>41</v>
      </c>
      <c r="BB31" s="167">
        <v>6</v>
      </c>
      <c r="BC31" s="167" t="s">
        <v>93</v>
      </c>
    </row>
    <row r="32" spans="1:55" x14ac:dyDescent="0.2">
      <c r="A32" s="173">
        <v>55007</v>
      </c>
      <c r="B32" s="172" t="s">
        <v>94</v>
      </c>
      <c r="C32" s="172">
        <v>86007</v>
      </c>
      <c r="D32" s="172">
        <v>150007</v>
      </c>
      <c r="E32" s="206" t="s">
        <v>95</v>
      </c>
      <c r="F32" s="207">
        <v>1</v>
      </c>
      <c r="G32" s="172">
        <v>13000</v>
      </c>
      <c r="H32" s="172">
        <v>9000</v>
      </c>
      <c r="I32" s="172">
        <v>10000</v>
      </c>
      <c r="J32" s="172">
        <v>1</v>
      </c>
      <c r="K32" s="190">
        <f>IF($J32=1,INDEX('큐펫&amp;몹 정리(최신)'!P:P,MATCH($E32,'큐펫&amp;몹 정리(최신)'!$B:$B,0))*20,IF($J32=2,INDEX('큐펫&amp;몹 정리(최신)'!P:P,MATCH($E32,'큐펫&amp;몹 정리(최신)'!$B:$B,0))*25,IF($J32=3,INDEX('큐펫&amp;몹 정리(최신)'!P:P,MATCH($E32,'큐펫&amp;몹 정리(최신)'!$B:$B,0))*30,IF($J32=4,INDEX('큐펫&amp;몹 정리(최신)'!P:P,MATCH($E32,'큐펫&amp;몹 정리(최신)'!$B:$B,0))*35,INDEX('큐펫&amp;몹 정리(최신)'!P:P,MATCH($E32,'큐펫&amp;몹 정리(최신)'!$B:$B,0))*40))))</f>
        <v>1000</v>
      </c>
      <c r="L32" s="190">
        <f>IF($J32=1,INDEX('큐펫&amp;몹 정리(최신)'!Q:Q,MATCH($E32,'큐펫&amp;몹 정리(최신)'!$B:$B,0))*20,IF($J32=2,INDEX('큐펫&amp;몹 정리(최신)'!Q:Q,MATCH($E32,'큐펫&amp;몹 정리(최신)'!$B:$B,0))*25,IF($J32=3,INDEX('큐펫&amp;몹 정리(최신)'!Q:Q,MATCH($E32,'큐펫&amp;몹 정리(최신)'!$B:$B,0))*30,IF($J32=4,INDEX('큐펫&amp;몹 정리(최신)'!Q:Q,MATCH($E32,'큐펫&amp;몹 정리(최신)'!$B:$B,0))*35,INDEX('큐펫&amp;몹 정리(최신)'!Q:Q,MATCH($E32,'큐펫&amp;몹 정리(최신)'!$B:$B,0))*40))))</f>
        <v>200</v>
      </c>
      <c r="M32" s="190">
        <f>IF($J32=1,INDEX('큐펫&amp;몹 정리(최신)'!R:R,MATCH($E32,'큐펫&amp;몹 정리(최신)'!$B:$B,0))*20,IF($J32=2,INDEX('큐펫&amp;몹 정리(최신)'!R:R,MATCH($E32,'큐펫&amp;몹 정리(최신)'!$B:$B,0))*25,IF($J32=3,INDEX('큐펫&amp;몹 정리(최신)'!R:R,MATCH($E32,'큐펫&amp;몹 정리(최신)'!$B:$B,0))*30,IF($J32=4,INDEX('큐펫&amp;몹 정리(최신)'!R:R,MATCH($E32,'큐펫&amp;몹 정리(최신)'!$B:$B,0))*35,INDEX('큐펫&amp;몹 정리(최신)'!R:R,MATCH($E32,'큐펫&amp;몹 정리(최신)'!$B:$B,0))*40))))</f>
        <v>100</v>
      </c>
      <c r="N32" s="190">
        <f>IF($J32=1,INDEX('큐펫&amp;몹 정리(최신)'!S:S,MATCH($E32,'큐펫&amp;몹 정리(최신)'!$B:$B,0))*20,IF($J32=2,INDEX('큐펫&amp;몹 정리(최신)'!S:S,MATCH($E32,'큐펫&amp;몹 정리(최신)'!$B:$B,0))*25,IF($J32=3,INDEX('큐펫&amp;몹 정리(최신)'!S:S,MATCH($E32,'큐펫&amp;몹 정리(최신)'!$B:$B,0))*30,IF($J32=4,INDEX('큐펫&amp;몹 정리(최신)'!S:S,MATCH($E32,'큐펫&amp;몹 정리(최신)'!$B:$B,0))*35,INDEX('큐펫&amp;몹 정리(최신)'!S:S,MATCH($E32,'큐펫&amp;몹 정리(최신)'!$B:$B,0))*40))))</f>
        <v>300</v>
      </c>
      <c r="O32" s="190">
        <f>IF($J32=1,INDEX('큐펫&amp;몹 정리(최신)'!T:T,MATCH($E32,'큐펫&amp;몹 정리(최신)'!$B:$B,0))*20,IF($J32=2,INDEX('큐펫&amp;몹 정리(최신)'!T:T,MATCH($E32,'큐펫&amp;몹 정리(최신)'!$B:$B,0))*25,IF($J32=3,INDEX('큐펫&amp;몹 정리(최신)'!T:T,MATCH($E32,'큐펫&amp;몹 정리(최신)'!$B:$B,0))*30,IF($J32=4,INDEX('큐펫&amp;몹 정리(최신)'!T:T,MATCH($E32,'큐펫&amp;몹 정리(최신)'!$B:$B,0))*35,INDEX('큐펫&amp;몹 정리(최신)'!T:T,MATCH($E32,'큐펫&amp;몹 정리(최신)'!$B:$B,0))*40))))</f>
        <v>400</v>
      </c>
      <c r="P32" s="217">
        <v>20</v>
      </c>
      <c r="Q32" s="217">
        <f t="shared" si="0"/>
        <v>32800</v>
      </c>
      <c r="R32" s="217">
        <f t="shared" si="1"/>
        <v>633</v>
      </c>
      <c r="S32" s="217">
        <f t="shared" si="2"/>
        <v>781</v>
      </c>
      <c r="T32" s="217">
        <f t="shared" si="3"/>
        <v>1784</v>
      </c>
      <c r="U32" s="217">
        <f t="shared" si="4"/>
        <v>8857</v>
      </c>
      <c r="V32" s="217">
        <f t="shared" si="5"/>
        <v>5941</v>
      </c>
      <c r="W32" s="217">
        <f>ROUND(AC32+(INDEX(Ref!B$1:B$9,MATCH($AI32,Ref!$A$1:$A$9,0))*P32*0.0001),)</f>
        <v>17</v>
      </c>
      <c r="X32" s="217">
        <f>ROUND(AD32+(INDEX(Ref!C$1:C$9,MATCH($AI32,Ref!$A$1:$A$9,0))*$P32*0.0001),)</f>
        <v>32</v>
      </c>
      <c r="Y32" s="217">
        <f>ROUND(AE32+(INDEX(Ref!D$1:D$9,MATCH($AI32,Ref!$A$1:$A$9,0))*$P32*0.0001),)</f>
        <v>39</v>
      </c>
      <c r="Z32" s="217">
        <f>ROUND(AF32+(INDEX(Ref!E$1:E$9,MATCH($AI32,Ref!$A$1:$A$9,0))*$P32*0.0001),)</f>
        <v>41</v>
      </c>
      <c r="AA32" s="217">
        <f>ROUND(AG32+(INDEX(Ref!F$1:F$9,MATCH($AI32,Ref!$A$1:$A$9,0))*$P32*0.0001),)</f>
        <v>19</v>
      </c>
      <c r="AB32" s="217">
        <f>ROUND(AH32+(INDEX(Ref!G$1:G$9,MATCH($AI32,Ref!$A$1:$A$9,0))*$P32*0.0001),)</f>
        <v>36</v>
      </c>
      <c r="AC32" s="137">
        <v>15</v>
      </c>
      <c r="AD32" s="137">
        <v>28</v>
      </c>
      <c r="AE32" s="137">
        <v>36</v>
      </c>
      <c r="AF32" s="137">
        <v>36</v>
      </c>
      <c r="AG32" s="137">
        <v>17</v>
      </c>
      <c r="AH32" s="137">
        <v>32</v>
      </c>
      <c r="AI32" s="208">
        <v>6</v>
      </c>
      <c r="AJ32" s="172">
        <v>3000</v>
      </c>
      <c r="AK32" s="172">
        <v>30037</v>
      </c>
      <c r="AL32" s="172">
        <v>2000</v>
      </c>
      <c r="AM32" s="172">
        <v>30040</v>
      </c>
      <c r="AN32" s="172">
        <v>0</v>
      </c>
      <c r="AO32" s="172">
        <f t="shared" si="6"/>
        <v>34037</v>
      </c>
      <c r="AP32" s="172">
        <v>0</v>
      </c>
      <c r="AQ32" s="172">
        <f t="shared" si="7"/>
        <v>34040</v>
      </c>
      <c r="AR32" s="172">
        <v>1</v>
      </c>
      <c r="AS32" s="172">
        <v>0</v>
      </c>
      <c r="AT32" s="199">
        <v>78007</v>
      </c>
      <c r="AU32" s="195" t="s">
        <v>96</v>
      </c>
      <c r="AX32" s="165" t="s">
        <v>29</v>
      </c>
      <c r="AY32" s="165" t="s">
        <v>97</v>
      </c>
      <c r="AZ32" s="165" t="s">
        <v>86</v>
      </c>
      <c r="BB32" s="167">
        <v>7</v>
      </c>
      <c r="BC32" s="167" t="s">
        <v>98</v>
      </c>
    </row>
    <row r="33" spans="1:55" x14ac:dyDescent="0.2">
      <c r="A33" s="173">
        <v>55007</v>
      </c>
      <c r="B33" s="172" t="s">
        <v>94</v>
      </c>
      <c r="C33" s="172">
        <v>86007</v>
      </c>
      <c r="D33" s="172">
        <v>150007</v>
      </c>
      <c r="E33" s="206" t="s">
        <v>95</v>
      </c>
      <c r="F33" s="207">
        <v>1</v>
      </c>
      <c r="G33" s="172">
        <v>13000</v>
      </c>
      <c r="H33" s="172">
        <v>9000</v>
      </c>
      <c r="I33" s="172">
        <v>10000</v>
      </c>
      <c r="J33" s="172">
        <v>2</v>
      </c>
      <c r="K33" s="190">
        <f>IF($J33=1,INDEX('큐펫&amp;몹 정리(최신)'!P:P,MATCH($E33,'큐펫&amp;몹 정리(최신)'!$B:$B,0))*20,IF($J33=2,INDEX('큐펫&amp;몹 정리(최신)'!P:P,MATCH($E33,'큐펫&amp;몹 정리(최신)'!$B:$B,0))*25,IF($J33=3,INDEX('큐펫&amp;몹 정리(최신)'!P:P,MATCH($E33,'큐펫&amp;몹 정리(최신)'!$B:$B,0))*30,IF($J33=4,INDEX('큐펫&amp;몹 정리(최신)'!P:P,MATCH($E33,'큐펫&amp;몹 정리(최신)'!$B:$B,0))*35,INDEX('큐펫&amp;몹 정리(최신)'!P:P,MATCH($E33,'큐펫&amp;몹 정리(최신)'!$B:$B,0))*40))))</f>
        <v>1250</v>
      </c>
      <c r="L33" s="190">
        <f>IF($J33=1,INDEX('큐펫&amp;몹 정리(최신)'!Q:Q,MATCH($E33,'큐펫&amp;몹 정리(최신)'!$B:$B,0))*20,IF($J33=2,INDEX('큐펫&amp;몹 정리(최신)'!Q:Q,MATCH($E33,'큐펫&amp;몹 정리(최신)'!$B:$B,0))*25,IF($J33=3,INDEX('큐펫&amp;몹 정리(최신)'!Q:Q,MATCH($E33,'큐펫&amp;몹 정리(최신)'!$B:$B,0))*30,IF($J33=4,INDEX('큐펫&amp;몹 정리(최신)'!Q:Q,MATCH($E33,'큐펫&amp;몹 정리(최신)'!$B:$B,0))*35,INDEX('큐펫&amp;몹 정리(최신)'!Q:Q,MATCH($E33,'큐펫&amp;몹 정리(최신)'!$B:$B,0))*40))))</f>
        <v>250</v>
      </c>
      <c r="M33" s="190">
        <f>IF($J33=1,INDEX('큐펫&amp;몹 정리(최신)'!R:R,MATCH($E33,'큐펫&amp;몹 정리(최신)'!$B:$B,0))*20,IF($J33=2,INDEX('큐펫&amp;몹 정리(최신)'!R:R,MATCH($E33,'큐펫&amp;몹 정리(최신)'!$B:$B,0))*25,IF($J33=3,INDEX('큐펫&amp;몹 정리(최신)'!R:R,MATCH($E33,'큐펫&amp;몹 정리(최신)'!$B:$B,0))*30,IF($J33=4,INDEX('큐펫&amp;몹 정리(최신)'!R:R,MATCH($E33,'큐펫&amp;몹 정리(최신)'!$B:$B,0))*35,INDEX('큐펫&amp;몹 정리(최신)'!R:R,MATCH($E33,'큐펫&amp;몹 정리(최신)'!$B:$B,0))*40))))</f>
        <v>125</v>
      </c>
      <c r="N33" s="190">
        <f>IF($J33=1,INDEX('큐펫&amp;몹 정리(최신)'!S:S,MATCH($E33,'큐펫&amp;몹 정리(최신)'!$B:$B,0))*20,IF($J33=2,INDEX('큐펫&amp;몹 정리(최신)'!S:S,MATCH($E33,'큐펫&amp;몹 정리(최신)'!$B:$B,0))*25,IF($J33=3,INDEX('큐펫&amp;몹 정리(최신)'!S:S,MATCH($E33,'큐펫&amp;몹 정리(최신)'!$B:$B,0))*30,IF($J33=4,INDEX('큐펫&amp;몹 정리(최신)'!S:S,MATCH($E33,'큐펫&amp;몹 정리(최신)'!$B:$B,0))*35,INDEX('큐펫&amp;몹 정리(최신)'!S:S,MATCH($E33,'큐펫&amp;몹 정리(최신)'!$B:$B,0))*40))))</f>
        <v>375</v>
      </c>
      <c r="O33" s="190">
        <f>IF($J33=1,INDEX('큐펫&amp;몹 정리(최신)'!T:T,MATCH($E33,'큐펫&amp;몹 정리(최신)'!$B:$B,0))*20,IF($J33=2,INDEX('큐펫&amp;몹 정리(최신)'!T:T,MATCH($E33,'큐펫&amp;몹 정리(최신)'!$B:$B,0))*25,IF($J33=3,INDEX('큐펫&amp;몹 정리(최신)'!T:T,MATCH($E33,'큐펫&amp;몹 정리(최신)'!$B:$B,0))*30,IF($J33=4,INDEX('큐펫&amp;몹 정리(최신)'!T:T,MATCH($E33,'큐펫&amp;몹 정리(최신)'!$B:$B,0))*35,INDEX('큐펫&amp;몹 정리(최신)'!T:T,MATCH($E33,'큐펫&amp;몹 정리(최신)'!$B:$B,0))*40))))</f>
        <v>500</v>
      </c>
      <c r="P33" s="217">
        <v>40</v>
      </c>
      <c r="Q33" s="217">
        <f t="shared" si="0"/>
        <v>78200</v>
      </c>
      <c r="R33" s="217">
        <f t="shared" si="1"/>
        <v>1179</v>
      </c>
      <c r="S33" s="217">
        <f t="shared" si="2"/>
        <v>1522</v>
      </c>
      <c r="T33" s="217">
        <f t="shared" si="3"/>
        <v>3387</v>
      </c>
      <c r="U33" s="217">
        <f t="shared" si="4"/>
        <v>15759</v>
      </c>
      <c r="V33" s="217">
        <f t="shared" si="5"/>
        <v>10551</v>
      </c>
      <c r="W33" s="217">
        <f>ROUND(AC33+(INDEX(Ref!B$1:B$9,MATCH($AI33,Ref!$A$1:$A$9,0))*P33*0.0001),)</f>
        <v>21</v>
      </c>
      <c r="X33" s="217">
        <f>ROUND(AD33+(INDEX(Ref!C$1:C$9,MATCH($AI33,Ref!$A$1:$A$9,0))*$P33*0.0001),)</f>
        <v>40</v>
      </c>
      <c r="Y33" s="217">
        <f>ROUND(AE33+(INDEX(Ref!D$1:D$9,MATCH($AI33,Ref!$A$1:$A$9,0))*$P33*0.0001),)</f>
        <v>44</v>
      </c>
      <c r="Z33" s="217">
        <f>ROUND(AF33+(INDEX(Ref!E$1:E$9,MATCH($AI33,Ref!$A$1:$A$9,0))*$P33*0.0001),)</f>
        <v>51</v>
      </c>
      <c r="AA33" s="217">
        <f>ROUND(AG33+(INDEX(Ref!F$1:F$9,MATCH($AI33,Ref!$A$1:$A$9,0))*$P33*0.0001),)</f>
        <v>24</v>
      </c>
      <c r="AB33" s="217">
        <f>ROUND(AH33+(INDEX(Ref!G$1:G$9,MATCH($AI33,Ref!$A$1:$A$9,0))*$P33*0.0001),)</f>
        <v>44</v>
      </c>
      <c r="AC33" s="137">
        <v>17</v>
      </c>
      <c r="AD33" s="137">
        <v>32</v>
      </c>
      <c r="AE33" s="137">
        <v>39</v>
      </c>
      <c r="AF33" s="137">
        <v>41</v>
      </c>
      <c r="AG33" s="137">
        <v>19</v>
      </c>
      <c r="AH33" s="137">
        <v>36</v>
      </c>
      <c r="AI33" s="208">
        <v>6</v>
      </c>
      <c r="AJ33" s="172">
        <v>3000</v>
      </c>
      <c r="AK33" s="172">
        <v>30038</v>
      </c>
      <c r="AL33" s="172">
        <v>2000</v>
      </c>
      <c r="AM33" s="172">
        <v>30040</v>
      </c>
      <c r="AN33" s="172">
        <v>0</v>
      </c>
      <c r="AO33" s="172">
        <f t="shared" si="6"/>
        <v>34038</v>
      </c>
      <c r="AP33" s="172">
        <v>0</v>
      </c>
      <c r="AQ33" s="172">
        <f t="shared" si="7"/>
        <v>34040</v>
      </c>
      <c r="AR33" s="172">
        <v>1</v>
      </c>
      <c r="AS33" s="172">
        <v>0</v>
      </c>
      <c r="AT33" s="199">
        <v>78007</v>
      </c>
      <c r="AU33" s="195" t="s">
        <v>96</v>
      </c>
      <c r="BB33" s="167">
        <v>8</v>
      </c>
      <c r="BC33" s="167" t="s">
        <v>99</v>
      </c>
    </row>
    <row r="34" spans="1:55" x14ac:dyDescent="0.2">
      <c r="A34" s="173">
        <v>55007</v>
      </c>
      <c r="B34" s="172" t="s">
        <v>94</v>
      </c>
      <c r="C34" s="172">
        <v>86007</v>
      </c>
      <c r="D34" s="172">
        <v>150007</v>
      </c>
      <c r="E34" s="206" t="s">
        <v>95</v>
      </c>
      <c r="F34" s="207">
        <v>1</v>
      </c>
      <c r="G34" s="172">
        <v>13000</v>
      </c>
      <c r="H34" s="172">
        <v>9000</v>
      </c>
      <c r="I34" s="172">
        <v>10000</v>
      </c>
      <c r="J34" s="172">
        <v>3</v>
      </c>
      <c r="K34" s="190">
        <f>IF($J34=1,INDEX('큐펫&amp;몹 정리(최신)'!P:P,MATCH($E34,'큐펫&amp;몹 정리(최신)'!$B:$B,0))*20,IF($J34=2,INDEX('큐펫&amp;몹 정리(최신)'!P:P,MATCH($E34,'큐펫&amp;몹 정리(최신)'!$B:$B,0))*25,IF($J34=3,INDEX('큐펫&amp;몹 정리(최신)'!P:P,MATCH($E34,'큐펫&amp;몹 정리(최신)'!$B:$B,0))*30,IF($J34=4,INDEX('큐펫&amp;몹 정리(최신)'!P:P,MATCH($E34,'큐펫&amp;몹 정리(최신)'!$B:$B,0))*35,INDEX('큐펫&amp;몹 정리(최신)'!P:P,MATCH($E34,'큐펫&amp;몹 정리(최신)'!$B:$B,0))*40))))</f>
        <v>1500</v>
      </c>
      <c r="L34" s="190">
        <f>IF($J34=1,INDEX('큐펫&amp;몹 정리(최신)'!Q:Q,MATCH($E34,'큐펫&amp;몹 정리(최신)'!$B:$B,0))*20,IF($J34=2,INDEX('큐펫&amp;몹 정리(최신)'!Q:Q,MATCH($E34,'큐펫&amp;몹 정리(최신)'!$B:$B,0))*25,IF($J34=3,INDEX('큐펫&amp;몹 정리(최신)'!Q:Q,MATCH($E34,'큐펫&amp;몹 정리(최신)'!$B:$B,0))*30,IF($J34=4,INDEX('큐펫&amp;몹 정리(최신)'!Q:Q,MATCH($E34,'큐펫&amp;몹 정리(최신)'!$B:$B,0))*35,INDEX('큐펫&amp;몹 정리(최신)'!Q:Q,MATCH($E34,'큐펫&amp;몹 정리(최신)'!$B:$B,0))*40))))</f>
        <v>300</v>
      </c>
      <c r="M34" s="190">
        <f>IF($J34=1,INDEX('큐펫&amp;몹 정리(최신)'!R:R,MATCH($E34,'큐펫&amp;몹 정리(최신)'!$B:$B,0))*20,IF($J34=2,INDEX('큐펫&amp;몹 정리(최신)'!R:R,MATCH($E34,'큐펫&amp;몹 정리(최신)'!$B:$B,0))*25,IF($J34=3,INDEX('큐펫&amp;몹 정리(최신)'!R:R,MATCH($E34,'큐펫&amp;몹 정리(최신)'!$B:$B,0))*30,IF($J34=4,INDEX('큐펫&amp;몹 정리(최신)'!R:R,MATCH($E34,'큐펫&amp;몹 정리(최신)'!$B:$B,0))*35,INDEX('큐펫&amp;몹 정리(최신)'!R:R,MATCH($E34,'큐펫&amp;몹 정리(최신)'!$B:$B,0))*40))))</f>
        <v>150</v>
      </c>
      <c r="N34" s="190">
        <f>IF($J34=1,INDEX('큐펫&amp;몹 정리(최신)'!S:S,MATCH($E34,'큐펫&amp;몹 정리(최신)'!$B:$B,0))*20,IF($J34=2,INDEX('큐펫&amp;몹 정리(최신)'!S:S,MATCH($E34,'큐펫&amp;몹 정리(최신)'!$B:$B,0))*25,IF($J34=3,INDEX('큐펫&amp;몹 정리(최신)'!S:S,MATCH($E34,'큐펫&amp;몹 정리(최신)'!$B:$B,0))*30,IF($J34=4,INDEX('큐펫&amp;몹 정리(최신)'!S:S,MATCH($E34,'큐펫&amp;몹 정리(최신)'!$B:$B,0))*35,INDEX('큐펫&amp;몹 정리(최신)'!S:S,MATCH($E34,'큐펫&amp;몹 정리(최신)'!$B:$B,0))*40))))</f>
        <v>450</v>
      </c>
      <c r="O34" s="190">
        <f>IF($J34=1,INDEX('큐펫&amp;몹 정리(최신)'!T:T,MATCH($E34,'큐펫&amp;몹 정리(최신)'!$B:$B,0))*20,IF($J34=2,INDEX('큐펫&amp;몹 정리(최신)'!T:T,MATCH($E34,'큐펫&amp;몹 정리(최신)'!$B:$B,0))*25,IF($J34=3,INDEX('큐펫&amp;몹 정리(최신)'!T:T,MATCH($E34,'큐펫&amp;몹 정리(최신)'!$B:$B,0))*30,IF($J34=4,INDEX('큐펫&amp;몹 정리(최신)'!T:T,MATCH($E34,'큐펫&amp;몹 정리(최신)'!$B:$B,0))*35,INDEX('큐펫&amp;몹 정리(최신)'!T:T,MATCH($E34,'큐펫&amp;몹 정리(최신)'!$B:$B,0))*40))))</f>
        <v>600</v>
      </c>
      <c r="P34" s="217">
        <v>60</v>
      </c>
      <c r="Q34" s="217">
        <f t="shared" si="0"/>
        <v>142500</v>
      </c>
      <c r="R34" s="217">
        <f t="shared" si="1"/>
        <v>2127</v>
      </c>
      <c r="S34" s="217">
        <f t="shared" si="2"/>
        <v>2455</v>
      </c>
      <c r="T34" s="217">
        <f t="shared" si="3"/>
        <v>5566</v>
      </c>
      <c r="U34" s="217">
        <f t="shared" si="4"/>
        <v>24760</v>
      </c>
      <c r="V34" s="217">
        <f t="shared" si="5"/>
        <v>16560</v>
      </c>
      <c r="W34" s="217">
        <f>ROUND(AC34+(INDEX(Ref!B$1:B$9,MATCH($AI34,Ref!$A$1:$A$9,0))*P34*0.0001),)</f>
        <v>26</v>
      </c>
      <c r="X34" s="217">
        <f>ROUND(AD34+(INDEX(Ref!C$1:C$9,MATCH($AI34,Ref!$A$1:$A$9,0))*$P34*0.0001),)</f>
        <v>47</v>
      </c>
      <c r="Y34" s="217">
        <f>ROUND(AE34+(INDEX(Ref!D$1:D$9,MATCH($AI34,Ref!$A$1:$A$9,0))*$P34*0.0001),)</f>
        <v>50</v>
      </c>
      <c r="Z34" s="217">
        <f>ROUND(AF34+(INDEX(Ref!E$1:E$9,MATCH($AI34,Ref!$A$1:$A$9,0))*$P34*0.0001),)</f>
        <v>60</v>
      </c>
      <c r="AA34" s="217">
        <f>ROUND(AG34+(INDEX(Ref!F$1:F$9,MATCH($AI34,Ref!$A$1:$A$9,0))*$P34*0.0001),)</f>
        <v>28</v>
      </c>
      <c r="AB34" s="217">
        <f>ROUND(AH34+(INDEX(Ref!G$1:G$9,MATCH($AI34,Ref!$A$1:$A$9,0))*$P34*0.0001),)</f>
        <v>53</v>
      </c>
      <c r="AC34" s="137">
        <v>19</v>
      </c>
      <c r="AD34" s="137">
        <v>36</v>
      </c>
      <c r="AE34" s="137">
        <v>42</v>
      </c>
      <c r="AF34" s="137">
        <v>46</v>
      </c>
      <c r="AG34" s="137">
        <v>21</v>
      </c>
      <c r="AH34" s="137">
        <v>40</v>
      </c>
      <c r="AI34" s="208">
        <v>6</v>
      </c>
      <c r="AJ34" s="172">
        <v>3000</v>
      </c>
      <c r="AK34" s="172">
        <v>30038</v>
      </c>
      <c r="AL34" s="172">
        <v>2000</v>
      </c>
      <c r="AM34" s="172">
        <v>30041</v>
      </c>
      <c r="AN34" s="172">
        <v>0</v>
      </c>
      <c r="AO34" s="172">
        <f t="shared" si="6"/>
        <v>34038</v>
      </c>
      <c r="AP34" s="172">
        <v>0</v>
      </c>
      <c r="AQ34" s="172">
        <f t="shared" si="7"/>
        <v>34041</v>
      </c>
      <c r="AR34" s="172">
        <v>1</v>
      </c>
      <c r="AS34" s="172">
        <v>0</v>
      </c>
      <c r="AT34" s="199">
        <v>78007</v>
      </c>
      <c r="AU34" s="195" t="s">
        <v>96</v>
      </c>
    </row>
    <row r="35" spans="1:55" x14ac:dyDescent="0.2">
      <c r="A35" s="173">
        <v>55007</v>
      </c>
      <c r="B35" s="172" t="s">
        <v>94</v>
      </c>
      <c r="C35" s="172">
        <v>86007</v>
      </c>
      <c r="D35" s="172">
        <v>150007</v>
      </c>
      <c r="E35" s="206" t="s">
        <v>95</v>
      </c>
      <c r="F35" s="207">
        <v>1</v>
      </c>
      <c r="G35" s="172">
        <v>13000</v>
      </c>
      <c r="H35" s="172">
        <v>9000</v>
      </c>
      <c r="I35" s="172">
        <v>10000</v>
      </c>
      <c r="J35" s="172">
        <v>4</v>
      </c>
      <c r="K35" s="190">
        <f>IF($J35=1,INDEX('큐펫&amp;몹 정리(최신)'!P:P,MATCH($E35,'큐펫&amp;몹 정리(최신)'!$B:$B,0))*20,IF($J35=2,INDEX('큐펫&amp;몹 정리(최신)'!P:P,MATCH($E35,'큐펫&amp;몹 정리(최신)'!$B:$B,0))*25,IF($J35=3,INDEX('큐펫&amp;몹 정리(최신)'!P:P,MATCH($E35,'큐펫&amp;몹 정리(최신)'!$B:$B,0))*30,IF($J35=4,INDEX('큐펫&amp;몹 정리(최신)'!P:P,MATCH($E35,'큐펫&amp;몹 정리(최신)'!$B:$B,0))*35,INDEX('큐펫&amp;몹 정리(최신)'!P:P,MATCH($E35,'큐펫&amp;몹 정리(최신)'!$B:$B,0))*40))))</f>
        <v>1750</v>
      </c>
      <c r="L35" s="190">
        <f>IF($J35=1,INDEX('큐펫&amp;몹 정리(최신)'!Q:Q,MATCH($E35,'큐펫&amp;몹 정리(최신)'!$B:$B,0))*20,IF($J35=2,INDEX('큐펫&amp;몹 정리(최신)'!Q:Q,MATCH($E35,'큐펫&amp;몹 정리(최신)'!$B:$B,0))*25,IF($J35=3,INDEX('큐펫&amp;몹 정리(최신)'!Q:Q,MATCH($E35,'큐펫&amp;몹 정리(최신)'!$B:$B,0))*30,IF($J35=4,INDEX('큐펫&amp;몹 정리(최신)'!Q:Q,MATCH($E35,'큐펫&amp;몹 정리(최신)'!$B:$B,0))*35,INDEX('큐펫&amp;몹 정리(최신)'!Q:Q,MATCH($E35,'큐펫&amp;몹 정리(최신)'!$B:$B,0))*40))))</f>
        <v>350</v>
      </c>
      <c r="M35" s="190">
        <f>IF($J35=1,INDEX('큐펫&amp;몹 정리(최신)'!R:R,MATCH($E35,'큐펫&amp;몹 정리(최신)'!$B:$B,0))*20,IF($J35=2,INDEX('큐펫&amp;몹 정리(최신)'!R:R,MATCH($E35,'큐펫&amp;몹 정리(최신)'!$B:$B,0))*25,IF($J35=3,INDEX('큐펫&amp;몹 정리(최신)'!R:R,MATCH($E35,'큐펫&amp;몹 정리(최신)'!$B:$B,0))*30,IF($J35=4,INDEX('큐펫&amp;몹 정리(최신)'!R:R,MATCH($E35,'큐펫&amp;몹 정리(최신)'!$B:$B,0))*35,INDEX('큐펫&amp;몹 정리(최신)'!R:R,MATCH($E35,'큐펫&amp;몹 정리(최신)'!$B:$B,0))*40))))</f>
        <v>175</v>
      </c>
      <c r="N35" s="190">
        <f>IF($J35=1,INDEX('큐펫&amp;몹 정리(최신)'!S:S,MATCH($E35,'큐펫&amp;몹 정리(최신)'!$B:$B,0))*20,IF($J35=2,INDEX('큐펫&amp;몹 정리(최신)'!S:S,MATCH($E35,'큐펫&amp;몹 정리(최신)'!$B:$B,0))*25,IF($J35=3,INDEX('큐펫&amp;몹 정리(최신)'!S:S,MATCH($E35,'큐펫&amp;몹 정리(최신)'!$B:$B,0))*30,IF($J35=4,INDEX('큐펫&amp;몹 정리(최신)'!S:S,MATCH($E35,'큐펫&amp;몹 정리(최신)'!$B:$B,0))*35,INDEX('큐펫&amp;몹 정리(최신)'!S:S,MATCH($E35,'큐펫&amp;몹 정리(최신)'!$B:$B,0))*40))))</f>
        <v>525</v>
      </c>
      <c r="O35" s="190">
        <f>IF($J35=1,INDEX('큐펫&amp;몹 정리(최신)'!T:T,MATCH($E35,'큐펫&amp;몹 정리(최신)'!$B:$B,0))*20,IF($J35=2,INDEX('큐펫&amp;몹 정리(최신)'!T:T,MATCH($E35,'큐펫&amp;몹 정리(최신)'!$B:$B,0))*25,IF($J35=3,INDEX('큐펫&amp;몹 정리(최신)'!T:T,MATCH($E35,'큐펫&amp;몹 정리(최신)'!$B:$B,0))*30,IF($J35=4,INDEX('큐펫&amp;몹 정리(최신)'!T:T,MATCH($E35,'큐펫&amp;몹 정리(최신)'!$B:$B,0))*35,INDEX('큐펫&amp;몹 정리(최신)'!T:T,MATCH($E35,'큐펫&amp;몹 정리(최신)'!$B:$B,0))*40))))</f>
        <v>700</v>
      </c>
      <c r="P35" s="217">
        <v>80</v>
      </c>
      <c r="Q35" s="217">
        <f t="shared" si="0"/>
        <v>224300</v>
      </c>
      <c r="R35" s="217">
        <f t="shared" si="1"/>
        <v>3486</v>
      </c>
      <c r="S35" s="217">
        <f t="shared" si="2"/>
        <v>4173</v>
      </c>
      <c r="T35" s="217">
        <f t="shared" si="3"/>
        <v>8774</v>
      </c>
      <c r="U35" s="217">
        <f t="shared" si="4"/>
        <v>35187</v>
      </c>
      <c r="V35" s="217">
        <f t="shared" si="5"/>
        <v>23520</v>
      </c>
      <c r="W35" s="217">
        <f>ROUND(AC35+(INDEX(Ref!B$1:B$9,MATCH($AI35,Ref!$A$1:$A$9,0))*P35*0.0001),)</f>
        <v>31</v>
      </c>
      <c r="X35" s="217">
        <f>ROUND(AD35+(INDEX(Ref!C$1:C$9,MATCH($AI35,Ref!$A$1:$A$9,0))*$P35*0.0001),)</f>
        <v>54</v>
      </c>
      <c r="Y35" s="217">
        <f>ROUND(AE35+(INDEX(Ref!D$1:D$9,MATCH($AI35,Ref!$A$1:$A$9,0))*$P35*0.0001),)</f>
        <v>54</v>
      </c>
      <c r="Z35" s="217">
        <f>ROUND(AF35+(INDEX(Ref!E$1:E$9,MATCH($AI35,Ref!$A$1:$A$9,0))*$P35*0.0001),)</f>
        <v>70</v>
      </c>
      <c r="AA35" s="217">
        <f>ROUND(AG35+(INDEX(Ref!F$1:F$9,MATCH($AI35,Ref!$A$1:$A$9,0))*$P35*0.0001),)</f>
        <v>34</v>
      </c>
      <c r="AB35" s="217">
        <f>ROUND(AH35+(INDEX(Ref!G$1:G$9,MATCH($AI35,Ref!$A$1:$A$9,0))*$P35*0.0001),)</f>
        <v>61</v>
      </c>
      <c r="AC35" s="137">
        <v>22</v>
      </c>
      <c r="AD35" s="137">
        <v>39</v>
      </c>
      <c r="AE35" s="137">
        <v>44</v>
      </c>
      <c r="AF35" s="137">
        <v>51</v>
      </c>
      <c r="AG35" s="137">
        <v>24</v>
      </c>
      <c r="AH35" s="137">
        <v>44</v>
      </c>
      <c r="AI35" s="208">
        <v>6</v>
      </c>
      <c r="AJ35" s="172">
        <v>3000</v>
      </c>
      <c r="AK35" s="172">
        <v>30039</v>
      </c>
      <c r="AL35" s="172">
        <v>2000</v>
      </c>
      <c r="AM35" s="172">
        <v>30041</v>
      </c>
      <c r="AN35" s="172">
        <v>0</v>
      </c>
      <c r="AO35" s="172">
        <f t="shared" si="6"/>
        <v>34039</v>
      </c>
      <c r="AP35" s="172">
        <v>0</v>
      </c>
      <c r="AQ35" s="172">
        <f t="shared" si="7"/>
        <v>34041</v>
      </c>
      <c r="AR35" s="172">
        <v>1</v>
      </c>
      <c r="AS35" s="172">
        <v>0</v>
      </c>
      <c r="AT35" s="199">
        <v>78007</v>
      </c>
      <c r="AU35" s="195" t="s">
        <v>96</v>
      </c>
    </row>
    <row r="36" spans="1:55" x14ac:dyDescent="0.2">
      <c r="A36" s="173">
        <v>55007</v>
      </c>
      <c r="B36" s="172" t="s">
        <v>94</v>
      </c>
      <c r="C36" s="172">
        <v>86007</v>
      </c>
      <c r="D36" s="172">
        <v>150007</v>
      </c>
      <c r="E36" s="206" t="s">
        <v>95</v>
      </c>
      <c r="F36" s="207">
        <v>1</v>
      </c>
      <c r="G36" s="172">
        <v>13000</v>
      </c>
      <c r="H36" s="172">
        <v>9000</v>
      </c>
      <c r="I36" s="172">
        <v>10000</v>
      </c>
      <c r="J36" s="172">
        <v>5</v>
      </c>
      <c r="K36" s="190">
        <f>IF($J36=1,INDEX('큐펫&amp;몹 정리(최신)'!P:P,MATCH($E36,'큐펫&amp;몹 정리(최신)'!$B:$B,0))*20,IF($J36=2,INDEX('큐펫&amp;몹 정리(최신)'!P:P,MATCH($E36,'큐펫&amp;몹 정리(최신)'!$B:$B,0))*25,IF($J36=3,INDEX('큐펫&amp;몹 정리(최신)'!P:P,MATCH($E36,'큐펫&amp;몹 정리(최신)'!$B:$B,0))*30,IF($J36=4,INDEX('큐펫&amp;몹 정리(최신)'!P:P,MATCH($E36,'큐펫&amp;몹 정리(최신)'!$B:$B,0))*35,INDEX('큐펫&amp;몹 정리(최신)'!P:P,MATCH($E36,'큐펫&amp;몹 정리(최신)'!$B:$B,0))*40))))</f>
        <v>2000</v>
      </c>
      <c r="L36" s="190">
        <f>IF($J36=1,INDEX('큐펫&amp;몹 정리(최신)'!Q:Q,MATCH($E36,'큐펫&amp;몹 정리(최신)'!$B:$B,0))*20,IF($J36=2,INDEX('큐펫&amp;몹 정리(최신)'!Q:Q,MATCH($E36,'큐펫&amp;몹 정리(최신)'!$B:$B,0))*25,IF($J36=3,INDEX('큐펫&amp;몹 정리(최신)'!Q:Q,MATCH($E36,'큐펫&amp;몹 정리(최신)'!$B:$B,0))*30,IF($J36=4,INDEX('큐펫&amp;몹 정리(최신)'!Q:Q,MATCH($E36,'큐펫&amp;몹 정리(최신)'!$B:$B,0))*35,INDEX('큐펫&amp;몹 정리(최신)'!Q:Q,MATCH($E36,'큐펫&amp;몹 정리(최신)'!$B:$B,0))*40))))</f>
        <v>400</v>
      </c>
      <c r="M36" s="190">
        <f>IF($J36=1,INDEX('큐펫&amp;몹 정리(최신)'!R:R,MATCH($E36,'큐펫&amp;몹 정리(최신)'!$B:$B,0))*20,IF($J36=2,INDEX('큐펫&amp;몹 정리(최신)'!R:R,MATCH($E36,'큐펫&amp;몹 정리(최신)'!$B:$B,0))*25,IF($J36=3,INDEX('큐펫&amp;몹 정리(최신)'!R:R,MATCH($E36,'큐펫&amp;몹 정리(최신)'!$B:$B,0))*30,IF($J36=4,INDEX('큐펫&amp;몹 정리(최신)'!R:R,MATCH($E36,'큐펫&amp;몹 정리(최신)'!$B:$B,0))*35,INDEX('큐펫&amp;몹 정리(최신)'!R:R,MATCH($E36,'큐펫&amp;몹 정리(최신)'!$B:$B,0))*40))))</f>
        <v>200</v>
      </c>
      <c r="N36" s="190">
        <f>IF($J36=1,INDEX('큐펫&amp;몹 정리(최신)'!S:S,MATCH($E36,'큐펫&amp;몹 정리(최신)'!$B:$B,0))*20,IF($J36=2,INDEX('큐펫&amp;몹 정리(최신)'!S:S,MATCH($E36,'큐펫&amp;몹 정리(최신)'!$B:$B,0))*25,IF($J36=3,INDEX('큐펫&amp;몹 정리(최신)'!S:S,MATCH($E36,'큐펫&amp;몹 정리(최신)'!$B:$B,0))*30,IF($J36=4,INDEX('큐펫&amp;몹 정리(최신)'!S:S,MATCH($E36,'큐펫&amp;몹 정리(최신)'!$B:$B,0))*35,INDEX('큐펫&amp;몹 정리(최신)'!S:S,MATCH($E36,'큐펫&amp;몹 정리(최신)'!$B:$B,0))*40))))</f>
        <v>600</v>
      </c>
      <c r="O36" s="190">
        <f>IF($J36=1,INDEX('큐펫&amp;몹 정리(최신)'!T:T,MATCH($E36,'큐펫&amp;몹 정리(최신)'!$B:$B,0))*20,IF($J36=2,INDEX('큐펫&amp;몹 정리(최신)'!T:T,MATCH($E36,'큐펫&amp;몹 정리(최신)'!$B:$B,0))*25,IF($J36=3,INDEX('큐펫&amp;몹 정리(최신)'!T:T,MATCH($E36,'큐펫&amp;몹 정리(최신)'!$B:$B,0))*30,IF($J36=4,INDEX('큐펫&amp;몹 정리(최신)'!T:T,MATCH($E36,'큐펫&amp;몹 정리(최신)'!$B:$B,0))*35,INDEX('큐펫&amp;몹 정리(최신)'!T:T,MATCH($E36,'큐펫&amp;몹 정리(최신)'!$B:$B,0))*40))))</f>
        <v>800</v>
      </c>
      <c r="P36" s="217">
        <v>100</v>
      </c>
      <c r="Q36" s="217">
        <f t="shared" si="0"/>
        <v>330000</v>
      </c>
      <c r="R36" s="217">
        <f t="shared" si="1"/>
        <v>5043</v>
      </c>
      <c r="S36" s="217">
        <f t="shared" si="2"/>
        <v>5924</v>
      </c>
      <c r="T36" s="217">
        <f t="shared" si="3"/>
        <v>13032</v>
      </c>
      <c r="U36" s="217">
        <f t="shared" si="4"/>
        <v>48014</v>
      </c>
      <c r="V36" s="217">
        <f t="shared" si="5"/>
        <v>32080</v>
      </c>
      <c r="W36" s="217">
        <f>ROUND(AC36+(INDEX(Ref!B$1:B$9,MATCH($AI36,Ref!$A$1:$A$9,0))*P36*0.0001),)</f>
        <v>35</v>
      </c>
      <c r="X36" s="217">
        <f>ROUND(AD36+(INDEX(Ref!C$1:C$9,MATCH($AI36,Ref!$A$1:$A$9,0))*$P36*0.0001),)</f>
        <v>62</v>
      </c>
      <c r="Y36" s="217">
        <f>ROUND(AE36+(INDEX(Ref!D$1:D$9,MATCH($AI36,Ref!$A$1:$A$9,0))*$P36*0.0001),)</f>
        <v>60</v>
      </c>
      <c r="Z36" s="217">
        <f>ROUND(AF36+(INDEX(Ref!E$1:E$9,MATCH($AI36,Ref!$A$1:$A$9,0))*$P36*0.0001),)</f>
        <v>80</v>
      </c>
      <c r="AA36" s="217">
        <f>ROUND(AG36+(INDEX(Ref!F$1:F$9,MATCH($AI36,Ref!$A$1:$A$9,0))*$P36*0.0001),)</f>
        <v>38</v>
      </c>
      <c r="AB36" s="217">
        <f>ROUND(AH36+(INDEX(Ref!G$1:G$9,MATCH($AI36,Ref!$A$1:$A$9,0))*$P36*0.0001),)</f>
        <v>69</v>
      </c>
      <c r="AC36" s="137">
        <v>24</v>
      </c>
      <c r="AD36" s="137">
        <v>43</v>
      </c>
      <c r="AE36" s="137">
        <v>47</v>
      </c>
      <c r="AF36" s="137">
        <v>56</v>
      </c>
      <c r="AG36" s="137">
        <v>26</v>
      </c>
      <c r="AH36" s="137">
        <v>48</v>
      </c>
      <c r="AI36" s="208">
        <v>6</v>
      </c>
      <c r="AJ36" s="172">
        <v>3000</v>
      </c>
      <c r="AK36" s="172">
        <v>30039</v>
      </c>
      <c r="AL36" s="172">
        <v>2000</v>
      </c>
      <c r="AM36" s="172">
        <v>30042</v>
      </c>
      <c r="AN36" s="172">
        <v>0</v>
      </c>
      <c r="AO36" s="172">
        <f t="shared" si="6"/>
        <v>34039</v>
      </c>
      <c r="AP36" s="172">
        <v>0</v>
      </c>
      <c r="AQ36" s="172">
        <f t="shared" si="7"/>
        <v>34042</v>
      </c>
      <c r="AR36" s="172">
        <v>1</v>
      </c>
      <c r="AS36" s="172">
        <v>0</v>
      </c>
      <c r="AT36" s="199">
        <v>78007</v>
      </c>
      <c r="AU36" s="195" t="s">
        <v>96</v>
      </c>
    </row>
    <row r="37" spans="1:55" x14ac:dyDescent="0.2">
      <c r="A37" s="173">
        <v>55008</v>
      </c>
      <c r="B37" s="172" t="s">
        <v>100</v>
      </c>
      <c r="C37" s="172">
        <v>86008</v>
      </c>
      <c r="D37" s="172">
        <v>150008</v>
      </c>
      <c r="E37" s="206" t="s">
        <v>101</v>
      </c>
      <c r="F37" s="207">
        <v>1</v>
      </c>
      <c r="G37" s="172">
        <v>13000</v>
      </c>
      <c r="H37" s="172">
        <v>9000</v>
      </c>
      <c r="I37" s="172">
        <v>10000</v>
      </c>
      <c r="J37" s="172">
        <v>1</v>
      </c>
      <c r="K37" s="190">
        <f>IF($J37=1,INDEX('큐펫&amp;몹 정리(최신)'!P:P,MATCH($E37,'큐펫&amp;몹 정리(최신)'!$B:$B,0))*20,IF($J37=2,INDEX('큐펫&amp;몹 정리(최신)'!P:P,MATCH($E37,'큐펫&amp;몹 정리(최신)'!$B:$B,0))*25,IF($J37=3,INDEX('큐펫&amp;몹 정리(최신)'!P:P,MATCH($E37,'큐펫&amp;몹 정리(최신)'!$B:$B,0))*30,IF($J37=4,INDEX('큐펫&amp;몹 정리(최신)'!P:P,MATCH($E37,'큐펫&amp;몹 정리(최신)'!$B:$B,0))*35,INDEX('큐펫&amp;몹 정리(최신)'!P:P,MATCH($E37,'큐펫&amp;몹 정리(최신)'!$B:$B,0))*40))))</f>
        <v>960</v>
      </c>
      <c r="L37" s="190">
        <f>IF($J37=1,INDEX('큐펫&amp;몹 정리(최신)'!Q:Q,MATCH($E37,'큐펫&amp;몹 정리(최신)'!$B:$B,0))*20,IF($J37=2,INDEX('큐펫&amp;몹 정리(최신)'!Q:Q,MATCH($E37,'큐펫&amp;몹 정리(최신)'!$B:$B,0))*25,IF($J37=3,INDEX('큐펫&amp;몹 정리(최신)'!Q:Q,MATCH($E37,'큐펫&amp;몹 정리(최신)'!$B:$B,0))*30,IF($J37=4,INDEX('큐펫&amp;몹 정리(최신)'!Q:Q,MATCH($E37,'큐펫&amp;몹 정리(최신)'!$B:$B,0))*35,INDEX('큐펫&amp;몹 정리(최신)'!Q:Q,MATCH($E37,'큐펫&amp;몹 정리(최신)'!$B:$B,0))*40))))</f>
        <v>80</v>
      </c>
      <c r="M37" s="190">
        <f>IF($J37=1,INDEX('큐펫&amp;몹 정리(최신)'!R:R,MATCH($E37,'큐펫&amp;몹 정리(최신)'!$B:$B,0))*20,IF($J37=2,INDEX('큐펫&amp;몹 정리(최신)'!R:R,MATCH($E37,'큐펫&amp;몹 정리(최신)'!$B:$B,0))*25,IF($J37=3,INDEX('큐펫&amp;몹 정리(최신)'!R:R,MATCH($E37,'큐펫&amp;몹 정리(최신)'!$B:$B,0))*30,IF($J37=4,INDEX('큐펫&amp;몹 정리(최신)'!R:R,MATCH($E37,'큐펫&amp;몹 정리(최신)'!$B:$B,0))*35,INDEX('큐펫&amp;몹 정리(최신)'!R:R,MATCH($E37,'큐펫&amp;몹 정리(최신)'!$B:$B,0))*40))))</f>
        <v>100</v>
      </c>
      <c r="N37" s="190">
        <f>IF($J37=1,INDEX('큐펫&amp;몹 정리(최신)'!S:S,MATCH($E37,'큐펫&amp;몹 정리(최신)'!$B:$B,0))*20,IF($J37=2,INDEX('큐펫&amp;몹 정리(최신)'!S:S,MATCH($E37,'큐펫&amp;몹 정리(최신)'!$B:$B,0))*25,IF($J37=3,INDEX('큐펫&amp;몹 정리(최신)'!S:S,MATCH($E37,'큐펫&amp;몹 정리(최신)'!$B:$B,0))*30,IF($J37=4,INDEX('큐펫&amp;몹 정리(최신)'!S:S,MATCH($E37,'큐펫&amp;몹 정리(최신)'!$B:$B,0))*35,INDEX('큐펫&amp;몹 정리(최신)'!S:S,MATCH($E37,'큐펫&amp;몹 정리(최신)'!$B:$B,0))*40))))</f>
        <v>400</v>
      </c>
      <c r="O37" s="190">
        <f>IF($J37=1,INDEX('큐펫&amp;몹 정리(최신)'!T:T,MATCH($E37,'큐펫&amp;몹 정리(최신)'!$B:$B,0))*20,IF($J37=2,INDEX('큐펫&amp;몹 정리(최신)'!T:T,MATCH($E37,'큐펫&amp;몹 정리(최신)'!$B:$B,0))*25,IF($J37=3,INDEX('큐펫&amp;몹 정리(최신)'!T:T,MATCH($E37,'큐펫&amp;몹 정리(최신)'!$B:$B,0))*30,IF($J37=4,INDEX('큐펫&amp;몹 정리(최신)'!T:T,MATCH($E37,'큐펫&amp;몹 정리(최신)'!$B:$B,0))*35,INDEX('큐펫&amp;몹 정리(최신)'!T:T,MATCH($E37,'큐펫&amp;몹 정리(최신)'!$B:$B,0))*40))))</f>
        <v>460</v>
      </c>
      <c r="P37" s="217">
        <v>20</v>
      </c>
      <c r="Q37" s="217">
        <f t="shared" si="0"/>
        <v>31488</v>
      </c>
      <c r="R37" s="217">
        <f t="shared" si="1"/>
        <v>287</v>
      </c>
      <c r="S37" s="217">
        <f t="shared" si="2"/>
        <v>348</v>
      </c>
      <c r="T37" s="217">
        <f t="shared" si="3"/>
        <v>1784</v>
      </c>
      <c r="U37" s="217">
        <f t="shared" si="4"/>
        <v>11807</v>
      </c>
      <c r="V37" s="217">
        <f t="shared" si="5"/>
        <v>6826</v>
      </c>
      <c r="W37" s="217">
        <f>ROUND(AC37+(INDEX(Ref!B$1:B$9,MATCH($AI37,Ref!$A$1:$A$9,0))*P37*0.0001),)</f>
        <v>17</v>
      </c>
      <c r="X37" s="217">
        <f>ROUND(AD37+(INDEX(Ref!C$1:C$9,MATCH($AI37,Ref!$A$1:$A$9,0))*$P37*0.0001),)</f>
        <v>32</v>
      </c>
      <c r="Y37" s="217">
        <f>ROUND(AE37+(INDEX(Ref!D$1:D$9,MATCH($AI37,Ref!$A$1:$A$9,0))*$P37*0.0001),)</f>
        <v>39</v>
      </c>
      <c r="Z37" s="217">
        <f>ROUND(AF37+(INDEX(Ref!E$1:E$9,MATCH($AI37,Ref!$A$1:$A$9,0))*$P37*0.0001),)</f>
        <v>41</v>
      </c>
      <c r="AA37" s="217">
        <f>ROUND(AG37+(INDEX(Ref!F$1:F$9,MATCH($AI37,Ref!$A$1:$A$9,0))*$P37*0.0001),)</f>
        <v>19</v>
      </c>
      <c r="AB37" s="217">
        <f>ROUND(AH37+(INDEX(Ref!G$1:G$9,MATCH($AI37,Ref!$A$1:$A$9,0))*$P37*0.0001),)</f>
        <v>36</v>
      </c>
      <c r="AC37" s="137">
        <v>15</v>
      </c>
      <c r="AD37" s="137">
        <v>28</v>
      </c>
      <c r="AE37" s="137">
        <v>36</v>
      </c>
      <c r="AF37" s="137">
        <v>36</v>
      </c>
      <c r="AG37" s="137">
        <v>17</v>
      </c>
      <c r="AH37" s="137">
        <v>32</v>
      </c>
      <c r="AI37" s="208">
        <v>6</v>
      </c>
      <c r="AJ37" s="172">
        <v>3000</v>
      </c>
      <c r="AK37" s="172">
        <v>30043</v>
      </c>
      <c r="AL37" s="172">
        <v>2000</v>
      </c>
      <c r="AM37" s="172">
        <v>30046</v>
      </c>
      <c r="AN37" s="172">
        <v>0</v>
      </c>
      <c r="AO37" s="172">
        <f t="shared" si="6"/>
        <v>34043</v>
      </c>
      <c r="AP37" s="172">
        <v>0</v>
      </c>
      <c r="AQ37" s="172">
        <f t="shared" si="7"/>
        <v>34046</v>
      </c>
      <c r="AR37" s="172">
        <v>1</v>
      </c>
      <c r="AS37" s="172">
        <v>0</v>
      </c>
      <c r="AT37" s="199">
        <v>78008</v>
      </c>
      <c r="AU37" s="195" t="s">
        <v>102</v>
      </c>
    </row>
    <row r="38" spans="1:55" x14ac:dyDescent="0.2">
      <c r="A38" s="173">
        <v>55008</v>
      </c>
      <c r="B38" s="172" t="s">
        <v>100</v>
      </c>
      <c r="C38" s="172">
        <v>86008</v>
      </c>
      <c r="D38" s="172">
        <v>150008</v>
      </c>
      <c r="E38" s="206" t="s">
        <v>101</v>
      </c>
      <c r="F38" s="207">
        <v>1</v>
      </c>
      <c r="G38" s="172">
        <v>13000</v>
      </c>
      <c r="H38" s="172">
        <v>9000</v>
      </c>
      <c r="I38" s="172">
        <v>10000</v>
      </c>
      <c r="J38" s="172">
        <v>2</v>
      </c>
      <c r="K38" s="190">
        <f>IF($J38=1,INDEX('큐펫&amp;몹 정리(최신)'!P:P,MATCH($E38,'큐펫&amp;몹 정리(최신)'!$B:$B,0))*20,IF($J38=2,INDEX('큐펫&amp;몹 정리(최신)'!P:P,MATCH($E38,'큐펫&amp;몹 정리(최신)'!$B:$B,0))*25,IF($J38=3,INDEX('큐펫&amp;몹 정리(최신)'!P:P,MATCH($E38,'큐펫&amp;몹 정리(최신)'!$B:$B,0))*30,IF($J38=4,INDEX('큐펫&amp;몹 정리(최신)'!P:P,MATCH($E38,'큐펫&amp;몹 정리(최신)'!$B:$B,0))*35,INDEX('큐펫&amp;몹 정리(최신)'!P:P,MATCH($E38,'큐펫&amp;몹 정리(최신)'!$B:$B,0))*40))))</f>
        <v>1200</v>
      </c>
      <c r="L38" s="190">
        <f>IF($J38=1,INDEX('큐펫&amp;몹 정리(최신)'!Q:Q,MATCH($E38,'큐펫&amp;몹 정리(최신)'!$B:$B,0))*20,IF($J38=2,INDEX('큐펫&amp;몹 정리(최신)'!Q:Q,MATCH($E38,'큐펫&amp;몹 정리(최신)'!$B:$B,0))*25,IF($J38=3,INDEX('큐펫&amp;몹 정리(최신)'!Q:Q,MATCH($E38,'큐펫&amp;몹 정리(최신)'!$B:$B,0))*30,IF($J38=4,INDEX('큐펫&amp;몹 정리(최신)'!Q:Q,MATCH($E38,'큐펫&amp;몹 정리(최신)'!$B:$B,0))*35,INDEX('큐펫&amp;몹 정리(최신)'!Q:Q,MATCH($E38,'큐펫&amp;몹 정리(최신)'!$B:$B,0))*40))))</f>
        <v>100</v>
      </c>
      <c r="M38" s="190">
        <f>IF($J38=1,INDEX('큐펫&amp;몹 정리(최신)'!R:R,MATCH($E38,'큐펫&amp;몹 정리(최신)'!$B:$B,0))*20,IF($J38=2,INDEX('큐펫&amp;몹 정리(최신)'!R:R,MATCH($E38,'큐펫&amp;몹 정리(최신)'!$B:$B,0))*25,IF($J38=3,INDEX('큐펫&amp;몹 정리(최신)'!R:R,MATCH($E38,'큐펫&amp;몹 정리(최신)'!$B:$B,0))*30,IF($J38=4,INDEX('큐펫&amp;몹 정리(최신)'!R:R,MATCH($E38,'큐펫&amp;몹 정리(최신)'!$B:$B,0))*35,INDEX('큐펫&amp;몹 정리(최신)'!R:R,MATCH($E38,'큐펫&amp;몹 정리(최신)'!$B:$B,0))*40))))</f>
        <v>125</v>
      </c>
      <c r="N38" s="190">
        <f>IF($J38=1,INDEX('큐펫&amp;몹 정리(최신)'!S:S,MATCH($E38,'큐펫&amp;몹 정리(최신)'!$B:$B,0))*20,IF($J38=2,INDEX('큐펫&amp;몹 정리(최신)'!S:S,MATCH($E38,'큐펫&amp;몹 정리(최신)'!$B:$B,0))*25,IF($J38=3,INDEX('큐펫&amp;몹 정리(최신)'!S:S,MATCH($E38,'큐펫&amp;몹 정리(최신)'!$B:$B,0))*30,IF($J38=4,INDEX('큐펫&amp;몹 정리(최신)'!S:S,MATCH($E38,'큐펫&amp;몹 정리(최신)'!$B:$B,0))*35,INDEX('큐펫&amp;몹 정리(최신)'!S:S,MATCH($E38,'큐펫&amp;몹 정리(최신)'!$B:$B,0))*40))))</f>
        <v>500</v>
      </c>
      <c r="O38" s="190">
        <f>IF($J38=1,INDEX('큐펫&amp;몹 정리(최신)'!T:T,MATCH($E38,'큐펫&amp;몹 정리(최신)'!$B:$B,0))*20,IF($J38=2,INDEX('큐펫&amp;몹 정리(최신)'!T:T,MATCH($E38,'큐펫&amp;몹 정리(최신)'!$B:$B,0))*25,IF($J38=3,INDEX('큐펫&amp;몹 정리(최신)'!T:T,MATCH($E38,'큐펫&amp;몹 정리(최신)'!$B:$B,0))*30,IF($J38=4,INDEX('큐펫&amp;몹 정리(최신)'!T:T,MATCH($E38,'큐펫&amp;몹 정리(최신)'!$B:$B,0))*35,INDEX('큐펫&amp;몹 정리(최신)'!T:T,MATCH($E38,'큐펫&amp;몹 정리(최신)'!$B:$B,0))*40))))</f>
        <v>575</v>
      </c>
      <c r="P38" s="217">
        <v>40</v>
      </c>
      <c r="Q38" s="217">
        <f t="shared" si="0"/>
        <v>75120</v>
      </c>
      <c r="R38" s="217">
        <f t="shared" si="1"/>
        <v>517</v>
      </c>
      <c r="S38" s="217">
        <f t="shared" si="2"/>
        <v>658</v>
      </c>
      <c r="T38" s="217">
        <f t="shared" si="3"/>
        <v>3387</v>
      </c>
      <c r="U38" s="217">
        <f t="shared" si="4"/>
        <v>21009</v>
      </c>
      <c r="V38" s="217">
        <f t="shared" si="5"/>
        <v>12126</v>
      </c>
      <c r="W38" s="217">
        <f>ROUND(AC38+(INDEX(Ref!B$1:B$9,MATCH($AI38,Ref!$A$1:$A$9,0))*P38*0.0001),)</f>
        <v>21</v>
      </c>
      <c r="X38" s="217">
        <f>ROUND(AD38+(INDEX(Ref!C$1:C$9,MATCH($AI38,Ref!$A$1:$A$9,0))*$P38*0.0001),)</f>
        <v>40</v>
      </c>
      <c r="Y38" s="217">
        <f>ROUND(AE38+(INDEX(Ref!D$1:D$9,MATCH($AI38,Ref!$A$1:$A$9,0))*$P38*0.0001),)</f>
        <v>44</v>
      </c>
      <c r="Z38" s="217">
        <f>ROUND(AF38+(INDEX(Ref!E$1:E$9,MATCH($AI38,Ref!$A$1:$A$9,0))*$P38*0.0001),)</f>
        <v>51</v>
      </c>
      <c r="AA38" s="217">
        <f>ROUND(AG38+(INDEX(Ref!F$1:F$9,MATCH($AI38,Ref!$A$1:$A$9,0))*$P38*0.0001),)</f>
        <v>24</v>
      </c>
      <c r="AB38" s="217">
        <f>ROUND(AH38+(INDEX(Ref!G$1:G$9,MATCH($AI38,Ref!$A$1:$A$9,0))*$P38*0.0001),)</f>
        <v>44</v>
      </c>
      <c r="AC38" s="137">
        <v>17</v>
      </c>
      <c r="AD38" s="137">
        <v>32</v>
      </c>
      <c r="AE38" s="137">
        <v>39</v>
      </c>
      <c r="AF38" s="137">
        <v>41</v>
      </c>
      <c r="AG38" s="137">
        <v>19</v>
      </c>
      <c r="AH38" s="137">
        <v>36</v>
      </c>
      <c r="AI38" s="208">
        <v>6</v>
      </c>
      <c r="AJ38" s="172">
        <v>3000</v>
      </c>
      <c r="AK38" s="172">
        <v>30044</v>
      </c>
      <c r="AL38" s="172">
        <v>2000</v>
      </c>
      <c r="AM38" s="172">
        <v>30046</v>
      </c>
      <c r="AN38" s="172">
        <v>0</v>
      </c>
      <c r="AO38" s="172">
        <f t="shared" si="6"/>
        <v>34044</v>
      </c>
      <c r="AP38" s="172">
        <v>0</v>
      </c>
      <c r="AQ38" s="172">
        <f t="shared" si="7"/>
        <v>34046</v>
      </c>
      <c r="AR38" s="172">
        <v>1</v>
      </c>
      <c r="AS38" s="172">
        <v>0</v>
      </c>
      <c r="AT38" s="199">
        <v>78008</v>
      </c>
      <c r="AU38" s="195" t="s">
        <v>102</v>
      </c>
    </row>
    <row r="39" spans="1:55" x14ac:dyDescent="0.2">
      <c r="A39" s="173">
        <v>55008</v>
      </c>
      <c r="B39" s="172" t="s">
        <v>100</v>
      </c>
      <c r="C39" s="172">
        <v>86008</v>
      </c>
      <c r="D39" s="172">
        <v>150008</v>
      </c>
      <c r="E39" s="206" t="s">
        <v>101</v>
      </c>
      <c r="F39" s="207">
        <v>1</v>
      </c>
      <c r="G39" s="172">
        <v>13000</v>
      </c>
      <c r="H39" s="172">
        <v>9000</v>
      </c>
      <c r="I39" s="172">
        <v>10000</v>
      </c>
      <c r="J39" s="172">
        <v>3</v>
      </c>
      <c r="K39" s="190">
        <f>IF($J39=1,INDEX('큐펫&amp;몹 정리(최신)'!P:P,MATCH($E39,'큐펫&amp;몹 정리(최신)'!$B:$B,0))*20,IF($J39=2,INDEX('큐펫&amp;몹 정리(최신)'!P:P,MATCH($E39,'큐펫&amp;몹 정리(최신)'!$B:$B,0))*25,IF($J39=3,INDEX('큐펫&amp;몹 정리(최신)'!P:P,MATCH($E39,'큐펫&amp;몹 정리(최신)'!$B:$B,0))*30,IF($J39=4,INDEX('큐펫&amp;몹 정리(최신)'!P:P,MATCH($E39,'큐펫&amp;몹 정리(최신)'!$B:$B,0))*35,INDEX('큐펫&amp;몹 정리(최신)'!P:P,MATCH($E39,'큐펫&amp;몹 정리(최신)'!$B:$B,0))*40))))</f>
        <v>1440</v>
      </c>
      <c r="L39" s="190">
        <f>IF($J39=1,INDEX('큐펫&amp;몹 정리(최신)'!Q:Q,MATCH($E39,'큐펫&amp;몹 정리(최신)'!$B:$B,0))*20,IF($J39=2,INDEX('큐펫&amp;몹 정리(최신)'!Q:Q,MATCH($E39,'큐펫&amp;몹 정리(최신)'!$B:$B,0))*25,IF($J39=3,INDEX('큐펫&amp;몹 정리(최신)'!Q:Q,MATCH($E39,'큐펫&amp;몹 정리(최신)'!$B:$B,0))*30,IF($J39=4,INDEX('큐펫&amp;몹 정리(최신)'!Q:Q,MATCH($E39,'큐펫&amp;몹 정리(최신)'!$B:$B,0))*35,INDEX('큐펫&amp;몹 정리(최신)'!Q:Q,MATCH($E39,'큐펫&amp;몹 정리(최신)'!$B:$B,0))*40))))</f>
        <v>120</v>
      </c>
      <c r="M39" s="190">
        <f>IF($J39=1,INDEX('큐펫&amp;몹 정리(최신)'!R:R,MATCH($E39,'큐펫&amp;몹 정리(최신)'!$B:$B,0))*20,IF($J39=2,INDEX('큐펫&amp;몹 정리(최신)'!R:R,MATCH($E39,'큐펫&amp;몹 정리(최신)'!$B:$B,0))*25,IF($J39=3,INDEX('큐펫&amp;몹 정리(최신)'!R:R,MATCH($E39,'큐펫&amp;몹 정리(최신)'!$B:$B,0))*30,IF($J39=4,INDEX('큐펫&amp;몹 정리(최신)'!R:R,MATCH($E39,'큐펫&amp;몹 정리(최신)'!$B:$B,0))*35,INDEX('큐펫&amp;몹 정리(최신)'!R:R,MATCH($E39,'큐펫&amp;몹 정리(최신)'!$B:$B,0))*40))))</f>
        <v>150</v>
      </c>
      <c r="N39" s="190">
        <f>IF($J39=1,INDEX('큐펫&amp;몹 정리(최신)'!S:S,MATCH($E39,'큐펫&amp;몹 정리(최신)'!$B:$B,0))*20,IF($J39=2,INDEX('큐펫&amp;몹 정리(최신)'!S:S,MATCH($E39,'큐펫&amp;몹 정리(최신)'!$B:$B,0))*25,IF($J39=3,INDEX('큐펫&amp;몹 정리(최신)'!S:S,MATCH($E39,'큐펫&amp;몹 정리(최신)'!$B:$B,0))*30,IF($J39=4,INDEX('큐펫&amp;몹 정리(최신)'!S:S,MATCH($E39,'큐펫&amp;몹 정리(최신)'!$B:$B,0))*35,INDEX('큐펫&amp;몹 정리(최신)'!S:S,MATCH($E39,'큐펫&amp;몹 정리(최신)'!$B:$B,0))*40))))</f>
        <v>600</v>
      </c>
      <c r="O39" s="190">
        <f>IF($J39=1,INDEX('큐펫&amp;몹 정리(최신)'!T:T,MATCH($E39,'큐펫&amp;몹 정리(최신)'!$B:$B,0))*20,IF($J39=2,INDEX('큐펫&amp;몹 정리(최신)'!T:T,MATCH($E39,'큐펫&amp;몹 정리(최신)'!$B:$B,0))*25,IF($J39=3,INDEX('큐펫&amp;몹 정리(최신)'!T:T,MATCH($E39,'큐펫&amp;몹 정리(최신)'!$B:$B,0))*30,IF($J39=4,INDEX('큐펫&amp;몹 정리(최신)'!T:T,MATCH($E39,'큐펫&amp;몹 정리(최신)'!$B:$B,0))*35,INDEX('큐펫&amp;몹 정리(최신)'!T:T,MATCH($E39,'큐펫&amp;몹 정리(최신)'!$B:$B,0))*40))))</f>
        <v>690</v>
      </c>
      <c r="P39" s="217">
        <v>60</v>
      </c>
      <c r="Q39" s="217">
        <f t="shared" si="0"/>
        <v>136800</v>
      </c>
      <c r="R39" s="217">
        <f t="shared" si="1"/>
        <v>910</v>
      </c>
      <c r="S39" s="217">
        <f t="shared" si="2"/>
        <v>1043</v>
      </c>
      <c r="T39" s="217">
        <f t="shared" si="3"/>
        <v>5566</v>
      </c>
      <c r="U39" s="217">
        <f t="shared" si="4"/>
        <v>33010</v>
      </c>
      <c r="V39" s="217">
        <f t="shared" si="5"/>
        <v>19035</v>
      </c>
      <c r="W39" s="217">
        <f>ROUND(AC39+(INDEX(Ref!B$1:B$9,MATCH($AI39,Ref!$A$1:$A$9,0))*P39*0.0001),)</f>
        <v>26</v>
      </c>
      <c r="X39" s="217">
        <f>ROUND(AD39+(INDEX(Ref!C$1:C$9,MATCH($AI39,Ref!$A$1:$A$9,0))*$P39*0.0001),)</f>
        <v>47</v>
      </c>
      <c r="Y39" s="217">
        <f>ROUND(AE39+(INDEX(Ref!D$1:D$9,MATCH($AI39,Ref!$A$1:$A$9,0))*$P39*0.0001),)</f>
        <v>50</v>
      </c>
      <c r="Z39" s="217">
        <f>ROUND(AF39+(INDEX(Ref!E$1:E$9,MATCH($AI39,Ref!$A$1:$A$9,0))*$P39*0.0001),)</f>
        <v>60</v>
      </c>
      <c r="AA39" s="217">
        <f>ROUND(AG39+(INDEX(Ref!F$1:F$9,MATCH($AI39,Ref!$A$1:$A$9,0))*$P39*0.0001),)</f>
        <v>28</v>
      </c>
      <c r="AB39" s="217">
        <f>ROUND(AH39+(INDEX(Ref!G$1:G$9,MATCH($AI39,Ref!$A$1:$A$9,0))*$P39*0.0001),)</f>
        <v>53</v>
      </c>
      <c r="AC39" s="137">
        <v>19</v>
      </c>
      <c r="AD39" s="137">
        <v>36</v>
      </c>
      <c r="AE39" s="137">
        <v>42</v>
      </c>
      <c r="AF39" s="137">
        <v>46</v>
      </c>
      <c r="AG39" s="137">
        <v>21</v>
      </c>
      <c r="AH39" s="137">
        <v>40</v>
      </c>
      <c r="AI39" s="208">
        <v>6</v>
      </c>
      <c r="AJ39" s="172">
        <v>3000</v>
      </c>
      <c r="AK39" s="172">
        <v>30044</v>
      </c>
      <c r="AL39" s="172">
        <v>2000</v>
      </c>
      <c r="AM39" s="172">
        <v>30047</v>
      </c>
      <c r="AN39" s="172">
        <v>0</v>
      </c>
      <c r="AO39" s="172">
        <f t="shared" si="6"/>
        <v>34044</v>
      </c>
      <c r="AP39" s="172">
        <v>0</v>
      </c>
      <c r="AQ39" s="172">
        <f t="shared" si="7"/>
        <v>34047</v>
      </c>
      <c r="AR39" s="172">
        <v>1</v>
      </c>
      <c r="AS39" s="172">
        <v>0</v>
      </c>
      <c r="AT39" s="199">
        <v>78008</v>
      </c>
      <c r="AU39" s="195" t="s">
        <v>102</v>
      </c>
    </row>
    <row r="40" spans="1:55" x14ac:dyDescent="0.2">
      <c r="A40" s="173">
        <v>55008</v>
      </c>
      <c r="B40" s="172" t="s">
        <v>100</v>
      </c>
      <c r="C40" s="172">
        <v>86008</v>
      </c>
      <c r="D40" s="172">
        <v>150008</v>
      </c>
      <c r="E40" s="206" t="s">
        <v>101</v>
      </c>
      <c r="F40" s="207">
        <v>1</v>
      </c>
      <c r="G40" s="172">
        <v>13000</v>
      </c>
      <c r="H40" s="172">
        <v>9000</v>
      </c>
      <c r="I40" s="172">
        <v>10000</v>
      </c>
      <c r="J40" s="172">
        <v>4</v>
      </c>
      <c r="K40" s="190">
        <f>IF($J40=1,INDEX('큐펫&amp;몹 정리(최신)'!P:P,MATCH($E40,'큐펫&amp;몹 정리(최신)'!$B:$B,0))*20,IF($J40=2,INDEX('큐펫&amp;몹 정리(최신)'!P:P,MATCH($E40,'큐펫&amp;몹 정리(최신)'!$B:$B,0))*25,IF($J40=3,INDEX('큐펫&amp;몹 정리(최신)'!P:P,MATCH($E40,'큐펫&amp;몹 정리(최신)'!$B:$B,0))*30,IF($J40=4,INDEX('큐펫&amp;몹 정리(최신)'!P:P,MATCH($E40,'큐펫&amp;몹 정리(최신)'!$B:$B,0))*35,INDEX('큐펫&amp;몹 정리(최신)'!P:P,MATCH($E40,'큐펫&amp;몹 정리(최신)'!$B:$B,0))*40))))</f>
        <v>1680</v>
      </c>
      <c r="L40" s="190">
        <f>IF($J40=1,INDEX('큐펫&amp;몹 정리(최신)'!Q:Q,MATCH($E40,'큐펫&amp;몹 정리(최신)'!$B:$B,0))*20,IF($J40=2,INDEX('큐펫&amp;몹 정리(최신)'!Q:Q,MATCH($E40,'큐펫&amp;몹 정리(최신)'!$B:$B,0))*25,IF($J40=3,INDEX('큐펫&amp;몹 정리(최신)'!Q:Q,MATCH($E40,'큐펫&amp;몹 정리(최신)'!$B:$B,0))*30,IF($J40=4,INDEX('큐펫&amp;몹 정리(최신)'!Q:Q,MATCH($E40,'큐펫&amp;몹 정리(최신)'!$B:$B,0))*35,INDEX('큐펫&amp;몹 정리(최신)'!Q:Q,MATCH($E40,'큐펫&amp;몹 정리(최신)'!$B:$B,0))*40))))</f>
        <v>140</v>
      </c>
      <c r="M40" s="190">
        <f>IF($J40=1,INDEX('큐펫&amp;몹 정리(최신)'!R:R,MATCH($E40,'큐펫&amp;몹 정리(최신)'!$B:$B,0))*20,IF($J40=2,INDEX('큐펫&amp;몹 정리(최신)'!R:R,MATCH($E40,'큐펫&amp;몹 정리(최신)'!$B:$B,0))*25,IF($J40=3,INDEX('큐펫&amp;몹 정리(최신)'!R:R,MATCH($E40,'큐펫&amp;몹 정리(최신)'!$B:$B,0))*30,IF($J40=4,INDEX('큐펫&amp;몹 정리(최신)'!R:R,MATCH($E40,'큐펫&amp;몹 정리(최신)'!$B:$B,0))*35,INDEX('큐펫&amp;몹 정리(최신)'!R:R,MATCH($E40,'큐펫&amp;몹 정리(최신)'!$B:$B,0))*40))))</f>
        <v>175</v>
      </c>
      <c r="N40" s="190">
        <f>IF($J40=1,INDEX('큐펫&amp;몹 정리(최신)'!S:S,MATCH($E40,'큐펫&amp;몹 정리(최신)'!$B:$B,0))*20,IF($J40=2,INDEX('큐펫&amp;몹 정리(최신)'!S:S,MATCH($E40,'큐펫&amp;몹 정리(최신)'!$B:$B,0))*25,IF($J40=3,INDEX('큐펫&amp;몹 정리(최신)'!S:S,MATCH($E40,'큐펫&amp;몹 정리(최신)'!$B:$B,0))*30,IF($J40=4,INDEX('큐펫&amp;몹 정리(최신)'!S:S,MATCH($E40,'큐펫&amp;몹 정리(최신)'!$B:$B,0))*35,INDEX('큐펫&amp;몹 정리(최신)'!S:S,MATCH($E40,'큐펫&amp;몹 정리(최신)'!$B:$B,0))*40))))</f>
        <v>700</v>
      </c>
      <c r="O40" s="190">
        <f>IF($J40=1,INDEX('큐펫&amp;몹 정리(최신)'!T:T,MATCH($E40,'큐펫&amp;몹 정리(최신)'!$B:$B,0))*20,IF($J40=2,INDEX('큐펫&amp;몹 정리(최신)'!T:T,MATCH($E40,'큐펫&amp;몹 정리(최신)'!$B:$B,0))*25,IF($J40=3,INDEX('큐펫&amp;몹 정리(최신)'!T:T,MATCH($E40,'큐펫&amp;몹 정리(최신)'!$B:$B,0))*30,IF($J40=4,INDEX('큐펫&amp;몹 정리(최신)'!T:T,MATCH($E40,'큐펫&amp;몹 정리(최신)'!$B:$B,0))*35,INDEX('큐펫&amp;몹 정리(최신)'!T:T,MATCH($E40,'큐펫&amp;몹 정리(최신)'!$B:$B,0))*40))))</f>
        <v>805</v>
      </c>
      <c r="P40" s="217">
        <v>80</v>
      </c>
      <c r="Q40" s="217">
        <f t="shared" si="0"/>
        <v>215376</v>
      </c>
      <c r="R40" s="217">
        <f t="shared" si="1"/>
        <v>1468</v>
      </c>
      <c r="S40" s="217">
        <f t="shared" si="2"/>
        <v>1746</v>
      </c>
      <c r="T40" s="217">
        <f t="shared" si="3"/>
        <v>8774</v>
      </c>
      <c r="U40" s="217">
        <f t="shared" si="4"/>
        <v>46912</v>
      </c>
      <c r="V40" s="217">
        <f t="shared" si="5"/>
        <v>27037</v>
      </c>
      <c r="W40" s="217">
        <f>ROUND(AC40+(INDEX(Ref!B$1:B$9,MATCH($AI40,Ref!$A$1:$A$9,0))*P40*0.0001),)</f>
        <v>31</v>
      </c>
      <c r="X40" s="217">
        <f>ROUND(AD40+(INDEX(Ref!C$1:C$9,MATCH($AI40,Ref!$A$1:$A$9,0))*$P40*0.0001),)</f>
        <v>54</v>
      </c>
      <c r="Y40" s="217">
        <f>ROUND(AE40+(INDEX(Ref!D$1:D$9,MATCH($AI40,Ref!$A$1:$A$9,0))*$P40*0.0001),)</f>
        <v>54</v>
      </c>
      <c r="Z40" s="217">
        <f>ROUND(AF40+(INDEX(Ref!E$1:E$9,MATCH($AI40,Ref!$A$1:$A$9,0))*$P40*0.0001),)</f>
        <v>70</v>
      </c>
      <c r="AA40" s="217">
        <f>ROUND(AG40+(INDEX(Ref!F$1:F$9,MATCH($AI40,Ref!$A$1:$A$9,0))*$P40*0.0001),)</f>
        <v>34</v>
      </c>
      <c r="AB40" s="217">
        <f>ROUND(AH40+(INDEX(Ref!G$1:G$9,MATCH($AI40,Ref!$A$1:$A$9,0))*$P40*0.0001),)</f>
        <v>61</v>
      </c>
      <c r="AC40" s="137">
        <v>22</v>
      </c>
      <c r="AD40" s="137">
        <v>39</v>
      </c>
      <c r="AE40" s="137">
        <v>44</v>
      </c>
      <c r="AF40" s="137">
        <v>51</v>
      </c>
      <c r="AG40" s="137">
        <v>24</v>
      </c>
      <c r="AH40" s="137">
        <v>44</v>
      </c>
      <c r="AI40" s="208">
        <v>6</v>
      </c>
      <c r="AJ40" s="172">
        <v>3000</v>
      </c>
      <c r="AK40" s="172">
        <v>30045</v>
      </c>
      <c r="AL40" s="172">
        <v>2000</v>
      </c>
      <c r="AM40" s="172">
        <v>30047</v>
      </c>
      <c r="AN40" s="172">
        <v>0</v>
      </c>
      <c r="AO40" s="172">
        <f t="shared" si="6"/>
        <v>34045</v>
      </c>
      <c r="AP40" s="172">
        <v>0</v>
      </c>
      <c r="AQ40" s="172">
        <f t="shared" si="7"/>
        <v>34047</v>
      </c>
      <c r="AR40" s="172">
        <v>1</v>
      </c>
      <c r="AS40" s="172">
        <v>0</v>
      </c>
      <c r="AT40" s="199">
        <v>78008</v>
      </c>
      <c r="AU40" s="195" t="s">
        <v>102</v>
      </c>
    </row>
    <row r="41" spans="1:55" x14ac:dyDescent="0.2">
      <c r="A41" s="173">
        <v>55008</v>
      </c>
      <c r="B41" s="172" t="s">
        <v>100</v>
      </c>
      <c r="C41" s="172">
        <v>86008</v>
      </c>
      <c r="D41" s="172">
        <v>150008</v>
      </c>
      <c r="E41" s="206" t="s">
        <v>101</v>
      </c>
      <c r="F41" s="207">
        <v>1</v>
      </c>
      <c r="G41" s="172">
        <v>13000</v>
      </c>
      <c r="H41" s="172">
        <v>9000</v>
      </c>
      <c r="I41" s="172">
        <v>10000</v>
      </c>
      <c r="J41" s="172">
        <v>5</v>
      </c>
      <c r="K41" s="190">
        <f>IF($J41=1,INDEX('큐펫&amp;몹 정리(최신)'!P:P,MATCH($E41,'큐펫&amp;몹 정리(최신)'!$B:$B,0))*20,IF($J41=2,INDEX('큐펫&amp;몹 정리(최신)'!P:P,MATCH($E41,'큐펫&amp;몹 정리(최신)'!$B:$B,0))*25,IF($J41=3,INDEX('큐펫&amp;몹 정리(최신)'!P:P,MATCH($E41,'큐펫&amp;몹 정리(최신)'!$B:$B,0))*30,IF($J41=4,INDEX('큐펫&amp;몹 정리(최신)'!P:P,MATCH($E41,'큐펫&amp;몹 정리(최신)'!$B:$B,0))*35,INDEX('큐펫&amp;몹 정리(최신)'!P:P,MATCH($E41,'큐펫&amp;몹 정리(최신)'!$B:$B,0))*40))))</f>
        <v>1920</v>
      </c>
      <c r="L41" s="190">
        <f>IF($J41=1,INDEX('큐펫&amp;몹 정리(최신)'!Q:Q,MATCH($E41,'큐펫&amp;몹 정리(최신)'!$B:$B,0))*20,IF($J41=2,INDEX('큐펫&amp;몹 정리(최신)'!Q:Q,MATCH($E41,'큐펫&amp;몹 정리(최신)'!$B:$B,0))*25,IF($J41=3,INDEX('큐펫&amp;몹 정리(최신)'!Q:Q,MATCH($E41,'큐펫&amp;몹 정리(최신)'!$B:$B,0))*30,IF($J41=4,INDEX('큐펫&amp;몹 정리(최신)'!Q:Q,MATCH($E41,'큐펫&amp;몹 정리(최신)'!$B:$B,0))*35,INDEX('큐펫&amp;몹 정리(최신)'!Q:Q,MATCH($E41,'큐펫&amp;몹 정리(최신)'!$B:$B,0))*40))))</f>
        <v>160</v>
      </c>
      <c r="M41" s="190">
        <f>IF($J41=1,INDEX('큐펫&amp;몹 정리(최신)'!R:R,MATCH($E41,'큐펫&amp;몹 정리(최신)'!$B:$B,0))*20,IF($J41=2,INDEX('큐펫&amp;몹 정리(최신)'!R:R,MATCH($E41,'큐펫&amp;몹 정리(최신)'!$B:$B,0))*25,IF($J41=3,INDEX('큐펫&amp;몹 정리(최신)'!R:R,MATCH($E41,'큐펫&amp;몹 정리(최신)'!$B:$B,0))*30,IF($J41=4,INDEX('큐펫&amp;몹 정리(최신)'!R:R,MATCH($E41,'큐펫&amp;몹 정리(최신)'!$B:$B,0))*35,INDEX('큐펫&amp;몹 정리(최신)'!R:R,MATCH($E41,'큐펫&amp;몹 정리(최신)'!$B:$B,0))*40))))</f>
        <v>200</v>
      </c>
      <c r="N41" s="190">
        <f>IF($J41=1,INDEX('큐펫&amp;몹 정리(최신)'!S:S,MATCH($E41,'큐펫&amp;몹 정리(최신)'!$B:$B,0))*20,IF($J41=2,INDEX('큐펫&amp;몹 정리(최신)'!S:S,MATCH($E41,'큐펫&amp;몹 정리(최신)'!$B:$B,0))*25,IF($J41=3,INDEX('큐펫&amp;몹 정리(최신)'!S:S,MATCH($E41,'큐펫&amp;몹 정리(최신)'!$B:$B,0))*30,IF($J41=4,INDEX('큐펫&amp;몹 정리(최신)'!S:S,MATCH($E41,'큐펫&amp;몹 정리(최신)'!$B:$B,0))*35,INDEX('큐펫&amp;몹 정리(최신)'!S:S,MATCH($E41,'큐펫&amp;몹 정리(최신)'!$B:$B,0))*40))))</f>
        <v>800</v>
      </c>
      <c r="O41" s="190">
        <f>IF($J41=1,INDEX('큐펫&amp;몹 정리(최신)'!T:T,MATCH($E41,'큐펫&amp;몹 정리(최신)'!$B:$B,0))*20,IF($J41=2,INDEX('큐펫&amp;몹 정리(최신)'!T:T,MATCH($E41,'큐펫&amp;몹 정리(최신)'!$B:$B,0))*25,IF($J41=3,INDEX('큐펫&amp;몹 정리(최신)'!T:T,MATCH($E41,'큐펫&amp;몹 정리(최신)'!$B:$B,0))*30,IF($J41=4,INDEX('큐펫&amp;몹 정리(최신)'!T:T,MATCH($E41,'큐펫&amp;몹 정리(최신)'!$B:$B,0))*35,INDEX('큐펫&amp;몹 정리(최신)'!T:T,MATCH($E41,'큐펫&amp;몹 정리(최신)'!$B:$B,0))*40))))</f>
        <v>920</v>
      </c>
      <c r="P41" s="217">
        <v>100</v>
      </c>
      <c r="Q41" s="217">
        <f t="shared" si="0"/>
        <v>316800</v>
      </c>
      <c r="R41" s="217">
        <f t="shared" si="1"/>
        <v>2103</v>
      </c>
      <c r="S41" s="217">
        <f t="shared" si="2"/>
        <v>2458</v>
      </c>
      <c r="T41" s="217">
        <f t="shared" si="3"/>
        <v>13032</v>
      </c>
      <c r="U41" s="217">
        <f t="shared" si="4"/>
        <v>64014</v>
      </c>
      <c r="V41" s="217">
        <f t="shared" si="5"/>
        <v>36880</v>
      </c>
      <c r="W41" s="217">
        <f>ROUND(AC41+(INDEX(Ref!B$1:B$9,MATCH($AI41,Ref!$A$1:$A$9,0))*P41*0.0001),)</f>
        <v>35</v>
      </c>
      <c r="X41" s="217">
        <f>ROUND(AD41+(INDEX(Ref!C$1:C$9,MATCH($AI41,Ref!$A$1:$A$9,0))*$P41*0.0001),)</f>
        <v>62</v>
      </c>
      <c r="Y41" s="217">
        <f>ROUND(AE41+(INDEX(Ref!D$1:D$9,MATCH($AI41,Ref!$A$1:$A$9,0))*$P41*0.0001),)</f>
        <v>60</v>
      </c>
      <c r="Z41" s="217">
        <f>ROUND(AF41+(INDEX(Ref!E$1:E$9,MATCH($AI41,Ref!$A$1:$A$9,0))*$P41*0.0001),)</f>
        <v>80</v>
      </c>
      <c r="AA41" s="217">
        <f>ROUND(AG41+(INDEX(Ref!F$1:F$9,MATCH($AI41,Ref!$A$1:$A$9,0))*$P41*0.0001),)</f>
        <v>38</v>
      </c>
      <c r="AB41" s="217">
        <f>ROUND(AH41+(INDEX(Ref!G$1:G$9,MATCH($AI41,Ref!$A$1:$A$9,0))*$P41*0.0001),)</f>
        <v>69</v>
      </c>
      <c r="AC41" s="137">
        <v>24</v>
      </c>
      <c r="AD41" s="137">
        <v>43</v>
      </c>
      <c r="AE41" s="137">
        <v>47</v>
      </c>
      <c r="AF41" s="137">
        <v>56</v>
      </c>
      <c r="AG41" s="137">
        <v>26</v>
      </c>
      <c r="AH41" s="137">
        <v>48</v>
      </c>
      <c r="AI41" s="208">
        <v>6</v>
      </c>
      <c r="AJ41" s="172">
        <v>3000</v>
      </c>
      <c r="AK41" s="172">
        <v>30045</v>
      </c>
      <c r="AL41" s="172">
        <v>2000</v>
      </c>
      <c r="AM41" s="172">
        <v>30048</v>
      </c>
      <c r="AN41" s="172">
        <v>0</v>
      </c>
      <c r="AO41" s="172">
        <f t="shared" si="6"/>
        <v>34045</v>
      </c>
      <c r="AP41" s="172">
        <v>0</v>
      </c>
      <c r="AQ41" s="172">
        <f t="shared" si="7"/>
        <v>34048</v>
      </c>
      <c r="AR41" s="172">
        <v>1</v>
      </c>
      <c r="AS41" s="172">
        <v>0</v>
      </c>
      <c r="AT41" s="199">
        <v>78008</v>
      </c>
      <c r="AU41" s="195" t="s">
        <v>102</v>
      </c>
    </row>
    <row r="42" spans="1:55" x14ac:dyDescent="0.2">
      <c r="A42" s="173">
        <v>55009</v>
      </c>
      <c r="B42" s="172" t="s">
        <v>103</v>
      </c>
      <c r="C42" s="172">
        <v>86009</v>
      </c>
      <c r="D42" s="172">
        <v>150009</v>
      </c>
      <c r="E42" s="206" t="s">
        <v>104</v>
      </c>
      <c r="F42" s="207">
        <v>8</v>
      </c>
      <c r="G42" s="173">
        <v>11500</v>
      </c>
      <c r="H42" s="173">
        <v>9500</v>
      </c>
      <c r="I42" s="172">
        <v>10000</v>
      </c>
      <c r="J42" s="172">
        <v>1</v>
      </c>
      <c r="K42" s="190">
        <f>IF($J42=1,INDEX('큐펫&amp;몹 정리(최신)'!P:P,MATCH($E42,'큐펫&amp;몹 정리(최신)'!$B:$B,0))*20,IF($J42=2,INDEX('큐펫&amp;몹 정리(최신)'!P:P,MATCH($E42,'큐펫&amp;몹 정리(최신)'!$B:$B,0))*25,IF($J42=3,INDEX('큐펫&amp;몹 정리(최신)'!P:P,MATCH($E42,'큐펫&amp;몹 정리(최신)'!$B:$B,0))*30,IF($J42=4,INDEX('큐펫&amp;몹 정리(최신)'!P:P,MATCH($E42,'큐펫&amp;몹 정리(최신)'!$B:$B,0))*35,INDEX('큐펫&amp;몹 정리(최신)'!P:P,MATCH($E42,'큐펫&amp;몹 정리(최신)'!$B:$B,0))*40))))</f>
        <v>800</v>
      </c>
      <c r="L42" s="190">
        <f>IF($J42=1,INDEX('큐펫&amp;몹 정리(최신)'!Q:Q,MATCH($E42,'큐펫&amp;몹 정리(최신)'!$B:$B,0))*20,IF($J42=2,INDEX('큐펫&amp;몹 정리(최신)'!Q:Q,MATCH($E42,'큐펫&amp;몹 정리(최신)'!$B:$B,0))*25,IF($J42=3,INDEX('큐펫&amp;몹 정리(최신)'!Q:Q,MATCH($E42,'큐펫&amp;몹 정리(최신)'!$B:$B,0))*30,IF($J42=4,INDEX('큐펫&amp;몹 정리(최신)'!Q:Q,MATCH($E42,'큐펫&amp;몹 정리(최신)'!$B:$B,0))*35,INDEX('큐펫&amp;몹 정리(최신)'!Q:Q,MATCH($E42,'큐펫&amp;몹 정리(최신)'!$B:$B,0))*40))))</f>
        <v>480</v>
      </c>
      <c r="M42" s="190">
        <f>IF($J42=1,INDEX('큐펫&amp;몹 정리(최신)'!R:R,MATCH($E42,'큐펫&amp;몹 정리(최신)'!$B:$B,0))*20,IF($J42=2,INDEX('큐펫&amp;몹 정리(최신)'!R:R,MATCH($E42,'큐펫&amp;몹 정리(최신)'!$B:$B,0))*25,IF($J42=3,INDEX('큐펫&amp;몹 정리(최신)'!R:R,MATCH($E42,'큐펫&amp;몹 정리(최신)'!$B:$B,0))*30,IF($J42=4,INDEX('큐펫&amp;몹 정리(최신)'!R:R,MATCH($E42,'큐펫&amp;몹 정리(최신)'!$B:$B,0))*35,INDEX('큐펫&amp;몹 정리(최신)'!R:R,MATCH($E42,'큐펫&amp;몹 정리(최신)'!$B:$B,0))*40))))</f>
        <v>80</v>
      </c>
      <c r="N42" s="190">
        <f>IF($J42=1,INDEX('큐펫&amp;몹 정리(최신)'!S:S,MATCH($E42,'큐펫&amp;몹 정리(최신)'!$B:$B,0))*20,IF($J42=2,INDEX('큐펫&amp;몹 정리(최신)'!S:S,MATCH($E42,'큐펫&amp;몹 정리(최신)'!$B:$B,0))*25,IF($J42=3,INDEX('큐펫&amp;몹 정리(최신)'!S:S,MATCH($E42,'큐펫&amp;몹 정리(최신)'!$B:$B,0))*30,IF($J42=4,INDEX('큐펫&amp;몹 정리(최신)'!S:S,MATCH($E42,'큐펫&amp;몹 정리(최신)'!$B:$B,0))*35,INDEX('큐펫&amp;몹 정리(최신)'!S:S,MATCH($E42,'큐펫&amp;몹 정리(최신)'!$B:$B,0))*40))))</f>
        <v>360</v>
      </c>
      <c r="O42" s="190">
        <f>IF($J42=1,INDEX('큐펫&amp;몹 정리(최신)'!T:T,MATCH($E42,'큐펫&amp;몹 정리(최신)'!$B:$B,0))*20,IF($J42=2,INDEX('큐펫&amp;몹 정리(최신)'!T:T,MATCH($E42,'큐펫&amp;몹 정리(최신)'!$B:$B,0))*25,IF($J42=3,INDEX('큐펫&amp;몹 정리(최신)'!T:T,MATCH($E42,'큐펫&amp;몹 정리(최신)'!$B:$B,0))*30,IF($J42=4,INDEX('큐펫&amp;몹 정리(최신)'!T:T,MATCH($E42,'큐펫&amp;몹 정리(최신)'!$B:$B,0))*35,INDEX('큐펫&amp;몹 정리(최신)'!T:T,MATCH($E42,'큐펫&amp;몹 정리(최신)'!$B:$B,0))*40))))</f>
        <v>280</v>
      </c>
      <c r="P42" s="217">
        <v>20</v>
      </c>
      <c r="Q42" s="217">
        <f t="shared" si="0"/>
        <v>28320</v>
      </c>
      <c r="R42" s="217">
        <f t="shared" si="1"/>
        <v>8981</v>
      </c>
      <c r="S42" s="217">
        <f t="shared" si="2"/>
        <v>2610</v>
      </c>
      <c r="T42" s="217">
        <f t="shared" si="3"/>
        <v>344</v>
      </c>
      <c r="U42" s="217">
        <f t="shared" si="4"/>
        <v>12972</v>
      </c>
      <c r="V42" s="217">
        <f t="shared" si="5"/>
        <v>5059</v>
      </c>
      <c r="W42" s="217">
        <f>ROUND(AC42+(INDEX(Ref!B$1:B$9,MATCH($AI42,Ref!$A$1:$A$9,0))*P42*0.0001),)</f>
        <v>43</v>
      </c>
      <c r="X42" s="217">
        <f>ROUND(AD42+(INDEX(Ref!C$1:C$9,MATCH($AI42,Ref!$A$1:$A$9,0))*$P42*0.0001),)</f>
        <v>26</v>
      </c>
      <c r="Y42" s="217">
        <f>ROUND(AE42+(INDEX(Ref!D$1:D$9,MATCH($AI42,Ref!$A$1:$A$9,0))*$P42*0.0001),)</f>
        <v>52</v>
      </c>
      <c r="Z42" s="217">
        <f>ROUND(AF42+(INDEX(Ref!E$1:E$9,MATCH($AI42,Ref!$A$1:$A$9,0))*$P42*0.0001),)</f>
        <v>19</v>
      </c>
      <c r="AA42" s="217">
        <f>ROUND(AG42+(INDEX(Ref!F$1:F$9,MATCH($AI42,Ref!$A$1:$A$9,0))*$P42*0.0001),)</f>
        <v>23</v>
      </c>
      <c r="AB42" s="217">
        <f>ROUND(AH42+(INDEX(Ref!G$1:G$9,MATCH($AI42,Ref!$A$1:$A$9,0))*$P42*0.0001),)</f>
        <v>21</v>
      </c>
      <c r="AC42" s="137">
        <v>38</v>
      </c>
      <c r="AD42" s="137">
        <v>23</v>
      </c>
      <c r="AE42" s="137">
        <v>48</v>
      </c>
      <c r="AF42" s="137">
        <v>17</v>
      </c>
      <c r="AG42" s="137">
        <v>20</v>
      </c>
      <c r="AH42" s="137">
        <v>18</v>
      </c>
      <c r="AI42" s="208">
        <v>1</v>
      </c>
      <c r="AJ42" s="172">
        <v>3000</v>
      </c>
      <c r="AK42" s="172">
        <v>30049</v>
      </c>
      <c r="AL42" s="172">
        <v>2000</v>
      </c>
      <c r="AM42" s="172">
        <v>30052</v>
      </c>
      <c r="AN42" s="172">
        <v>0</v>
      </c>
      <c r="AO42" s="172">
        <f t="shared" si="6"/>
        <v>34049</v>
      </c>
      <c r="AP42" s="172">
        <v>0</v>
      </c>
      <c r="AQ42" s="172">
        <f t="shared" si="7"/>
        <v>34052</v>
      </c>
      <c r="AR42" s="172">
        <v>1</v>
      </c>
      <c r="AS42" s="172">
        <v>0</v>
      </c>
      <c r="AT42" s="199">
        <v>78009</v>
      </c>
      <c r="AU42" s="195" t="s">
        <v>105</v>
      </c>
    </row>
    <row r="43" spans="1:55" x14ac:dyDescent="0.2">
      <c r="A43" s="173">
        <v>55009</v>
      </c>
      <c r="B43" s="172" t="s">
        <v>103</v>
      </c>
      <c r="C43" s="172">
        <v>86009</v>
      </c>
      <c r="D43" s="172">
        <v>150009</v>
      </c>
      <c r="E43" s="206" t="s">
        <v>104</v>
      </c>
      <c r="F43" s="207">
        <v>8</v>
      </c>
      <c r="G43" s="173">
        <v>11500</v>
      </c>
      <c r="H43" s="173">
        <v>9500</v>
      </c>
      <c r="I43" s="172">
        <v>10000</v>
      </c>
      <c r="J43" s="172">
        <v>2</v>
      </c>
      <c r="K43" s="190">
        <f>IF($J43=1,INDEX('큐펫&amp;몹 정리(최신)'!P:P,MATCH($E43,'큐펫&amp;몹 정리(최신)'!$B:$B,0))*20,IF($J43=2,INDEX('큐펫&amp;몹 정리(최신)'!P:P,MATCH($E43,'큐펫&amp;몹 정리(최신)'!$B:$B,0))*25,IF($J43=3,INDEX('큐펫&amp;몹 정리(최신)'!P:P,MATCH($E43,'큐펫&amp;몹 정리(최신)'!$B:$B,0))*30,IF($J43=4,INDEX('큐펫&amp;몹 정리(최신)'!P:P,MATCH($E43,'큐펫&amp;몹 정리(최신)'!$B:$B,0))*35,INDEX('큐펫&amp;몹 정리(최신)'!P:P,MATCH($E43,'큐펫&amp;몹 정리(최신)'!$B:$B,0))*40))))</f>
        <v>1000</v>
      </c>
      <c r="L43" s="190">
        <f>IF($J43=1,INDEX('큐펫&amp;몹 정리(최신)'!Q:Q,MATCH($E43,'큐펫&amp;몹 정리(최신)'!$B:$B,0))*20,IF($J43=2,INDEX('큐펫&amp;몹 정리(최신)'!Q:Q,MATCH($E43,'큐펫&amp;몹 정리(최신)'!$B:$B,0))*25,IF($J43=3,INDEX('큐펫&amp;몹 정리(최신)'!Q:Q,MATCH($E43,'큐펫&amp;몹 정리(최신)'!$B:$B,0))*30,IF($J43=4,INDEX('큐펫&amp;몹 정리(최신)'!Q:Q,MATCH($E43,'큐펫&amp;몹 정리(최신)'!$B:$B,0))*35,INDEX('큐펫&amp;몹 정리(최신)'!Q:Q,MATCH($E43,'큐펫&amp;몹 정리(최신)'!$B:$B,0))*40))))</f>
        <v>600</v>
      </c>
      <c r="M43" s="190">
        <f>IF($J43=1,INDEX('큐펫&amp;몹 정리(최신)'!R:R,MATCH($E43,'큐펫&amp;몹 정리(최신)'!$B:$B,0))*20,IF($J43=2,INDEX('큐펫&amp;몹 정리(최신)'!R:R,MATCH($E43,'큐펫&amp;몹 정리(최신)'!$B:$B,0))*25,IF($J43=3,INDEX('큐펫&amp;몹 정리(최신)'!R:R,MATCH($E43,'큐펫&amp;몹 정리(최신)'!$B:$B,0))*30,IF($J43=4,INDEX('큐펫&amp;몹 정리(최신)'!R:R,MATCH($E43,'큐펫&amp;몹 정리(최신)'!$B:$B,0))*35,INDEX('큐펫&amp;몹 정리(최신)'!R:R,MATCH($E43,'큐펫&amp;몹 정리(최신)'!$B:$B,0))*40))))</f>
        <v>100</v>
      </c>
      <c r="N43" s="190">
        <f>IF($J43=1,INDEX('큐펫&amp;몹 정리(최신)'!S:S,MATCH($E43,'큐펫&amp;몹 정리(최신)'!$B:$B,0))*20,IF($J43=2,INDEX('큐펫&amp;몹 정리(최신)'!S:S,MATCH($E43,'큐펫&amp;몹 정리(최신)'!$B:$B,0))*25,IF($J43=3,INDEX('큐펫&amp;몹 정리(최신)'!S:S,MATCH($E43,'큐펫&amp;몹 정리(최신)'!$B:$B,0))*30,IF($J43=4,INDEX('큐펫&amp;몹 정리(최신)'!S:S,MATCH($E43,'큐펫&amp;몹 정리(최신)'!$B:$B,0))*35,INDEX('큐펫&amp;몹 정리(최신)'!S:S,MATCH($E43,'큐펫&amp;몹 정리(최신)'!$B:$B,0))*40))))</f>
        <v>450</v>
      </c>
      <c r="O43" s="190">
        <f>IF($J43=1,INDEX('큐펫&amp;몹 정리(최신)'!T:T,MATCH($E43,'큐펫&amp;몹 정리(최신)'!$B:$B,0))*20,IF($J43=2,INDEX('큐펫&amp;몹 정리(최신)'!T:T,MATCH($E43,'큐펫&amp;몹 정리(최신)'!$B:$B,0))*25,IF($J43=3,INDEX('큐펫&amp;몹 정리(최신)'!T:T,MATCH($E43,'큐펫&amp;몹 정리(최신)'!$B:$B,0))*30,IF($J43=4,INDEX('큐펫&amp;몹 정리(최신)'!T:T,MATCH($E43,'큐펫&amp;몹 정리(최신)'!$B:$B,0))*35,INDEX('큐펫&amp;몹 정리(최신)'!T:T,MATCH($E43,'큐펫&amp;몹 정리(최신)'!$B:$B,0))*40))))</f>
        <v>350</v>
      </c>
      <c r="P43" s="217">
        <v>40</v>
      </c>
      <c r="Q43" s="217">
        <f t="shared" si="0"/>
        <v>69000</v>
      </c>
      <c r="R43" s="217">
        <f t="shared" si="1"/>
        <v>16992</v>
      </c>
      <c r="S43" s="217">
        <f t="shared" si="2"/>
        <v>5142</v>
      </c>
      <c r="T43" s="217">
        <f t="shared" si="3"/>
        <v>654</v>
      </c>
      <c r="U43" s="217">
        <f t="shared" si="4"/>
        <v>22516</v>
      </c>
      <c r="V43" s="217">
        <f t="shared" si="5"/>
        <v>8774</v>
      </c>
      <c r="W43" s="217">
        <f>ROUND(AC43+(INDEX(Ref!B$1:B$9,MATCH($AI43,Ref!$A$1:$A$9,0))*P43*0.0001),)</f>
        <v>53</v>
      </c>
      <c r="X43" s="217">
        <f>ROUND(AD43+(INDEX(Ref!C$1:C$9,MATCH($AI43,Ref!$A$1:$A$9,0))*$P43*0.0001),)</f>
        <v>32</v>
      </c>
      <c r="Y43" s="217">
        <f>ROUND(AE43+(INDEX(Ref!D$1:D$9,MATCH($AI43,Ref!$A$1:$A$9,0))*$P43*0.0001),)</f>
        <v>60</v>
      </c>
      <c r="Z43" s="217">
        <f>ROUND(AF43+(INDEX(Ref!E$1:E$9,MATCH($AI43,Ref!$A$1:$A$9,0))*$P43*0.0001),)</f>
        <v>24</v>
      </c>
      <c r="AA43" s="217">
        <f>ROUND(AG43+(INDEX(Ref!F$1:F$9,MATCH($AI43,Ref!$A$1:$A$9,0))*$P43*0.0001),)</f>
        <v>29</v>
      </c>
      <c r="AB43" s="217">
        <f>ROUND(AH43+(INDEX(Ref!G$1:G$9,MATCH($AI43,Ref!$A$1:$A$9,0))*$P43*0.0001),)</f>
        <v>26</v>
      </c>
      <c r="AC43" s="137">
        <v>43</v>
      </c>
      <c r="AD43" s="137">
        <v>26</v>
      </c>
      <c r="AE43" s="137">
        <v>52</v>
      </c>
      <c r="AF43" s="137">
        <v>19</v>
      </c>
      <c r="AG43" s="137">
        <v>23</v>
      </c>
      <c r="AH43" s="137">
        <v>21</v>
      </c>
      <c r="AI43" s="208">
        <v>1</v>
      </c>
      <c r="AJ43" s="172">
        <v>3000</v>
      </c>
      <c r="AK43" s="172">
        <v>30050</v>
      </c>
      <c r="AL43" s="172">
        <v>2000</v>
      </c>
      <c r="AM43" s="172">
        <v>30052</v>
      </c>
      <c r="AN43" s="172">
        <v>0</v>
      </c>
      <c r="AO43" s="172">
        <f t="shared" si="6"/>
        <v>34050</v>
      </c>
      <c r="AP43" s="172">
        <v>0</v>
      </c>
      <c r="AQ43" s="172">
        <f t="shared" si="7"/>
        <v>34052</v>
      </c>
      <c r="AR43" s="172">
        <v>1</v>
      </c>
      <c r="AS43" s="172">
        <v>0</v>
      </c>
      <c r="AT43" s="199">
        <v>78009</v>
      </c>
      <c r="AU43" s="195" t="s">
        <v>105</v>
      </c>
    </row>
    <row r="44" spans="1:55" x14ac:dyDescent="0.2">
      <c r="A44" s="173">
        <v>55009</v>
      </c>
      <c r="B44" s="172" t="s">
        <v>103</v>
      </c>
      <c r="C44" s="172">
        <v>86009</v>
      </c>
      <c r="D44" s="172">
        <v>150009</v>
      </c>
      <c r="E44" s="206" t="s">
        <v>104</v>
      </c>
      <c r="F44" s="207">
        <v>8</v>
      </c>
      <c r="G44" s="173">
        <v>11500</v>
      </c>
      <c r="H44" s="173">
        <v>9500</v>
      </c>
      <c r="I44" s="172">
        <v>10000</v>
      </c>
      <c r="J44" s="172">
        <v>3</v>
      </c>
      <c r="K44" s="190">
        <f>IF($J44=1,INDEX('큐펫&amp;몹 정리(최신)'!P:P,MATCH($E44,'큐펫&amp;몹 정리(최신)'!$B:$B,0))*20,IF($J44=2,INDEX('큐펫&amp;몹 정리(최신)'!P:P,MATCH($E44,'큐펫&amp;몹 정리(최신)'!$B:$B,0))*25,IF($J44=3,INDEX('큐펫&amp;몹 정리(최신)'!P:P,MATCH($E44,'큐펫&amp;몹 정리(최신)'!$B:$B,0))*30,IF($J44=4,INDEX('큐펫&amp;몹 정리(최신)'!P:P,MATCH($E44,'큐펫&amp;몹 정리(최신)'!$B:$B,0))*35,INDEX('큐펫&amp;몹 정리(최신)'!P:P,MATCH($E44,'큐펫&amp;몹 정리(최신)'!$B:$B,0))*40))))</f>
        <v>1200</v>
      </c>
      <c r="L44" s="190">
        <f>IF($J44=1,INDEX('큐펫&amp;몹 정리(최신)'!Q:Q,MATCH($E44,'큐펫&amp;몹 정리(최신)'!$B:$B,0))*20,IF($J44=2,INDEX('큐펫&amp;몹 정리(최신)'!Q:Q,MATCH($E44,'큐펫&amp;몹 정리(최신)'!$B:$B,0))*25,IF($J44=3,INDEX('큐펫&amp;몹 정리(최신)'!Q:Q,MATCH($E44,'큐펫&amp;몹 정리(최신)'!$B:$B,0))*30,IF($J44=4,INDEX('큐펫&amp;몹 정리(최신)'!Q:Q,MATCH($E44,'큐펫&amp;몹 정리(최신)'!$B:$B,0))*35,INDEX('큐펫&amp;몹 정리(최신)'!Q:Q,MATCH($E44,'큐펫&amp;몹 정리(최신)'!$B:$B,0))*40))))</f>
        <v>720</v>
      </c>
      <c r="M44" s="190">
        <f>IF($J44=1,INDEX('큐펫&amp;몹 정리(최신)'!R:R,MATCH($E44,'큐펫&amp;몹 정리(최신)'!$B:$B,0))*20,IF($J44=2,INDEX('큐펫&amp;몹 정리(최신)'!R:R,MATCH($E44,'큐펫&amp;몹 정리(최신)'!$B:$B,0))*25,IF($J44=3,INDEX('큐펫&amp;몹 정리(최신)'!R:R,MATCH($E44,'큐펫&amp;몹 정리(최신)'!$B:$B,0))*30,IF($J44=4,INDEX('큐펫&amp;몹 정리(최신)'!R:R,MATCH($E44,'큐펫&amp;몹 정리(최신)'!$B:$B,0))*35,INDEX('큐펫&amp;몹 정리(최신)'!R:R,MATCH($E44,'큐펫&amp;몹 정리(최신)'!$B:$B,0))*40))))</f>
        <v>120</v>
      </c>
      <c r="N44" s="190">
        <f>IF($J44=1,INDEX('큐펫&amp;몹 정리(최신)'!S:S,MATCH($E44,'큐펫&amp;몹 정리(최신)'!$B:$B,0))*20,IF($J44=2,INDEX('큐펫&amp;몹 정리(최신)'!S:S,MATCH($E44,'큐펫&amp;몹 정리(최신)'!$B:$B,0))*25,IF($J44=3,INDEX('큐펫&amp;몹 정리(최신)'!S:S,MATCH($E44,'큐펫&amp;몹 정리(최신)'!$B:$B,0))*30,IF($J44=4,INDEX('큐펫&amp;몹 정리(최신)'!S:S,MATCH($E44,'큐펫&amp;몹 정리(최신)'!$B:$B,0))*35,INDEX('큐펫&amp;몹 정리(최신)'!S:S,MATCH($E44,'큐펫&amp;몹 정리(최신)'!$B:$B,0))*40))))</f>
        <v>540</v>
      </c>
      <c r="O44" s="190">
        <f>IF($J44=1,INDEX('큐펫&amp;몹 정리(최신)'!T:T,MATCH($E44,'큐펫&amp;몹 정리(최신)'!$B:$B,0))*20,IF($J44=2,INDEX('큐펫&amp;몹 정리(최신)'!T:T,MATCH($E44,'큐펫&amp;몹 정리(최신)'!$B:$B,0))*25,IF($J44=3,INDEX('큐펫&amp;몹 정리(최신)'!T:T,MATCH($E44,'큐펫&amp;몹 정리(최신)'!$B:$B,0))*30,IF($J44=4,INDEX('큐펫&amp;몹 정리(최신)'!T:T,MATCH($E44,'큐펫&amp;몹 정리(최신)'!$B:$B,0))*35,INDEX('큐펫&amp;몹 정리(최신)'!T:T,MATCH($E44,'큐펫&amp;몹 정리(최신)'!$B:$B,0))*40))))</f>
        <v>420</v>
      </c>
      <c r="P44" s="217">
        <v>60</v>
      </c>
      <c r="Q44" s="217">
        <f t="shared" si="0"/>
        <v>126960</v>
      </c>
      <c r="R44" s="217">
        <f t="shared" si="1"/>
        <v>28747</v>
      </c>
      <c r="S44" s="217">
        <f t="shared" si="2"/>
        <v>8443</v>
      </c>
      <c r="T44" s="217">
        <f t="shared" si="3"/>
        <v>1038</v>
      </c>
      <c r="U44" s="217">
        <f t="shared" si="4"/>
        <v>34579</v>
      </c>
      <c r="V44" s="217">
        <f t="shared" si="5"/>
        <v>13468</v>
      </c>
      <c r="W44" s="217">
        <f>ROUND(AC44+(INDEX(Ref!B$1:B$9,MATCH($AI44,Ref!$A$1:$A$9,0))*P44*0.0001),)</f>
        <v>63</v>
      </c>
      <c r="X44" s="217">
        <f>ROUND(AD44+(INDEX(Ref!C$1:C$9,MATCH($AI44,Ref!$A$1:$A$9,0))*$P44*0.0001),)</f>
        <v>40</v>
      </c>
      <c r="Y44" s="217">
        <f>ROUND(AE44+(INDEX(Ref!D$1:D$9,MATCH($AI44,Ref!$A$1:$A$9,0))*$P44*0.0001),)</f>
        <v>68</v>
      </c>
      <c r="Z44" s="217">
        <f>ROUND(AF44+(INDEX(Ref!E$1:E$9,MATCH($AI44,Ref!$A$1:$A$9,0))*$P44*0.0001),)</f>
        <v>28</v>
      </c>
      <c r="AA44" s="217">
        <f>ROUND(AG44+(INDEX(Ref!F$1:F$9,MATCH($AI44,Ref!$A$1:$A$9,0))*$P44*0.0001),)</f>
        <v>34</v>
      </c>
      <c r="AB44" s="217">
        <f>ROUND(AH44+(INDEX(Ref!G$1:G$9,MATCH($AI44,Ref!$A$1:$A$9,0))*$P44*0.0001),)</f>
        <v>31</v>
      </c>
      <c r="AC44" s="137">
        <v>48.000000000000007</v>
      </c>
      <c r="AD44" s="137">
        <v>30</v>
      </c>
      <c r="AE44" s="137">
        <v>56</v>
      </c>
      <c r="AF44" s="137">
        <v>21</v>
      </c>
      <c r="AG44" s="137">
        <v>26</v>
      </c>
      <c r="AH44" s="137">
        <v>23</v>
      </c>
      <c r="AI44" s="208">
        <v>1</v>
      </c>
      <c r="AJ44" s="172">
        <v>3000</v>
      </c>
      <c r="AK44" s="172">
        <v>30050</v>
      </c>
      <c r="AL44" s="172">
        <v>2000</v>
      </c>
      <c r="AM44" s="172">
        <v>30053</v>
      </c>
      <c r="AN44" s="172">
        <v>0</v>
      </c>
      <c r="AO44" s="172">
        <f t="shared" si="6"/>
        <v>34050</v>
      </c>
      <c r="AP44" s="172">
        <v>0</v>
      </c>
      <c r="AQ44" s="172">
        <f t="shared" si="7"/>
        <v>34053</v>
      </c>
      <c r="AR44" s="172">
        <v>1</v>
      </c>
      <c r="AS44" s="172">
        <v>0</v>
      </c>
      <c r="AT44" s="199">
        <v>78009</v>
      </c>
      <c r="AU44" s="195" t="s">
        <v>105</v>
      </c>
    </row>
    <row r="45" spans="1:55" x14ac:dyDescent="0.2">
      <c r="A45" s="173">
        <v>55009</v>
      </c>
      <c r="B45" s="172" t="s">
        <v>103</v>
      </c>
      <c r="C45" s="172">
        <v>86009</v>
      </c>
      <c r="D45" s="172">
        <v>150009</v>
      </c>
      <c r="E45" s="206" t="s">
        <v>104</v>
      </c>
      <c r="F45" s="207">
        <v>8</v>
      </c>
      <c r="G45" s="173">
        <v>11500</v>
      </c>
      <c r="H45" s="173">
        <v>9500</v>
      </c>
      <c r="I45" s="172">
        <v>10000</v>
      </c>
      <c r="J45" s="172">
        <v>4</v>
      </c>
      <c r="K45" s="190">
        <f>IF($J45=1,INDEX('큐펫&amp;몹 정리(최신)'!P:P,MATCH($E45,'큐펫&amp;몹 정리(최신)'!$B:$B,0))*20,IF($J45=2,INDEX('큐펫&amp;몹 정리(최신)'!P:P,MATCH($E45,'큐펫&amp;몹 정리(최신)'!$B:$B,0))*25,IF($J45=3,INDEX('큐펫&amp;몹 정리(최신)'!P:P,MATCH($E45,'큐펫&amp;몹 정리(최신)'!$B:$B,0))*30,IF($J45=4,INDEX('큐펫&amp;몹 정리(최신)'!P:P,MATCH($E45,'큐펫&amp;몹 정리(최신)'!$B:$B,0))*35,INDEX('큐펫&amp;몹 정리(최신)'!P:P,MATCH($E45,'큐펫&amp;몹 정리(최신)'!$B:$B,0))*40))))</f>
        <v>1400</v>
      </c>
      <c r="L45" s="190">
        <f>IF($J45=1,INDEX('큐펫&amp;몹 정리(최신)'!Q:Q,MATCH($E45,'큐펫&amp;몹 정리(최신)'!$B:$B,0))*20,IF($J45=2,INDEX('큐펫&amp;몹 정리(최신)'!Q:Q,MATCH($E45,'큐펫&amp;몹 정리(최신)'!$B:$B,0))*25,IF($J45=3,INDEX('큐펫&amp;몹 정리(최신)'!Q:Q,MATCH($E45,'큐펫&amp;몹 정리(최신)'!$B:$B,0))*30,IF($J45=4,INDEX('큐펫&amp;몹 정리(최신)'!Q:Q,MATCH($E45,'큐펫&amp;몹 정리(최신)'!$B:$B,0))*35,INDEX('큐펫&amp;몹 정리(최신)'!Q:Q,MATCH($E45,'큐펫&amp;몹 정리(최신)'!$B:$B,0))*40))))</f>
        <v>840</v>
      </c>
      <c r="M45" s="190">
        <f>IF($J45=1,INDEX('큐펫&amp;몹 정리(최신)'!R:R,MATCH($E45,'큐펫&amp;몹 정리(최신)'!$B:$B,0))*20,IF($J45=2,INDEX('큐펫&amp;몹 정리(최신)'!R:R,MATCH($E45,'큐펫&amp;몹 정리(최신)'!$B:$B,0))*25,IF($J45=3,INDEX('큐펫&amp;몹 정리(최신)'!R:R,MATCH($E45,'큐펫&amp;몹 정리(최신)'!$B:$B,0))*30,IF($J45=4,INDEX('큐펫&amp;몹 정리(최신)'!R:R,MATCH($E45,'큐펫&amp;몹 정리(최신)'!$B:$B,0))*35,INDEX('큐펫&amp;몹 정리(최신)'!R:R,MATCH($E45,'큐펫&amp;몹 정리(최신)'!$B:$B,0))*40))))</f>
        <v>140</v>
      </c>
      <c r="N45" s="190">
        <f>IF($J45=1,INDEX('큐펫&amp;몹 정리(최신)'!S:S,MATCH($E45,'큐펫&amp;몹 정리(최신)'!$B:$B,0))*20,IF($J45=2,INDEX('큐펫&amp;몹 정리(최신)'!S:S,MATCH($E45,'큐펫&amp;몹 정리(최신)'!$B:$B,0))*25,IF($J45=3,INDEX('큐펫&amp;몹 정리(최신)'!S:S,MATCH($E45,'큐펫&amp;몹 정리(최신)'!$B:$B,0))*30,IF($J45=4,INDEX('큐펫&amp;몹 정리(최신)'!S:S,MATCH($E45,'큐펫&amp;몹 정리(최신)'!$B:$B,0))*35,INDEX('큐펫&amp;몹 정리(최신)'!S:S,MATCH($E45,'큐펫&amp;몹 정리(최신)'!$B:$B,0))*40))))</f>
        <v>630</v>
      </c>
      <c r="O45" s="190">
        <f>IF($J45=1,INDEX('큐펫&amp;몹 정리(최신)'!T:T,MATCH($E45,'큐펫&amp;몹 정리(최신)'!$B:$B,0))*20,IF($J45=2,INDEX('큐펫&amp;몹 정리(최신)'!T:T,MATCH($E45,'큐펫&amp;몹 정리(최신)'!$B:$B,0))*25,IF($J45=3,INDEX('큐펫&amp;몹 정리(최신)'!T:T,MATCH($E45,'큐펫&amp;몹 정리(최신)'!$B:$B,0))*30,IF($J45=4,INDEX('큐펫&amp;몹 정리(최신)'!T:T,MATCH($E45,'큐펫&amp;몹 정리(최신)'!$B:$B,0))*35,INDEX('큐펫&amp;몹 정리(최신)'!T:T,MATCH($E45,'큐펫&amp;몹 정리(최신)'!$B:$B,0))*40))))</f>
        <v>490</v>
      </c>
      <c r="P45" s="217">
        <v>80</v>
      </c>
      <c r="Q45" s="217">
        <f t="shared" si="0"/>
        <v>204120</v>
      </c>
      <c r="R45" s="217">
        <f t="shared" si="1"/>
        <v>44966</v>
      </c>
      <c r="S45" s="217">
        <f t="shared" si="2"/>
        <v>12919</v>
      </c>
      <c r="T45" s="217">
        <f t="shared" si="3"/>
        <v>1740</v>
      </c>
      <c r="U45" s="217">
        <f t="shared" si="4"/>
        <v>49162</v>
      </c>
      <c r="V45" s="217">
        <f t="shared" si="5"/>
        <v>19144</v>
      </c>
      <c r="W45" s="217">
        <f>ROUND(AC45+(INDEX(Ref!B$1:B$9,MATCH($AI45,Ref!$A$1:$A$9,0))*P45*0.0001),)</f>
        <v>73</v>
      </c>
      <c r="X45" s="217">
        <f>ROUND(AD45+(INDEX(Ref!C$1:C$9,MATCH($AI45,Ref!$A$1:$A$9,0))*$P45*0.0001),)</f>
        <v>46</v>
      </c>
      <c r="Y45" s="217">
        <f>ROUND(AE45+(INDEX(Ref!D$1:D$9,MATCH($AI45,Ref!$A$1:$A$9,0))*$P45*0.0001),)</f>
        <v>76</v>
      </c>
      <c r="Z45" s="217">
        <f>ROUND(AF45+(INDEX(Ref!E$1:E$9,MATCH($AI45,Ref!$A$1:$A$9,0))*$P45*0.0001),)</f>
        <v>34</v>
      </c>
      <c r="AA45" s="217">
        <f>ROUND(AG45+(INDEX(Ref!F$1:F$9,MATCH($AI45,Ref!$A$1:$A$9,0))*$P45*0.0001),)</f>
        <v>39</v>
      </c>
      <c r="AB45" s="217">
        <f>ROUND(AH45+(INDEX(Ref!G$1:G$9,MATCH($AI45,Ref!$A$1:$A$9,0))*$P45*0.0001),)</f>
        <v>36</v>
      </c>
      <c r="AC45" s="137">
        <v>53</v>
      </c>
      <c r="AD45" s="137">
        <v>33</v>
      </c>
      <c r="AE45" s="137">
        <v>60</v>
      </c>
      <c r="AF45" s="137">
        <v>24</v>
      </c>
      <c r="AG45" s="137">
        <v>28</v>
      </c>
      <c r="AH45" s="137">
        <v>26</v>
      </c>
      <c r="AI45" s="208">
        <v>1</v>
      </c>
      <c r="AJ45" s="172">
        <v>3000</v>
      </c>
      <c r="AK45" s="172">
        <v>30051</v>
      </c>
      <c r="AL45" s="172">
        <v>2000</v>
      </c>
      <c r="AM45" s="172">
        <v>30053</v>
      </c>
      <c r="AN45" s="172">
        <v>0</v>
      </c>
      <c r="AO45" s="172">
        <f t="shared" si="6"/>
        <v>34051</v>
      </c>
      <c r="AP45" s="172">
        <v>0</v>
      </c>
      <c r="AQ45" s="172">
        <f t="shared" si="7"/>
        <v>34053</v>
      </c>
      <c r="AR45" s="172">
        <v>1</v>
      </c>
      <c r="AS45" s="172">
        <v>0</v>
      </c>
      <c r="AT45" s="199">
        <v>78009</v>
      </c>
      <c r="AU45" s="195" t="s">
        <v>105</v>
      </c>
    </row>
    <row r="46" spans="1:55" x14ac:dyDescent="0.2">
      <c r="A46" s="173">
        <v>55009</v>
      </c>
      <c r="B46" s="172" t="s">
        <v>103</v>
      </c>
      <c r="C46" s="172">
        <v>86009</v>
      </c>
      <c r="D46" s="172">
        <v>150009</v>
      </c>
      <c r="E46" s="206" t="s">
        <v>104</v>
      </c>
      <c r="F46" s="207">
        <v>8</v>
      </c>
      <c r="G46" s="173">
        <v>11500</v>
      </c>
      <c r="H46" s="173">
        <v>9500</v>
      </c>
      <c r="I46" s="172">
        <v>10000</v>
      </c>
      <c r="J46" s="172">
        <v>5</v>
      </c>
      <c r="K46" s="190">
        <f>IF($J46=1,INDEX('큐펫&amp;몹 정리(최신)'!P:P,MATCH($E46,'큐펫&amp;몹 정리(최신)'!$B:$B,0))*20,IF($J46=2,INDEX('큐펫&amp;몹 정리(최신)'!P:P,MATCH($E46,'큐펫&amp;몹 정리(최신)'!$B:$B,0))*25,IF($J46=3,INDEX('큐펫&amp;몹 정리(최신)'!P:P,MATCH($E46,'큐펫&amp;몹 정리(최신)'!$B:$B,0))*30,IF($J46=4,INDEX('큐펫&amp;몹 정리(최신)'!P:P,MATCH($E46,'큐펫&amp;몹 정리(최신)'!$B:$B,0))*35,INDEX('큐펫&amp;몹 정리(최신)'!P:P,MATCH($E46,'큐펫&amp;몹 정리(최신)'!$B:$B,0))*40))))</f>
        <v>1600</v>
      </c>
      <c r="L46" s="190">
        <f>IF($J46=1,INDEX('큐펫&amp;몹 정리(최신)'!Q:Q,MATCH($E46,'큐펫&amp;몹 정리(최신)'!$B:$B,0))*20,IF($J46=2,INDEX('큐펫&amp;몹 정리(최신)'!Q:Q,MATCH($E46,'큐펫&amp;몹 정리(최신)'!$B:$B,0))*25,IF($J46=3,INDEX('큐펫&amp;몹 정리(최신)'!Q:Q,MATCH($E46,'큐펫&amp;몹 정리(최신)'!$B:$B,0))*30,IF($J46=4,INDEX('큐펫&amp;몹 정리(최신)'!Q:Q,MATCH($E46,'큐펫&amp;몹 정리(최신)'!$B:$B,0))*35,INDEX('큐펫&amp;몹 정리(최신)'!Q:Q,MATCH($E46,'큐펫&amp;몹 정리(최신)'!$B:$B,0))*40))))</f>
        <v>960</v>
      </c>
      <c r="M46" s="190">
        <f>IF($J46=1,INDEX('큐펫&amp;몹 정리(최신)'!R:R,MATCH($E46,'큐펫&amp;몹 정리(최신)'!$B:$B,0))*20,IF($J46=2,INDEX('큐펫&amp;몹 정리(최신)'!R:R,MATCH($E46,'큐펫&amp;몹 정리(최신)'!$B:$B,0))*25,IF($J46=3,INDEX('큐펫&amp;몹 정리(최신)'!R:R,MATCH($E46,'큐펫&amp;몹 정리(최신)'!$B:$B,0))*30,IF($J46=4,INDEX('큐펫&amp;몹 정리(최신)'!R:R,MATCH($E46,'큐펫&amp;몹 정리(최신)'!$B:$B,0))*35,INDEX('큐펫&amp;몹 정리(최신)'!R:R,MATCH($E46,'큐펫&amp;몹 정리(최신)'!$B:$B,0))*40))))</f>
        <v>160</v>
      </c>
      <c r="N46" s="190">
        <f>IF($J46=1,INDEX('큐펫&amp;몹 정리(최신)'!S:S,MATCH($E46,'큐펫&amp;몹 정리(최신)'!$B:$B,0))*20,IF($J46=2,INDEX('큐펫&amp;몹 정리(최신)'!S:S,MATCH($E46,'큐펫&amp;몹 정리(최신)'!$B:$B,0))*25,IF($J46=3,INDEX('큐펫&amp;몹 정리(최신)'!S:S,MATCH($E46,'큐펫&amp;몹 정리(최신)'!$B:$B,0))*30,IF($J46=4,INDEX('큐펫&amp;몹 정리(최신)'!S:S,MATCH($E46,'큐펫&amp;몹 정리(최신)'!$B:$B,0))*35,INDEX('큐펫&amp;몹 정리(최신)'!S:S,MATCH($E46,'큐펫&amp;몹 정리(최신)'!$B:$B,0))*40))))</f>
        <v>720</v>
      </c>
      <c r="O46" s="190">
        <f>IF($J46=1,INDEX('큐펫&amp;몹 정리(최신)'!T:T,MATCH($E46,'큐펫&amp;몹 정리(최신)'!$B:$B,0))*20,IF($J46=2,INDEX('큐펫&amp;몹 정리(최신)'!T:T,MATCH($E46,'큐펫&amp;몹 정리(최신)'!$B:$B,0))*25,IF($J46=3,INDEX('큐펫&amp;몹 정리(최신)'!T:T,MATCH($E46,'큐펫&amp;몹 정리(최신)'!$B:$B,0))*30,IF($J46=4,INDEX('큐펫&amp;몹 정리(최신)'!T:T,MATCH($E46,'큐펫&amp;몹 정리(최신)'!$B:$B,0))*35,INDEX('큐펫&amp;몹 정리(최신)'!T:T,MATCH($E46,'큐펫&amp;몹 정리(최신)'!$B:$B,0))*40))))</f>
        <v>560</v>
      </c>
      <c r="P46" s="217">
        <v>100</v>
      </c>
      <c r="Q46" s="217">
        <f t="shared" si="0"/>
        <v>302400</v>
      </c>
      <c r="R46" s="217">
        <f t="shared" si="1"/>
        <v>66370</v>
      </c>
      <c r="S46" s="217">
        <f t="shared" si="2"/>
        <v>19609</v>
      </c>
      <c r="T46" s="217">
        <f t="shared" si="3"/>
        <v>2452</v>
      </c>
      <c r="U46" s="217">
        <f t="shared" si="4"/>
        <v>66265</v>
      </c>
      <c r="V46" s="217">
        <f t="shared" si="5"/>
        <v>25798</v>
      </c>
      <c r="W46" s="217">
        <f>ROUND(AC46+(INDEX(Ref!B$1:B$9,MATCH($AI46,Ref!$A$1:$A$9,0))*P46*0.0001),)</f>
        <v>83</v>
      </c>
      <c r="X46" s="217">
        <f>ROUND(AD46+(INDEX(Ref!C$1:C$9,MATCH($AI46,Ref!$A$1:$A$9,0))*$P46*0.0001),)</f>
        <v>52</v>
      </c>
      <c r="Y46" s="217">
        <f>ROUND(AE46+(INDEX(Ref!D$1:D$9,MATCH($AI46,Ref!$A$1:$A$9,0))*$P46*0.0001),)</f>
        <v>84</v>
      </c>
      <c r="Z46" s="217">
        <f>ROUND(AF46+(INDEX(Ref!E$1:E$9,MATCH($AI46,Ref!$A$1:$A$9,0))*$P46*0.0001),)</f>
        <v>38</v>
      </c>
      <c r="AA46" s="217">
        <f>ROUND(AG46+(INDEX(Ref!F$1:F$9,MATCH($AI46,Ref!$A$1:$A$9,0))*$P46*0.0001),)</f>
        <v>45</v>
      </c>
      <c r="AB46" s="217">
        <f>ROUND(AH46+(INDEX(Ref!G$1:G$9,MATCH($AI46,Ref!$A$1:$A$9,0))*$P46*0.0001),)</f>
        <v>42</v>
      </c>
      <c r="AC46" s="137">
        <v>58.000000000000007</v>
      </c>
      <c r="AD46" s="137">
        <v>36</v>
      </c>
      <c r="AE46" s="137">
        <v>64</v>
      </c>
      <c r="AF46" s="137">
        <v>26</v>
      </c>
      <c r="AG46" s="137">
        <v>31</v>
      </c>
      <c r="AH46" s="137">
        <v>29</v>
      </c>
      <c r="AI46" s="208">
        <v>1</v>
      </c>
      <c r="AJ46" s="172">
        <v>3000</v>
      </c>
      <c r="AK46" s="172">
        <v>30051</v>
      </c>
      <c r="AL46" s="172">
        <v>2000</v>
      </c>
      <c r="AM46" s="172">
        <v>30054</v>
      </c>
      <c r="AN46" s="172">
        <v>0</v>
      </c>
      <c r="AO46" s="172">
        <f t="shared" si="6"/>
        <v>34051</v>
      </c>
      <c r="AP46" s="172">
        <v>0</v>
      </c>
      <c r="AQ46" s="172">
        <f t="shared" si="7"/>
        <v>34054</v>
      </c>
      <c r="AR46" s="172">
        <v>1</v>
      </c>
      <c r="AS46" s="172">
        <v>0</v>
      </c>
      <c r="AT46" s="199">
        <v>78009</v>
      </c>
      <c r="AU46" s="195" t="s">
        <v>105</v>
      </c>
    </row>
    <row r="47" spans="1:55" x14ac:dyDescent="0.2">
      <c r="A47" s="173">
        <v>55010</v>
      </c>
      <c r="B47" s="172" t="s">
        <v>106</v>
      </c>
      <c r="C47" s="172">
        <v>86010</v>
      </c>
      <c r="D47" s="172">
        <v>150010</v>
      </c>
      <c r="E47" s="206" t="s">
        <v>107</v>
      </c>
      <c r="F47" s="207">
        <v>8</v>
      </c>
      <c r="G47" s="173">
        <v>11500</v>
      </c>
      <c r="H47" s="173">
        <v>9500</v>
      </c>
      <c r="I47" s="172">
        <v>10000</v>
      </c>
      <c r="J47" s="172">
        <v>1</v>
      </c>
      <c r="K47" s="190">
        <f>IF($J47=1,INDEX('큐펫&amp;몹 정리(최신)'!P:P,MATCH($E47,'큐펫&amp;몹 정리(최신)'!$B:$B,0))*20,IF($J47=2,INDEX('큐펫&amp;몹 정리(최신)'!P:P,MATCH($E47,'큐펫&amp;몹 정리(최신)'!$B:$B,0))*25,IF($J47=3,INDEX('큐펫&amp;몹 정리(최신)'!P:P,MATCH($E47,'큐펫&amp;몹 정리(최신)'!$B:$B,0))*30,IF($J47=4,INDEX('큐펫&amp;몹 정리(최신)'!P:P,MATCH($E47,'큐펫&amp;몹 정리(최신)'!$B:$B,0))*35,INDEX('큐펫&amp;몹 정리(최신)'!P:P,MATCH($E47,'큐펫&amp;몹 정리(최신)'!$B:$B,0))*40))))</f>
        <v>900</v>
      </c>
      <c r="L47" s="190">
        <f>IF($J47=1,INDEX('큐펫&amp;몹 정리(최신)'!Q:Q,MATCH($E47,'큐펫&amp;몹 정리(최신)'!$B:$B,0))*20,IF($J47=2,INDEX('큐펫&amp;몹 정리(최신)'!Q:Q,MATCH($E47,'큐펫&amp;몹 정리(최신)'!$B:$B,0))*25,IF($J47=3,INDEX('큐펫&amp;몹 정리(최신)'!Q:Q,MATCH($E47,'큐펫&amp;몹 정리(최신)'!$B:$B,0))*30,IF($J47=4,INDEX('큐펫&amp;몹 정리(최신)'!Q:Q,MATCH($E47,'큐펫&amp;몹 정리(최신)'!$B:$B,0))*35,INDEX('큐펫&amp;몹 정리(최신)'!Q:Q,MATCH($E47,'큐펫&amp;몹 정리(최신)'!$B:$B,0))*40))))</f>
        <v>80</v>
      </c>
      <c r="M47" s="190">
        <f>IF($J47=1,INDEX('큐펫&amp;몹 정리(최신)'!R:R,MATCH($E47,'큐펫&amp;몹 정리(최신)'!$B:$B,0))*20,IF($J47=2,INDEX('큐펫&amp;몹 정리(최신)'!R:R,MATCH($E47,'큐펫&amp;몹 정리(최신)'!$B:$B,0))*25,IF($J47=3,INDEX('큐펫&amp;몹 정리(최신)'!R:R,MATCH($E47,'큐펫&amp;몹 정리(최신)'!$B:$B,0))*30,IF($J47=4,INDEX('큐펫&amp;몹 정리(최신)'!R:R,MATCH($E47,'큐펫&amp;몹 정리(최신)'!$B:$B,0))*35,INDEX('큐펫&amp;몹 정리(최신)'!R:R,MATCH($E47,'큐펫&amp;몹 정리(최신)'!$B:$B,0))*40))))</f>
        <v>400</v>
      </c>
      <c r="N47" s="190">
        <f>IF($J47=1,INDEX('큐펫&amp;몹 정리(최신)'!S:S,MATCH($E47,'큐펫&amp;몹 정리(최신)'!$B:$B,0))*20,IF($J47=2,INDEX('큐펫&amp;몹 정리(최신)'!S:S,MATCH($E47,'큐펫&amp;몹 정리(최신)'!$B:$B,0))*25,IF($J47=3,INDEX('큐펫&amp;몹 정리(최신)'!S:S,MATCH($E47,'큐펫&amp;몹 정리(최신)'!$B:$B,0))*30,IF($J47=4,INDEX('큐펫&amp;몹 정리(최신)'!S:S,MATCH($E47,'큐펫&amp;몹 정리(최신)'!$B:$B,0))*35,INDEX('큐펫&amp;몹 정리(최신)'!S:S,MATCH($E47,'큐펫&amp;몹 정리(최신)'!$B:$B,0))*40))))</f>
        <v>220</v>
      </c>
      <c r="O47" s="190">
        <f>IF($J47=1,INDEX('큐펫&amp;몹 정리(최신)'!T:T,MATCH($E47,'큐펫&amp;몹 정리(최신)'!$B:$B,0))*20,IF($J47=2,INDEX('큐펫&amp;몹 정리(최신)'!T:T,MATCH($E47,'큐펫&amp;몹 정리(최신)'!$B:$B,0))*25,IF($J47=3,INDEX('큐펫&amp;몹 정리(최신)'!T:T,MATCH($E47,'큐펫&amp;몹 정리(최신)'!$B:$B,0))*30,IF($J47=4,INDEX('큐펫&amp;몹 정리(최신)'!T:T,MATCH($E47,'큐펫&amp;몹 정리(최신)'!$B:$B,0))*35,INDEX('큐펫&amp;몹 정리(최신)'!T:T,MATCH($E47,'큐펫&amp;몹 정리(최신)'!$B:$B,0))*40))))</f>
        <v>400</v>
      </c>
      <c r="P47" s="217">
        <v>20</v>
      </c>
      <c r="Q47" s="217">
        <f t="shared" si="0"/>
        <v>31860</v>
      </c>
      <c r="R47" s="217">
        <f t="shared" si="1"/>
        <v>346</v>
      </c>
      <c r="S47" s="217">
        <f t="shared" si="2"/>
        <v>488</v>
      </c>
      <c r="T47" s="217">
        <f t="shared" si="3"/>
        <v>7500</v>
      </c>
      <c r="U47" s="217">
        <f t="shared" si="4"/>
        <v>7926</v>
      </c>
      <c r="V47" s="217">
        <f t="shared" si="5"/>
        <v>7243</v>
      </c>
      <c r="W47" s="217">
        <f>ROUND(AC47+(INDEX(Ref!B$1:B$9,MATCH($AI47,Ref!$A$1:$A$9,0))*P47*0.0001),)</f>
        <v>19</v>
      </c>
      <c r="X47" s="217">
        <f>ROUND(AD47+(INDEX(Ref!C$1:C$9,MATCH($AI47,Ref!$A$1:$A$9,0))*$P47*0.0001),)</f>
        <v>26</v>
      </c>
      <c r="Y47" s="217">
        <f>ROUND(AE47+(INDEX(Ref!D$1:D$9,MATCH($AI47,Ref!$A$1:$A$9,0))*$P47*0.0001),)</f>
        <v>52</v>
      </c>
      <c r="Z47" s="217">
        <f>ROUND(AF47+(INDEX(Ref!E$1:E$9,MATCH($AI47,Ref!$A$1:$A$9,0))*$P47*0.0001),)</f>
        <v>43</v>
      </c>
      <c r="AA47" s="217">
        <f>ROUND(AG47+(INDEX(Ref!F$1:F$9,MATCH($AI47,Ref!$A$1:$A$9,0))*$P47*0.0001),)</f>
        <v>23</v>
      </c>
      <c r="AB47" s="217">
        <f>ROUND(AH47+(INDEX(Ref!G$1:G$9,MATCH($AI47,Ref!$A$1:$A$9,0))*$P47*0.0001),)</f>
        <v>21</v>
      </c>
      <c r="AC47" s="137">
        <v>17</v>
      </c>
      <c r="AD47" s="137">
        <v>23</v>
      </c>
      <c r="AE47" s="137">
        <v>48</v>
      </c>
      <c r="AF47" s="137">
        <v>38</v>
      </c>
      <c r="AG47" s="137">
        <v>20</v>
      </c>
      <c r="AH47" s="137">
        <v>18</v>
      </c>
      <c r="AI47" s="208">
        <v>2</v>
      </c>
      <c r="AJ47" s="172">
        <v>3000</v>
      </c>
      <c r="AK47" s="172">
        <v>30055</v>
      </c>
      <c r="AL47" s="172">
        <v>2000</v>
      </c>
      <c r="AM47" s="172">
        <v>30058</v>
      </c>
      <c r="AN47" s="172">
        <v>0</v>
      </c>
      <c r="AO47" s="172">
        <f t="shared" si="6"/>
        <v>34055</v>
      </c>
      <c r="AP47" s="172">
        <v>0</v>
      </c>
      <c r="AQ47" s="172">
        <f t="shared" si="7"/>
        <v>34058</v>
      </c>
      <c r="AR47" s="172">
        <v>1</v>
      </c>
      <c r="AS47" s="172">
        <v>0</v>
      </c>
      <c r="AT47" s="199">
        <v>78010</v>
      </c>
      <c r="AU47" s="195" t="s">
        <v>108</v>
      </c>
    </row>
    <row r="48" spans="1:55" x14ac:dyDescent="0.2">
      <c r="A48" s="173">
        <v>55010</v>
      </c>
      <c r="B48" s="172" t="s">
        <v>106</v>
      </c>
      <c r="C48" s="172">
        <v>86010</v>
      </c>
      <c r="D48" s="172">
        <v>150010</v>
      </c>
      <c r="E48" s="206" t="s">
        <v>107</v>
      </c>
      <c r="F48" s="207">
        <v>8</v>
      </c>
      <c r="G48" s="173">
        <v>11500</v>
      </c>
      <c r="H48" s="173">
        <v>9500</v>
      </c>
      <c r="I48" s="172">
        <v>10000</v>
      </c>
      <c r="J48" s="172">
        <v>2</v>
      </c>
      <c r="K48" s="190">
        <f>IF($J48=1,INDEX('큐펫&amp;몹 정리(최신)'!P:P,MATCH($E48,'큐펫&amp;몹 정리(최신)'!$B:$B,0))*20,IF($J48=2,INDEX('큐펫&amp;몹 정리(최신)'!P:P,MATCH($E48,'큐펫&amp;몹 정리(최신)'!$B:$B,0))*25,IF($J48=3,INDEX('큐펫&amp;몹 정리(최신)'!P:P,MATCH($E48,'큐펫&amp;몹 정리(최신)'!$B:$B,0))*30,IF($J48=4,INDEX('큐펫&amp;몹 정리(최신)'!P:P,MATCH($E48,'큐펫&amp;몹 정리(최신)'!$B:$B,0))*35,INDEX('큐펫&amp;몹 정리(최신)'!P:P,MATCH($E48,'큐펫&amp;몹 정리(최신)'!$B:$B,0))*40))))</f>
        <v>1125</v>
      </c>
      <c r="L48" s="190">
        <f>IF($J48=1,INDEX('큐펫&amp;몹 정리(최신)'!Q:Q,MATCH($E48,'큐펫&amp;몹 정리(최신)'!$B:$B,0))*20,IF($J48=2,INDEX('큐펫&amp;몹 정리(최신)'!Q:Q,MATCH($E48,'큐펫&amp;몹 정리(최신)'!$B:$B,0))*25,IF($J48=3,INDEX('큐펫&amp;몹 정리(최신)'!Q:Q,MATCH($E48,'큐펫&amp;몹 정리(최신)'!$B:$B,0))*30,IF($J48=4,INDEX('큐펫&amp;몹 정리(최신)'!Q:Q,MATCH($E48,'큐펫&amp;몹 정리(최신)'!$B:$B,0))*35,INDEX('큐펫&amp;몹 정리(최신)'!Q:Q,MATCH($E48,'큐펫&amp;몹 정리(최신)'!$B:$B,0))*40))))</f>
        <v>100</v>
      </c>
      <c r="M48" s="190">
        <f>IF($J48=1,INDEX('큐펫&amp;몹 정리(최신)'!R:R,MATCH($E48,'큐펫&amp;몹 정리(최신)'!$B:$B,0))*20,IF($J48=2,INDEX('큐펫&amp;몹 정리(최신)'!R:R,MATCH($E48,'큐펫&amp;몹 정리(최신)'!$B:$B,0))*25,IF($J48=3,INDEX('큐펫&amp;몹 정리(최신)'!R:R,MATCH($E48,'큐펫&amp;몹 정리(최신)'!$B:$B,0))*30,IF($J48=4,INDEX('큐펫&amp;몹 정리(최신)'!R:R,MATCH($E48,'큐펫&amp;몹 정리(최신)'!$B:$B,0))*35,INDEX('큐펫&amp;몹 정리(최신)'!R:R,MATCH($E48,'큐펫&amp;몹 정리(최신)'!$B:$B,0))*40))))</f>
        <v>500</v>
      </c>
      <c r="N48" s="190">
        <f>IF($J48=1,INDEX('큐펫&amp;몹 정리(최신)'!S:S,MATCH($E48,'큐펫&amp;몹 정리(최신)'!$B:$B,0))*20,IF($J48=2,INDEX('큐펫&amp;몹 정리(최신)'!S:S,MATCH($E48,'큐펫&amp;몹 정리(최신)'!$B:$B,0))*25,IF($J48=3,INDEX('큐펫&amp;몹 정리(최신)'!S:S,MATCH($E48,'큐펫&amp;몹 정리(최신)'!$B:$B,0))*30,IF($J48=4,INDEX('큐펫&amp;몹 정리(최신)'!S:S,MATCH($E48,'큐펫&amp;몹 정리(최신)'!$B:$B,0))*35,INDEX('큐펫&amp;몹 정리(최신)'!S:S,MATCH($E48,'큐펫&amp;몹 정리(최신)'!$B:$B,0))*40))))</f>
        <v>275</v>
      </c>
      <c r="O48" s="190">
        <f>IF($J48=1,INDEX('큐펫&amp;몹 정리(최신)'!T:T,MATCH($E48,'큐펫&amp;몹 정리(최신)'!$B:$B,0))*20,IF($J48=2,INDEX('큐펫&amp;몹 정리(최신)'!T:T,MATCH($E48,'큐펫&amp;몹 정리(최신)'!$B:$B,0))*25,IF($J48=3,INDEX('큐펫&amp;몹 정리(최신)'!T:T,MATCH($E48,'큐펫&amp;몹 정리(최신)'!$B:$B,0))*30,IF($J48=4,INDEX('큐펫&amp;몹 정리(최신)'!T:T,MATCH($E48,'큐펫&amp;몹 정리(최신)'!$B:$B,0))*35,INDEX('큐펫&amp;몹 정리(최신)'!T:T,MATCH($E48,'큐펫&amp;몹 정리(최신)'!$B:$B,0))*40))))</f>
        <v>500</v>
      </c>
      <c r="P48" s="217">
        <v>40</v>
      </c>
      <c r="Q48" s="217">
        <f t="shared" si="0"/>
        <v>77600</v>
      </c>
      <c r="R48" s="217">
        <f t="shared" si="1"/>
        <v>656</v>
      </c>
      <c r="S48" s="217">
        <f t="shared" si="2"/>
        <v>930</v>
      </c>
      <c r="T48" s="217">
        <f t="shared" si="3"/>
        <v>14181</v>
      </c>
      <c r="U48" s="217">
        <f t="shared" si="4"/>
        <v>13759</v>
      </c>
      <c r="V48" s="217">
        <f t="shared" si="5"/>
        <v>12553</v>
      </c>
      <c r="W48" s="217">
        <f>ROUND(AC48+(INDEX(Ref!B$1:B$9,MATCH($AI48,Ref!$A$1:$A$9,0))*P48*0.0001),)</f>
        <v>24</v>
      </c>
      <c r="X48" s="217">
        <f>ROUND(AD48+(INDEX(Ref!C$1:C$9,MATCH($AI48,Ref!$A$1:$A$9,0))*$P48*0.0001),)</f>
        <v>32</v>
      </c>
      <c r="Y48" s="217">
        <f>ROUND(AE48+(INDEX(Ref!D$1:D$9,MATCH($AI48,Ref!$A$1:$A$9,0))*$P48*0.0001),)</f>
        <v>60</v>
      </c>
      <c r="Z48" s="217">
        <f>ROUND(AF48+(INDEX(Ref!E$1:E$9,MATCH($AI48,Ref!$A$1:$A$9,0))*$P48*0.0001),)</f>
        <v>53</v>
      </c>
      <c r="AA48" s="217">
        <f>ROUND(AG48+(INDEX(Ref!F$1:F$9,MATCH($AI48,Ref!$A$1:$A$9,0))*$P48*0.0001),)</f>
        <v>29</v>
      </c>
      <c r="AB48" s="217">
        <f>ROUND(AH48+(INDEX(Ref!G$1:G$9,MATCH($AI48,Ref!$A$1:$A$9,0))*$P48*0.0001),)</f>
        <v>26</v>
      </c>
      <c r="AC48" s="137">
        <v>19</v>
      </c>
      <c r="AD48" s="137">
        <v>26</v>
      </c>
      <c r="AE48" s="137">
        <v>52</v>
      </c>
      <c r="AF48" s="137">
        <v>43</v>
      </c>
      <c r="AG48" s="137">
        <v>23</v>
      </c>
      <c r="AH48" s="137">
        <v>21</v>
      </c>
      <c r="AI48" s="208">
        <v>2</v>
      </c>
      <c r="AJ48" s="172">
        <v>3000</v>
      </c>
      <c r="AK48" s="172">
        <v>30056</v>
      </c>
      <c r="AL48" s="172">
        <v>2000</v>
      </c>
      <c r="AM48" s="172">
        <v>30058</v>
      </c>
      <c r="AN48" s="172">
        <v>0</v>
      </c>
      <c r="AO48" s="172">
        <f t="shared" si="6"/>
        <v>34056</v>
      </c>
      <c r="AP48" s="172">
        <v>0</v>
      </c>
      <c r="AQ48" s="172">
        <f t="shared" si="7"/>
        <v>34058</v>
      </c>
      <c r="AR48" s="172">
        <v>1</v>
      </c>
      <c r="AS48" s="172">
        <v>0</v>
      </c>
      <c r="AT48" s="199">
        <v>78010</v>
      </c>
      <c r="AU48" s="195" t="s">
        <v>108</v>
      </c>
    </row>
    <row r="49" spans="1:55" x14ac:dyDescent="0.2">
      <c r="A49" s="173">
        <v>55010</v>
      </c>
      <c r="B49" s="172" t="s">
        <v>106</v>
      </c>
      <c r="C49" s="172">
        <v>86010</v>
      </c>
      <c r="D49" s="172">
        <v>150010</v>
      </c>
      <c r="E49" s="206" t="s">
        <v>107</v>
      </c>
      <c r="F49" s="207">
        <v>8</v>
      </c>
      <c r="G49" s="173">
        <v>11500</v>
      </c>
      <c r="H49" s="173">
        <v>9500</v>
      </c>
      <c r="I49" s="172">
        <v>10000</v>
      </c>
      <c r="J49" s="172">
        <v>3</v>
      </c>
      <c r="K49" s="190">
        <f>IF($J49=1,INDEX('큐펫&amp;몹 정리(최신)'!P:P,MATCH($E49,'큐펫&amp;몹 정리(최신)'!$B:$B,0))*20,IF($J49=2,INDEX('큐펫&amp;몹 정리(최신)'!P:P,MATCH($E49,'큐펫&amp;몹 정리(최신)'!$B:$B,0))*25,IF($J49=3,INDEX('큐펫&amp;몹 정리(최신)'!P:P,MATCH($E49,'큐펫&amp;몹 정리(최신)'!$B:$B,0))*30,IF($J49=4,INDEX('큐펫&amp;몹 정리(최신)'!P:P,MATCH($E49,'큐펫&amp;몹 정리(최신)'!$B:$B,0))*35,INDEX('큐펫&amp;몹 정리(최신)'!P:P,MATCH($E49,'큐펫&amp;몹 정리(최신)'!$B:$B,0))*40))))</f>
        <v>1350</v>
      </c>
      <c r="L49" s="190">
        <f>IF($J49=1,INDEX('큐펫&amp;몹 정리(최신)'!Q:Q,MATCH($E49,'큐펫&amp;몹 정리(최신)'!$B:$B,0))*20,IF($J49=2,INDEX('큐펫&amp;몹 정리(최신)'!Q:Q,MATCH($E49,'큐펫&amp;몹 정리(최신)'!$B:$B,0))*25,IF($J49=3,INDEX('큐펫&amp;몹 정리(최신)'!Q:Q,MATCH($E49,'큐펫&amp;몹 정리(최신)'!$B:$B,0))*30,IF($J49=4,INDEX('큐펫&amp;몹 정리(최신)'!Q:Q,MATCH($E49,'큐펫&amp;몹 정리(최신)'!$B:$B,0))*35,INDEX('큐펫&amp;몹 정리(최신)'!Q:Q,MATCH($E49,'큐펫&amp;몹 정리(최신)'!$B:$B,0))*40))))</f>
        <v>120</v>
      </c>
      <c r="M49" s="190">
        <f>IF($J49=1,INDEX('큐펫&amp;몹 정리(최신)'!R:R,MATCH($E49,'큐펫&amp;몹 정리(최신)'!$B:$B,0))*20,IF($J49=2,INDEX('큐펫&amp;몹 정리(최신)'!R:R,MATCH($E49,'큐펫&amp;몹 정리(최신)'!$B:$B,0))*25,IF($J49=3,INDEX('큐펫&amp;몹 정리(최신)'!R:R,MATCH($E49,'큐펫&amp;몹 정리(최신)'!$B:$B,0))*30,IF($J49=4,INDEX('큐펫&amp;몹 정리(최신)'!R:R,MATCH($E49,'큐펫&amp;몹 정리(최신)'!$B:$B,0))*35,INDEX('큐펫&amp;몹 정리(최신)'!R:R,MATCH($E49,'큐펫&amp;몹 정리(최신)'!$B:$B,0))*40))))</f>
        <v>600</v>
      </c>
      <c r="N49" s="190">
        <f>IF($J49=1,INDEX('큐펫&amp;몹 정리(최신)'!S:S,MATCH($E49,'큐펫&amp;몹 정리(최신)'!$B:$B,0))*20,IF($J49=2,INDEX('큐펫&amp;몹 정리(최신)'!S:S,MATCH($E49,'큐펫&amp;몹 정리(최신)'!$B:$B,0))*25,IF($J49=3,INDEX('큐펫&amp;몹 정리(최신)'!S:S,MATCH($E49,'큐펫&amp;몹 정리(최신)'!$B:$B,0))*30,IF($J49=4,INDEX('큐펫&amp;몹 정리(최신)'!S:S,MATCH($E49,'큐펫&amp;몹 정리(최신)'!$B:$B,0))*35,INDEX('큐펫&amp;몹 정리(최신)'!S:S,MATCH($E49,'큐펫&amp;몹 정리(최신)'!$B:$B,0))*40))))</f>
        <v>330</v>
      </c>
      <c r="O49" s="190">
        <f>IF($J49=1,INDEX('큐펫&amp;몹 정리(최신)'!T:T,MATCH($E49,'큐펫&amp;몹 정리(최신)'!$B:$B,0))*20,IF($J49=2,INDEX('큐펫&amp;몹 정리(최신)'!T:T,MATCH($E49,'큐펫&amp;몹 정리(최신)'!$B:$B,0))*25,IF($J49=3,INDEX('큐펫&amp;몹 정리(최신)'!T:T,MATCH($E49,'큐펫&amp;몹 정리(최신)'!$B:$B,0))*30,IF($J49=4,INDEX('큐펫&amp;몹 정리(최신)'!T:T,MATCH($E49,'큐펫&amp;몹 정리(최신)'!$B:$B,0))*35,INDEX('큐펫&amp;몹 정리(최신)'!T:T,MATCH($E49,'큐펫&amp;몹 정리(최신)'!$B:$B,0))*40))))</f>
        <v>600</v>
      </c>
      <c r="P49" s="217">
        <v>60</v>
      </c>
      <c r="Q49" s="217">
        <f t="shared" si="0"/>
        <v>142780</v>
      </c>
      <c r="R49" s="217">
        <f t="shared" si="1"/>
        <v>1041</v>
      </c>
      <c r="S49" s="217">
        <f t="shared" si="2"/>
        <v>1498</v>
      </c>
      <c r="T49" s="217">
        <f t="shared" si="3"/>
        <v>23982</v>
      </c>
      <c r="U49" s="217">
        <f t="shared" si="4"/>
        <v>21131</v>
      </c>
      <c r="V49" s="217">
        <f t="shared" si="5"/>
        <v>19263</v>
      </c>
      <c r="W49" s="217">
        <f>ROUND(AC49+(INDEX(Ref!B$1:B$9,MATCH($AI49,Ref!$A$1:$A$9,0))*P49*0.0001),)</f>
        <v>28</v>
      </c>
      <c r="X49" s="217">
        <f>ROUND(AD49+(INDEX(Ref!C$1:C$9,MATCH($AI49,Ref!$A$1:$A$9,0))*$P49*0.0001),)</f>
        <v>40</v>
      </c>
      <c r="Y49" s="217">
        <f>ROUND(AE49+(INDEX(Ref!D$1:D$9,MATCH($AI49,Ref!$A$1:$A$9,0))*$P49*0.0001),)</f>
        <v>68</v>
      </c>
      <c r="Z49" s="217">
        <f>ROUND(AF49+(INDEX(Ref!E$1:E$9,MATCH($AI49,Ref!$A$1:$A$9,0))*$P49*0.0001),)</f>
        <v>63</v>
      </c>
      <c r="AA49" s="217">
        <f>ROUND(AG49+(INDEX(Ref!F$1:F$9,MATCH($AI49,Ref!$A$1:$A$9,0))*$P49*0.0001),)</f>
        <v>34</v>
      </c>
      <c r="AB49" s="217">
        <f>ROUND(AH49+(INDEX(Ref!G$1:G$9,MATCH($AI49,Ref!$A$1:$A$9,0))*$P49*0.0001),)</f>
        <v>31</v>
      </c>
      <c r="AC49" s="137">
        <v>21</v>
      </c>
      <c r="AD49" s="137">
        <v>30</v>
      </c>
      <c r="AE49" s="137">
        <v>56</v>
      </c>
      <c r="AF49" s="137">
        <v>48.000000000000007</v>
      </c>
      <c r="AG49" s="137">
        <v>26</v>
      </c>
      <c r="AH49" s="137">
        <v>23</v>
      </c>
      <c r="AI49" s="208">
        <v>2</v>
      </c>
      <c r="AJ49" s="172">
        <v>3000</v>
      </c>
      <c r="AK49" s="172">
        <v>30056</v>
      </c>
      <c r="AL49" s="172">
        <v>2000</v>
      </c>
      <c r="AM49" s="172">
        <v>30059</v>
      </c>
      <c r="AN49" s="172">
        <v>0</v>
      </c>
      <c r="AO49" s="172">
        <f t="shared" si="6"/>
        <v>34056</v>
      </c>
      <c r="AP49" s="172">
        <v>0</v>
      </c>
      <c r="AQ49" s="172">
        <f t="shared" si="7"/>
        <v>34059</v>
      </c>
      <c r="AR49" s="172">
        <v>1</v>
      </c>
      <c r="AS49" s="172">
        <v>0</v>
      </c>
      <c r="AT49" s="199">
        <v>78010</v>
      </c>
      <c r="AU49" s="195" t="s">
        <v>108</v>
      </c>
    </row>
    <row r="50" spans="1:55" x14ac:dyDescent="0.2">
      <c r="A50" s="173">
        <v>55010</v>
      </c>
      <c r="B50" s="172" t="s">
        <v>106</v>
      </c>
      <c r="C50" s="172">
        <v>86010</v>
      </c>
      <c r="D50" s="172">
        <v>150010</v>
      </c>
      <c r="E50" s="206" t="s">
        <v>107</v>
      </c>
      <c r="F50" s="207">
        <v>8</v>
      </c>
      <c r="G50" s="173">
        <v>11500</v>
      </c>
      <c r="H50" s="173">
        <v>9500</v>
      </c>
      <c r="I50" s="172">
        <v>10000</v>
      </c>
      <c r="J50" s="172">
        <v>4</v>
      </c>
      <c r="K50" s="190">
        <f>IF($J50=1,INDEX('큐펫&amp;몹 정리(최신)'!P:P,MATCH($E50,'큐펫&amp;몹 정리(최신)'!$B:$B,0))*20,IF($J50=2,INDEX('큐펫&amp;몹 정리(최신)'!P:P,MATCH($E50,'큐펫&amp;몹 정리(최신)'!$B:$B,0))*25,IF($J50=3,INDEX('큐펫&amp;몹 정리(최신)'!P:P,MATCH($E50,'큐펫&amp;몹 정리(최신)'!$B:$B,0))*30,IF($J50=4,INDEX('큐펫&amp;몹 정리(최신)'!P:P,MATCH($E50,'큐펫&amp;몹 정리(최신)'!$B:$B,0))*35,INDEX('큐펫&amp;몹 정리(최신)'!P:P,MATCH($E50,'큐펫&amp;몹 정리(최신)'!$B:$B,0))*40))))</f>
        <v>1575</v>
      </c>
      <c r="L50" s="190">
        <f>IF($J50=1,INDEX('큐펫&amp;몹 정리(최신)'!Q:Q,MATCH($E50,'큐펫&amp;몹 정리(최신)'!$B:$B,0))*20,IF($J50=2,INDEX('큐펫&amp;몹 정리(최신)'!Q:Q,MATCH($E50,'큐펫&amp;몹 정리(최신)'!$B:$B,0))*25,IF($J50=3,INDEX('큐펫&amp;몹 정리(최신)'!Q:Q,MATCH($E50,'큐펫&amp;몹 정리(최신)'!$B:$B,0))*30,IF($J50=4,INDEX('큐펫&amp;몹 정리(최신)'!Q:Q,MATCH($E50,'큐펫&amp;몹 정리(최신)'!$B:$B,0))*35,INDEX('큐펫&amp;몹 정리(최신)'!Q:Q,MATCH($E50,'큐펫&amp;몹 정리(최신)'!$B:$B,0))*40))))</f>
        <v>140</v>
      </c>
      <c r="M50" s="190">
        <f>IF($J50=1,INDEX('큐펫&amp;몹 정리(최신)'!R:R,MATCH($E50,'큐펫&amp;몹 정리(최신)'!$B:$B,0))*20,IF($J50=2,INDEX('큐펫&amp;몹 정리(최신)'!R:R,MATCH($E50,'큐펫&amp;몹 정리(최신)'!$B:$B,0))*25,IF($J50=3,INDEX('큐펫&amp;몹 정리(최신)'!R:R,MATCH($E50,'큐펫&amp;몹 정리(최신)'!$B:$B,0))*30,IF($J50=4,INDEX('큐펫&amp;몹 정리(최신)'!R:R,MATCH($E50,'큐펫&amp;몹 정리(최신)'!$B:$B,0))*35,INDEX('큐펫&amp;몹 정리(최신)'!R:R,MATCH($E50,'큐펫&amp;몹 정리(최신)'!$B:$B,0))*40))))</f>
        <v>700</v>
      </c>
      <c r="N50" s="190">
        <f>IF($J50=1,INDEX('큐펫&amp;몹 정리(최신)'!S:S,MATCH($E50,'큐펫&amp;몹 정리(최신)'!$B:$B,0))*20,IF($J50=2,INDEX('큐펫&amp;몹 정리(최신)'!S:S,MATCH($E50,'큐펫&amp;몹 정리(최신)'!$B:$B,0))*25,IF($J50=3,INDEX('큐펫&amp;몹 정리(최신)'!S:S,MATCH($E50,'큐펫&amp;몹 정리(최신)'!$B:$B,0))*30,IF($J50=4,INDEX('큐펫&amp;몹 정리(최신)'!S:S,MATCH($E50,'큐펫&amp;몹 정리(최신)'!$B:$B,0))*35,INDEX('큐펫&amp;몹 정리(최신)'!S:S,MATCH($E50,'큐펫&amp;몹 정리(최신)'!$B:$B,0))*40))))</f>
        <v>385</v>
      </c>
      <c r="O50" s="190">
        <f>IF($J50=1,INDEX('큐펫&amp;몹 정리(최신)'!T:T,MATCH($E50,'큐펫&amp;몹 정리(최신)'!$B:$B,0))*20,IF($J50=2,INDEX('큐펫&amp;몹 정리(최신)'!T:T,MATCH($E50,'큐펫&amp;몹 정리(최신)'!$B:$B,0))*25,IF($J50=3,INDEX('큐펫&amp;몹 정리(최신)'!T:T,MATCH($E50,'큐펫&amp;몹 정리(최신)'!$B:$B,0))*30,IF($J50=4,INDEX('큐펫&amp;몹 정리(최신)'!T:T,MATCH($E50,'큐펫&amp;몹 정리(최신)'!$B:$B,0))*35,INDEX('큐펫&amp;몹 정리(최신)'!T:T,MATCH($E50,'큐펫&amp;몹 정리(최신)'!$B:$B,0))*40))))</f>
        <v>700</v>
      </c>
      <c r="P50" s="217">
        <v>80</v>
      </c>
      <c r="Q50" s="217">
        <f t="shared" si="0"/>
        <v>229560</v>
      </c>
      <c r="R50" s="217">
        <f t="shared" si="1"/>
        <v>1743</v>
      </c>
      <c r="S50" s="217">
        <f t="shared" si="2"/>
        <v>2263</v>
      </c>
      <c r="T50" s="217">
        <f t="shared" si="3"/>
        <v>37502</v>
      </c>
      <c r="U50" s="217">
        <f t="shared" si="4"/>
        <v>30042</v>
      </c>
      <c r="V50" s="217">
        <f t="shared" si="5"/>
        <v>27373</v>
      </c>
      <c r="W50" s="217">
        <f>ROUND(AC50+(INDEX(Ref!B$1:B$9,MATCH($AI50,Ref!$A$1:$A$9,0))*P50*0.0001),)</f>
        <v>34</v>
      </c>
      <c r="X50" s="217">
        <f>ROUND(AD50+(INDEX(Ref!C$1:C$9,MATCH($AI50,Ref!$A$1:$A$9,0))*$P50*0.0001),)</f>
        <v>46</v>
      </c>
      <c r="Y50" s="217">
        <f>ROUND(AE50+(INDEX(Ref!D$1:D$9,MATCH($AI50,Ref!$A$1:$A$9,0))*$P50*0.0001),)</f>
        <v>76</v>
      </c>
      <c r="Z50" s="217">
        <f>ROUND(AF50+(INDEX(Ref!E$1:E$9,MATCH($AI50,Ref!$A$1:$A$9,0))*$P50*0.0001),)</f>
        <v>73</v>
      </c>
      <c r="AA50" s="217">
        <f>ROUND(AG50+(INDEX(Ref!F$1:F$9,MATCH($AI50,Ref!$A$1:$A$9,0))*$P50*0.0001),)</f>
        <v>39</v>
      </c>
      <c r="AB50" s="217">
        <f>ROUND(AH50+(INDEX(Ref!G$1:G$9,MATCH($AI50,Ref!$A$1:$A$9,0))*$P50*0.0001),)</f>
        <v>36</v>
      </c>
      <c r="AC50" s="137">
        <v>24</v>
      </c>
      <c r="AD50" s="137">
        <v>33</v>
      </c>
      <c r="AE50" s="137">
        <v>60</v>
      </c>
      <c r="AF50" s="137">
        <v>53</v>
      </c>
      <c r="AG50" s="137">
        <v>28</v>
      </c>
      <c r="AH50" s="137">
        <v>26</v>
      </c>
      <c r="AI50" s="208">
        <v>2</v>
      </c>
      <c r="AJ50" s="172">
        <v>3000</v>
      </c>
      <c r="AK50" s="172">
        <v>30057</v>
      </c>
      <c r="AL50" s="172">
        <v>2000</v>
      </c>
      <c r="AM50" s="172">
        <v>30059</v>
      </c>
      <c r="AN50" s="172">
        <v>0</v>
      </c>
      <c r="AO50" s="172">
        <f t="shared" si="6"/>
        <v>34057</v>
      </c>
      <c r="AP50" s="172">
        <v>0</v>
      </c>
      <c r="AQ50" s="172">
        <f t="shared" si="7"/>
        <v>34059</v>
      </c>
      <c r="AR50" s="172">
        <v>1</v>
      </c>
      <c r="AS50" s="172">
        <v>0</v>
      </c>
      <c r="AT50" s="199">
        <v>78010</v>
      </c>
      <c r="AU50" s="195" t="s">
        <v>108</v>
      </c>
    </row>
    <row r="51" spans="1:55" x14ac:dyDescent="0.2">
      <c r="A51" s="173">
        <v>55010</v>
      </c>
      <c r="B51" s="172" t="s">
        <v>106</v>
      </c>
      <c r="C51" s="172">
        <v>86010</v>
      </c>
      <c r="D51" s="172">
        <v>150010</v>
      </c>
      <c r="E51" s="206" t="s">
        <v>107</v>
      </c>
      <c r="F51" s="207">
        <v>8</v>
      </c>
      <c r="G51" s="173">
        <v>11500</v>
      </c>
      <c r="H51" s="173">
        <v>9500</v>
      </c>
      <c r="I51" s="172">
        <v>10000</v>
      </c>
      <c r="J51" s="172">
        <v>5</v>
      </c>
      <c r="K51" s="190">
        <f>IF($J51=1,INDEX('큐펫&amp;몹 정리(최신)'!P:P,MATCH($E51,'큐펫&amp;몹 정리(최신)'!$B:$B,0))*20,IF($J51=2,INDEX('큐펫&amp;몹 정리(최신)'!P:P,MATCH($E51,'큐펫&amp;몹 정리(최신)'!$B:$B,0))*25,IF($J51=3,INDEX('큐펫&amp;몹 정리(최신)'!P:P,MATCH($E51,'큐펫&amp;몹 정리(최신)'!$B:$B,0))*30,IF($J51=4,INDEX('큐펫&amp;몹 정리(최신)'!P:P,MATCH($E51,'큐펫&amp;몹 정리(최신)'!$B:$B,0))*35,INDEX('큐펫&amp;몹 정리(최신)'!P:P,MATCH($E51,'큐펫&amp;몹 정리(최신)'!$B:$B,0))*40))))</f>
        <v>1800</v>
      </c>
      <c r="L51" s="190">
        <f>IF($J51=1,INDEX('큐펫&amp;몹 정리(최신)'!Q:Q,MATCH($E51,'큐펫&amp;몹 정리(최신)'!$B:$B,0))*20,IF($J51=2,INDEX('큐펫&amp;몹 정리(최신)'!Q:Q,MATCH($E51,'큐펫&amp;몹 정리(최신)'!$B:$B,0))*25,IF($J51=3,INDEX('큐펫&amp;몹 정리(최신)'!Q:Q,MATCH($E51,'큐펫&amp;몹 정리(최신)'!$B:$B,0))*30,IF($J51=4,INDEX('큐펫&amp;몹 정리(최신)'!Q:Q,MATCH($E51,'큐펫&amp;몹 정리(최신)'!$B:$B,0))*35,INDEX('큐펫&amp;몹 정리(최신)'!Q:Q,MATCH($E51,'큐펫&amp;몹 정리(최신)'!$B:$B,0))*40))))</f>
        <v>160</v>
      </c>
      <c r="M51" s="190">
        <f>IF($J51=1,INDEX('큐펫&amp;몹 정리(최신)'!R:R,MATCH($E51,'큐펫&amp;몹 정리(최신)'!$B:$B,0))*20,IF($J51=2,INDEX('큐펫&amp;몹 정리(최신)'!R:R,MATCH($E51,'큐펫&amp;몹 정리(최신)'!$B:$B,0))*25,IF($J51=3,INDEX('큐펫&amp;몹 정리(최신)'!R:R,MATCH($E51,'큐펫&amp;몹 정리(최신)'!$B:$B,0))*30,IF($J51=4,INDEX('큐펫&amp;몹 정리(최신)'!R:R,MATCH($E51,'큐펫&amp;몹 정리(최신)'!$B:$B,0))*35,INDEX('큐펫&amp;몹 정리(최신)'!R:R,MATCH($E51,'큐펫&amp;몹 정리(최신)'!$B:$B,0))*40))))</f>
        <v>800</v>
      </c>
      <c r="N51" s="190">
        <f>IF($J51=1,INDEX('큐펫&amp;몹 정리(최신)'!S:S,MATCH($E51,'큐펫&amp;몹 정리(최신)'!$B:$B,0))*20,IF($J51=2,INDEX('큐펫&amp;몹 정리(최신)'!S:S,MATCH($E51,'큐펫&amp;몹 정리(최신)'!$B:$B,0))*25,IF($J51=3,INDEX('큐펫&amp;몹 정리(최신)'!S:S,MATCH($E51,'큐펫&amp;몹 정리(최신)'!$B:$B,0))*30,IF($J51=4,INDEX('큐펫&amp;몹 정리(최신)'!S:S,MATCH($E51,'큐펫&amp;몹 정리(최신)'!$B:$B,0))*35,INDEX('큐펫&amp;몹 정리(최신)'!S:S,MATCH($E51,'큐펫&amp;몹 정리(최신)'!$B:$B,0))*40))))</f>
        <v>440</v>
      </c>
      <c r="O51" s="190">
        <f>IF($J51=1,INDEX('큐펫&amp;몹 정리(최신)'!T:T,MATCH($E51,'큐펫&amp;몹 정리(최신)'!$B:$B,0))*20,IF($J51=2,INDEX('큐펫&amp;몹 정리(최신)'!T:T,MATCH($E51,'큐펫&amp;몹 정리(최신)'!$B:$B,0))*25,IF($J51=3,INDEX('큐펫&amp;몹 정리(최신)'!T:T,MATCH($E51,'큐펫&amp;몹 정리(최신)'!$B:$B,0))*30,IF($J51=4,INDEX('큐펫&amp;몹 정리(최신)'!T:T,MATCH($E51,'큐펫&amp;몹 정리(최신)'!$B:$B,0))*35,INDEX('큐펫&amp;몹 정리(최신)'!T:T,MATCH($E51,'큐펫&amp;몹 정리(최신)'!$B:$B,0))*40))))</f>
        <v>800</v>
      </c>
      <c r="P51" s="217">
        <v>100</v>
      </c>
      <c r="Q51" s="217">
        <f t="shared" si="0"/>
        <v>340200</v>
      </c>
      <c r="R51" s="217">
        <f t="shared" si="1"/>
        <v>2456</v>
      </c>
      <c r="S51" s="217">
        <f t="shared" si="2"/>
        <v>3397</v>
      </c>
      <c r="T51" s="217">
        <f t="shared" si="3"/>
        <v>55344</v>
      </c>
      <c r="U51" s="217">
        <f t="shared" si="4"/>
        <v>40494</v>
      </c>
      <c r="V51" s="217">
        <f t="shared" si="5"/>
        <v>36883</v>
      </c>
      <c r="W51" s="217">
        <f>ROUND(AC51+(INDEX(Ref!B$1:B$9,MATCH($AI51,Ref!$A$1:$A$9,0))*P51*0.0001),)</f>
        <v>38</v>
      </c>
      <c r="X51" s="217">
        <f>ROUND(AD51+(INDEX(Ref!C$1:C$9,MATCH($AI51,Ref!$A$1:$A$9,0))*$P51*0.0001),)</f>
        <v>52</v>
      </c>
      <c r="Y51" s="217">
        <f>ROUND(AE51+(INDEX(Ref!D$1:D$9,MATCH($AI51,Ref!$A$1:$A$9,0))*$P51*0.0001),)</f>
        <v>84</v>
      </c>
      <c r="Z51" s="217">
        <f>ROUND(AF51+(INDEX(Ref!E$1:E$9,MATCH($AI51,Ref!$A$1:$A$9,0))*$P51*0.0001),)</f>
        <v>83</v>
      </c>
      <c r="AA51" s="217">
        <f>ROUND(AG51+(INDEX(Ref!F$1:F$9,MATCH($AI51,Ref!$A$1:$A$9,0))*$P51*0.0001),)</f>
        <v>45</v>
      </c>
      <c r="AB51" s="217">
        <f>ROUND(AH51+(INDEX(Ref!G$1:G$9,MATCH($AI51,Ref!$A$1:$A$9,0))*$P51*0.0001),)</f>
        <v>42</v>
      </c>
      <c r="AC51" s="137">
        <v>26</v>
      </c>
      <c r="AD51" s="137">
        <v>36</v>
      </c>
      <c r="AE51" s="137">
        <v>64</v>
      </c>
      <c r="AF51" s="137">
        <v>58.000000000000007</v>
      </c>
      <c r="AG51" s="137">
        <v>31</v>
      </c>
      <c r="AH51" s="137">
        <v>29</v>
      </c>
      <c r="AI51" s="208">
        <v>2</v>
      </c>
      <c r="AJ51" s="172">
        <v>3000</v>
      </c>
      <c r="AK51" s="172">
        <v>30057</v>
      </c>
      <c r="AL51" s="172">
        <v>2000</v>
      </c>
      <c r="AM51" s="172">
        <v>30060</v>
      </c>
      <c r="AN51" s="172">
        <v>0</v>
      </c>
      <c r="AO51" s="172">
        <f t="shared" si="6"/>
        <v>34057</v>
      </c>
      <c r="AP51" s="172">
        <v>0</v>
      </c>
      <c r="AQ51" s="172">
        <f t="shared" si="7"/>
        <v>34060</v>
      </c>
      <c r="AR51" s="172">
        <v>1</v>
      </c>
      <c r="AS51" s="172">
        <v>0</v>
      </c>
      <c r="AT51" s="199">
        <v>78010</v>
      </c>
      <c r="AU51" s="195" t="s">
        <v>108</v>
      </c>
    </row>
    <row r="52" spans="1:55" x14ac:dyDescent="0.2">
      <c r="A52" s="173">
        <v>55011</v>
      </c>
      <c r="B52" s="172" t="s">
        <v>109</v>
      </c>
      <c r="C52" s="172">
        <v>86011</v>
      </c>
      <c r="D52" s="172">
        <v>150011</v>
      </c>
      <c r="E52" s="206" t="s">
        <v>110</v>
      </c>
      <c r="F52" s="207">
        <v>8</v>
      </c>
      <c r="G52" s="173">
        <v>11500</v>
      </c>
      <c r="H52" s="173">
        <v>9500</v>
      </c>
      <c r="I52" s="172">
        <v>10000</v>
      </c>
      <c r="J52" s="172">
        <v>1</v>
      </c>
      <c r="K52" s="190">
        <f>IF($J52=1,INDEX('큐펫&amp;몹 정리(최신)'!P:P,MATCH($E52,'큐펫&amp;몹 정리(최신)'!$B:$B,0))*20,IF($J52=2,INDEX('큐펫&amp;몹 정리(최신)'!P:P,MATCH($E52,'큐펫&amp;몹 정리(최신)'!$B:$B,0))*25,IF($J52=3,INDEX('큐펫&amp;몹 정리(최신)'!P:P,MATCH($E52,'큐펫&amp;몹 정리(최신)'!$B:$B,0))*30,IF($J52=4,INDEX('큐펫&amp;몹 정리(최신)'!P:P,MATCH($E52,'큐펫&amp;몹 정리(최신)'!$B:$B,0))*35,INDEX('큐펫&amp;몹 정리(최신)'!P:P,MATCH($E52,'큐펫&amp;몹 정리(최신)'!$B:$B,0))*40))))</f>
        <v>900</v>
      </c>
      <c r="L52" s="190">
        <f>IF($J52=1,INDEX('큐펫&amp;몹 정리(최신)'!Q:Q,MATCH($E52,'큐펫&amp;몹 정리(최신)'!$B:$B,0))*20,IF($J52=2,INDEX('큐펫&amp;몹 정리(최신)'!Q:Q,MATCH($E52,'큐펫&amp;몹 정리(최신)'!$B:$B,0))*25,IF($J52=3,INDEX('큐펫&amp;몹 정리(최신)'!Q:Q,MATCH($E52,'큐펫&amp;몹 정리(최신)'!$B:$B,0))*30,IF($J52=4,INDEX('큐펫&amp;몹 정리(최신)'!Q:Q,MATCH($E52,'큐펫&amp;몹 정리(최신)'!$B:$B,0))*35,INDEX('큐펫&amp;몹 정리(최신)'!Q:Q,MATCH($E52,'큐펫&amp;몹 정리(최신)'!$B:$B,0))*40))))</f>
        <v>400</v>
      </c>
      <c r="M52" s="190">
        <f>IF($J52=1,INDEX('큐펫&amp;몹 정리(최신)'!R:R,MATCH($E52,'큐펫&amp;몹 정리(최신)'!$B:$B,0))*20,IF($J52=2,INDEX('큐펫&amp;몹 정리(최신)'!R:R,MATCH($E52,'큐펫&amp;몹 정리(최신)'!$B:$B,0))*25,IF($J52=3,INDEX('큐펫&amp;몹 정리(최신)'!R:R,MATCH($E52,'큐펫&amp;몹 정리(최신)'!$B:$B,0))*30,IF($J52=4,INDEX('큐펫&amp;몹 정리(최신)'!R:R,MATCH($E52,'큐펫&amp;몹 정리(최신)'!$B:$B,0))*35,INDEX('큐펫&amp;몹 정리(최신)'!R:R,MATCH($E52,'큐펫&amp;몹 정리(최신)'!$B:$B,0))*40))))</f>
        <v>80</v>
      </c>
      <c r="N52" s="190">
        <f>IF($J52=1,INDEX('큐펫&amp;몹 정리(최신)'!S:S,MATCH($E52,'큐펫&amp;몹 정리(최신)'!$B:$B,0))*20,IF($J52=2,INDEX('큐펫&amp;몹 정리(최신)'!S:S,MATCH($E52,'큐펫&amp;몹 정리(최신)'!$B:$B,0))*25,IF($J52=3,INDEX('큐펫&amp;몹 정리(최신)'!S:S,MATCH($E52,'큐펫&amp;몹 정리(최신)'!$B:$B,0))*30,IF($J52=4,INDEX('큐펫&amp;몹 정리(최신)'!S:S,MATCH($E52,'큐펫&amp;몹 정리(최신)'!$B:$B,0))*35,INDEX('큐펫&amp;몹 정리(최신)'!S:S,MATCH($E52,'큐펫&amp;몹 정리(최신)'!$B:$B,0))*40))))</f>
        <v>400</v>
      </c>
      <c r="O52" s="190">
        <f>IF($J52=1,INDEX('큐펫&amp;몹 정리(최신)'!T:T,MATCH($E52,'큐펫&amp;몹 정리(최신)'!$B:$B,0))*20,IF($J52=2,INDEX('큐펫&amp;몹 정리(최신)'!T:T,MATCH($E52,'큐펫&amp;몹 정리(최신)'!$B:$B,0))*25,IF($J52=3,INDEX('큐펫&amp;몹 정리(최신)'!T:T,MATCH($E52,'큐펫&amp;몹 정리(최신)'!$B:$B,0))*30,IF($J52=4,INDEX('큐펫&amp;몹 정리(최신)'!T:T,MATCH($E52,'큐펫&amp;몹 정리(최신)'!$B:$B,0))*35,INDEX('큐펫&amp;몹 정리(최신)'!T:T,MATCH($E52,'큐펫&amp;몹 정리(최신)'!$B:$B,0))*40))))</f>
        <v>220</v>
      </c>
      <c r="P52" s="217">
        <v>20</v>
      </c>
      <c r="Q52" s="217">
        <f t="shared" si="0"/>
        <v>31860</v>
      </c>
      <c r="R52" s="217">
        <f t="shared" si="1"/>
        <v>7501</v>
      </c>
      <c r="S52" s="217">
        <f t="shared" si="2"/>
        <v>2186</v>
      </c>
      <c r="T52" s="217">
        <f t="shared" si="3"/>
        <v>344</v>
      </c>
      <c r="U52" s="217">
        <f t="shared" si="4"/>
        <v>14412</v>
      </c>
      <c r="V52" s="217">
        <f t="shared" si="5"/>
        <v>3979</v>
      </c>
      <c r="W52" s="217">
        <f>ROUND(AC52+(INDEX(Ref!B$1:B$9,MATCH($AI52,Ref!$A$1:$A$9,0))*P52*0.0001),)</f>
        <v>43</v>
      </c>
      <c r="X52" s="217">
        <f>ROUND(AD52+(INDEX(Ref!C$1:C$9,MATCH($AI52,Ref!$A$1:$A$9,0))*$P52*0.0001),)</f>
        <v>26</v>
      </c>
      <c r="Y52" s="217">
        <f>ROUND(AE52+(INDEX(Ref!D$1:D$9,MATCH($AI52,Ref!$A$1:$A$9,0))*$P52*0.0001),)</f>
        <v>52</v>
      </c>
      <c r="Z52" s="217">
        <f>ROUND(AF52+(INDEX(Ref!E$1:E$9,MATCH($AI52,Ref!$A$1:$A$9,0))*$P52*0.0001),)</f>
        <v>19</v>
      </c>
      <c r="AA52" s="217">
        <f>ROUND(AG52+(INDEX(Ref!F$1:F$9,MATCH($AI52,Ref!$A$1:$A$9,0))*$P52*0.0001),)</f>
        <v>23</v>
      </c>
      <c r="AB52" s="217">
        <f>ROUND(AH52+(INDEX(Ref!G$1:G$9,MATCH($AI52,Ref!$A$1:$A$9,0))*$P52*0.0001),)</f>
        <v>21</v>
      </c>
      <c r="AC52" s="137">
        <v>38</v>
      </c>
      <c r="AD52" s="137">
        <v>23</v>
      </c>
      <c r="AE52" s="137">
        <v>48</v>
      </c>
      <c r="AF52" s="137">
        <v>17</v>
      </c>
      <c r="AG52" s="137">
        <v>20</v>
      </c>
      <c r="AH52" s="137">
        <v>18</v>
      </c>
      <c r="AI52" s="208">
        <v>1</v>
      </c>
      <c r="AJ52" s="172">
        <v>3000</v>
      </c>
      <c r="AK52" s="172">
        <v>30061</v>
      </c>
      <c r="AL52" s="172">
        <v>2000</v>
      </c>
      <c r="AM52" s="172">
        <v>30064</v>
      </c>
      <c r="AN52" s="172">
        <v>0</v>
      </c>
      <c r="AO52" s="172">
        <f t="shared" si="6"/>
        <v>34061</v>
      </c>
      <c r="AP52" s="172">
        <v>0</v>
      </c>
      <c r="AQ52" s="172">
        <f t="shared" si="7"/>
        <v>34064</v>
      </c>
      <c r="AR52" s="172">
        <v>1</v>
      </c>
      <c r="AS52" s="172">
        <v>0</v>
      </c>
      <c r="AT52" s="199">
        <v>78011</v>
      </c>
      <c r="AU52" s="195" t="s">
        <v>111</v>
      </c>
    </row>
    <row r="53" spans="1:55" x14ac:dyDescent="0.2">
      <c r="A53" s="173">
        <v>55011</v>
      </c>
      <c r="B53" s="172" t="s">
        <v>109</v>
      </c>
      <c r="C53" s="172">
        <v>86011</v>
      </c>
      <c r="D53" s="172">
        <v>150011</v>
      </c>
      <c r="E53" s="206" t="s">
        <v>110</v>
      </c>
      <c r="F53" s="207">
        <v>8</v>
      </c>
      <c r="G53" s="173">
        <v>11500</v>
      </c>
      <c r="H53" s="173">
        <v>9500</v>
      </c>
      <c r="I53" s="172">
        <v>10000</v>
      </c>
      <c r="J53" s="172">
        <v>2</v>
      </c>
      <c r="K53" s="190">
        <f>IF($J53=1,INDEX('큐펫&amp;몹 정리(최신)'!P:P,MATCH($E53,'큐펫&amp;몹 정리(최신)'!$B:$B,0))*20,IF($J53=2,INDEX('큐펫&amp;몹 정리(최신)'!P:P,MATCH($E53,'큐펫&amp;몹 정리(최신)'!$B:$B,0))*25,IF($J53=3,INDEX('큐펫&amp;몹 정리(최신)'!P:P,MATCH($E53,'큐펫&amp;몹 정리(최신)'!$B:$B,0))*30,IF($J53=4,INDEX('큐펫&amp;몹 정리(최신)'!P:P,MATCH($E53,'큐펫&amp;몹 정리(최신)'!$B:$B,0))*35,INDEX('큐펫&amp;몹 정리(최신)'!P:P,MATCH($E53,'큐펫&amp;몹 정리(최신)'!$B:$B,0))*40))))</f>
        <v>1125</v>
      </c>
      <c r="L53" s="190">
        <f>IF($J53=1,INDEX('큐펫&amp;몹 정리(최신)'!Q:Q,MATCH($E53,'큐펫&amp;몹 정리(최신)'!$B:$B,0))*20,IF($J53=2,INDEX('큐펫&amp;몹 정리(최신)'!Q:Q,MATCH($E53,'큐펫&amp;몹 정리(최신)'!$B:$B,0))*25,IF($J53=3,INDEX('큐펫&amp;몹 정리(최신)'!Q:Q,MATCH($E53,'큐펫&amp;몹 정리(최신)'!$B:$B,0))*30,IF($J53=4,INDEX('큐펫&amp;몹 정리(최신)'!Q:Q,MATCH($E53,'큐펫&amp;몹 정리(최신)'!$B:$B,0))*35,INDEX('큐펫&amp;몹 정리(최신)'!Q:Q,MATCH($E53,'큐펫&amp;몹 정리(최신)'!$B:$B,0))*40))))</f>
        <v>500</v>
      </c>
      <c r="M53" s="190">
        <f>IF($J53=1,INDEX('큐펫&amp;몹 정리(최신)'!R:R,MATCH($E53,'큐펫&amp;몹 정리(최신)'!$B:$B,0))*20,IF($J53=2,INDEX('큐펫&amp;몹 정리(최신)'!R:R,MATCH($E53,'큐펫&amp;몹 정리(최신)'!$B:$B,0))*25,IF($J53=3,INDEX('큐펫&amp;몹 정리(최신)'!R:R,MATCH($E53,'큐펫&amp;몹 정리(최신)'!$B:$B,0))*30,IF($J53=4,INDEX('큐펫&amp;몹 정리(최신)'!R:R,MATCH($E53,'큐펫&amp;몹 정리(최신)'!$B:$B,0))*35,INDEX('큐펫&amp;몹 정리(최신)'!R:R,MATCH($E53,'큐펫&amp;몹 정리(최신)'!$B:$B,0))*40))))</f>
        <v>100</v>
      </c>
      <c r="N53" s="190">
        <f>IF($J53=1,INDEX('큐펫&amp;몹 정리(최신)'!S:S,MATCH($E53,'큐펫&amp;몹 정리(최신)'!$B:$B,0))*20,IF($J53=2,INDEX('큐펫&amp;몹 정리(최신)'!S:S,MATCH($E53,'큐펫&amp;몹 정리(최신)'!$B:$B,0))*25,IF($J53=3,INDEX('큐펫&amp;몹 정리(최신)'!S:S,MATCH($E53,'큐펫&amp;몹 정리(최신)'!$B:$B,0))*30,IF($J53=4,INDEX('큐펫&amp;몹 정리(최신)'!S:S,MATCH($E53,'큐펫&amp;몹 정리(최신)'!$B:$B,0))*35,INDEX('큐펫&amp;몹 정리(최신)'!S:S,MATCH($E53,'큐펫&amp;몹 정리(최신)'!$B:$B,0))*40))))</f>
        <v>500</v>
      </c>
      <c r="O53" s="190">
        <f>IF($J53=1,INDEX('큐펫&amp;몹 정리(최신)'!T:T,MATCH($E53,'큐펫&amp;몹 정리(최신)'!$B:$B,0))*20,IF($J53=2,INDEX('큐펫&amp;몹 정리(최신)'!T:T,MATCH($E53,'큐펫&amp;몹 정리(최신)'!$B:$B,0))*25,IF($J53=3,INDEX('큐펫&amp;몹 정리(최신)'!T:T,MATCH($E53,'큐펫&amp;몹 정리(최신)'!$B:$B,0))*30,IF($J53=4,INDEX('큐펫&amp;몹 정리(최신)'!T:T,MATCH($E53,'큐펫&amp;몹 정리(최신)'!$B:$B,0))*35,INDEX('큐펫&amp;몹 정리(최신)'!T:T,MATCH($E53,'큐펫&amp;몹 정리(최신)'!$B:$B,0))*40))))</f>
        <v>275</v>
      </c>
      <c r="P53" s="217">
        <v>40</v>
      </c>
      <c r="Q53" s="217">
        <f t="shared" si="0"/>
        <v>77600</v>
      </c>
      <c r="R53" s="217">
        <f t="shared" si="1"/>
        <v>14183</v>
      </c>
      <c r="S53" s="217">
        <f t="shared" si="2"/>
        <v>4301</v>
      </c>
      <c r="T53" s="217">
        <f t="shared" si="3"/>
        <v>654</v>
      </c>
      <c r="U53" s="217">
        <f t="shared" si="4"/>
        <v>25016</v>
      </c>
      <c r="V53" s="217">
        <f t="shared" si="5"/>
        <v>6899</v>
      </c>
      <c r="W53" s="217">
        <f>ROUND(AC53+(INDEX(Ref!B$1:B$9,MATCH($AI53,Ref!$A$1:$A$9,0))*P53*0.0001),)</f>
        <v>53</v>
      </c>
      <c r="X53" s="217">
        <f>ROUND(AD53+(INDEX(Ref!C$1:C$9,MATCH($AI53,Ref!$A$1:$A$9,0))*$P53*0.0001),)</f>
        <v>32</v>
      </c>
      <c r="Y53" s="217">
        <f>ROUND(AE53+(INDEX(Ref!D$1:D$9,MATCH($AI53,Ref!$A$1:$A$9,0))*$P53*0.0001),)</f>
        <v>60</v>
      </c>
      <c r="Z53" s="217">
        <f>ROUND(AF53+(INDEX(Ref!E$1:E$9,MATCH($AI53,Ref!$A$1:$A$9,0))*$P53*0.0001),)</f>
        <v>24</v>
      </c>
      <c r="AA53" s="217">
        <f>ROUND(AG53+(INDEX(Ref!F$1:F$9,MATCH($AI53,Ref!$A$1:$A$9,0))*$P53*0.0001),)</f>
        <v>29</v>
      </c>
      <c r="AB53" s="217">
        <f>ROUND(AH53+(INDEX(Ref!G$1:G$9,MATCH($AI53,Ref!$A$1:$A$9,0))*$P53*0.0001),)</f>
        <v>26</v>
      </c>
      <c r="AC53" s="137">
        <v>43</v>
      </c>
      <c r="AD53" s="137">
        <v>26</v>
      </c>
      <c r="AE53" s="137">
        <v>52</v>
      </c>
      <c r="AF53" s="137">
        <v>19</v>
      </c>
      <c r="AG53" s="137">
        <v>23</v>
      </c>
      <c r="AH53" s="137">
        <v>21</v>
      </c>
      <c r="AI53" s="208">
        <v>1</v>
      </c>
      <c r="AJ53" s="172">
        <v>3000</v>
      </c>
      <c r="AK53" s="172">
        <v>30062</v>
      </c>
      <c r="AL53" s="172">
        <v>2000</v>
      </c>
      <c r="AM53" s="172">
        <v>30064</v>
      </c>
      <c r="AN53" s="172">
        <v>0</v>
      </c>
      <c r="AO53" s="172">
        <f t="shared" si="6"/>
        <v>34062</v>
      </c>
      <c r="AP53" s="172">
        <v>0</v>
      </c>
      <c r="AQ53" s="172">
        <f t="shared" si="7"/>
        <v>34064</v>
      </c>
      <c r="AR53" s="172">
        <v>1</v>
      </c>
      <c r="AS53" s="172">
        <v>0</v>
      </c>
      <c r="AT53" s="199">
        <v>78011</v>
      </c>
      <c r="AU53" s="195" t="s">
        <v>111</v>
      </c>
    </row>
    <row r="54" spans="1:55" x14ac:dyDescent="0.2">
      <c r="A54" s="173">
        <v>55011</v>
      </c>
      <c r="B54" s="172" t="s">
        <v>109</v>
      </c>
      <c r="C54" s="172">
        <v>86011</v>
      </c>
      <c r="D54" s="172">
        <v>150011</v>
      </c>
      <c r="E54" s="206" t="s">
        <v>110</v>
      </c>
      <c r="F54" s="207">
        <v>8</v>
      </c>
      <c r="G54" s="173">
        <v>11500</v>
      </c>
      <c r="H54" s="173">
        <v>9500</v>
      </c>
      <c r="I54" s="172">
        <v>10000</v>
      </c>
      <c r="J54" s="172">
        <v>3</v>
      </c>
      <c r="K54" s="190">
        <f>IF($J54=1,INDEX('큐펫&amp;몹 정리(최신)'!P:P,MATCH($E54,'큐펫&amp;몹 정리(최신)'!$B:$B,0))*20,IF($J54=2,INDEX('큐펫&amp;몹 정리(최신)'!P:P,MATCH($E54,'큐펫&amp;몹 정리(최신)'!$B:$B,0))*25,IF($J54=3,INDEX('큐펫&amp;몹 정리(최신)'!P:P,MATCH($E54,'큐펫&amp;몹 정리(최신)'!$B:$B,0))*30,IF($J54=4,INDEX('큐펫&amp;몹 정리(최신)'!P:P,MATCH($E54,'큐펫&amp;몹 정리(최신)'!$B:$B,0))*35,INDEX('큐펫&amp;몹 정리(최신)'!P:P,MATCH($E54,'큐펫&amp;몹 정리(최신)'!$B:$B,0))*40))))</f>
        <v>1350</v>
      </c>
      <c r="L54" s="190">
        <f>IF($J54=1,INDEX('큐펫&amp;몹 정리(최신)'!Q:Q,MATCH($E54,'큐펫&amp;몹 정리(최신)'!$B:$B,0))*20,IF($J54=2,INDEX('큐펫&amp;몹 정리(최신)'!Q:Q,MATCH($E54,'큐펫&amp;몹 정리(최신)'!$B:$B,0))*25,IF($J54=3,INDEX('큐펫&amp;몹 정리(최신)'!Q:Q,MATCH($E54,'큐펫&amp;몹 정리(최신)'!$B:$B,0))*30,IF($J54=4,INDEX('큐펫&amp;몹 정리(최신)'!Q:Q,MATCH($E54,'큐펫&amp;몹 정리(최신)'!$B:$B,0))*35,INDEX('큐펫&amp;몹 정리(최신)'!Q:Q,MATCH($E54,'큐펫&amp;몹 정리(최신)'!$B:$B,0))*40))))</f>
        <v>600</v>
      </c>
      <c r="M54" s="190">
        <f>IF($J54=1,INDEX('큐펫&amp;몹 정리(최신)'!R:R,MATCH($E54,'큐펫&amp;몹 정리(최신)'!$B:$B,0))*20,IF($J54=2,INDEX('큐펫&amp;몹 정리(최신)'!R:R,MATCH($E54,'큐펫&amp;몹 정리(최신)'!$B:$B,0))*25,IF($J54=3,INDEX('큐펫&amp;몹 정리(최신)'!R:R,MATCH($E54,'큐펫&amp;몹 정리(최신)'!$B:$B,0))*30,IF($J54=4,INDEX('큐펫&amp;몹 정리(최신)'!R:R,MATCH($E54,'큐펫&amp;몹 정리(최신)'!$B:$B,0))*35,INDEX('큐펫&amp;몹 정리(최신)'!R:R,MATCH($E54,'큐펫&amp;몹 정리(최신)'!$B:$B,0))*40))))</f>
        <v>120</v>
      </c>
      <c r="N54" s="190">
        <f>IF($J54=1,INDEX('큐펫&amp;몹 정리(최신)'!S:S,MATCH($E54,'큐펫&amp;몹 정리(최신)'!$B:$B,0))*20,IF($J54=2,INDEX('큐펫&amp;몹 정리(최신)'!S:S,MATCH($E54,'큐펫&amp;몹 정리(최신)'!$B:$B,0))*25,IF($J54=3,INDEX('큐펫&amp;몹 정리(최신)'!S:S,MATCH($E54,'큐펫&amp;몹 정리(최신)'!$B:$B,0))*30,IF($J54=4,INDEX('큐펫&amp;몹 정리(최신)'!S:S,MATCH($E54,'큐펫&amp;몹 정리(최신)'!$B:$B,0))*35,INDEX('큐펫&amp;몹 정리(최신)'!S:S,MATCH($E54,'큐펫&amp;몹 정리(최신)'!$B:$B,0))*40))))</f>
        <v>600</v>
      </c>
      <c r="O54" s="190">
        <f>IF($J54=1,INDEX('큐펫&amp;몹 정리(최신)'!T:T,MATCH($E54,'큐펫&amp;몹 정리(최신)'!$B:$B,0))*20,IF($J54=2,INDEX('큐펫&amp;몹 정리(최신)'!T:T,MATCH($E54,'큐펫&amp;몹 정리(최신)'!$B:$B,0))*25,IF($J54=3,INDEX('큐펫&amp;몹 정리(최신)'!T:T,MATCH($E54,'큐펫&amp;몹 정리(최신)'!$B:$B,0))*30,IF($J54=4,INDEX('큐펫&amp;몹 정리(최신)'!T:T,MATCH($E54,'큐펫&amp;몹 정리(최신)'!$B:$B,0))*35,INDEX('큐펫&amp;몹 정리(최신)'!T:T,MATCH($E54,'큐펫&amp;몹 정리(최신)'!$B:$B,0))*40))))</f>
        <v>330</v>
      </c>
      <c r="P54" s="217">
        <v>60</v>
      </c>
      <c r="Q54" s="217">
        <f t="shared" si="0"/>
        <v>142780</v>
      </c>
      <c r="R54" s="217">
        <f t="shared" si="1"/>
        <v>23984</v>
      </c>
      <c r="S54" s="217">
        <f t="shared" si="2"/>
        <v>7055</v>
      </c>
      <c r="T54" s="217">
        <f t="shared" si="3"/>
        <v>1038</v>
      </c>
      <c r="U54" s="217">
        <f t="shared" si="4"/>
        <v>38419</v>
      </c>
      <c r="V54" s="217">
        <f t="shared" si="5"/>
        <v>10588</v>
      </c>
      <c r="W54" s="217">
        <f>ROUND(AC54+(INDEX(Ref!B$1:B$9,MATCH($AI54,Ref!$A$1:$A$9,0))*P54*0.0001),)</f>
        <v>63</v>
      </c>
      <c r="X54" s="217">
        <f>ROUND(AD54+(INDEX(Ref!C$1:C$9,MATCH($AI54,Ref!$A$1:$A$9,0))*$P54*0.0001),)</f>
        <v>40</v>
      </c>
      <c r="Y54" s="217">
        <f>ROUND(AE54+(INDEX(Ref!D$1:D$9,MATCH($AI54,Ref!$A$1:$A$9,0))*$P54*0.0001),)</f>
        <v>68</v>
      </c>
      <c r="Z54" s="217">
        <f>ROUND(AF54+(INDEX(Ref!E$1:E$9,MATCH($AI54,Ref!$A$1:$A$9,0))*$P54*0.0001),)</f>
        <v>28</v>
      </c>
      <c r="AA54" s="217">
        <f>ROUND(AG54+(INDEX(Ref!F$1:F$9,MATCH($AI54,Ref!$A$1:$A$9,0))*$P54*0.0001),)</f>
        <v>34</v>
      </c>
      <c r="AB54" s="217">
        <f>ROUND(AH54+(INDEX(Ref!G$1:G$9,MATCH($AI54,Ref!$A$1:$A$9,0))*$P54*0.0001),)</f>
        <v>31</v>
      </c>
      <c r="AC54" s="137">
        <v>48.000000000000007</v>
      </c>
      <c r="AD54" s="137">
        <v>30</v>
      </c>
      <c r="AE54" s="137">
        <v>56</v>
      </c>
      <c r="AF54" s="137">
        <v>21</v>
      </c>
      <c r="AG54" s="137">
        <v>26</v>
      </c>
      <c r="AH54" s="137">
        <v>23</v>
      </c>
      <c r="AI54" s="208">
        <v>1</v>
      </c>
      <c r="AJ54" s="172">
        <v>3000</v>
      </c>
      <c r="AK54" s="172">
        <v>30062</v>
      </c>
      <c r="AL54" s="172">
        <v>2000</v>
      </c>
      <c r="AM54" s="172">
        <v>30065</v>
      </c>
      <c r="AN54" s="172">
        <v>0</v>
      </c>
      <c r="AO54" s="172">
        <f t="shared" si="6"/>
        <v>34062</v>
      </c>
      <c r="AP54" s="172">
        <v>0</v>
      </c>
      <c r="AQ54" s="172">
        <f t="shared" si="7"/>
        <v>34065</v>
      </c>
      <c r="AR54" s="172">
        <v>1</v>
      </c>
      <c r="AS54" s="172">
        <v>0</v>
      </c>
      <c r="AT54" s="199">
        <v>78011</v>
      </c>
      <c r="AU54" s="195" t="s">
        <v>111</v>
      </c>
    </row>
    <row r="55" spans="1:55" x14ac:dyDescent="0.2">
      <c r="A55" s="173">
        <v>55011</v>
      </c>
      <c r="B55" s="172" t="s">
        <v>109</v>
      </c>
      <c r="C55" s="172">
        <v>86011</v>
      </c>
      <c r="D55" s="172">
        <v>150011</v>
      </c>
      <c r="E55" s="206" t="s">
        <v>110</v>
      </c>
      <c r="F55" s="207">
        <v>8</v>
      </c>
      <c r="G55" s="173">
        <v>11500</v>
      </c>
      <c r="H55" s="173">
        <v>9500</v>
      </c>
      <c r="I55" s="172">
        <v>10000</v>
      </c>
      <c r="J55" s="172">
        <v>4</v>
      </c>
      <c r="K55" s="190">
        <f>IF($J55=1,INDEX('큐펫&amp;몹 정리(최신)'!P:P,MATCH($E55,'큐펫&amp;몹 정리(최신)'!$B:$B,0))*20,IF($J55=2,INDEX('큐펫&amp;몹 정리(최신)'!P:P,MATCH($E55,'큐펫&amp;몹 정리(최신)'!$B:$B,0))*25,IF($J55=3,INDEX('큐펫&amp;몹 정리(최신)'!P:P,MATCH($E55,'큐펫&amp;몹 정리(최신)'!$B:$B,0))*30,IF($J55=4,INDEX('큐펫&amp;몹 정리(최신)'!P:P,MATCH($E55,'큐펫&amp;몹 정리(최신)'!$B:$B,0))*35,INDEX('큐펫&amp;몹 정리(최신)'!P:P,MATCH($E55,'큐펫&amp;몹 정리(최신)'!$B:$B,0))*40))))</f>
        <v>1575</v>
      </c>
      <c r="L55" s="190">
        <f>IF($J55=1,INDEX('큐펫&amp;몹 정리(최신)'!Q:Q,MATCH($E55,'큐펫&amp;몹 정리(최신)'!$B:$B,0))*20,IF($J55=2,INDEX('큐펫&amp;몹 정리(최신)'!Q:Q,MATCH($E55,'큐펫&amp;몹 정리(최신)'!$B:$B,0))*25,IF($J55=3,INDEX('큐펫&amp;몹 정리(최신)'!Q:Q,MATCH($E55,'큐펫&amp;몹 정리(최신)'!$B:$B,0))*30,IF($J55=4,INDEX('큐펫&amp;몹 정리(최신)'!Q:Q,MATCH($E55,'큐펫&amp;몹 정리(최신)'!$B:$B,0))*35,INDEX('큐펫&amp;몹 정리(최신)'!Q:Q,MATCH($E55,'큐펫&amp;몹 정리(최신)'!$B:$B,0))*40))))</f>
        <v>700</v>
      </c>
      <c r="M55" s="190">
        <f>IF($J55=1,INDEX('큐펫&amp;몹 정리(최신)'!R:R,MATCH($E55,'큐펫&amp;몹 정리(최신)'!$B:$B,0))*20,IF($J55=2,INDEX('큐펫&amp;몹 정리(최신)'!R:R,MATCH($E55,'큐펫&amp;몹 정리(최신)'!$B:$B,0))*25,IF($J55=3,INDEX('큐펫&amp;몹 정리(최신)'!R:R,MATCH($E55,'큐펫&amp;몹 정리(최신)'!$B:$B,0))*30,IF($J55=4,INDEX('큐펫&amp;몹 정리(최신)'!R:R,MATCH($E55,'큐펫&amp;몹 정리(최신)'!$B:$B,0))*35,INDEX('큐펫&amp;몹 정리(최신)'!R:R,MATCH($E55,'큐펫&amp;몹 정리(최신)'!$B:$B,0))*40))))</f>
        <v>140</v>
      </c>
      <c r="N55" s="190">
        <f>IF($J55=1,INDEX('큐펫&amp;몹 정리(최신)'!S:S,MATCH($E55,'큐펫&amp;몹 정리(최신)'!$B:$B,0))*20,IF($J55=2,INDEX('큐펫&amp;몹 정리(최신)'!S:S,MATCH($E55,'큐펫&amp;몹 정리(최신)'!$B:$B,0))*25,IF($J55=3,INDEX('큐펫&amp;몹 정리(최신)'!S:S,MATCH($E55,'큐펫&amp;몹 정리(최신)'!$B:$B,0))*30,IF($J55=4,INDEX('큐펫&amp;몹 정리(최신)'!S:S,MATCH($E55,'큐펫&amp;몹 정리(최신)'!$B:$B,0))*35,INDEX('큐펫&amp;몹 정리(최신)'!S:S,MATCH($E55,'큐펫&amp;몹 정리(최신)'!$B:$B,0))*40))))</f>
        <v>700</v>
      </c>
      <c r="O55" s="190">
        <f>IF($J55=1,INDEX('큐펫&amp;몹 정리(최신)'!T:T,MATCH($E55,'큐펫&amp;몹 정리(최신)'!$B:$B,0))*20,IF($J55=2,INDEX('큐펫&amp;몹 정리(최신)'!T:T,MATCH($E55,'큐펫&amp;몹 정리(최신)'!$B:$B,0))*25,IF($J55=3,INDEX('큐펫&amp;몹 정리(최신)'!T:T,MATCH($E55,'큐펫&amp;몹 정리(최신)'!$B:$B,0))*30,IF($J55=4,INDEX('큐펫&amp;몹 정리(최신)'!T:T,MATCH($E55,'큐펫&amp;몹 정리(최신)'!$B:$B,0))*35,INDEX('큐펫&amp;몹 정리(최신)'!T:T,MATCH($E55,'큐펫&amp;몹 정리(최신)'!$B:$B,0))*40))))</f>
        <v>385</v>
      </c>
      <c r="P55" s="217">
        <v>80</v>
      </c>
      <c r="Q55" s="217">
        <f t="shared" si="0"/>
        <v>229560</v>
      </c>
      <c r="R55" s="217">
        <f t="shared" si="1"/>
        <v>37505</v>
      </c>
      <c r="S55" s="217">
        <f t="shared" si="2"/>
        <v>10790</v>
      </c>
      <c r="T55" s="217">
        <f t="shared" si="3"/>
        <v>1740</v>
      </c>
      <c r="U55" s="217">
        <f t="shared" si="4"/>
        <v>54622</v>
      </c>
      <c r="V55" s="217">
        <f t="shared" si="5"/>
        <v>15049</v>
      </c>
      <c r="W55" s="217">
        <f>ROUND(AC55+(INDEX(Ref!B$1:B$9,MATCH($AI55,Ref!$A$1:$A$9,0))*P55*0.0001),)</f>
        <v>73</v>
      </c>
      <c r="X55" s="217">
        <f>ROUND(AD55+(INDEX(Ref!C$1:C$9,MATCH($AI55,Ref!$A$1:$A$9,0))*$P55*0.0001),)</f>
        <v>46</v>
      </c>
      <c r="Y55" s="217">
        <f>ROUND(AE55+(INDEX(Ref!D$1:D$9,MATCH($AI55,Ref!$A$1:$A$9,0))*$P55*0.0001),)</f>
        <v>76</v>
      </c>
      <c r="Z55" s="217">
        <f>ROUND(AF55+(INDEX(Ref!E$1:E$9,MATCH($AI55,Ref!$A$1:$A$9,0))*$P55*0.0001),)</f>
        <v>34</v>
      </c>
      <c r="AA55" s="217">
        <f>ROUND(AG55+(INDEX(Ref!F$1:F$9,MATCH($AI55,Ref!$A$1:$A$9,0))*$P55*0.0001),)</f>
        <v>39</v>
      </c>
      <c r="AB55" s="217">
        <f>ROUND(AH55+(INDEX(Ref!G$1:G$9,MATCH($AI55,Ref!$A$1:$A$9,0))*$P55*0.0001),)</f>
        <v>36</v>
      </c>
      <c r="AC55" s="137">
        <v>53</v>
      </c>
      <c r="AD55" s="137">
        <v>33</v>
      </c>
      <c r="AE55" s="137">
        <v>60</v>
      </c>
      <c r="AF55" s="137">
        <v>24</v>
      </c>
      <c r="AG55" s="137">
        <v>28</v>
      </c>
      <c r="AH55" s="137">
        <v>26</v>
      </c>
      <c r="AI55" s="208">
        <v>1</v>
      </c>
      <c r="AJ55" s="172">
        <v>3000</v>
      </c>
      <c r="AK55" s="172">
        <v>30063</v>
      </c>
      <c r="AL55" s="172">
        <v>2000</v>
      </c>
      <c r="AM55" s="172">
        <v>30065</v>
      </c>
      <c r="AN55" s="172">
        <v>0</v>
      </c>
      <c r="AO55" s="172">
        <f t="shared" si="6"/>
        <v>34063</v>
      </c>
      <c r="AP55" s="172">
        <v>0</v>
      </c>
      <c r="AQ55" s="172">
        <f t="shared" si="7"/>
        <v>34065</v>
      </c>
      <c r="AR55" s="172">
        <v>1</v>
      </c>
      <c r="AS55" s="172">
        <v>0</v>
      </c>
      <c r="AT55" s="199">
        <v>78011</v>
      </c>
      <c r="AU55" s="195" t="s">
        <v>111</v>
      </c>
    </row>
    <row r="56" spans="1:55" x14ac:dyDescent="0.2">
      <c r="A56" s="173">
        <v>55011</v>
      </c>
      <c r="B56" s="172" t="s">
        <v>109</v>
      </c>
      <c r="C56" s="172">
        <v>86011</v>
      </c>
      <c r="D56" s="172">
        <v>150011</v>
      </c>
      <c r="E56" s="206" t="s">
        <v>110</v>
      </c>
      <c r="F56" s="207">
        <v>8</v>
      </c>
      <c r="G56" s="173">
        <v>11500</v>
      </c>
      <c r="H56" s="173">
        <v>9500</v>
      </c>
      <c r="I56" s="172">
        <v>10000</v>
      </c>
      <c r="J56" s="172">
        <v>5</v>
      </c>
      <c r="K56" s="190">
        <f>IF($J56=1,INDEX('큐펫&amp;몹 정리(최신)'!P:P,MATCH($E56,'큐펫&amp;몹 정리(최신)'!$B:$B,0))*20,IF($J56=2,INDEX('큐펫&amp;몹 정리(최신)'!P:P,MATCH($E56,'큐펫&amp;몹 정리(최신)'!$B:$B,0))*25,IF($J56=3,INDEX('큐펫&amp;몹 정리(최신)'!P:P,MATCH($E56,'큐펫&amp;몹 정리(최신)'!$B:$B,0))*30,IF($J56=4,INDEX('큐펫&amp;몹 정리(최신)'!P:P,MATCH($E56,'큐펫&amp;몹 정리(최신)'!$B:$B,0))*35,INDEX('큐펫&amp;몹 정리(최신)'!P:P,MATCH($E56,'큐펫&amp;몹 정리(최신)'!$B:$B,0))*40))))</f>
        <v>1800</v>
      </c>
      <c r="L56" s="190">
        <f>IF($J56=1,INDEX('큐펫&amp;몹 정리(최신)'!Q:Q,MATCH($E56,'큐펫&amp;몹 정리(최신)'!$B:$B,0))*20,IF($J56=2,INDEX('큐펫&amp;몹 정리(최신)'!Q:Q,MATCH($E56,'큐펫&amp;몹 정리(최신)'!$B:$B,0))*25,IF($J56=3,INDEX('큐펫&amp;몹 정리(최신)'!Q:Q,MATCH($E56,'큐펫&amp;몹 정리(최신)'!$B:$B,0))*30,IF($J56=4,INDEX('큐펫&amp;몹 정리(최신)'!Q:Q,MATCH($E56,'큐펫&amp;몹 정리(최신)'!$B:$B,0))*35,INDEX('큐펫&amp;몹 정리(최신)'!Q:Q,MATCH($E56,'큐펫&amp;몹 정리(최신)'!$B:$B,0))*40))))</f>
        <v>800</v>
      </c>
      <c r="M56" s="190">
        <f>IF($J56=1,INDEX('큐펫&amp;몹 정리(최신)'!R:R,MATCH($E56,'큐펫&amp;몹 정리(최신)'!$B:$B,0))*20,IF($J56=2,INDEX('큐펫&amp;몹 정리(최신)'!R:R,MATCH($E56,'큐펫&amp;몹 정리(최신)'!$B:$B,0))*25,IF($J56=3,INDEX('큐펫&amp;몹 정리(최신)'!R:R,MATCH($E56,'큐펫&amp;몹 정리(최신)'!$B:$B,0))*30,IF($J56=4,INDEX('큐펫&amp;몹 정리(최신)'!R:R,MATCH($E56,'큐펫&amp;몹 정리(최신)'!$B:$B,0))*35,INDEX('큐펫&amp;몹 정리(최신)'!R:R,MATCH($E56,'큐펫&amp;몹 정리(최신)'!$B:$B,0))*40))))</f>
        <v>160</v>
      </c>
      <c r="N56" s="190">
        <f>IF($J56=1,INDEX('큐펫&amp;몹 정리(최신)'!S:S,MATCH($E56,'큐펫&amp;몹 정리(최신)'!$B:$B,0))*20,IF($J56=2,INDEX('큐펫&amp;몹 정리(최신)'!S:S,MATCH($E56,'큐펫&amp;몹 정리(최신)'!$B:$B,0))*25,IF($J56=3,INDEX('큐펫&amp;몹 정리(최신)'!S:S,MATCH($E56,'큐펫&amp;몹 정리(최신)'!$B:$B,0))*30,IF($J56=4,INDEX('큐펫&amp;몹 정리(최신)'!S:S,MATCH($E56,'큐펫&amp;몹 정리(최신)'!$B:$B,0))*35,INDEX('큐펫&amp;몹 정리(최신)'!S:S,MATCH($E56,'큐펫&amp;몹 정리(최신)'!$B:$B,0))*40))))</f>
        <v>800</v>
      </c>
      <c r="O56" s="190">
        <f>IF($J56=1,INDEX('큐펫&amp;몹 정리(최신)'!T:T,MATCH($E56,'큐펫&amp;몹 정리(최신)'!$B:$B,0))*20,IF($J56=2,INDEX('큐펫&amp;몹 정리(최신)'!T:T,MATCH($E56,'큐펫&amp;몹 정리(최신)'!$B:$B,0))*25,IF($J56=3,INDEX('큐펫&amp;몹 정리(최신)'!T:T,MATCH($E56,'큐펫&amp;몹 정리(최신)'!$B:$B,0))*30,IF($J56=4,INDEX('큐펫&amp;몹 정리(최신)'!T:T,MATCH($E56,'큐펫&amp;몹 정리(최신)'!$B:$B,0))*35,INDEX('큐펫&amp;몹 정리(최신)'!T:T,MATCH($E56,'큐펫&amp;몹 정리(최신)'!$B:$B,0))*40))))</f>
        <v>440</v>
      </c>
      <c r="P56" s="217">
        <v>100</v>
      </c>
      <c r="Q56" s="217">
        <f t="shared" si="0"/>
        <v>340200</v>
      </c>
      <c r="R56" s="217">
        <f t="shared" si="1"/>
        <v>55347</v>
      </c>
      <c r="S56" s="217">
        <f t="shared" si="2"/>
        <v>16369</v>
      </c>
      <c r="T56" s="217">
        <f t="shared" si="3"/>
        <v>2452</v>
      </c>
      <c r="U56" s="217">
        <f t="shared" si="4"/>
        <v>73625</v>
      </c>
      <c r="V56" s="217">
        <f t="shared" si="5"/>
        <v>20278</v>
      </c>
      <c r="W56" s="217">
        <f>ROUND(AC56+(INDEX(Ref!B$1:B$9,MATCH($AI56,Ref!$A$1:$A$9,0))*P56*0.0001),)</f>
        <v>83</v>
      </c>
      <c r="X56" s="217">
        <f>ROUND(AD56+(INDEX(Ref!C$1:C$9,MATCH($AI56,Ref!$A$1:$A$9,0))*$P56*0.0001),)</f>
        <v>52</v>
      </c>
      <c r="Y56" s="217">
        <f>ROUND(AE56+(INDEX(Ref!D$1:D$9,MATCH($AI56,Ref!$A$1:$A$9,0))*$P56*0.0001),)</f>
        <v>84</v>
      </c>
      <c r="Z56" s="217">
        <f>ROUND(AF56+(INDEX(Ref!E$1:E$9,MATCH($AI56,Ref!$A$1:$A$9,0))*$P56*0.0001),)</f>
        <v>38</v>
      </c>
      <c r="AA56" s="217">
        <f>ROUND(AG56+(INDEX(Ref!F$1:F$9,MATCH($AI56,Ref!$A$1:$A$9,0))*$P56*0.0001),)</f>
        <v>45</v>
      </c>
      <c r="AB56" s="217">
        <f>ROUND(AH56+(INDEX(Ref!G$1:G$9,MATCH($AI56,Ref!$A$1:$A$9,0))*$P56*0.0001),)</f>
        <v>42</v>
      </c>
      <c r="AC56" s="137">
        <v>58.000000000000007</v>
      </c>
      <c r="AD56" s="137">
        <v>36</v>
      </c>
      <c r="AE56" s="137">
        <v>64</v>
      </c>
      <c r="AF56" s="137">
        <v>26</v>
      </c>
      <c r="AG56" s="137">
        <v>31</v>
      </c>
      <c r="AH56" s="137">
        <v>29</v>
      </c>
      <c r="AI56" s="208">
        <v>1</v>
      </c>
      <c r="AJ56" s="172">
        <v>3000</v>
      </c>
      <c r="AK56" s="172">
        <v>30063</v>
      </c>
      <c r="AL56" s="172">
        <v>2000</v>
      </c>
      <c r="AM56" s="172">
        <v>30066</v>
      </c>
      <c r="AN56" s="172">
        <v>0</v>
      </c>
      <c r="AO56" s="172">
        <f t="shared" si="6"/>
        <v>34063</v>
      </c>
      <c r="AP56" s="172">
        <v>0</v>
      </c>
      <c r="AQ56" s="172">
        <f t="shared" si="7"/>
        <v>34066</v>
      </c>
      <c r="AR56" s="172">
        <v>1</v>
      </c>
      <c r="AS56" s="172">
        <v>0</v>
      </c>
      <c r="AT56" s="199">
        <v>78011</v>
      </c>
      <c r="AU56" s="195" t="s">
        <v>111</v>
      </c>
    </row>
    <row r="57" spans="1:55" x14ac:dyDescent="0.2">
      <c r="A57" s="173">
        <v>55012</v>
      </c>
      <c r="B57" s="172" t="s">
        <v>112</v>
      </c>
      <c r="C57" s="172">
        <v>86012</v>
      </c>
      <c r="D57" s="172">
        <v>150012</v>
      </c>
      <c r="E57" s="206" t="s">
        <v>113</v>
      </c>
      <c r="F57" s="207">
        <v>2</v>
      </c>
      <c r="G57" s="172">
        <v>13000</v>
      </c>
      <c r="H57" s="172">
        <v>9000</v>
      </c>
      <c r="I57" s="172">
        <v>10000</v>
      </c>
      <c r="J57" s="172">
        <v>1</v>
      </c>
      <c r="K57" s="190">
        <f>IF($J57=1,INDEX('큐펫&amp;몹 정리(최신)'!P:P,MATCH($E57,'큐펫&amp;몹 정리(최신)'!$B:$B,0))*20,IF($J57=2,INDEX('큐펫&amp;몹 정리(최신)'!P:P,MATCH($E57,'큐펫&amp;몹 정리(최신)'!$B:$B,0))*25,IF($J57=3,INDEX('큐펫&amp;몹 정리(최신)'!P:P,MATCH($E57,'큐펫&amp;몹 정리(최신)'!$B:$B,0))*30,IF($J57=4,INDEX('큐펫&amp;몹 정리(최신)'!P:P,MATCH($E57,'큐펫&amp;몹 정리(최신)'!$B:$B,0))*35,INDEX('큐펫&amp;몹 정리(최신)'!P:P,MATCH($E57,'큐펫&amp;몹 정리(최신)'!$B:$B,0))*40))))</f>
        <v>840</v>
      </c>
      <c r="L57" s="190">
        <f>IF($J57=1,INDEX('큐펫&amp;몹 정리(최신)'!Q:Q,MATCH($E57,'큐펫&amp;몹 정리(최신)'!$B:$B,0))*20,IF($J57=2,INDEX('큐펫&amp;몹 정리(최신)'!Q:Q,MATCH($E57,'큐펫&amp;몹 정리(최신)'!$B:$B,0))*25,IF($J57=3,INDEX('큐펫&amp;몹 정리(최신)'!Q:Q,MATCH($E57,'큐펫&amp;몹 정리(최신)'!$B:$B,0))*30,IF($J57=4,INDEX('큐펫&amp;몹 정리(최신)'!Q:Q,MATCH($E57,'큐펫&amp;몹 정리(최신)'!$B:$B,0))*35,INDEX('큐펫&amp;몹 정리(최신)'!Q:Q,MATCH($E57,'큐펫&amp;몹 정리(최신)'!$B:$B,0))*40))))</f>
        <v>80</v>
      </c>
      <c r="M57" s="190">
        <f>IF($J57=1,INDEX('큐펫&amp;몹 정리(최신)'!R:R,MATCH($E57,'큐펫&amp;몹 정리(최신)'!$B:$B,0))*20,IF($J57=2,INDEX('큐펫&amp;몹 정리(최신)'!R:R,MATCH($E57,'큐펫&amp;몹 정리(최신)'!$B:$B,0))*25,IF($J57=3,INDEX('큐펫&amp;몹 정리(최신)'!R:R,MATCH($E57,'큐펫&amp;몹 정리(최신)'!$B:$B,0))*30,IF($J57=4,INDEX('큐펫&amp;몹 정리(최신)'!R:R,MATCH($E57,'큐펫&amp;몹 정리(최신)'!$B:$B,0))*35,INDEX('큐펫&amp;몹 정리(최신)'!R:R,MATCH($E57,'큐펫&amp;몹 정리(최신)'!$B:$B,0))*40))))</f>
        <v>240</v>
      </c>
      <c r="N57" s="190">
        <f>IF($J57=1,INDEX('큐펫&amp;몹 정리(최신)'!S:S,MATCH($E57,'큐펫&amp;몹 정리(최신)'!$B:$B,0))*20,IF($J57=2,INDEX('큐펫&amp;몹 정리(최신)'!S:S,MATCH($E57,'큐펫&amp;몹 정리(최신)'!$B:$B,0))*25,IF($J57=3,INDEX('큐펫&amp;몹 정리(최신)'!S:S,MATCH($E57,'큐펫&amp;몹 정리(최신)'!$B:$B,0))*30,IF($J57=4,INDEX('큐펫&amp;몹 정리(최신)'!S:S,MATCH($E57,'큐펫&amp;몹 정리(최신)'!$B:$B,0))*35,INDEX('큐펫&amp;몹 정리(최신)'!S:S,MATCH($E57,'큐펫&amp;몹 정리(최신)'!$B:$B,0))*40))))</f>
        <v>400</v>
      </c>
      <c r="O57" s="190">
        <f>IF($J57=1,INDEX('큐펫&amp;몹 정리(최신)'!T:T,MATCH($E57,'큐펫&amp;몹 정리(최신)'!$B:$B,0))*20,IF($J57=2,INDEX('큐펫&amp;몹 정리(최신)'!T:T,MATCH($E57,'큐펫&amp;몹 정리(최신)'!$B:$B,0))*25,IF($J57=3,INDEX('큐펫&amp;몹 정리(최신)'!T:T,MATCH($E57,'큐펫&amp;몹 정리(최신)'!$B:$B,0))*30,IF($J57=4,INDEX('큐펫&amp;몹 정리(최신)'!T:T,MATCH($E57,'큐펫&amp;몹 정리(최신)'!$B:$B,0))*35,INDEX('큐펫&amp;몹 정리(최신)'!T:T,MATCH($E57,'큐펫&amp;몹 정리(최신)'!$B:$B,0))*40))))</f>
        <v>440</v>
      </c>
      <c r="P57" s="217">
        <v>20</v>
      </c>
      <c r="Q57" s="217">
        <f t="shared" si="0"/>
        <v>27552</v>
      </c>
      <c r="R57" s="217">
        <f t="shared" si="1"/>
        <v>287</v>
      </c>
      <c r="S57" s="217">
        <f t="shared" si="2"/>
        <v>348</v>
      </c>
      <c r="T57" s="217">
        <f t="shared" si="3"/>
        <v>4137</v>
      </c>
      <c r="U57" s="217">
        <f t="shared" si="4"/>
        <v>11807</v>
      </c>
      <c r="V57" s="217">
        <f t="shared" si="5"/>
        <v>6531</v>
      </c>
      <c r="W57" s="217">
        <f>ROUND(AC57+(INDEX(Ref!B$1:B$9,MATCH($AI57,Ref!$A$1:$A$9,0))*P57*0.0001),)</f>
        <v>17</v>
      </c>
      <c r="X57" s="217">
        <f>ROUND(AD57+(INDEX(Ref!C$1:C$9,MATCH($AI57,Ref!$A$1:$A$9,0))*$P57*0.0001),)</f>
        <v>32</v>
      </c>
      <c r="Y57" s="217">
        <f>ROUND(AE57+(INDEX(Ref!D$1:D$9,MATCH($AI57,Ref!$A$1:$A$9,0))*$P57*0.0001),)</f>
        <v>39</v>
      </c>
      <c r="Z57" s="217">
        <f>ROUND(AF57+(INDEX(Ref!E$1:E$9,MATCH($AI57,Ref!$A$1:$A$9,0))*$P57*0.0001),)</f>
        <v>41</v>
      </c>
      <c r="AA57" s="217">
        <f>ROUND(AG57+(INDEX(Ref!F$1:F$9,MATCH($AI57,Ref!$A$1:$A$9,0))*$P57*0.0001),)</f>
        <v>19</v>
      </c>
      <c r="AB57" s="217">
        <f>ROUND(AH57+(INDEX(Ref!G$1:G$9,MATCH($AI57,Ref!$A$1:$A$9,0))*$P57*0.0001),)</f>
        <v>36</v>
      </c>
      <c r="AC57" s="137">
        <v>15</v>
      </c>
      <c r="AD57" s="137">
        <v>28</v>
      </c>
      <c r="AE57" s="137">
        <v>36</v>
      </c>
      <c r="AF57" s="137">
        <v>36</v>
      </c>
      <c r="AG57" s="137">
        <v>17</v>
      </c>
      <c r="AH57" s="137">
        <v>32</v>
      </c>
      <c r="AI57" s="208">
        <v>6</v>
      </c>
      <c r="AJ57" s="172">
        <v>3000</v>
      </c>
      <c r="AK57" s="172">
        <v>30067</v>
      </c>
      <c r="AL57" s="172">
        <v>2000</v>
      </c>
      <c r="AM57" s="172">
        <v>30070</v>
      </c>
      <c r="AN57" s="172">
        <v>0</v>
      </c>
      <c r="AO57" s="172">
        <f t="shared" si="6"/>
        <v>34067</v>
      </c>
      <c r="AP57" s="172">
        <v>0</v>
      </c>
      <c r="AQ57" s="172">
        <f t="shared" si="7"/>
        <v>34070</v>
      </c>
      <c r="AR57" s="172">
        <v>1</v>
      </c>
      <c r="AS57" s="172">
        <v>0</v>
      </c>
      <c r="AT57" s="199">
        <v>78012</v>
      </c>
      <c r="AU57" s="195" t="s">
        <v>114</v>
      </c>
      <c r="BB57" s="167">
        <v>8</v>
      </c>
      <c r="BC57" s="167" t="s">
        <v>99</v>
      </c>
    </row>
    <row r="58" spans="1:55" x14ac:dyDescent="0.2">
      <c r="A58" s="173">
        <v>55012</v>
      </c>
      <c r="B58" s="172" t="s">
        <v>112</v>
      </c>
      <c r="C58" s="172">
        <v>86012</v>
      </c>
      <c r="D58" s="172">
        <v>150012</v>
      </c>
      <c r="E58" s="206" t="s">
        <v>113</v>
      </c>
      <c r="F58" s="207">
        <v>2</v>
      </c>
      <c r="G58" s="172">
        <v>13000</v>
      </c>
      <c r="H58" s="172">
        <v>9000</v>
      </c>
      <c r="I58" s="172">
        <v>10000</v>
      </c>
      <c r="J58" s="172">
        <v>2</v>
      </c>
      <c r="K58" s="190">
        <f>IF($J58=1,INDEX('큐펫&amp;몹 정리(최신)'!P:P,MATCH($E58,'큐펫&amp;몹 정리(최신)'!$B:$B,0))*20,IF($J58=2,INDEX('큐펫&amp;몹 정리(최신)'!P:P,MATCH($E58,'큐펫&amp;몹 정리(최신)'!$B:$B,0))*25,IF($J58=3,INDEX('큐펫&amp;몹 정리(최신)'!P:P,MATCH($E58,'큐펫&amp;몹 정리(최신)'!$B:$B,0))*30,IF($J58=4,INDEX('큐펫&amp;몹 정리(최신)'!P:P,MATCH($E58,'큐펫&amp;몹 정리(최신)'!$B:$B,0))*35,INDEX('큐펫&amp;몹 정리(최신)'!P:P,MATCH($E58,'큐펫&amp;몹 정리(최신)'!$B:$B,0))*40))))</f>
        <v>1050</v>
      </c>
      <c r="L58" s="190">
        <f>IF($J58=1,INDEX('큐펫&amp;몹 정리(최신)'!Q:Q,MATCH($E58,'큐펫&amp;몹 정리(최신)'!$B:$B,0))*20,IF($J58=2,INDEX('큐펫&amp;몹 정리(최신)'!Q:Q,MATCH($E58,'큐펫&amp;몹 정리(최신)'!$B:$B,0))*25,IF($J58=3,INDEX('큐펫&amp;몹 정리(최신)'!Q:Q,MATCH($E58,'큐펫&amp;몹 정리(최신)'!$B:$B,0))*30,IF($J58=4,INDEX('큐펫&amp;몹 정리(최신)'!Q:Q,MATCH($E58,'큐펫&amp;몹 정리(최신)'!$B:$B,0))*35,INDEX('큐펫&amp;몹 정리(최신)'!Q:Q,MATCH($E58,'큐펫&amp;몹 정리(최신)'!$B:$B,0))*40))))</f>
        <v>100</v>
      </c>
      <c r="M58" s="190">
        <f>IF($J58=1,INDEX('큐펫&amp;몹 정리(최신)'!R:R,MATCH($E58,'큐펫&amp;몹 정리(최신)'!$B:$B,0))*20,IF($J58=2,INDEX('큐펫&amp;몹 정리(최신)'!R:R,MATCH($E58,'큐펫&amp;몹 정리(최신)'!$B:$B,0))*25,IF($J58=3,INDEX('큐펫&amp;몹 정리(최신)'!R:R,MATCH($E58,'큐펫&amp;몹 정리(최신)'!$B:$B,0))*30,IF($J58=4,INDEX('큐펫&amp;몹 정리(최신)'!R:R,MATCH($E58,'큐펫&amp;몹 정리(최신)'!$B:$B,0))*35,INDEX('큐펫&amp;몹 정리(최신)'!R:R,MATCH($E58,'큐펫&amp;몹 정리(최신)'!$B:$B,0))*40))))</f>
        <v>300</v>
      </c>
      <c r="N58" s="190">
        <f>IF($J58=1,INDEX('큐펫&amp;몹 정리(최신)'!S:S,MATCH($E58,'큐펫&amp;몹 정리(최신)'!$B:$B,0))*20,IF($J58=2,INDEX('큐펫&amp;몹 정리(최신)'!S:S,MATCH($E58,'큐펫&amp;몹 정리(최신)'!$B:$B,0))*25,IF($J58=3,INDEX('큐펫&amp;몹 정리(최신)'!S:S,MATCH($E58,'큐펫&amp;몹 정리(최신)'!$B:$B,0))*30,IF($J58=4,INDEX('큐펫&amp;몹 정리(최신)'!S:S,MATCH($E58,'큐펫&amp;몹 정리(최신)'!$B:$B,0))*35,INDEX('큐펫&amp;몹 정리(최신)'!S:S,MATCH($E58,'큐펫&amp;몹 정리(최신)'!$B:$B,0))*40))))</f>
        <v>500</v>
      </c>
      <c r="O58" s="190">
        <f>IF($J58=1,INDEX('큐펫&amp;몹 정리(최신)'!T:T,MATCH($E58,'큐펫&amp;몹 정리(최신)'!$B:$B,0))*20,IF($J58=2,INDEX('큐펫&amp;몹 정리(최신)'!T:T,MATCH($E58,'큐펫&amp;몹 정리(최신)'!$B:$B,0))*25,IF($J58=3,INDEX('큐펫&amp;몹 정리(최신)'!T:T,MATCH($E58,'큐펫&amp;몹 정리(최신)'!$B:$B,0))*30,IF($J58=4,INDEX('큐펫&amp;몹 정리(최신)'!T:T,MATCH($E58,'큐펫&amp;몹 정리(최신)'!$B:$B,0))*35,INDEX('큐펫&amp;몹 정리(최신)'!T:T,MATCH($E58,'큐펫&amp;몹 정리(최신)'!$B:$B,0))*40))))</f>
        <v>550</v>
      </c>
      <c r="P58" s="217">
        <v>40</v>
      </c>
      <c r="Q58" s="217">
        <f t="shared" si="0"/>
        <v>65680</v>
      </c>
      <c r="R58" s="217">
        <f t="shared" si="1"/>
        <v>517</v>
      </c>
      <c r="S58" s="217">
        <f t="shared" si="2"/>
        <v>658</v>
      </c>
      <c r="T58" s="217">
        <f t="shared" si="3"/>
        <v>7939</v>
      </c>
      <c r="U58" s="217">
        <f t="shared" si="4"/>
        <v>21009</v>
      </c>
      <c r="V58" s="217">
        <f t="shared" si="5"/>
        <v>11601</v>
      </c>
      <c r="W58" s="217">
        <f>ROUND(AC58+(INDEX(Ref!B$1:B$9,MATCH($AI58,Ref!$A$1:$A$9,0))*P58*0.0001),)</f>
        <v>21</v>
      </c>
      <c r="X58" s="217">
        <f>ROUND(AD58+(INDEX(Ref!C$1:C$9,MATCH($AI58,Ref!$A$1:$A$9,0))*$P58*0.0001),)</f>
        <v>40</v>
      </c>
      <c r="Y58" s="217">
        <f>ROUND(AE58+(INDEX(Ref!D$1:D$9,MATCH($AI58,Ref!$A$1:$A$9,0))*$P58*0.0001),)</f>
        <v>44</v>
      </c>
      <c r="Z58" s="217">
        <f>ROUND(AF58+(INDEX(Ref!E$1:E$9,MATCH($AI58,Ref!$A$1:$A$9,0))*$P58*0.0001),)</f>
        <v>51</v>
      </c>
      <c r="AA58" s="217">
        <f>ROUND(AG58+(INDEX(Ref!F$1:F$9,MATCH($AI58,Ref!$A$1:$A$9,0))*$P58*0.0001),)</f>
        <v>24</v>
      </c>
      <c r="AB58" s="217">
        <f>ROUND(AH58+(INDEX(Ref!G$1:G$9,MATCH($AI58,Ref!$A$1:$A$9,0))*$P58*0.0001),)</f>
        <v>44</v>
      </c>
      <c r="AC58" s="137">
        <v>17</v>
      </c>
      <c r="AD58" s="137">
        <v>32</v>
      </c>
      <c r="AE58" s="137">
        <v>39</v>
      </c>
      <c r="AF58" s="137">
        <v>41</v>
      </c>
      <c r="AG58" s="137">
        <v>19</v>
      </c>
      <c r="AH58" s="137">
        <v>36</v>
      </c>
      <c r="AI58" s="208">
        <v>6</v>
      </c>
      <c r="AJ58" s="172">
        <v>3000</v>
      </c>
      <c r="AK58" s="172">
        <v>30068</v>
      </c>
      <c r="AL58" s="172">
        <v>2000</v>
      </c>
      <c r="AM58" s="172">
        <v>30070</v>
      </c>
      <c r="AN58" s="172">
        <v>0</v>
      </c>
      <c r="AO58" s="172">
        <f t="shared" si="6"/>
        <v>34068</v>
      </c>
      <c r="AP58" s="172">
        <v>0</v>
      </c>
      <c r="AQ58" s="172">
        <f t="shared" si="7"/>
        <v>34070</v>
      </c>
      <c r="AR58" s="172">
        <v>1</v>
      </c>
      <c r="AS58" s="172">
        <v>0</v>
      </c>
      <c r="AT58" s="199">
        <v>78012</v>
      </c>
      <c r="AU58" s="195" t="s">
        <v>114</v>
      </c>
    </row>
    <row r="59" spans="1:55" x14ac:dyDescent="0.2">
      <c r="A59" s="173">
        <v>55012</v>
      </c>
      <c r="B59" s="172" t="s">
        <v>115</v>
      </c>
      <c r="C59" s="172">
        <v>86012</v>
      </c>
      <c r="D59" s="172">
        <v>150012</v>
      </c>
      <c r="E59" s="206" t="s">
        <v>113</v>
      </c>
      <c r="F59" s="207">
        <v>2</v>
      </c>
      <c r="G59" s="172">
        <v>13000</v>
      </c>
      <c r="H59" s="172">
        <v>9000</v>
      </c>
      <c r="I59" s="172">
        <v>10000</v>
      </c>
      <c r="J59" s="172">
        <v>3</v>
      </c>
      <c r="K59" s="190">
        <f>IF($J59=1,INDEX('큐펫&amp;몹 정리(최신)'!P:P,MATCH($E59,'큐펫&amp;몹 정리(최신)'!$B:$B,0))*20,IF($J59=2,INDEX('큐펫&amp;몹 정리(최신)'!P:P,MATCH($E59,'큐펫&amp;몹 정리(최신)'!$B:$B,0))*25,IF($J59=3,INDEX('큐펫&amp;몹 정리(최신)'!P:P,MATCH($E59,'큐펫&amp;몹 정리(최신)'!$B:$B,0))*30,IF($J59=4,INDEX('큐펫&amp;몹 정리(최신)'!P:P,MATCH($E59,'큐펫&amp;몹 정리(최신)'!$B:$B,0))*35,INDEX('큐펫&amp;몹 정리(최신)'!P:P,MATCH($E59,'큐펫&amp;몹 정리(최신)'!$B:$B,0))*40))))</f>
        <v>1260</v>
      </c>
      <c r="L59" s="190">
        <f>IF($J59=1,INDEX('큐펫&amp;몹 정리(최신)'!Q:Q,MATCH($E59,'큐펫&amp;몹 정리(최신)'!$B:$B,0))*20,IF($J59=2,INDEX('큐펫&amp;몹 정리(최신)'!Q:Q,MATCH($E59,'큐펫&amp;몹 정리(최신)'!$B:$B,0))*25,IF($J59=3,INDEX('큐펫&amp;몹 정리(최신)'!Q:Q,MATCH($E59,'큐펫&amp;몹 정리(최신)'!$B:$B,0))*30,IF($J59=4,INDEX('큐펫&amp;몹 정리(최신)'!Q:Q,MATCH($E59,'큐펫&amp;몹 정리(최신)'!$B:$B,0))*35,INDEX('큐펫&amp;몹 정리(최신)'!Q:Q,MATCH($E59,'큐펫&amp;몹 정리(최신)'!$B:$B,0))*40))))</f>
        <v>120</v>
      </c>
      <c r="M59" s="190">
        <f>IF($J59=1,INDEX('큐펫&amp;몹 정리(최신)'!R:R,MATCH($E59,'큐펫&amp;몹 정리(최신)'!$B:$B,0))*20,IF($J59=2,INDEX('큐펫&amp;몹 정리(최신)'!R:R,MATCH($E59,'큐펫&amp;몹 정리(최신)'!$B:$B,0))*25,IF($J59=3,INDEX('큐펫&amp;몹 정리(최신)'!R:R,MATCH($E59,'큐펫&amp;몹 정리(최신)'!$B:$B,0))*30,IF($J59=4,INDEX('큐펫&amp;몹 정리(최신)'!R:R,MATCH($E59,'큐펫&amp;몹 정리(최신)'!$B:$B,0))*35,INDEX('큐펫&amp;몹 정리(최신)'!R:R,MATCH($E59,'큐펫&amp;몹 정리(최신)'!$B:$B,0))*40))))</f>
        <v>360</v>
      </c>
      <c r="N59" s="190">
        <f>IF($J59=1,INDEX('큐펫&amp;몹 정리(최신)'!S:S,MATCH($E59,'큐펫&amp;몹 정리(최신)'!$B:$B,0))*20,IF($J59=2,INDEX('큐펫&amp;몹 정리(최신)'!S:S,MATCH($E59,'큐펫&amp;몹 정리(최신)'!$B:$B,0))*25,IF($J59=3,INDEX('큐펫&amp;몹 정리(최신)'!S:S,MATCH($E59,'큐펫&amp;몹 정리(최신)'!$B:$B,0))*30,IF($J59=4,INDEX('큐펫&amp;몹 정리(최신)'!S:S,MATCH($E59,'큐펫&amp;몹 정리(최신)'!$B:$B,0))*35,INDEX('큐펫&amp;몹 정리(최신)'!S:S,MATCH($E59,'큐펫&amp;몹 정리(최신)'!$B:$B,0))*40))))</f>
        <v>600</v>
      </c>
      <c r="O59" s="190">
        <f>IF($J59=1,INDEX('큐펫&amp;몹 정리(최신)'!T:T,MATCH($E59,'큐펫&amp;몹 정리(최신)'!$B:$B,0))*20,IF($J59=2,INDEX('큐펫&amp;몹 정리(최신)'!T:T,MATCH($E59,'큐펫&amp;몹 정리(최신)'!$B:$B,0))*25,IF($J59=3,INDEX('큐펫&amp;몹 정리(최신)'!T:T,MATCH($E59,'큐펫&amp;몹 정리(최신)'!$B:$B,0))*30,IF($J59=4,INDEX('큐펫&amp;몹 정리(최신)'!T:T,MATCH($E59,'큐펫&amp;몹 정리(최신)'!$B:$B,0))*35,INDEX('큐펫&amp;몹 정리(최신)'!T:T,MATCH($E59,'큐펫&amp;몹 정리(최신)'!$B:$B,0))*40))))</f>
        <v>660</v>
      </c>
      <c r="P59" s="217">
        <v>60</v>
      </c>
      <c r="Q59" s="217">
        <f t="shared" si="0"/>
        <v>119700</v>
      </c>
      <c r="R59" s="217">
        <f t="shared" si="1"/>
        <v>910</v>
      </c>
      <c r="S59" s="217">
        <f t="shared" si="2"/>
        <v>1043</v>
      </c>
      <c r="T59" s="217">
        <f t="shared" si="3"/>
        <v>13126</v>
      </c>
      <c r="U59" s="217">
        <f t="shared" si="4"/>
        <v>33010</v>
      </c>
      <c r="V59" s="217">
        <f t="shared" si="5"/>
        <v>18210</v>
      </c>
      <c r="W59" s="217">
        <f>ROUND(AC59+(INDEX(Ref!B$1:B$9,MATCH($AI59,Ref!$A$1:$A$9,0))*P59*0.0001),)</f>
        <v>26</v>
      </c>
      <c r="X59" s="217">
        <f>ROUND(AD59+(INDEX(Ref!C$1:C$9,MATCH($AI59,Ref!$A$1:$A$9,0))*$P59*0.0001),)</f>
        <v>47</v>
      </c>
      <c r="Y59" s="217">
        <f>ROUND(AE59+(INDEX(Ref!D$1:D$9,MATCH($AI59,Ref!$A$1:$A$9,0))*$P59*0.0001),)</f>
        <v>50</v>
      </c>
      <c r="Z59" s="217">
        <f>ROUND(AF59+(INDEX(Ref!E$1:E$9,MATCH($AI59,Ref!$A$1:$A$9,0))*$P59*0.0001),)</f>
        <v>60</v>
      </c>
      <c r="AA59" s="217">
        <f>ROUND(AG59+(INDEX(Ref!F$1:F$9,MATCH($AI59,Ref!$A$1:$A$9,0))*$P59*0.0001),)</f>
        <v>28</v>
      </c>
      <c r="AB59" s="217">
        <f>ROUND(AH59+(INDEX(Ref!G$1:G$9,MATCH($AI59,Ref!$A$1:$A$9,0))*$P59*0.0001),)</f>
        <v>53</v>
      </c>
      <c r="AC59" s="137">
        <v>19</v>
      </c>
      <c r="AD59" s="137">
        <v>36</v>
      </c>
      <c r="AE59" s="137">
        <v>42</v>
      </c>
      <c r="AF59" s="137">
        <v>46</v>
      </c>
      <c r="AG59" s="137">
        <v>21</v>
      </c>
      <c r="AH59" s="137">
        <v>40</v>
      </c>
      <c r="AI59" s="208">
        <v>6</v>
      </c>
      <c r="AJ59" s="172">
        <v>3000</v>
      </c>
      <c r="AK59" s="172">
        <v>30068</v>
      </c>
      <c r="AL59" s="172">
        <v>2000</v>
      </c>
      <c r="AM59" s="172">
        <v>30071</v>
      </c>
      <c r="AN59" s="172">
        <v>0</v>
      </c>
      <c r="AO59" s="172">
        <f t="shared" si="6"/>
        <v>34068</v>
      </c>
      <c r="AP59" s="172">
        <v>0</v>
      </c>
      <c r="AQ59" s="172">
        <f t="shared" si="7"/>
        <v>34071</v>
      </c>
      <c r="AR59" s="172">
        <v>1</v>
      </c>
      <c r="AS59" s="172">
        <v>0</v>
      </c>
      <c r="AT59" s="199">
        <v>78012</v>
      </c>
      <c r="AU59" s="195" t="s">
        <v>114</v>
      </c>
    </row>
    <row r="60" spans="1:55" x14ac:dyDescent="0.2">
      <c r="A60" s="173">
        <v>55012</v>
      </c>
      <c r="B60" s="172" t="s">
        <v>115</v>
      </c>
      <c r="C60" s="172">
        <v>86012</v>
      </c>
      <c r="D60" s="172">
        <v>150012</v>
      </c>
      <c r="E60" s="206" t="s">
        <v>113</v>
      </c>
      <c r="F60" s="207">
        <v>2</v>
      </c>
      <c r="G60" s="172">
        <v>13000</v>
      </c>
      <c r="H60" s="172">
        <v>9000</v>
      </c>
      <c r="I60" s="172">
        <v>10000</v>
      </c>
      <c r="J60" s="172">
        <v>4</v>
      </c>
      <c r="K60" s="190">
        <f>IF($J60=1,INDEX('큐펫&amp;몹 정리(최신)'!P:P,MATCH($E60,'큐펫&amp;몹 정리(최신)'!$B:$B,0))*20,IF($J60=2,INDEX('큐펫&amp;몹 정리(최신)'!P:P,MATCH($E60,'큐펫&amp;몹 정리(최신)'!$B:$B,0))*25,IF($J60=3,INDEX('큐펫&amp;몹 정리(최신)'!P:P,MATCH($E60,'큐펫&amp;몹 정리(최신)'!$B:$B,0))*30,IF($J60=4,INDEX('큐펫&amp;몹 정리(최신)'!P:P,MATCH($E60,'큐펫&amp;몹 정리(최신)'!$B:$B,0))*35,INDEX('큐펫&amp;몹 정리(최신)'!P:P,MATCH($E60,'큐펫&amp;몹 정리(최신)'!$B:$B,0))*40))))</f>
        <v>1470</v>
      </c>
      <c r="L60" s="190">
        <f>IF($J60=1,INDEX('큐펫&amp;몹 정리(최신)'!Q:Q,MATCH($E60,'큐펫&amp;몹 정리(최신)'!$B:$B,0))*20,IF($J60=2,INDEX('큐펫&amp;몹 정리(최신)'!Q:Q,MATCH($E60,'큐펫&amp;몹 정리(최신)'!$B:$B,0))*25,IF($J60=3,INDEX('큐펫&amp;몹 정리(최신)'!Q:Q,MATCH($E60,'큐펫&amp;몹 정리(최신)'!$B:$B,0))*30,IF($J60=4,INDEX('큐펫&amp;몹 정리(최신)'!Q:Q,MATCH($E60,'큐펫&amp;몹 정리(최신)'!$B:$B,0))*35,INDEX('큐펫&amp;몹 정리(최신)'!Q:Q,MATCH($E60,'큐펫&amp;몹 정리(최신)'!$B:$B,0))*40))))</f>
        <v>140</v>
      </c>
      <c r="M60" s="190">
        <f>IF($J60=1,INDEX('큐펫&amp;몹 정리(최신)'!R:R,MATCH($E60,'큐펫&amp;몹 정리(최신)'!$B:$B,0))*20,IF($J60=2,INDEX('큐펫&amp;몹 정리(최신)'!R:R,MATCH($E60,'큐펫&amp;몹 정리(최신)'!$B:$B,0))*25,IF($J60=3,INDEX('큐펫&amp;몹 정리(최신)'!R:R,MATCH($E60,'큐펫&amp;몹 정리(최신)'!$B:$B,0))*30,IF($J60=4,INDEX('큐펫&amp;몹 정리(최신)'!R:R,MATCH($E60,'큐펫&amp;몹 정리(최신)'!$B:$B,0))*35,INDEX('큐펫&amp;몹 정리(최신)'!R:R,MATCH($E60,'큐펫&amp;몹 정리(최신)'!$B:$B,0))*40))))</f>
        <v>420</v>
      </c>
      <c r="N60" s="190">
        <f>IF($J60=1,INDEX('큐펫&amp;몹 정리(최신)'!S:S,MATCH($E60,'큐펫&amp;몹 정리(최신)'!$B:$B,0))*20,IF($J60=2,INDEX('큐펫&amp;몹 정리(최신)'!S:S,MATCH($E60,'큐펫&amp;몹 정리(최신)'!$B:$B,0))*25,IF($J60=3,INDEX('큐펫&amp;몹 정리(최신)'!S:S,MATCH($E60,'큐펫&amp;몹 정리(최신)'!$B:$B,0))*30,IF($J60=4,INDEX('큐펫&amp;몹 정리(최신)'!S:S,MATCH($E60,'큐펫&amp;몹 정리(최신)'!$B:$B,0))*35,INDEX('큐펫&amp;몹 정리(최신)'!S:S,MATCH($E60,'큐펫&amp;몹 정리(최신)'!$B:$B,0))*40))))</f>
        <v>700</v>
      </c>
      <c r="O60" s="190">
        <f>IF($J60=1,INDEX('큐펫&amp;몹 정리(최신)'!T:T,MATCH($E60,'큐펫&amp;몹 정리(최신)'!$B:$B,0))*20,IF($J60=2,INDEX('큐펫&amp;몹 정리(최신)'!T:T,MATCH($E60,'큐펫&amp;몹 정리(최신)'!$B:$B,0))*25,IF($J60=3,INDEX('큐펫&amp;몹 정리(최신)'!T:T,MATCH($E60,'큐펫&amp;몹 정리(최신)'!$B:$B,0))*30,IF($J60=4,INDEX('큐펫&amp;몹 정리(최신)'!T:T,MATCH($E60,'큐펫&amp;몹 정리(최신)'!$B:$B,0))*35,INDEX('큐펫&amp;몹 정리(최신)'!T:T,MATCH($E60,'큐펫&amp;몹 정리(최신)'!$B:$B,0))*40))))</f>
        <v>770</v>
      </c>
      <c r="P60" s="217">
        <v>80</v>
      </c>
      <c r="Q60" s="217">
        <f t="shared" si="0"/>
        <v>188404</v>
      </c>
      <c r="R60" s="217">
        <f t="shared" si="1"/>
        <v>1468</v>
      </c>
      <c r="S60" s="217">
        <f t="shared" si="2"/>
        <v>1746</v>
      </c>
      <c r="T60" s="217">
        <f t="shared" si="3"/>
        <v>20779</v>
      </c>
      <c r="U60" s="217">
        <f t="shared" si="4"/>
        <v>46912</v>
      </c>
      <c r="V60" s="217">
        <f t="shared" si="5"/>
        <v>25865</v>
      </c>
      <c r="W60" s="217">
        <f>ROUND(AC60+(INDEX(Ref!B$1:B$9,MATCH($AI60,Ref!$A$1:$A$9,0))*P60*0.0001),)</f>
        <v>31</v>
      </c>
      <c r="X60" s="217">
        <f>ROUND(AD60+(INDEX(Ref!C$1:C$9,MATCH($AI60,Ref!$A$1:$A$9,0))*$P60*0.0001),)</f>
        <v>54</v>
      </c>
      <c r="Y60" s="217">
        <f>ROUND(AE60+(INDEX(Ref!D$1:D$9,MATCH($AI60,Ref!$A$1:$A$9,0))*$P60*0.0001),)</f>
        <v>54</v>
      </c>
      <c r="Z60" s="217">
        <f>ROUND(AF60+(INDEX(Ref!E$1:E$9,MATCH($AI60,Ref!$A$1:$A$9,0))*$P60*0.0001),)</f>
        <v>70</v>
      </c>
      <c r="AA60" s="217">
        <f>ROUND(AG60+(INDEX(Ref!F$1:F$9,MATCH($AI60,Ref!$A$1:$A$9,0))*$P60*0.0001),)</f>
        <v>34</v>
      </c>
      <c r="AB60" s="217">
        <f>ROUND(AH60+(INDEX(Ref!G$1:G$9,MATCH($AI60,Ref!$A$1:$A$9,0))*$P60*0.0001),)</f>
        <v>61</v>
      </c>
      <c r="AC60" s="137">
        <v>22</v>
      </c>
      <c r="AD60" s="137">
        <v>39</v>
      </c>
      <c r="AE60" s="137">
        <v>44</v>
      </c>
      <c r="AF60" s="137">
        <v>51</v>
      </c>
      <c r="AG60" s="137">
        <v>24</v>
      </c>
      <c r="AH60" s="137">
        <v>44</v>
      </c>
      <c r="AI60" s="208">
        <v>6</v>
      </c>
      <c r="AJ60" s="172">
        <v>3000</v>
      </c>
      <c r="AK60" s="172">
        <v>30069</v>
      </c>
      <c r="AL60" s="172">
        <v>2000</v>
      </c>
      <c r="AM60" s="172">
        <v>30071</v>
      </c>
      <c r="AN60" s="172">
        <v>0</v>
      </c>
      <c r="AO60" s="172">
        <f t="shared" si="6"/>
        <v>34069</v>
      </c>
      <c r="AP60" s="172">
        <v>0</v>
      </c>
      <c r="AQ60" s="172">
        <f t="shared" si="7"/>
        <v>34071</v>
      </c>
      <c r="AR60" s="172">
        <v>1</v>
      </c>
      <c r="AS60" s="172">
        <v>0</v>
      </c>
      <c r="AT60" s="199">
        <v>78012</v>
      </c>
      <c r="AU60" s="195" t="s">
        <v>114</v>
      </c>
    </row>
    <row r="61" spans="1:55" x14ac:dyDescent="0.2">
      <c r="A61" s="173">
        <v>55012</v>
      </c>
      <c r="B61" s="172" t="s">
        <v>115</v>
      </c>
      <c r="C61" s="172">
        <v>86012</v>
      </c>
      <c r="D61" s="172">
        <v>150012</v>
      </c>
      <c r="E61" s="206" t="s">
        <v>113</v>
      </c>
      <c r="F61" s="207">
        <v>2</v>
      </c>
      <c r="G61" s="172">
        <v>13000</v>
      </c>
      <c r="H61" s="172">
        <v>9000</v>
      </c>
      <c r="I61" s="172">
        <v>10000</v>
      </c>
      <c r="J61" s="172">
        <v>5</v>
      </c>
      <c r="K61" s="190">
        <f>IF($J61=1,INDEX('큐펫&amp;몹 정리(최신)'!P:P,MATCH($E61,'큐펫&amp;몹 정리(최신)'!$B:$B,0))*20,IF($J61=2,INDEX('큐펫&amp;몹 정리(최신)'!P:P,MATCH($E61,'큐펫&amp;몹 정리(최신)'!$B:$B,0))*25,IF($J61=3,INDEX('큐펫&amp;몹 정리(최신)'!P:P,MATCH($E61,'큐펫&amp;몹 정리(최신)'!$B:$B,0))*30,IF($J61=4,INDEX('큐펫&amp;몹 정리(최신)'!P:P,MATCH($E61,'큐펫&amp;몹 정리(최신)'!$B:$B,0))*35,INDEX('큐펫&amp;몹 정리(최신)'!P:P,MATCH($E61,'큐펫&amp;몹 정리(최신)'!$B:$B,0))*40))))</f>
        <v>1680</v>
      </c>
      <c r="L61" s="190">
        <f>IF($J61=1,INDEX('큐펫&amp;몹 정리(최신)'!Q:Q,MATCH($E61,'큐펫&amp;몹 정리(최신)'!$B:$B,0))*20,IF($J61=2,INDEX('큐펫&amp;몹 정리(최신)'!Q:Q,MATCH($E61,'큐펫&amp;몹 정리(최신)'!$B:$B,0))*25,IF($J61=3,INDEX('큐펫&amp;몹 정리(최신)'!Q:Q,MATCH($E61,'큐펫&amp;몹 정리(최신)'!$B:$B,0))*30,IF($J61=4,INDEX('큐펫&amp;몹 정리(최신)'!Q:Q,MATCH($E61,'큐펫&amp;몹 정리(최신)'!$B:$B,0))*35,INDEX('큐펫&amp;몹 정리(최신)'!Q:Q,MATCH($E61,'큐펫&amp;몹 정리(최신)'!$B:$B,0))*40))))</f>
        <v>160</v>
      </c>
      <c r="M61" s="190">
        <f>IF($J61=1,INDEX('큐펫&amp;몹 정리(최신)'!R:R,MATCH($E61,'큐펫&amp;몹 정리(최신)'!$B:$B,0))*20,IF($J61=2,INDEX('큐펫&amp;몹 정리(최신)'!R:R,MATCH($E61,'큐펫&amp;몹 정리(최신)'!$B:$B,0))*25,IF($J61=3,INDEX('큐펫&amp;몹 정리(최신)'!R:R,MATCH($E61,'큐펫&amp;몹 정리(최신)'!$B:$B,0))*30,IF($J61=4,INDEX('큐펫&amp;몹 정리(최신)'!R:R,MATCH($E61,'큐펫&amp;몹 정리(최신)'!$B:$B,0))*35,INDEX('큐펫&amp;몹 정리(최신)'!R:R,MATCH($E61,'큐펫&amp;몹 정리(최신)'!$B:$B,0))*40))))</f>
        <v>480</v>
      </c>
      <c r="N61" s="190">
        <f>IF($J61=1,INDEX('큐펫&amp;몹 정리(최신)'!S:S,MATCH($E61,'큐펫&amp;몹 정리(최신)'!$B:$B,0))*20,IF($J61=2,INDEX('큐펫&amp;몹 정리(최신)'!S:S,MATCH($E61,'큐펫&amp;몹 정리(최신)'!$B:$B,0))*25,IF($J61=3,INDEX('큐펫&amp;몹 정리(최신)'!S:S,MATCH($E61,'큐펫&amp;몹 정리(최신)'!$B:$B,0))*30,IF($J61=4,INDEX('큐펫&amp;몹 정리(최신)'!S:S,MATCH($E61,'큐펫&amp;몹 정리(최신)'!$B:$B,0))*35,INDEX('큐펫&amp;몹 정리(최신)'!S:S,MATCH($E61,'큐펫&amp;몹 정리(최신)'!$B:$B,0))*40))))</f>
        <v>800</v>
      </c>
      <c r="O61" s="190">
        <f>IF($J61=1,INDEX('큐펫&amp;몹 정리(최신)'!T:T,MATCH($E61,'큐펫&amp;몹 정리(최신)'!$B:$B,0))*20,IF($J61=2,INDEX('큐펫&amp;몹 정리(최신)'!T:T,MATCH($E61,'큐펫&amp;몹 정리(최신)'!$B:$B,0))*25,IF($J61=3,INDEX('큐펫&amp;몹 정리(최신)'!T:T,MATCH($E61,'큐펫&amp;몹 정리(최신)'!$B:$B,0))*30,IF($J61=4,INDEX('큐펫&amp;몹 정리(최신)'!T:T,MATCH($E61,'큐펫&amp;몹 정리(최신)'!$B:$B,0))*35,INDEX('큐펫&amp;몹 정리(최신)'!T:T,MATCH($E61,'큐펫&amp;몹 정리(최신)'!$B:$B,0))*40))))</f>
        <v>880</v>
      </c>
      <c r="P61" s="217">
        <v>100</v>
      </c>
      <c r="Q61" s="217">
        <f t="shared" si="0"/>
        <v>277200</v>
      </c>
      <c r="R61" s="217">
        <f t="shared" si="1"/>
        <v>2103</v>
      </c>
      <c r="S61" s="217">
        <f t="shared" si="2"/>
        <v>2458</v>
      </c>
      <c r="T61" s="217">
        <f t="shared" si="3"/>
        <v>30952</v>
      </c>
      <c r="U61" s="217">
        <f t="shared" si="4"/>
        <v>64014</v>
      </c>
      <c r="V61" s="217">
        <f t="shared" si="5"/>
        <v>35280</v>
      </c>
      <c r="W61" s="217">
        <f>ROUND(AC61+(INDEX(Ref!B$1:B$9,MATCH($AI61,Ref!$A$1:$A$9,0))*P61*0.0001),)</f>
        <v>35</v>
      </c>
      <c r="X61" s="217">
        <f>ROUND(AD61+(INDEX(Ref!C$1:C$9,MATCH($AI61,Ref!$A$1:$A$9,0))*$P61*0.0001),)</f>
        <v>62</v>
      </c>
      <c r="Y61" s="217">
        <f>ROUND(AE61+(INDEX(Ref!D$1:D$9,MATCH($AI61,Ref!$A$1:$A$9,0))*$P61*0.0001),)</f>
        <v>60</v>
      </c>
      <c r="Z61" s="217">
        <f>ROUND(AF61+(INDEX(Ref!E$1:E$9,MATCH($AI61,Ref!$A$1:$A$9,0))*$P61*0.0001),)</f>
        <v>80</v>
      </c>
      <c r="AA61" s="217">
        <f>ROUND(AG61+(INDEX(Ref!F$1:F$9,MATCH($AI61,Ref!$A$1:$A$9,0))*$P61*0.0001),)</f>
        <v>38</v>
      </c>
      <c r="AB61" s="217">
        <f>ROUND(AH61+(INDEX(Ref!G$1:G$9,MATCH($AI61,Ref!$A$1:$A$9,0))*$P61*0.0001),)</f>
        <v>69</v>
      </c>
      <c r="AC61" s="137">
        <v>24</v>
      </c>
      <c r="AD61" s="137">
        <v>43</v>
      </c>
      <c r="AE61" s="137">
        <v>47</v>
      </c>
      <c r="AF61" s="137">
        <v>56</v>
      </c>
      <c r="AG61" s="137">
        <v>26</v>
      </c>
      <c r="AH61" s="137">
        <v>48</v>
      </c>
      <c r="AI61" s="208">
        <v>6</v>
      </c>
      <c r="AJ61" s="172">
        <v>3000</v>
      </c>
      <c r="AK61" s="172">
        <v>30069</v>
      </c>
      <c r="AL61" s="172">
        <v>2000</v>
      </c>
      <c r="AM61" s="172">
        <v>30072</v>
      </c>
      <c r="AN61" s="172">
        <v>0</v>
      </c>
      <c r="AO61" s="172">
        <f t="shared" si="6"/>
        <v>34069</v>
      </c>
      <c r="AP61" s="172">
        <v>0</v>
      </c>
      <c r="AQ61" s="172">
        <f t="shared" si="7"/>
        <v>34072</v>
      </c>
      <c r="AR61" s="172">
        <v>1</v>
      </c>
      <c r="AS61" s="172">
        <v>0</v>
      </c>
      <c r="AT61" s="199">
        <v>78012</v>
      </c>
      <c r="AU61" s="195" t="s">
        <v>114</v>
      </c>
    </row>
    <row r="62" spans="1:55" x14ac:dyDescent="0.2">
      <c r="A62" s="173">
        <v>55013</v>
      </c>
      <c r="B62" s="174" t="s">
        <v>116</v>
      </c>
      <c r="C62" s="172">
        <v>86013</v>
      </c>
      <c r="D62" s="172">
        <v>150013</v>
      </c>
      <c r="E62" s="206" t="s">
        <v>117</v>
      </c>
      <c r="F62" s="207">
        <v>5</v>
      </c>
      <c r="G62" s="172">
        <v>8500</v>
      </c>
      <c r="H62" s="172">
        <v>8500</v>
      </c>
      <c r="I62" s="172">
        <v>10000</v>
      </c>
      <c r="J62" s="172">
        <v>1</v>
      </c>
      <c r="K62" s="190">
        <f>IF($J62=1,INDEX('큐펫&amp;몹 정리(최신)'!P:P,MATCH($E62,'큐펫&amp;몹 정리(최신)'!$B:$B,0))*20,IF($J62=2,INDEX('큐펫&amp;몹 정리(최신)'!P:P,MATCH($E62,'큐펫&amp;몹 정리(최신)'!$B:$B,0))*25,IF($J62=3,INDEX('큐펫&amp;몹 정리(최신)'!P:P,MATCH($E62,'큐펫&amp;몹 정리(최신)'!$B:$B,0))*30,IF($J62=4,INDEX('큐펫&amp;몹 정리(최신)'!P:P,MATCH($E62,'큐펫&amp;몹 정리(최신)'!$B:$B,0))*35,INDEX('큐펫&amp;몹 정리(최신)'!P:P,MATCH($E62,'큐펫&amp;몹 정리(최신)'!$B:$B,0))*40))))</f>
        <v>900</v>
      </c>
      <c r="L62" s="190">
        <f>IF($J62=1,INDEX('큐펫&amp;몹 정리(최신)'!Q:Q,MATCH($E62,'큐펫&amp;몹 정리(최신)'!$B:$B,0))*20,IF($J62=2,INDEX('큐펫&amp;몹 정리(최신)'!Q:Q,MATCH($E62,'큐펫&amp;몹 정리(최신)'!$B:$B,0))*25,IF($J62=3,INDEX('큐펫&amp;몹 정리(최신)'!Q:Q,MATCH($E62,'큐펫&amp;몹 정리(최신)'!$B:$B,0))*30,IF($J62=4,INDEX('큐펫&amp;몹 정리(최신)'!Q:Q,MATCH($E62,'큐펫&amp;몹 정리(최신)'!$B:$B,0))*35,INDEX('큐펫&amp;몹 정리(최신)'!Q:Q,MATCH($E62,'큐펫&amp;몹 정리(최신)'!$B:$B,0))*40))))</f>
        <v>300</v>
      </c>
      <c r="M62" s="190">
        <f>IF($J62=1,INDEX('큐펫&amp;몹 정리(최신)'!R:R,MATCH($E62,'큐펫&amp;몹 정리(최신)'!$B:$B,0))*20,IF($J62=2,INDEX('큐펫&amp;몹 정리(최신)'!R:R,MATCH($E62,'큐펫&amp;몹 정리(최신)'!$B:$B,0))*25,IF($J62=3,INDEX('큐펫&amp;몹 정리(최신)'!R:R,MATCH($E62,'큐펫&amp;몹 정리(최신)'!$B:$B,0))*30,IF($J62=4,INDEX('큐펫&amp;몹 정리(최신)'!R:R,MATCH($E62,'큐펫&amp;몹 정리(최신)'!$B:$B,0))*35,INDEX('큐펫&amp;몹 정리(최신)'!R:R,MATCH($E62,'큐펫&amp;몹 정리(최신)'!$B:$B,0))*40))))</f>
        <v>80</v>
      </c>
      <c r="N62" s="190">
        <f>IF($J62=1,INDEX('큐펫&amp;몹 정리(최신)'!S:S,MATCH($E62,'큐펫&amp;몹 정리(최신)'!$B:$B,0))*20,IF($J62=2,INDEX('큐펫&amp;몹 정리(최신)'!S:S,MATCH($E62,'큐펫&amp;몹 정리(최신)'!$B:$B,0))*25,IF($J62=3,INDEX('큐펫&amp;몹 정리(최신)'!S:S,MATCH($E62,'큐펫&amp;몹 정리(최신)'!$B:$B,0))*30,IF($J62=4,INDEX('큐펫&amp;몹 정리(최신)'!S:S,MATCH($E62,'큐펫&amp;몹 정리(최신)'!$B:$B,0))*35,INDEX('큐펫&amp;몹 정리(최신)'!S:S,MATCH($E62,'큐펫&amp;몹 정리(최신)'!$B:$B,0))*40))))</f>
        <v>320</v>
      </c>
      <c r="O62" s="190">
        <f>IF($J62=1,INDEX('큐펫&amp;몹 정리(최신)'!T:T,MATCH($E62,'큐펫&amp;몹 정리(최신)'!$B:$B,0))*20,IF($J62=2,INDEX('큐펫&amp;몹 정리(최신)'!T:T,MATCH($E62,'큐펫&amp;몹 정리(최신)'!$B:$B,0))*25,IF($J62=3,INDEX('큐펫&amp;몹 정리(최신)'!T:T,MATCH($E62,'큐펫&amp;몹 정리(최신)'!$B:$B,0))*30,IF($J62=4,INDEX('큐펫&amp;몹 정리(최신)'!T:T,MATCH($E62,'큐펫&amp;몹 정리(최신)'!$B:$B,0))*35,INDEX('큐펫&amp;몹 정리(최신)'!T:T,MATCH($E62,'큐펫&amp;몹 정리(최신)'!$B:$B,0))*40))))</f>
        <v>400</v>
      </c>
      <c r="P62" s="217">
        <v>20</v>
      </c>
      <c r="Q62" s="217">
        <f t="shared" si="0"/>
        <v>30240</v>
      </c>
      <c r="R62" s="217">
        <f t="shared" si="1"/>
        <v>3559</v>
      </c>
      <c r="S62" s="217">
        <f t="shared" si="2"/>
        <v>2432</v>
      </c>
      <c r="T62" s="217">
        <f t="shared" si="3"/>
        <v>416</v>
      </c>
      <c r="U62" s="217">
        <f t="shared" si="4"/>
        <v>10090</v>
      </c>
      <c r="V62" s="217">
        <f t="shared" si="5"/>
        <v>6321</v>
      </c>
      <c r="W62" s="217">
        <f>ROUND(AC62+(INDEX(Ref!B$1:B$9,MATCH($AI62,Ref!$A$1:$A$9,0))*P62*0.0001),)</f>
        <v>34</v>
      </c>
      <c r="X62" s="217">
        <f>ROUND(AD62+(INDEX(Ref!C$1:C$9,MATCH($AI62,Ref!$A$1:$A$9,0))*$P62*0.0001),)</f>
        <v>26</v>
      </c>
      <c r="Y62" s="217">
        <f>ROUND(AE62+(INDEX(Ref!D$1:D$9,MATCH($AI62,Ref!$A$1:$A$9,0))*$P62*0.0001),)</f>
        <v>43</v>
      </c>
      <c r="Z62" s="217">
        <f>ROUND(AF62+(INDEX(Ref!E$1:E$9,MATCH($AI62,Ref!$A$1:$A$9,0))*$P62*0.0001),)</f>
        <v>21</v>
      </c>
      <c r="AA62" s="217">
        <f>ROUND(AG62+(INDEX(Ref!F$1:F$9,MATCH($AI62,Ref!$A$1:$A$9,0))*$P62*0.0001),)</f>
        <v>28</v>
      </c>
      <c r="AB62" s="217">
        <f>ROUND(AH62+(INDEX(Ref!G$1:G$9,MATCH($AI62,Ref!$A$1:$A$9,0))*$P62*0.0001),)</f>
        <v>32</v>
      </c>
      <c r="AC62" s="137">
        <v>30</v>
      </c>
      <c r="AD62" s="137">
        <v>23</v>
      </c>
      <c r="AE62" s="137">
        <v>40</v>
      </c>
      <c r="AF62" s="137">
        <v>18</v>
      </c>
      <c r="AG62" s="137">
        <v>25</v>
      </c>
      <c r="AH62" s="137">
        <v>28</v>
      </c>
      <c r="AI62" s="208">
        <v>7</v>
      </c>
      <c r="AJ62" s="172">
        <v>3000</v>
      </c>
      <c r="AK62" s="172">
        <v>30073</v>
      </c>
      <c r="AL62" s="172">
        <v>2000</v>
      </c>
      <c r="AM62" s="172">
        <v>30076</v>
      </c>
      <c r="AN62" s="172">
        <v>0</v>
      </c>
      <c r="AO62" s="172">
        <f t="shared" si="6"/>
        <v>34073</v>
      </c>
      <c r="AP62" s="172">
        <v>0</v>
      </c>
      <c r="AQ62" s="172">
        <f t="shared" si="7"/>
        <v>34076</v>
      </c>
      <c r="AR62" s="172">
        <v>1</v>
      </c>
      <c r="AS62" s="172">
        <v>0</v>
      </c>
      <c r="AT62" s="199">
        <v>78013</v>
      </c>
      <c r="AU62" s="195" t="s">
        <v>118</v>
      </c>
    </row>
    <row r="63" spans="1:55" x14ac:dyDescent="0.2">
      <c r="A63" s="173">
        <v>55013</v>
      </c>
      <c r="B63" s="174" t="s">
        <v>116</v>
      </c>
      <c r="C63" s="172">
        <v>86013</v>
      </c>
      <c r="D63" s="172">
        <v>150013</v>
      </c>
      <c r="E63" s="206" t="s">
        <v>117</v>
      </c>
      <c r="F63" s="207">
        <v>5</v>
      </c>
      <c r="G63" s="172">
        <v>8500</v>
      </c>
      <c r="H63" s="172">
        <v>8500</v>
      </c>
      <c r="I63" s="172">
        <v>10000</v>
      </c>
      <c r="J63" s="172">
        <v>2</v>
      </c>
      <c r="K63" s="190">
        <f>IF($J63=1,INDEX('큐펫&amp;몹 정리(최신)'!P:P,MATCH($E63,'큐펫&amp;몹 정리(최신)'!$B:$B,0))*20,IF($J63=2,INDEX('큐펫&amp;몹 정리(최신)'!P:P,MATCH($E63,'큐펫&amp;몹 정리(최신)'!$B:$B,0))*25,IF($J63=3,INDEX('큐펫&amp;몹 정리(최신)'!P:P,MATCH($E63,'큐펫&amp;몹 정리(최신)'!$B:$B,0))*30,IF($J63=4,INDEX('큐펫&amp;몹 정리(최신)'!P:P,MATCH($E63,'큐펫&amp;몹 정리(최신)'!$B:$B,0))*35,INDEX('큐펫&amp;몹 정리(최신)'!P:P,MATCH($E63,'큐펫&amp;몹 정리(최신)'!$B:$B,0))*40))))</f>
        <v>1125</v>
      </c>
      <c r="L63" s="190">
        <f>IF($J63=1,INDEX('큐펫&amp;몹 정리(최신)'!Q:Q,MATCH($E63,'큐펫&amp;몹 정리(최신)'!$B:$B,0))*20,IF($J63=2,INDEX('큐펫&amp;몹 정리(최신)'!Q:Q,MATCH($E63,'큐펫&amp;몹 정리(최신)'!$B:$B,0))*25,IF($J63=3,INDEX('큐펫&amp;몹 정리(최신)'!Q:Q,MATCH($E63,'큐펫&amp;몹 정리(최신)'!$B:$B,0))*30,IF($J63=4,INDEX('큐펫&amp;몹 정리(최신)'!Q:Q,MATCH($E63,'큐펫&amp;몹 정리(최신)'!$B:$B,0))*35,INDEX('큐펫&amp;몹 정리(최신)'!Q:Q,MATCH($E63,'큐펫&amp;몹 정리(최신)'!$B:$B,0))*40))))</f>
        <v>375</v>
      </c>
      <c r="M63" s="190">
        <f>IF($J63=1,INDEX('큐펫&amp;몹 정리(최신)'!R:R,MATCH($E63,'큐펫&amp;몹 정리(최신)'!$B:$B,0))*20,IF($J63=2,INDEX('큐펫&amp;몹 정리(최신)'!R:R,MATCH($E63,'큐펫&amp;몹 정리(최신)'!$B:$B,0))*25,IF($J63=3,INDEX('큐펫&amp;몹 정리(최신)'!R:R,MATCH($E63,'큐펫&amp;몹 정리(최신)'!$B:$B,0))*30,IF($J63=4,INDEX('큐펫&amp;몹 정리(최신)'!R:R,MATCH($E63,'큐펫&amp;몹 정리(최신)'!$B:$B,0))*35,INDEX('큐펫&amp;몹 정리(최신)'!R:R,MATCH($E63,'큐펫&amp;몹 정리(최신)'!$B:$B,0))*40))))</f>
        <v>100</v>
      </c>
      <c r="N63" s="190">
        <f>IF($J63=1,INDEX('큐펫&amp;몹 정리(최신)'!S:S,MATCH($E63,'큐펫&amp;몹 정리(최신)'!$B:$B,0))*20,IF($J63=2,INDEX('큐펫&amp;몹 정리(최신)'!S:S,MATCH($E63,'큐펫&amp;몹 정리(최신)'!$B:$B,0))*25,IF($J63=3,INDEX('큐펫&amp;몹 정리(최신)'!S:S,MATCH($E63,'큐펫&amp;몹 정리(최신)'!$B:$B,0))*30,IF($J63=4,INDEX('큐펫&amp;몹 정리(최신)'!S:S,MATCH($E63,'큐펫&amp;몹 정리(최신)'!$B:$B,0))*35,INDEX('큐펫&amp;몹 정리(최신)'!S:S,MATCH($E63,'큐펫&amp;몹 정리(최신)'!$B:$B,0))*40))))</f>
        <v>400</v>
      </c>
      <c r="O63" s="190">
        <f>IF($J63=1,INDEX('큐펫&amp;몹 정리(최신)'!T:T,MATCH($E63,'큐펫&amp;몹 정리(최신)'!$B:$B,0))*20,IF($J63=2,INDEX('큐펫&amp;몹 정리(최신)'!T:T,MATCH($E63,'큐펫&amp;몹 정리(최신)'!$B:$B,0))*25,IF($J63=3,INDEX('큐펫&amp;몹 정리(최신)'!T:T,MATCH($E63,'큐펫&amp;몹 정리(최신)'!$B:$B,0))*30,IF($J63=4,INDEX('큐펫&amp;몹 정리(최신)'!T:T,MATCH($E63,'큐펫&amp;몹 정리(최신)'!$B:$B,0))*35,INDEX('큐펫&amp;몹 정리(최신)'!T:T,MATCH($E63,'큐펫&amp;몹 정리(최신)'!$B:$B,0))*40))))</f>
        <v>500</v>
      </c>
      <c r="P63" s="217">
        <v>40</v>
      </c>
      <c r="Q63" s="217">
        <f t="shared" si="0"/>
        <v>72650</v>
      </c>
      <c r="R63" s="217">
        <f t="shared" si="1"/>
        <v>6735</v>
      </c>
      <c r="S63" s="217">
        <f t="shared" si="2"/>
        <v>4702</v>
      </c>
      <c r="T63" s="217">
        <f t="shared" si="3"/>
        <v>762</v>
      </c>
      <c r="U63" s="217">
        <f t="shared" si="4"/>
        <v>17813</v>
      </c>
      <c r="V63" s="217">
        <f t="shared" si="5"/>
        <v>11151</v>
      </c>
      <c r="W63" s="217">
        <f>ROUND(AC63+(INDEX(Ref!B$1:B$9,MATCH($AI63,Ref!$A$1:$A$9,0))*P63*0.0001),)</f>
        <v>42</v>
      </c>
      <c r="X63" s="217">
        <f>ROUND(AD63+(INDEX(Ref!C$1:C$9,MATCH($AI63,Ref!$A$1:$A$9,0))*$P63*0.0001),)</f>
        <v>32</v>
      </c>
      <c r="Y63" s="217">
        <f>ROUND(AE63+(INDEX(Ref!D$1:D$9,MATCH($AI63,Ref!$A$1:$A$9,0))*$P63*0.0001),)</f>
        <v>49</v>
      </c>
      <c r="Z63" s="217">
        <f>ROUND(AF63+(INDEX(Ref!E$1:E$9,MATCH($AI63,Ref!$A$1:$A$9,0))*$P63*0.0001),)</f>
        <v>26</v>
      </c>
      <c r="AA63" s="217">
        <f>ROUND(AG63+(INDEX(Ref!F$1:F$9,MATCH($AI63,Ref!$A$1:$A$9,0))*$P63*0.0001),)</f>
        <v>35</v>
      </c>
      <c r="AB63" s="217">
        <f>ROUND(AH63+(INDEX(Ref!G$1:G$9,MATCH($AI63,Ref!$A$1:$A$9,0))*$P63*0.0001),)</f>
        <v>40</v>
      </c>
      <c r="AC63" s="137">
        <v>34</v>
      </c>
      <c r="AD63" s="137">
        <v>26</v>
      </c>
      <c r="AE63" s="137">
        <v>43</v>
      </c>
      <c r="AF63" s="137">
        <v>21</v>
      </c>
      <c r="AG63" s="137">
        <v>28</v>
      </c>
      <c r="AH63" s="137">
        <v>32</v>
      </c>
      <c r="AI63" s="208">
        <v>7</v>
      </c>
      <c r="AJ63" s="172">
        <v>3000</v>
      </c>
      <c r="AK63" s="172">
        <v>30074</v>
      </c>
      <c r="AL63" s="172">
        <v>2000</v>
      </c>
      <c r="AM63" s="172">
        <v>30076</v>
      </c>
      <c r="AN63" s="172">
        <v>0</v>
      </c>
      <c r="AO63" s="172">
        <f t="shared" si="6"/>
        <v>34074</v>
      </c>
      <c r="AP63" s="172">
        <v>0</v>
      </c>
      <c r="AQ63" s="172">
        <f t="shared" si="7"/>
        <v>34076</v>
      </c>
      <c r="AR63" s="172">
        <v>1</v>
      </c>
      <c r="AS63" s="172">
        <v>0</v>
      </c>
      <c r="AT63" s="199">
        <v>78013</v>
      </c>
      <c r="AU63" s="195" t="s">
        <v>118</v>
      </c>
    </row>
    <row r="64" spans="1:55" x14ac:dyDescent="0.2">
      <c r="A64" s="173">
        <v>55013</v>
      </c>
      <c r="B64" s="174" t="s">
        <v>116</v>
      </c>
      <c r="C64" s="172">
        <v>86013</v>
      </c>
      <c r="D64" s="172">
        <v>150013</v>
      </c>
      <c r="E64" s="206" t="s">
        <v>117</v>
      </c>
      <c r="F64" s="207">
        <v>5</v>
      </c>
      <c r="G64" s="172">
        <v>8500</v>
      </c>
      <c r="H64" s="172">
        <v>8500</v>
      </c>
      <c r="I64" s="172">
        <v>10000</v>
      </c>
      <c r="J64" s="172">
        <v>3</v>
      </c>
      <c r="K64" s="190">
        <f>IF($J64=1,INDEX('큐펫&amp;몹 정리(최신)'!P:P,MATCH($E64,'큐펫&amp;몹 정리(최신)'!$B:$B,0))*20,IF($J64=2,INDEX('큐펫&amp;몹 정리(최신)'!P:P,MATCH($E64,'큐펫&amp;몹 정리(최신)'!$B:$B,0))*25,IF($J64=3,INDEX('큐펫&amp;몹 정리(최신)'!P:P,MATCH($E64,'큐펫&amp;몹 정리(최신)'!$B:$B,0))*30,IF($J64=4,INDEX('큐펫&amp;몹 정리(최신)'!P:P,MATCH($E64,'큐펫&amp;몹 정리(최신)'!$B:$B,0))*35,INDEX('큐펫&amp;몹 정리(최신)'!P:P,MATCH($E64,'큐펫&amp;몹 정리(최신)'!$B:$B,0))*40))))</f>
        <v>1350</v>
      </c>
      <c r="L64" s="190">
        <f>IF($J64=1,INDEX('큐펫&amp;몹 정리(최신)'!Q:Q,MATCH($E64,'큐펫&amp;몹 정리(최신)'!$B:$B,0))*20,IF($J64=2,INDEX('큐펫&amp;몹 정리(최신)'!Q:Q,MATCH($E64,'큐펫&amp;몹 정리(최신)'!$B:$B,0))*25,IF($J64=3,INDEX('큐펫&amp;몹 정리(최신)'!Q:Q,MATCH($E64,'큐펫&amp;몹 정리(최신)'!$B:$B,0))*30,IF($J64=4,INDEX('큐펫&amp;몹 정리(최신)'!Q:Q,MATCH($E64,'큐펫&amp;몹 정리(최신)'!$B:$B,0))*35,INDEX('큐펫&amp;몹 정리(최신)'!Q:Q,MATCH($E64,'큐펫&amp;몹 정리(최신)'!$B:$B,0))*40))))</f>
        <v>450</v>
      </c>
      <c r="M64" s="190">
        <f>IF($J64=1,INDEX('큐펫&amp;몹 정리(최신)'!R:R,MATCH($E64,'큐펫&amp;몹 정리(최신)'!$B:$B,0))*20,IF($J64=2,INDEX('큐펫&amp;몹 정리(최신)'!R:R,MATCH($E64,'큐펫&amp;몹 정리(최신)'!$B:$B,0))*25,IF($J64=3,INDEX('큐펫&amp;몹 정리(최신)'!R:R,MATCH($E64,'큐펫&amp;몹 정리(최신)'!$B:$B,0))*30,IF($J64=4,INDEX('큐펫&amp;몹 정리(최신)'!R:R,MATCH($E64,'큐펫&amp;몹 정리(최신)'!$B:$B,0))*35,INDEX('큐펫&amp;몹 정리(최신)'!R:R,MATCH($E64,'큐펫&amp;몹 정리(최신)'!$B:$B,0))*40))))</f>
        <v>120</v>
      </c>
      <c r="N64" s="190">
        <f>IF($J64=1,INDEX('큐펫&amp;몹 정리(최신)'!S:S,MATCH($E64,'큐펫&amp;몹 정리(최신)'!$B:$B,0))*20,IF($J64=2,INDEX('큐펫&amp;몹 정리(최신)'!S:S,MATCH($E64,'큐펫&amp;몹 정리(최신)'!$B:$B,0))*25,IF($J64=3,INDEX('큐펫&amp;몹 정리(최신)'!S:S,MATCH($E64,'큐펫&amp;몹 정리(최신)'!$B:$B,0))*30,IF($J64=4,INDEX('큐펫&amp;몹 정리(최신)'!S:S,MATCH($E64,'큐펫&amp;몹 정리(최신)'!$B:$B,0))*35,INDEX('큐펫&amp;몹 정리(최신)'!S:S,MATCH($E64,'큐펫&amp;몹 정리(최신)'!$B:$B,0))*40))))</f>
        <v>480</v>
      </c>
      <c r="O64" s="190">
        <f>IF($J64=1,INDEX('큐펫&amp;몹 정리(최신)'!T:T,MATCH($E64,'큐펫&amp;몹 정리(최신)'!$B:$B,0))*20,IF($J64=2,INDEX('큐펫&amp;몹 정리(최신)'!T:T,MATCH($E64,'큐펫&amp;몹 정리(최신)'!$B:$B,0))*25,IF($J64=3,INDEX('큐펫&amp;몹 정리(최신)'!T:T,MATCH($E64,'큐펫&amp;몹 정리(최신)'!$B:$B,0))*30,IF($J64=4,INDEX('큐펫&amp;몹 정리(최신)'!T:T,MATCH($E64,'큐펫&amp;몹 정리(최신)'!$B:$B,0))*35,INDEX('큐펫&amp;몹 정리(최신)'!T:T,MATCH($E64,'큐펫&amp;몹 정리(최신)'!$B:$B,0))*40))))</f>
        <v>600</v>
      </c>
      <c r="P64" s="217">
        <v>60</v>
      </c>
      <c r="Q64" s="217">
        <f t="shared" si="0"/>
        <v>131440</v>
      </c>
      <c r="R64" s="217">
        <f t="shared" si="1"/>
        <v>11399</v>
      </c>
      <c r="S64" s="217">
        <f t="shared" si="2"/>
        <v>8073</v>
      </c>
      <c r="T64" s="217">
        <f t="shared" si="3"/>
        <v>1262</v>
      </c>
      <c r="U64" s="217">
        <f t="shared" si="4"/>
        <v>27376</v>
      </c>
      <c r="V64" s="217">
        <f t="shared" si="5"/>
        <v>17131</v>
      </c>
      <c r="W64" s="217">
        <f>ROUND(AC64+(INDEX(Ref!B$1:B$9,MATCH($AI64,Ref!$A$1:$A$9,0))*P64*0.0001),)</f>
        <v>50</v>
      </c>
      <c r="X64" s="217">
        <f>ROUND(AD64+(INDEX(Ref!C$1:C$9,MATCH($AI64,Ref!$A$1:$A$9,0))*$P64*0.0001),)</f>
        <v>40</v>
      </c>
      <c r="Y64" s="217">
        <f>ROUND(AE64+(INDEX(Ref!D$1:D$9,MATCH($AI64,Ref!$A$1:$A$9,0))*$P64*0.0001),)</f>
        <v>54</v>
      </c>
      <c r="Z64" s="217">
        <f>ROUND(AF64+(INDEX(Ref!E$1:E$9,MATCH($AI64,Ref!$A$1:$A$9,0))*$P64*0.0001),)</f>
        <v>31</v>
      </c>
      <c r="AA64" s="217">
        <f>ROUND(AG64+(INDEX(Ref!F$1:F$9,MATCH($AI64,Ref!$A$1:$A$9,0))*$P64*0.0001),)</f>
        <v>42</v>
      </c>
      <c r="AB64" s="217">
        <f>ROUND(AH64+(INDEX(Ref!G$1:G$9,MATCH($AI64,Ref!$A$1:$A$9,0))*$P64*0.0001),)</f>
        <v>47</v>
      </c>
      <c r="AC64" s="137">
        <v>38</v>
      </c>
      <c r="AD64" s="137">
        <v>30</v>
      </c>
      <c r="AE64" s="137">
        <v>45</v>
      </c>
      <c r="AF64" s="137">
        <v>23</v>
      </c>
      <c r="AG64" s="137">
        <v>32</v>
      </c>
      <c r="AH64" s="137">
        <v>36</v>
      </c>
      <c r="AI64" s="208">
        <v>7</v>
      </c>
      <c r="AJ64" s="172">
        <v>3000</v>
      </c>
      <c r="AK64" s="172">
        <v>30074</v>
      </c>
      <c r="AL64" s="172">
        <v>2000</v>
      </c>
      <c r="AM64" s="172">
        <v>30077</v>
      </c>
      <c r="AN64" s="172">
        <v>0</v>
      </c>
      <c r="AO64" s="172">
        <f t="shared" si="6"/>
        <v>34074</v>
      </c>
      <c r="AP64" s="172">
        <v>0</v>
      </c>
      <c r="AQ64" s="172">
        <f t="shared" si="7"/>
        <v>34077</v>
      </c>
      <c r="AR64" s="172">
        <v>1</v>
      </c>
      <c r="AS64" s="172">
        <v>0</v>
      </c>
      <c r="AT64" s="199">
        <v>78013</v>
      </c>
      <c r="AU64" s="195" t="s">
        <v>118</v>
      </c>
    </row>
    <row r="65" spans="1:47" x14ac:dyDescent="0.2">
      <c r="A65" s="173">
        <v>55013</v>
      </c>
      <c r="B65" s="174" t="s">
        <v>116</v>
      </c>
      <c r="C65" s="172">
        <v>86013</v>
      </c>
      <c r="D65" s="172">
        <v>150013</v>
      </c>
      <c r="E65" s="206" t="s">
        <v>117</v>
      </c>
      <c r="F65" s="207">
        <v>5</v>
      </c>
      <c r="G65" s="172">
        <v>8500</v>
      </c>
      <c r="H65" s="172">
        <v>8500</v>
      </c>
      <c r="I65" s="172">
        <v>10000</v>
      </c>
      <c r="J65" s="172">
        <v>4</v>
      </c>
      <c r="K65" s="190">
        <f>IF($J65=1,INDEX('큐펫&amp;몹 정리(최신)'!P:P,MATCH($E65,'큐펫&amp;몹 정리(최신)'!$B:$B,0))*20,IF($J65=2,INDEX('큐펫&amp;몹 정리(최신)'!P:P,MATCH($E65,'큐펫&amp;몹 정리(최신)'!$B:$B,0))*25,IF($J65=3,INDEX('큐펫&amp;몹 정리(최신)'!P:P,MATCH($E65,'큐펫&amp;몹 정리(최신)'!$B:$B,0))*30,IF($J65=4,INDEX('큐펫&amp;몹 정리(최신)'!P:P,MATCH($E65,'큐펫&amp;몹 정리(최신)'!$B:$B,0))*35,INDEX('큐펫&amp;몹 정리(최신)'!P:P,MATCH($E65,'큐펫&amp;몹 정리(최신)'!$B:$B,0))*40))))</f>
        <v>1575</v>
      </c>
      <c r="L65" s="190">
        <f>IF($J65=1,INDEX('큐펫&amp;몹 정리(최신)'!Q:Q,MATCH($E65,'큐펫&amp;몹 정리(최신)'!$B:$B,0))*20,IF($J65=2,INDEX('큐펫&amp;몹 정리(최신)'!Q:Q,MATCH($E65,'큐펫&amp;몹 정리(최신)'!$B:$B,0))*25,IF($J65=3,INDEX('큐펫&amp;몹 정리(최신)'!Q:Q,MATCH($E65,'큐펫&amp;몹 정리(최신)'!$B:$B,0))*30,IF($J65=4,INDEX('큐펫&amp;몹 정리(최신)'!Q:Q,MATCH($E65,'큐펫&amp;몹 정리(최신)'!$B:$B,0))*35,INDEX('큐펫&amp;몹 정리(최신)'!Q:Q,MATCH($E65,'큐펫&amp;몹 정리(최신)'!$B:$B,0))*40))))</f>
        <v>525</v>
      </c>
      <c r="M65" s="190">
        <f>IF($J65=1,INDEX('큐펫&amp;몹 정리(최신)'!R:R,MATCH($E65,'큐펫&amp;몹 정리(최신)'!$B:$B,0))*20,IF($J65=2,INDEX('큐펫&amp;몹 정리(최신)'!R:R,MATCH($E65,'큐펫&amp;몹 정리(최신)'!$B:$B,0))*25,IF($J65=3,INDEX('큐펫&amp;몹 정리(최신)'!R:R,MATCH($E65,'큐펫&amp;몹 정리(최신)'!$B:$B,0))*30,IF($J65=4,INDEX('큐펫&amp;몹 정리(최신)'!R:R,MATCH($E65,'큐펫&amp;몹 정리(최신)'!$B:$B,0))*35,INDEX('큐펫&amp;몹 정리(최신)'!R:R,MATCH($E65,'큐펫&amp;몹 정리(최신)'!$B:$B,0))*40))))</f>
        <v>140</v>
      </c>
      <c r="N65" s="190">
        <f>IF($J65=1,INDEX('큐펫&amp;몹 정리(최신)'!S:S,MATCH($E65,'큐펫&amp;몹 정리(최신)'!$B:$B,0))*20,IF($J65=2,INDEX('큐펫&amp;몹 정리(최신)'!S:S,MATCH($E65,'큐펫&amp;몹 정리(최신)'!$B:$B,0))*25,IF($J65=3,INDEX('큐펫&amp;몹 정리(최신)'!S:S,MATCH($E65,'큐펫&amp;몹 정리(최신)'!$B:$B,0))*30,IF($J65=4,INDEX('큐펫&amp;몹 정리(최신)'!S:S,MATCH($E65,'큐펫&amp;몹 정리(최신)'!$B:$B,0))*35,INDEX('큐펫&amp;몹 정리(최신)'!S:S,MATCH($E65,'큐펫&amp;몹 정리(최신)'!$B:$B,0))*40))))</f>
        <v>560</v>
      </c>
      <c r="O65" s="190">
        <f>IF($J65=1,INDEX('큐펫&amp;몹 정리(최신)'!T:T,MATCH($E65,'큐펫&amp;몹 정리(최신)'!$B:$B,0))*20,IF($J65=2,INDEX('큐펫&amp;몹 정리(최신)'!T:T,MATCH($E65,'큐펫&amp;몹 정리(최신)'!$B:$B,0))*25,IF($J65=3,INDEX('큐펫&amp;몹 정리(최신)'!T:T,MATCH($E65,'큐펫&amp;몹 정리(최신)'!$B:$B,0))*30,IF($J65=4,INDEX('큐펫&amp;몹 정리(최신)'!T:T,MATCH($E65,'큐펫&amp;몹 정리(최신)'!$B:$B,0))*35,INDEX('큐펫&amp;몹 정리(최신)'!T:T,MATCH($E65,'큐펫&amp;몹 정리(최신)'!$B:$B,0))*40))))</f>
        <v>700</v>
      </c>
      <c r="P65" s="217">
        <v>80</v>
      </c>
      <c r="Q65" s="217">
        <f t="shared" si="0"/>
        <v>210660</v>
      </c>
      <c r="R65" s="217">
        <f t="shared" si="1"/>
        <v>17840</v>
      </c>
      <c r="S65" s="217">
        <f t="shared" si="2"/>
        <v>12768</v>
      </c>
      <c r="T65" s="217">
        <f t="shared" si="3"/>
        <v>1946</v>
      </c>
      <c r="U65" s="217">
        <f t="shared" si="4"/>
        <v>39498</v>
      </c>
      <c r="V65" s="217">
        <f t="shared" si="5"/>
        <v>24711</v>
      </c>
      <c r="W65" s="217">
        <f>ROUND(AC65+(INDEX(Ref!B$1:B$9,MATCH($AI65,Ref!$A$1:$A$9,0))*P65*0.0001),)</f>
        <v>58</v>
      </c>
      <c r="X65" s="217">
        <f>ROUND(AD65+(INDEX(Ref!C$1:C$9,MATCH($AI65,Ref!$A$1:$A$9,0))*$P65*0.0001),)</f>
        <v>46</v>
      </c>
      <c r="Y65" s="217">
        <f>ROUND(AE65+(INDEX(Ref!D$1:D$9,MATCH($AI65,Ref!$A$1:$A$9,0))*$P65*0.0001),)</f>
        <v>61</v>
      </c>
      <c r="Z65" s="217">
        <f>ROUND(AF65+(INDEX(Ref!E$1:E$9,MATCH($AI65,Ref!$A$1:$A$9,0))*$P65*0.0001),)</f>
        <v>36</v>
      </c>
      <c r="AA65" s="217">
        <f>ROUND(AG65+(INDEX(Ref!F$1:F$9,MATCH($AI65,Ref!$A$1:$A$9,0))*$P65*0.0001),)</f>
        <v>49</v>
      </c>
      <c r="AB65" s="217">
        <f>ROUND(AH65+(INDEX(Ref!G$1:G$9,MATCH($AI65,Ref!$A$1:$A$9,0))*$P65*0.0001),)</f>
        <v>54</v>
      </c>
      <c r="AC65" s="137">
        <v>42</v>
      </c>
      <c r="AD65" s="137">
        <v>33</v>
      </c>
      <c r="AE65" s="137">
        <v>49</v>
      </c>
      <c r="AF65" s="137">
        <v>26</v>
      </c>
      <c r="AG65" s="137">
        <v>35</v>
      </c>
      <c r="AH65" s="137">
        <v>39</v>
      </c>
      <c r="AI65" s="208">
        <v>7</v>
      </c>
      <c r="AJ65" s="172">
        <v>3000</v>
      </c>
      <c r="AK65" s="172">
        <v>30075</v>
      </c>
      <c r="AL65" s="172">
        <v>2000</v>
      </c>
      <c r="AM65" s="172">
        <v>30077</v>
      </c>
      <c r="AN65" s="172">
        <v>0</v>
      </c>
      <c r="AO65" s="172">
        <f t="shared" si="6"/>
        <v>34075</v>
      </c>
      <c r="AP65" s="172">
        <v>0</v>
      </c>
      <c r="AQ65" s="172">
        <f t="shared" si="7"/>
        <v>34077</v>
      </c>
      <c r="AR65" s="172">
        <v>1</v>
      </c>
      <c r="AS65" s="172">
        <v>0</v>
      </c>
      <c r="AT65" s="199">
        <v>78013</v>
      </c>
      <c r="AU65" s="195" t="s">
        <v>118</v>
      </c>
    </row>
    <row r="66" spans="1:47" x14ac:dyDescent="0.2">
      <c r="A66" s="173">
        <v>55013</v>
      </c>
      <c r="B66" s="174" t="s">
        <v>116</v>
      </c>
      <c r="C66" s="172">
        <v>86013</v>
      </c>
      <c r="D66" s="172">
        <v>150013</v>
      </c>
      <c r="E66" s="206" t="s">
        <v>117</v>
      </c>
      <c r="F66" s="207">
        <v>5</v>
      </c>
      <c r="G66" s="172">
        <v>8500</v>
      </c>
      <c r="H66" s="172">
        <v>8500</v>
      </c>
      <c r="I66" s="172">
        <v>10000</v>
      </c>
      <c r="J66" s="172">
        <v>5</v>
      </c>
      <c r="K66" s="190">
        <f>IF($J66=1,INDEX('큐펫&amp;몹 정리(최신)'!P:P,MATCH($E66,'큐펫&amp;몹 정리(최신)'!$B:$B,0))*20,IF($J66=2,INDEX('큐펫&amp;몹 정리(최신)'!P:P,MATCH($E66,'큐펫&amp;몹 정리(최신)'!$B:$B,0))*25,IF($J66=3,INDEX('큐펫&amp;몹 정리(최신)'!P:P,MATCH($E66,'큐펫&amp;몹 정리(최신)'!$B:$B,0))*30,IF($J66=4,INDEX('큐펫&amp;몹 정리(최신)'!P:P,MATCH($E66,'큐펫&amp;몹 정리(최신)'!$B:$B,0))*35,INDEX('큐펫&amp;몹 정리(최신)'!P:P,MATCH($E66,'큐펫&amp;몹 정리(최신)'!$B:$B,0))*40))))</f>
        <v>1800</v>
      </c>
      <c r="L66" s="190">
        <f>IF($J66=1,INDEX('큐펫&amp;몹 정리(최신)'!Q:Q,MATCH($E66,'큐펫&amp;몹 정리(최신)'!$B:$B,0))*20,IF($J66=2,INDEX('큐펫&amp;몹 정리(최신)'!Q:Q,MATCH($E66,'큐펫&amp;몹 정리(최신)'!$B:$B,0))*25,IF($J66=3,INDEX('큐펫&amp;몹 정리(최신)'!Q:Q,MATCH($E66,'큐펫&amp;몹 정리(최신)'!$B:$B,0))*30,IF($J66=4,INDEX('큐펫&amp;몹 정리(최신)'!Q:Q,MATCH($E66,'큐펫&amp;몹 정리(최신)'!$B:$B,0))*35,INDEX('큐펫&amp;몹 정리(최신)'!Q:Q,MATCH($E66,'큐펫&amp;몹 정리(최신)'!$B:$B,0))*40))))</f>
        <v>600</v>
      </c>
      <c r="M66" s="190">
        <f>IF($J66=1,INDEX('큐펫&amp;몹 정리(최신)'!R:R,MATCH($E66,'큐펫&amp;몹 정리(최신)'!$B:$B,0))*20,IF($J66=2,INDEX('큐펫&amp;몹 정리(최신)'!R:R,MATCH($E66,'큐펫&amp;몹 정리(최신)'!$B:$B,0))*25,IF($J66=3,INDEX('큐펫&amp;몹 정리(최신)'!R:R,MATCH($E66,'큐펫&amp;몹 정리(최신)'!$B:$B,0))*30,IF($J66=4,INDEX('큐펫&amp;몹 정리(최신)'!R:R,MATCH($E66,'큐펫&amp;몹 정리(최신)'!$B:$B,0))*35,INDEX('큐펫&amp;몹 정리(최신)'!R:R,MATCH($E66,'큐펫&amp;몹 정리(최신)'!$B:$B,0))*40))))</f>
        <v>160</v>
      </c>
      <c r="N66" s="190">
        <f>IF($J66=1,INDEX('큐펫&amp;몹 정리(최신)'!S:S,MATCH($E66,'큐펫&amp;몹 정리(최신)'!$B:$B,0))*20,IF($J66=2,INDEX('큐펫&amp;몹 정리(최신)'!S:S,MATCH($E66,'큐펫&amp;몹 정리(최신)'!$B:$B,0))*25,IF($J66=3,INDEX('큐펫&amp;몹 정리(최신)'!S:S,MATCH($E66,'큐펫&amp;몹 정리(최신)'!$B:$B,0))*30,IF($J66=4,INDEX('큐펫&amp;몹 정리(최신)'!S:S,MATCH($E66,'큐펫&amp;몹 정리(최신)'!$B:$B,0))*35,INDEX('큐펫&amp;몹 정리(최신)'!S:S,MATCH($E66,'큐펫&amp;몹 정리(최신)'!$B:$B,0))*40))))</f>
        <v>640</v>
      </c>
      <c r="O66" s="190">
        <f>IF($J66=1,INDEX('큐펫&amp;몹 정리(최신)'!T:T,MATCH($E66,'큐펫&amp;몹 정리(최신)'!$B:$B,0))*20,IF($J66=2,INDEX('큐펫&amp;몹 정리(최신)'!T:T,MATCH($E66,'큐펫&amp;몹 정리(최신)'!$B:$B,0))*25,IF($J66=3,INDEX('큐펫&amp;몹 정리(최신)'!T:T,MATCH($E66,'큐펫&amp;몹 정리(최신)'!$B:$B,0))*30,IF($J66=4,INDEX('큐펫&amp;몹 정리(최신)'!T:T,MATCH($E66,'큐펫&amp;몹 정리(최신)'!$B:$B,0))*35,INDEX('큐펫&amp;몹 정리(최신)'!T:T,MATCH($E66,'큐펫&amp;몹 정리(최신)'!$B:$B,0))*40))))</f>
        <v>800</v>
      </c>
      <c r="P66" s="217">
        <v>100</v>
      </c>
      <c r="Q66" s="217">
        <f t="shared" si="0"/>
        <v>309600</v>
      </c>
      <c r="R66" s="217">
        <f t="shared" si="1"/>
        <v>26344</v>
      </c>
      <c r="S66" s="217">
        <f t="shared" si="2"/>
        <v>18338</v>
      </c>
      <c r="T66" s="217">
        <f t="shared" si="3"/>
        <v>2978</v>
      </c>
      <c r="U66" s="217">
        <f t="shared" si="4"/>
        <v>53461</v>
      </c>
      <c r="V66" s="217">
        <f t="shared" si="5"/>
        <v>33442</v>
      </c>
      <c r="W66" s="217">
        <f>ROUND(AC66+(INDEX(Ref!B$1:B$9,MATCH($AI66,Ref!$A$1:$A$9,0))*P66*0.0001),)</f>
        <v>66</v>
      </c>
      <c r="X66" s="217">
        <f>ROUND(AD66+(INDEX(Ref!C$1:C$9,MATCH($AI66,Ref!$A$1:$A$9,0))*$P66*0.0001),)</f>
        <v>52</v>
      </c>
      <c r="Y66" s="217">
        <f>ROUND(AE66+(INDEX(Ref!D$1:D$9,MATCH($AI66,Ref!$A$1:$A$9,0))*$P66*0.0001),)</f>
        <v>67</v>
      </c>
      <c r="Z66" s="217">
        <f>ROUND(AF66+(INDEX(Ref!E$1:E$9,MATCH($AI66,Ref!$A$1:$A$9,0))*$P66*0.0001),)</f>
        <v>42</v>
      </c>
      <c r="AA66" s="217">
        <f>ROUND(AG66+(INDEX(Ref!F$1:F$9,MATCH($AI66,Ref!$A$1:$A$9,0))*$P66*0.0001),)</f>
        <v>55</v>
      </c>
      <c r="AB66" s="217">
        <f>ROUND(AH66+(INDEX(Ref!G$1:G$9,MATCH($AI66,Ref!$A$1:$A$9,0))*$P66*0.0001),)</f>
        <v>62</v>
      </c>
      <c r="AC66" s="137">
        <v>46</v>
      </c>
      <c r="AD66" s="137">
        <v>36</v>
      </c>
      <c r="AE66" s="137">
        <v>52</v>
      </c>
      <c r="AF66" s="137">
        <v>29</v>
      </c>
      <c r="AG66" s="137">
        <v>38</v>
      </c>
      <c r="AH66" s="137">
        <v>43</v>
      </c>
      <c r="AI66" s="208">
        <v>7</v>
      </c>
      <c r="AJ66" s="172">
        <v>3000</v>
      </c>
      <c r="AK66" s="172">
        <v>30075</v>
      </c>
      <c r="AL66" s="172">
        <v>2000</v>
      </c>
      <c r="AM66" s="172">
        <v>30078</v>
      </c>
      <c r="AN66" s="172">
        <v>0</v>
      </c>
      <c r="AO66" s="172">
        <f t="shared" si="6"/>
        <v>34075</v>
      </c>
      <c r="AP66" s="172">
        <v>0</v>
      </c>
      <c r="AQ66" s="172">
        <f t="shared" si="7"/>
        <v>34078</v>
      </c>
      <c r="AR66" s="172">
        <v>1</v>
      </c>
      <c r="AS66" s="172">
        <v>0</v>
      </c>
      <c r="AT66" s="199">
        <v>78013</v>
      </c>
      <c r="AU66" s="195" t="s">
        <v>118</v>
      </c>
    </row>
    <row r="67" spans="1:47" x14ac:dyDescent="0.2">
      <c r="A67" s="173">
        <v>55014</v>
      </c>
      <c r="B67" s="174" t="s">
        <v>119</v>
      </c>
      <c r="C67" s="172">
        <v>86014</v>
      </c>
      <c r="D67" s="172">
        <v>150014</v>
      </c>
      <c r="E67" s="206" t="s">
        <v>120</v>
      </c>
      <c r="F67" s="207">
        <v>5</v>
      </c>
      <c r="G67" s="172">
        <v>10000</v>
      </c>
      <c r="H67" s="172">
        <v>10000</v>
      </c>
      <c r="I67" s="172">
        <v>10000</v>
      </c>
      <c r="J67" s="172">
        <v>1</v>
      </c>
      <c r="K67" s="190">
        <f>IF($J67=1,INDEX('큐펫&amp;몹 정리(최신)'!P:P,MATCH($E67,'큐펫&amp;몹 정리(최신)'!$B:$B,0))*20,IF($J67=2,INDEX('큐펫&amp;몹 정리(최신)'!P:P,MATCH($E67,'큐펫&amp;몹 정리(최신)'!$B:$B,0))*25,IF($J67=3,INDEX('큐펫&amp;몹 정리(최신)'!P:P,MATCH($E67,'큐펫&amp;몹 정리(최신)'!$B:$B,0))*30,IF($J67=4,INDEX('큐펫&amp;몹 정리(최신)'!P:P,MATCH($E67,'큐펫&amp;몹 정리(최신)'!$B:$B,0))*35,INDEX('큐펫&amp;몹 정리(최신)'!P:P,MATCH($E67,'큐펫&amp;몹 정리(최신)'!$B:$B,0))*40))))</f>
        <v>800</v>
      </c>
      <c r="L67" s="190">
        <f>IF($J67=1,INDEX('큐펫&amp;몹 정리(최신)'!Q:Q,MATCH($E67,'큐펫&amp;몹 정리(최신)'!$B:$B,0))*20,IF($J67=2,INDEX('큐펫&amp;몹 정리(최신)'!Q:Q,MATCH($E67,'큐펫&amp;몹 정리(최신)'!$B:$B,0))*25,IF($J67=3,INDEX('큐펫&amp;몹 정리(최신)'!Q:Q,MATCH($E67,'큐펫&amp;몹 정리(최신)'!$B:$B,0))*30,IF($J67=4,INDEX('큐펫&amp;몹 정리(최신)'!Q:Q,MATCH($E67,'큐펫&amp;몹 정리(최신)'!$B:$B,0))*35,INDEX('큐펫&amp;몹 정리(최신)'!Q:Q,MATCH($E67,'큐펫&amp;몹 정리(최신)'!$B:$B,0))*40))))</f>
        <v>600</v>
      </c>
      <c r="M67" s="190">
        <f>IF($J67=1,INDEX('큐펫&amp;몹 정리(최신)'!R:R,MATCH($E67,'큐펫&amp;몹 정리(최신)'!$B:$B,0))*20,IF($J67=2,INDEX('큐펫&amp;몹 정리(최신)'!R:R,MATCH($E67,'큐펫&amp;몹 정리(최신)'!$B:$B,0))*25,IF($J67=3,INDEX('큐펫&amp;몹 정리(최신)'!R:R,MATCH($E67,'큐펫&amp;몹 정리(최신)'!$B:$B,0))*30,IF($J67=4,INDEX('큐펫&amp;몹 정리(최신)'!R:R,MATCH($E67,'큐펫&amp;몹 정리(최신)'!$B:$B,0))*35,INDEX('큐펫&amp;몹 정리(최신)'!R:R,MATCH($E67,'큐펫&amp;몹 정리(최신)'!$B:$B,0))*40))))</f>
        <v>80</v>
      </c>
      <c r="N67" s="190">
        <f>IF($J67=1,INDEX('큐펫&amp;몹 정리(최신)'!S:S,MATCH($E67,'큐펫&amp;몹 정리(최신)'!$B:$B,0))*20,IF($J67=2,INDEX('큐펫&amp;몹 정리(최신)'!S:S,MATCH($E67,'큐펫&amp;몹 정리(최신)'!$B:$B,0))*25,IF($J67=3,INDEX('큐펫&amp;몹 정리(최신)'!S:S,MATCH($E67,'큐펫&amp;몹 정리(최신)'!$B:$B,0))*30,IF($J67=4,INDEX('큐펫&amp;몹 정리(최신)'!S:S,MATCH($E67,'큐펫&amp;몹 정리(최신)'!$B:$B,0))*35,INDEX('큐펫&amp;몹 정리(최신)'!S:S,MATCH($E67,'큐펫&amp;몹 정리(최신)'!$B:$B,0))*40))))</f>
        <v>340</v>
      </c>
      <c r="O67" s="190">
        <f>IF($J67=1,INDEX('큐펫&amp;몹 정리(최신)'!T:T,MATCH($E67,'큐펫&amp;몹 정리(최신)'!$B:$B,0))*20,IF($J67=2,INDEX('큐펫&amp;몹 정리(최신)'!T:T,MATCH($E67,'큐펫&amp;몹 정리(최신)'!$B:$B,0))*25,IF($J67=3,INDEX('큐펫&amp;몹 정리(최신)'!T:T,MATCH($E67,'큐펫&amp;몹 정리(최신)'!$B:$B,0))*30,IF($J67=4,INDEX('큐펫&amp;몹 정리(최신)'!T:T,MATCH($E67,'큐펫&amp;몹 정리(최신)'!$B:$B,0))*35,INDEX('큐펫&amp;몹 정리(최신)'!T:T,MATCH($E67,'큐펫&amp;몹 정리(최신)'!$B:$B,0))*40))))</f>
        <v>180</v>
      </c>
      <c r="P67" s="217">
        <v>20</v>
      </c>
      <c r="Q67" s="217">
        <f t="shared" ref="Q67:Q130" si="8">ROUNDDOWN((100*QUOTIENT(K67,20))+((P67*K67)*(1+(Y67/100))),)</f>
        <v>29440</v>
      </c>
      <c r="R67" s="217">
        <f t="shared" ref="R67:R130" si="9">ROUNDDOWN((((W67*W67)*L67)/100)+(W67*2)+(AA67/4)+(AB67/5)+(P67/2),)</f>
        <v>6228</v>
      </c>
      <c r="S67" s="217">
        <f t="shared" ref="S67:S130" si="10">ROUNDDOWN((((AA67*AA67)*L67)/100)+(AA67*2)+(W67/4)+(AB67/5)+(P67/2),)</f>
        <v>4781</v>
      </c>
      <c r="T67" s="217">
        <f t="shared" ref="T67:T130" si="11">ROUNDDOWN((((((Z67*Z67)*M67)/100+(Z67*2))+(AB67/4))+(AA67/8))+(P67/2),)</f>
        <v>568</v>
      </c>
      <c r="U67" s="217">
        <f t="shared" ref="U67:U130" si="12">ROUNDDOWN(((Y67+P67)*N67)/2,)+ROUNDDOWN(W67/4,)+ROUNDDOWN(X67/10,)</f>
        <v>13440</v>
      </c>
      <c r="V67" s="217">
        <f t="shared" ref="V67:V130" si="13">ROUNDDOWN(((Y67+P67)*O67)/4,)+Z67</f>
        <v>3580</v>
      </c>
      <c r="W67" s="217">
        <f>ROUND(AC67+(INDEX(Ref!B$1:B$9,MATCH($AI67,Ref!$A$1:$A$9,0))*P67*0.0001),)</f>
        <v>32</v>
      </c>
      <c r="X67" s="217">
        <f>ROUND(AD67+(INDEX(Ref!C$1:C$9,MATCH($AI67,Ref!$A$1:$A$9,0))*$P67*0.0001),)</f>
        <v>21</v>
      </c>
      <c r="Y67" s="217">
        <f>ROUND(AE67+(INDEX(Ref!D$1:D$9,MATCH($AI67,Ref!$A$1:$A$9,0))*$P67*0.0001),)</f>
        <v>59</v>
      </c>
      <c r="Z67" s="217">
        <f>ROUND(AF67+(INDEX(Ref!E$1:E$9,MATCH($AI67,Ref!$A$1:$A$9,0))*$P67*0.0001),)</f>
        <v>25</v>
      </c>
      <c r="AA67" s="217">
        <f>ROUND(AG67+(INDEX(Ref!F$1:F$9,MATCH($AI67,Ref!$A$1:$A$9,0))*$P67*0.0001),)</f>
        <v>28</v>
      </c>
      <c r="AB67" s="217">
        <f>ROUND(AH67+(INDEX(Ref!G$1:G$9,MATCH($AI67,Ref!$A$1:$A$9,0))*$P67*0.0001),)</f>
        <v>19</v>
      </c>
      <c r="AC67" s="137">
        <v>28</v>
      </c>
      <c r="AD67" s="137">
        <v>18</v>
      </c>
      <c r="AE67" s="137">
        <v>54</v>
      </c>
      <c r="AF67" s="137">
        <v>22</v>
      </c>
      <c r="AG67" s="137">
        <v>25</v>
      </c>
      <c r="AH67" s="137">
        <v>17</v>
      </c>
      <c r="AI67" s="208">
        <v>3</v>
      </c>
      <c r="AJ67" s="172">
        <v>3000</v>
      </c>
      <c r="AK67" s="172">
        <v>30079</v>
      </c>
      <c r="AL67" s="172">
        <v>2000</v>
      </c>
      <c r="AM67" s="172">
        <v>30082</v>
      </c>
      <c r="AN67" s="172">
        <v>0</v>
      </c>
      <c r="AO67" s="172">
        <f t="shared" si="6"/>
        <v>34079</v>
      </c>
      <c r="AP67" s="172">
        <v>0</v>
      </c>
      <c r="AQ67" s="172">
        <f t="shared" si="7"/>
        <v>34082</v>
      </c>
      <c r="AR67" s="172">
        <v>1</v>
      </c>
      <c r="AS67" s="172">
        <v>0</v>
      </c>
      <c r="AT67" s="199">
        <v>78014</v>
      </c>
      <c r="AU67" s="195" t="s">
        <v>121</v>
      </c>
    </row>
    <row r="68" spans="1:47" x14ac:dyDescent="0.2">
      <c r="A68" s="173">
        <v>55014</v>
      </c>
      <c r="B68" s="174" t="s">
        <v>119</v>
      </c>
      <c r="C68" s="172">
        <v>86014</v>
      </c>
      <c r="D68" s="172">
        <v>150014</v>
      </c>
      <c r="E68" s="206" t="s">
        <v>120</v>
      </c>
      <c r="F68" s="207">
        <v>5</v>
      </c>
      <c r="G68" s="172">
        <v>10000</v>
      </c>
      <c r="H68" s="172">
        <v>10000</v>
      </c>
      <c r="I68" s="172">
        <v>10000</v>
      </c>
      <c r="J68" s="172">
        <v>2</v>
      </c>
      <c r="K68" s="190">
        <f>IF($J68=1,INDEX('큐펫&amp;몹 정리(최신)'!P:P,MATCH($E68,'큐펫&amp;몹 정리(최신)'!$B:$B,0))*20,IF($J68=2,INDEX('큐펫&amp;몹 정리(최신)'!P:P,MATCH($E68,'큐펫&amp;몹 정리(최신)'!$B:$B,0))*25,IF($J68=3,INDEX('큐펫&amp;몹 정리(최신)'!P:P,MATCH($E68,'큐펫&amp;몹 정리(최신)'!$B:$B,0))*30,IF($J68=4,INDEX('큐펫&amp;몹 정리(최신)'!P:P,MATCH($E68,'큐펫&amp;몹 정리(최신)'!$B:$B,0))*35,INDEX('큐펫&amp;몹 정리(최신)'!P:P,MATCH($E68,'큐펫&amp;몹 정리(최신)'!$B:$B,0))*40))))</f>
        <v>1000</v>
      </c>
      <c r="L68" s="190">
        <f>IF($J68=1,INDEX('큐펫&amp;몹 정리(최신)'!Q:Q,MATCH($E68,'큐펫&amp;몹 정리(최신)'!$B:$B,0))*20,IF($J68=2,INDEX('큐펫&amp;몹 정리(최신)'!Q:Q,MATCH($E68,'큐펫&amp;몹 정리(최신)'!$B:$B,0))*25,IF($J68=3,INDEX('큐펫&amp;몹 정리(최신)'!Q:Q,MATCH($E68,'큐펫&amp;몹 정리(최신)'!$B:$B,0))*30,IF($J68=4,INDEX('큐펫&amp;몹 정리(최신)'!Q:Q,MATCH($E68,'큐펫&amp;몹 정리(최신)'!$B:$B,0))*35,INDEX('큐펫&amp;몹 정리(최신)'!Q:Q,MATCH($E68,'큐펫&amp;몹 정리(최신)'!$B:$B,0))*40))))</f>
        <v>750</v>
      </c>
      <c r="M68" s="190">
        <f>IF($J68=1,INDEX('큐펫&amp;몹 정리(최신)'!R:R,MATCH($E68,'큐펫&amp;몹 정리(최신)'!$B:$B,0))*20,IF($J68=2,INDEX('큐펫&amp;몹 정리(최신)'!R:R,MATCH($E68,'큐펫&amp;몹 정리(최신)'!$B:$B,0))*25,IF($J68=3,INDEX('큐펫&amp;몹 정리(최신)'!R:R,MATCH($E68,'큐펫&amp;몹 정리(최신)'!$B:$B,0))*30,IF($J68=4,INDEX('큐펫&amp;몹 정리(최신)'!R:R,MATCH($E68,'큐펫&amp;몹 정리(최신)'!$B:$B,0))*35,INDEX('큐펫&amp;몹 정리(최신)'!R:R,MATCH($E68,'큐펫&amp;몹 정리(최신)'!$B:$B,0))*40))))</f>
        <v>100</v>
      </c>
      <c r="N68" s="190">
        <f>IF($J68=1,INDEX('큐펫&amp;몹 정리(최신)'!S:S,MATCH($E68,'큐펫&amp;몹 정리(최신)'!$B:$B,0))*20,IF($J68=2,INDEX('큐펫&amp;몹 정리(최신)'!S:S,MATCH($E68,'큐펫&amp;몹 정리(최신)'!$B:$B,0))*25,IF($J68=3,INDEX('큐펫&amp;몹 정리(최신)'!S:S,MATCH($E68,'큐펫&amp;몹 정리(최신)'!$B:$B,0))*30,IF($J68=4,INDEX('큐펫&amp;몹 정리(최신)'!S:S,MATCH($E68,'큐펫&amp;몹 정리(최신)'!$B:$B,0))*35,INDEX('큐펫&amp;몹 정리(최신)'!S:S,MATCH($E68,'큐펫&amp;몹 정리(최신)'!$B:$B,0))*40))))</f>
        <v>425</v>
      </c>
      <c r="O68" s="190">
        <f>IF($J68=1,INDEX('큐펫&amp;몹 정리(최신)'!T:T,MATCH($E68,'큐펫&amp;몹 정리(최신)'!$B:$B,0))*20,IF($J68=2,INDEX('큐펫&amp;몹 정리(최신)'!T:T,MATCH($E68,'큐펫&amp;몹 정리(최신)'!$B:$B,0))*25,IF($J68=3,INDEX('큐펫&amp;몹 정리(최신)'!T:T,MATCH($E68,'큐펫&amp;몹 정리(최신)'!$B:$B,0))*30,IF($J68=4,INDEX('큐펫&amp;몹 정리(최신)'!T:T,MATCH($E68,'큐펫&amp;몹 정리(최신)'!$B:$B,0))*35,INDEX('큐펫&amp;몹 정리(최신)'!T:T,MATCH($E68,'큐펫&amp;몹 정리(최신)'!$B:$B,0))*40))))</f>
        <v>225</v>
      </c>
      <c r="P68" s="217">
        <v>40</v>
      </c>
      <c r="Q68" s="217">
        <f t="shared" si="8"/>
        <v>72600</v>
      </c>
      <c r="R68" s="217">
        <f t="shared" si="9"/>
        <v>12113</v>
      </c>
      <c r="S68" s="217">
        <f t="shared" si="10"/>
        <v>9292</v>
      </c>
      <c r="T68" s="217">
        <f t="shared" si="11"/>
        <v>1053</v>
      </c>
      <c r="U68" s="217">
        <f t="shared" si="12"/>
        <v>23174</v>
      </c>
      <c r="V68" s="217">
        <f t="shared" si="13"/>
        <v>6162</v>
      </c>
      <c r="W68" s="217">
        <f>ROUND(AC68+(INDEX(Ref!B$1:B$9,MATCH($AI68,Ref!$A$1:$A$9,0))*P68*0.0001),)</f>
        <v>40</v>
      </c>
      <c r="X68" s="217">
        <f>ROUND(AD68+(INDEX(Ref!C$1:C$9,MATCH($AI68,Ref!$A$1:$A$9,0))*$P68*0.0001),)</f>
        <v>26</v>
      </c>
      <c r="Y68" s="217">
        <f>ROUND(AE68+(INDEX(Ref!D$1:D$9,MATCH($AI68,Ref!$A$1:$A$9,0))*$P68*0.0001),)</f>
        <v>69</v>
      </c>
      <c r="Z68" s="217">
        <f>ROUND(AF68+(INDEX(Ref!E$1:E$9,MATCH($AI68,Ref!$A$1:$A$9,0))*$P68*0.0001),)</f>
        <v>31</v>
      </c>
      <c r="AA68" s="217">
        <f>ROUND(AG68+(INDEX(Ref!F$1:F$9,MATCH($AI68,Ref!$A$1:$A$9,0))*$P68*0.0001),)</f>
        <v>35</v>
      </c>
      <c r="AB68" s="217">
        <f>ROUND(AH68+(INDEX(Ref!G$1:G$9,MATCH($AI68,Ref!$A$1:$A$9,0))*$P68*0.0001),)</f>
        <v>24</v>
      </c>
      <c r="AC68" s="137">
        <v>32</v>
      </c>
      <c r="AD68" s="137">
        <v>21</v>
      </c>
      <c r="AE68" s="137">
        <v>59</v>
      </c>
      <c r="AF68" s="137">
        <v>25</v>
      </c>
      <c r="AG68" s="137">
        <v>28</v>
      </c>
      <c r="AH68" s="137">
        <v>19</v>
      </c>
      <c r="AI68" s="208">
        <v>3</v>
      </c>
      <c r="AJ68" s="172">
        <v>3000</v>
      </c>
      <c r="AK68" s="172">
        <v>30080</v>
      </c>
      <c r="AL68" s="172">
        <v>2000</v>
      </c>
      <c r="AM68" s="172">
        <v>30082</v>
      </c>
      <c r="AN68" s="172">
        <v>0</v>
      </c>
      <c r="AO68" s="172">
        <f t="shared" si="6"/>
        <v>34080</v>
      </c>
      <c r="AP68" s="172">
        <v>0</v>
      </c>
      <c r="AQ68" s="172">
        <f t="shared" si="7"/>
        <v>34082</v>
      </c>
      <c r="AR68" s="172">
        <v>1</v>
      </c>
      <c r="AS68" s="172">
        <v>0</v>
      </c>
      <c r="AT68" s="199">
        <v>78014</v>
      </c>
      <c r="AU68" s="195" t="s">
        <v>121</v>
      </c>
    </row>
    <row r="69" spans="1:47" x14ac:dyDescent="0.2">
      <c r="A69" s="173">
        <v>55014</v>
      </c>
      <c r="B69" s="174" t="s">
        <v>119</v>
      </c>
      <c r="C69" s="172">
        <v>86014</v>
      </c>
      <c r="D69" s="172">
        <v>150014</v>
      </c>
      <c r="E69" s="206" t="s">
        <v>120</v>
      </c>
      <c r="F69" s="207">
        <v>5</v>
      </c>
      <c r="G69" s="172">
        <v>10000</v>
      </c>
      <c r="H69" s="172">
        <v>10000</v>
      </c>
      <c r="I69" s="172">
        <v>10000</v>
      </c>
      <c r="J69" s="172">
        <v>3</v>
      </c>
      <c r="K69" s="190">
        <f>IF($J69=1,INDEX('큐펫&amp;몹 정리(최신)'!P:P,MATCH($E69,'큐펫&amp;몹 정리(최신)'!$B:$B,0))*20,IF($J69=2,INDEX('큐펫&amp;몹 정리(최신)'!P:P,MATCH($E69,'큐펫&amp;몹 정리(최신)'!$B:$B,0))*25,IF($J69=3,INDEX('큐펫&amp;몹 정리(최신)'!P:P,MATCH($E69,'큐펫&amp;몹 정리(최신)'!$B:$B,0))*30,IF($J69=4,INDEX('큐펫&amp;몹 정리(최신)'!P:P,MATCH($E69,'큐펫&amp;몹 정리(최신)'!$B:$B,0))*35,INDEX('큐펫&amp;몹 정리(최신)'!P:P,MATCH($E69,'큐펫&amp;몹 정리(최신)'!$B:$B,0))*40))))</f>
        <v>1200</v>
      </c>
      <c r="L69" s="190">
        <f>IF($J69=1,INDEX('큐펫&amp;몹 정리(최신)'!Q:Q,MATCH($E69,'큐펫&amp;몹 정리(최신)'!$B:$B,0))*20,IF($J69=2,INDEX('큐펫&amp;몹 정리(최신)'!Q:Q,MATCH($E69,'큐펫&amp;몹 정리(최신)'!$B:$B,0))*25,IF($J69=3,INDEX('큐펫&amp;몹 정리(최신)'!Q:Q,MATCH($E69,'큐펫&amp;몹 정리(최신)'!$B:$B,0))*30,IF($J69=4,INDEX('큐펫&amp;몹 정리(최신)'!Q:Q,MATCH($E69,'큐펫&amp;몹 정리(최신)'!$B:$B,0))*35,INDEX('큐펫&amp;몹 정리(최신)'!Q:Q,MATCH($E69,'큐펫&amp;몹 정리(최신)'!$B:$B,0))*40))))</f>
        <v>900</v>
      </c>
      <c r="M69" s="190">
        <f>IF($J69=1,INDEX('큐펫&amp;몹 정리(최신)'!R:R,MATCH($E69,'큐펫&amp;몹 정리(최신)'!$B:$B,0))*20,IF($J69=2,INDEX('큐펫&amp;몹 정리(최신)'!R:R,MATCH($E69,'큐펫&amp;몹 정리(최신)'!$B:$B,0))*25,IF($J69=3,INDEX('큐펫&amp;몹 정리(최신)'!R:R,MATCH($E69,'큐펫&amp;몹 정리(최신)'!$B:$B,0))*30,IF($J69=4,INDEX('큐펫&amp;몹 정리(최신)'!R:R,MATCH($E69,'큐펫&amp;몹 정리(최신)'!$B:$B,0))*35,INDEX('큐펫&amp;몹 정리(최신)'!R:R,MATCH($E69,'큐펫&amp;몹 정리(최신)'!$B:$B,0))*40))))</f>
        <v>120</v>
      </c>
      <c r="N69" s="190">
        <f>IF($J69=1,INDEX('큐펫&amp;몹 정리(최신)'!S:S,MATCH($E69,'큐펫&amp;몹 정리(최신)'!$B:$B,0))*20,IF($J69=2,INDEX('큐펫&amp;몹 정리(최신)'!S:S,MATCH($E69,'큐펫&amp;몹 정리(최신)'!$B:$B,0))*25,IF($J69=3,INDEX('큐펫&amp;몹 정리(최신)'!S:S,MATCH($E69,'큐펫&amp;몹 정리(최신)'!$B:$B,0))*30,IF($J69=4,INDEX('큐펫&amp;몹 정리(최신)'!S:S,MATCH($E69,'큐펫&amp;몹 정리(최신)'!$B:$B,0))*35,INDEX('큐펫&amp;몹 정리(최신)'!S:S,MATCH($E69,'큐펫&amp;몹 정리(최신)'!$B:$B,0))*40))))</f>
        <v>510</v>
      </c>
      <c r="O69" s="190">
        <f>IF($J69=1,INDEX('큐펫&amp;몹 정리(최신)'!T:T,MATCH($E69,'큐펫&amp;몹 정리(최신)'!$B:$B,0))*20,IF($J69=2,INDEX('큐펫&amp;몹 정리(최신)'!T:T,MATCH($E69,'큐펫&amp;몹 정리(최신)'!$B:$B,0))*25,IF($J69=3,INDEX('큐펫&amp;몹 정리(최신)'!T:T,MATCH($E69,'큐펫&amp;몹 정리(최신)'!$B:$B,0))*30,IF($J69=4,INDEX('큐펫&amp;몹 정리(최신)'!T:T,MATCH($E69,'큐펫&amp;몹 정리(최신)'!$B:$B,0))*35,INDEX('큐펫&amp;몹 정리(최신)'!T:T,MATCH($E69,'큐펫&amp;몹 정리(최신)'!$B:$B,0))*40))))</f>
        <v>270</v>
      </c>
      <c r="P69" s="217">
        <v>60</v>
      </c>
      <c r="Q69" s="217">
        <f t="shared" si="8"/>
        <v>134160</v>
      </c>
      <c r="R69" s="217">
        <f t="shared" si="9"/>
        <v>20021</v>
      </c>
      <c r="S69" s="217">
        <f t="shared" si="10"/>
        <v>16007</v>
      </c>
      <c r="T69" s="217">
        <f t="shared" si="11"/>
        <v>1759</v>
      </c>
      <c r="U69" s="217">
        <f t="shared" si="12"/>
        <v>35204</v>
      </c>
      <c r="V69" s="217">
        <f t="shared" si="13"/>
        <v>9352</v>
      </c>
      <c r="W69" s="217">
        <f>ROUND(AC69+(INDEX(Ref!B$1:B$9,MATCH($AI69,Ref!$A$1:$A$9,0))*P69*0.0001),)</f>
        <v>47</v>
      </c>
      <c r="X69" s="217">
        <f>ROUND(AD69+(INDEX(Ref!C$1:C$9,MATCH($AI69,Ref!$A$1:$A$9,0))*$P69*0.0001),)</f>
        <v>31</v>
      </c>
      <c r="Y69" s="217">
        <f>ROUND(AE69+(INDEX(Ref!D$1:D$9,MATCH($AI69,Ref!$A$1:$A$9,0))*$P69*0.0001),)</f>
        <v>78</v>
      </c>
      <c r="Z69" s="217">
        <f>ROUND(AF69+(INDEX(Ref!E$1:E$9,MATCH($AI69,Ref!$A$1:$A$9,0))*$P69*0.0001),)</f>
        <v>37</v>
      </c>
      <c r="AA69" s="217">
        <f>ROUND(AG69+(INDEX(Ref!F$1:F$9,MATCH($AI69,Ref!$A$1:$A$9,0))*$P69*0.0001),)</f>
        <v>42</v>
      </c>
      <c r="AB69" s="217">
        <f>ROUND(AH69+(INDEX(Ref!G$1:G$9,MATCH($AI69,Ref!$A$1:$A$9,0))*$P69*0.0001),)</f>
        <v>28</v>
      </c>
      <c r="AC69" s="137">
        <v>36</v>
      </c>
      <c r="AD69" s="137">
        <v>23</v>
      </c>
      <c r="AE69" s="137">
        <v>64</v>
      </c>
      <c r="AF69" s="137">
        <v>28</v>
      </c>
      <c r="AG69" s="137">
        <v>32</v>
      </c>
      <c r="AH69" s="137">
        <v>21</v>
      </c>
      <c r="AI69" s="208">
        <v>3</v>
      </c>
      <c r="AJ69" s="172">
        <v>3000</v>
      </c>
      <c r="AK69" s="172">
        <v>30080</v>
      </c>
      <c r="AL69" s="172">
        <v>2000</v>
      </c>
      <c r="AM69" s="172">
        <v>30083</v>
      </c>
      <c r="AN69" s="172">
        <v>0</v>
      </c>
      <c r="AO69" s="172">
        <f t="shared" si="6"/>
        <v>34080</v>
      </c>
      <c r="AP69" s="172">
        <v>0</v>
      </c>
      <c r="AQ69" s="172">
        <f t="shared" si="7"/>
        <v>34083</v>
      </c>
      <c r="AR69" s="172">
        <v>1</v>
      </c>
      <c r="AS69" s="172">
        <v>0</v>
      </c>
      <c r="AT69" s="199">
        <v>78014</v>
      </c>
      <c r="AU69" s="195" t="s">
        <v>121</v>
      </c>
    </row>
    <row r="70" spans="1:47" x14ac:dyDescent="0.2">
      <c r="A70" s="173">
        <v>55014</v>
      </c>
      <c r="B70" s="174" t="s">
        <v>119</v>
      </c>
      <c r="C70" s="172">
        <v>86014</v>
      </c>
      <c r="D70" s="172">
        <v>150014</v>
      </c>
      <c r="E70" s="206" t="s">
        <v>120</v>
      </c>
      <c r="F70" s="207">
        <v>5</v>
      </c>
      <c r="G70" s="172">
        <v>10000</v>
      </c>
      <c r="H70" s="172">
        <v>10000</v>
      </c>
      <c r="I70" s="172">
        <v>10000</v>
      </c>
      <c r="J70" s="172">
        <v>4</v>
      </c>
      <c r="K70" s="190">
        <f>IF($J70=1,INDEX('큐펫&amp;몹 정리(최신)'!P:P,MATCH($E70,'큐펫&amp;몹 정리(최신)'!$B:$B,0))*20,IF($J70=2,INDEX('큐펫&amp;몹 정리(최신)'!P:P,MATCH($E70,'큐펫&amp;몹 정리(최신)'!$B:$B,0))*25,IF($J70=3,INDEX('큐펫&amp;몹 정리(최신)'!P:P,MATCH($E70,'큐펫&amp;몹 정리(최신)'!$B:$B,0))*30,IF($J70=4,INDEX('큐펫&amp;몹 정리(최신)'!P:P,MATCH($E70,'큐펫&amp;몹 정리(최신)'!$B:$B,0))*35,INDEX('큐펫&amp;몹 정리(최신)'!P:P,MATCH($E70,'큐펫&amp;몹 정리(최신)'!$B:$B,0))*40))))</f>
        <v>1400</v>
      </c>
      <c r="L70" s="190">
        <f>IF($J70=1,INDEX('큐펫&amp;몹 정리(최신)'!Q:Q,MATCH($E70,'큐펫&amp;몹 정리(최신)'!$B:$B,0))*20,IF($J70=2,INDEX('큐펫&amp;몹 정리(최신)'!Q:Q,MATCH($E70,'큐펫&amp;몹 정리(최신)'!$B:$B,0))*25,IF($J70=3,INDEX('큐펫&amp;몹 정리(최신)'!Q:Q,MATCH($E70,'큐펫&amp;몹 정리(최신)'!$B:$B,0))*30,IF($J70=4,INDEX('큐펫&amp;몹 정리(최신)'!Q:Q,MATCH($E70,'큐펫&amp;몹 정리(최신)'!$B:$B,0))*35,INDEX('큐펫&amp;몹 정리(최신)'!Q:Q,MATCH($E70,'큐펫&amp;몹 정리(최신)'!$B:$B,0))*40))))</f>
        <v>1050</v>
      </c>
      <c r="M70" s="190">
        <f>IF($J70=1,INDEX('큐펫&amp;몹 정리(최신)'!R:R,MATCH($E70,'큐펫&amp;몹 정리(최신)'!$B:$B,0))*20,IF($J70=2,INDEX('큐펫&amp;몹 정리(최신)'!R:R,MATCH($E70,'큐펫&amp;몹 정리(최신)'!$B:$B,0))*25,IF($J70=3,INDEX('큐펫&amp;몹 정리(최신)'!R:R,MATCH($E70,'큐펫&amp;몹 정리(최신)'!$B:$B,0))*30,IF($J70=4,INDEX('큐펫&amp;몹 정리(최신)'!R:R,MATCH($E70,'큐펫&amp;몹 정리(최신)'!$B:$B,0))*35,INDEX('큐펫&amp;몹 정리(최신)'!R:R,MATCH($E70,'큐펫&amp;몹 정리(최신)'!$B:$B,0))*40))))</f>
        <v>140</v>
      </c>
      <c r="N70" s="190">
        <f>IF($J70=1,INDEX('큐펫&amp;몹 정리(최신)'!S:S,MATCH($E70,'큐펫&amp;몹 정리(최신)'!$B:$B,0))*20,IF($J70=2,INDEX('큐펫&amp;몹 정리(최신)'!S:S,MATCH($E70,'큐펫&amp;몹 정리(최신)'!$B:$B,0))*25,IF($J70=3,INDEX('큐펫&amp;몹 정리(최신)'!S:S,MATCH($E70,'큐펫&amp;몹 정리(최신)'!$B:$B,0))*30,IF($J70=4,INDEX('큐펫&amp;몹 정리(최신)'!S:S,MATCH($E70,'큐펫&amp;몹 정리(최신)'!$B:$B,0))*35,INDEX('큐펫&amp;몹 정리(최신)'!S:S,MATCH($E70,'큐펫&amp;몹 정리(최신)'!$B:$B,0))*40))))</f>
        <v>595</v>
      </c>
      <c r="O70" s="190">
        <f>IF($J70=1,INDEX('큐펫&amp;몹 정리(최신)'!T:T,MATCH($E70,'큐펫&amp;몹 정리(최신)'!$B:$B,0))*20,IF($J70=2,INDEX('큐펫&amp;몹 정리(최신)'!T:T,MATCH($E70,'큐펫&amp;몹 정리(최신)'!$B:$B,0))*25,IF($J70=3,INDEX('큐펫&amp;몹 정리(최신)'!T:T,MATCH($E70,'큐펫&amp;몹 정리(최신)'!$B:$B,0))*30,IF($J70=4,INDEX('큐펫&amp;몹 정리(최신)'!T:T,MATCH($E70,'큐펫&amp;몹 정리(최신)'!$B:$B,0))*35,INDEX('큐펫&amp;몹 정리(최신)'!T:T,MATCH($E70,'큐펫&amp;몹 정리(최신)'!$B:$B,0))*40))))</f>
        <v>315</v>
      </c>
      <c r="P70" s="217">
        <v>80</v>
      </c>
      <c r="Q70" s="217">
        <f t="shared" si="8"/>
        <v>217560</v>
      </c>
      <c r="R70" s="217">
        <f t="shared" si="9"/>
        <v>30785</v>
      </c>
      <c r="S70" s="217">
        <f t="shared" si="10"/>
        <v>25368</v>
      </c>
      <c r="T70" s="217">
        <f t="shared" si="11"/>
        <v>2729</v>
      </c>
      <c r="U70" s="217">
        <f t="shared" si="12"/>
        <v>49996</v>
      </c>
      <c r="V70" s="217">
        <f t="shared" si="13"/>
        <v>13273</v>
      </c>
      <c r="W70" s="217">
        <f>ROUND(AC70+(INDEX(Ref!B$1:B$9,MATCH($AI70,Ref!$A$1:$A$9,0))*P70*0.0001),)</f>
        <v>54</v>
      </c>
      <c r="X70" s="217">
        <f>ROUND(AD70+(INDEX(Ref!C$1:C$9,MATCH($AI70,Ref!$A$1:$A$9,0))*$P70*0.0001),)</f>
        <v>36</v>
      </c>
      <c r="Y70" s="217">
        <f>ROUND(AE70+(INDEX(Ref!D$1:D$9,MATCH($AI70,Ref!$A$1:$A$9,0))*$P70*0.0001),)</f>
        <v>88</v>
      </c>
      <c r="Z70" s="217">
        <f>ROUND(AF70+(INDEX(Ref!E$1:E$9,MATCH($AI70,Ref!$A$1:$A$9,0))*$P70*0.0001),)</f>
        <v>43</v>
      </c>
      <c r="AA70" s="217">
        <f>ROUND(AG70+(INDEX(Ref!F$1:F$9,MATCH($AI70,Ref!$A$1:$A$9,0))*$P70*0.0001),)</f>
        <v>49</v>
      </c>
      <c r="AB70" s="217">
        <f>ROUND(AH70+(INDEX(Ref!G$1:G$9,MATCH($AI70,Ref!$A$1:$A$9,0))*$P70*0.0001),)</f>
        <v>34</v>
      </c>
      <c r="AC70" s="137">
        <v>39</v>
      </c>
      <c r="AD70" s="137">
        <v>26</v>
      </c>
      <c r="AE70" s="137">
        <v>69</v>
      </c>
      <c r="AF70" s="137">
        <v>31</v>
      </c>
      <c r="AG70" s="137">
        <v>35</v>
      </c>
      <c r="AH70" s="137">
        <v>24</v>
      </c>
      <c r="AI70" s="208">
        <v>3</v>
      </c>
      <c r="AJ70" s="172">
        <v>3000</v>
      </c>
      <c r="AK70" s="172">
        <v>30081</v>
      </c>
      <c r="AL70" s="172">
        <v>2000</v>
      </c>
      <c r="AM70" s="172">
        <v>30083</v>
      </c>
      <c r="AN70" s="172">
        <v>0</v>
      </c>
      <c r="AO70" s="172">
        <f t="shared" si="6"/>
        <v>34081</v>
      </c>
      <c r="AP70" s="172">
        <v>0</v>
      </c>
      <c r="AQ70" s="172">
        <f t="shared" si="7"/>
        <v>34083</v>
      </c>
      <c r="AR70" s="172">
        <v>1</v>
      </c>
      <c r="AS70" s="172">
        <v>0</v>
      </c>
      <c r="AT70" s="199">
        <v>78014</v>
      </c>
      <c r="AU70" s="195" t="s">
        <v>121</v>
      </c>
    </row>
    <row r="71" spans="1:47" x14ac:dyDescent="0.2">
      <c r="A71" s="173">
        <v>55014</v>
      </c>
      <c r="B71" s="174" t="s">
        <v>119</v>
      </c>
      <c r="C71" s="172">
        <v>86014</v>
      </c>
      <c r="D71" s="172">
        <v>150014</v>
      </c>
      <c r="E71" s="206" t="s">
        <v>120</v>
      </c>
      <c r="F71" s="207">
        <v>5</v>
      </c>
      <c r="G71" s="172">
        <v>10000</v>
      </c>
      <c r="H71" s="172">
        <v>10000</v>
      </c>
      <c r="I71" s="172">
        <v>10000</v>
      </c>
      <c r="J71" s="172">
        <v>5</v>
      </c>
      <c r="K71" s="190">
        <f>IF($J71=1,INDEX('큐펫&amp;몹 정리(최신)'!P:P,MATCH($E71,'큐펫&amp;몹 정리(최신)'!$B:$B,0))*20,IF($J71=2,INDEX('큐펫&amp;몹 정리(최신)'!P:P,MATCH($E71,'큐펫&amp;몹 정리(최신)'!$B:$B,0))*25,IF($J71=3,INDEX('큐펫&amp;몹 정리(최신)'!P:P,MATCH($E71,'큐펫&amp;몹 정리(최신)'!$B:$B,0))*30,IF($J71=4,INDEX('큐펫&amp;몹 정리(최신)'!P:P,MATCH($E71,'큐펫&amp;몹 정리(최신)'!$B:$B,0))*35,INDEX('큐펫&amp;몹 정리(최신)'!P:P,MATCH($E71,'큐펫&amp;몹 정리(최신)'!$B:$B,0))*40))))</f>
        <v>1600</v>
      </c>
      <c r="L71" s="190">
        <f>IF($J71=1,INDEX('큐펫&amp;몹 정리(최신)'!Q:Q,MATCH($E71,'큐펫&amp;몹 정리(최신)'!$B:$B,0))*20,IF($J71=2,INDEX('큐펫&amp;몹 정리(최신)'!Q:Q,MATCH($E71,'큐펫&amp;몹 정리(최신)'!$B:$B,0))*25,IF($J71=3,INDEX('큐펫&amp;몹 정리(최신)'!Q:Q,MATCH($E71,'큐펫&amp;몹 정리(최신)'!$B:$B,0))*30,IF($J71=4,INDEX('큐펫&amp;몹 정리(최신)'!Q:Q,MATCH($E71,'큐펫&amp;몹 정리(최신)'!$B:$B,0))*35,INDEX('큐펫&amp;몹 정리(최신)'!Q:Q,MATCH($E71,'큐펫&amp;몹 정리(최신)'!$B:$B,0))*40))))</f>
        <v>1200</v>
      </c>
      <c r="M71" s="190">
        <f>IF($J71=1,INDEX('큐펫&amp;몹 정리(최신)'!R:R,MATCH($E71,'큐펫&amp;몹 정리(최신)'!$B:$B,0))*20,IF($J71=2,INDEX('큐펫&amp;몹 정리(최신)'!R:R,MATCH($E71,'큐펫&amp;몹 정리(최신)'!$B:$B,0))*25,IF($J71=3,INDEX('큐펫&amp;몹 정리(최신)'!R:R,MATCH($E71,'큐펫&amp;몹 정리(최신)'!$B:$B,0))*30,IF($J71=4,INDEX('큐펫&amp;몹 정리(최신)'!R:R,MATCH($E71,'큐펫&amp;몹 정리(최신)'!$B:$B,0))*35,INDEX('큐펫&amp;몹 정리(최신)'!R:R,MATCH($E71,'큐펫&amp;몹 정리(최신)'!$B:$B,0))*40))))</f>
        <v>160</v>
      </c>
      <c r="N71" s="190">
        <f>IF($J71=1,INDEX('큐펫&amp;몹 정리(최신)'!S:S,MATCH($E71,'큐펫&amp;몹 정리(최신)'!$B:$B,0))*20,IF($J71=2,INDEX('큐펫&amp;몹 정리(최신)'!S:S,MATCH($E71,'큐펫&amp;몹 정리(최신)'!$B:$B,0))*25,IF($J71=3,INDEX('큐펫&amp;몹 정리(최신)'!S:S,MATCH($E71,'큐펫&amp;몹 정리(최신)'!$B:$B,0))*30,IF($J71=4,INDEX('큐펫&amp;몹 정리(최신)'!S:S,MATCH($E71,'큐펫&amp;몹 정리(최신)'!$B:$B,0))*35,INDEX('큐펫&amp;몹 정리(최신)'!S:S,MATCH($E71,'큐펫&amp;몹 정리(최신)'!$B:$B,0))*40))))</f>
        <v>680</v>
      </c>
      <c r="O71" s="190">
        <f>IF($J71=1,INDEX('큐펫&amp;몹 정리(최신)'!T:T,MATCH($E71,'큐펫&amp;몹 정리(최신)'!$B:$B,0))*20,IF($J71=2,INDEX('큐펫&amp;몹 정리(최신)'!T:T,MATCH($E71,'큐펫&amp;몹 정리(최신)'!$B:$B,0))*25,IF($J71=3,INDEX('큐펫&amp;몹 정리(최신)'!T:T,MATCH($E71,'큐펫&amp;몹 정리(최신)'!$B:$B,0))*30,IF($J71=4,INDEX('큐펫&amp;몹 정리(최신)'!T:T,MATCH($E71,'큐펫&amp;몹 정리(최신)'!$B:$B,0))*35,INDEX('큐펫&amp;몹 정리(최신)'!T:T,MATCH($E71,'큐펫&amp;몹 정리(최신)'!$B:$B,0))*40))))</f>
        <v>360</v>
      </c>
      <c r="P71" s="217">
        <v>100</v>
      </c>
      <c r="Q71" s="217">
        <f t="shared" si="8"/>
        <v>324800</v>
      </c>
      <c r="R71" s="217">
        <f t="shared" si="9"/>
        <v>46323</v>
      </c>
      <c r="S71" s="217">
        <f t="shared" si="10"/>
        <v>36483</v>
      </c>
      <c r="T71" s="217">
        <f t="shared" si="11"/>
        <v>4005</v>
      </c>
      <c r="U71" s="217">
        <f t="shared" si="12"/>
        <v>67339</v>
      </c>
      <c r="V71" s="217">
        <f t="shared" si="13"/>
        <v>17869</v>
      </c>
      <c r="W71" s="217">
        <f>ROUND(AC71+(INDEX(Ref!B$1:B$9,MATCH($AI71,Ref!$A$1:$A$9,0))*P71*0.0001),)</f>
        <v>62</v>
      </c>
      <c r="X71" s="217">
        <f>ROUND(AD71+(INDEX(Ref!C$1:C$9,MATCH($AI71,Ref!$A$1:$A$9,0))*$P71*0.0001),)</f>
        <v>42</v>
      </c>
      <c r="Y71" s="217">
        <f>ROUND(AE71+(INDEX(Ref!D$1:D$9,MATCH($AI71,Ref!$A$1:$A$9,0))*$P71*0.0001),)</f>
        <v>98</v>
      </c>
      <c r="Z71" s="217">
        <f>ROUND(AF71+(INDEX(Ref!E$1:E$9,MATCH($AI71,Ref!$A$1:$A$9,0))*$P71*0.0001),)</f>
        <v>49</v>
      </c>
      <c r="AA71" s="217">
        <f>ROUND(AG71+(INDEX(Ref!F$1:F$9,MATCH($AI71,Ref!$A$1:$A$9,0))*$P71*0.0001),)</f>
        <v>55</v>
      </c>
      <c r="AB71" s="217">
        <f>ROUND(AH71+(INDEX(Ref!G$1:G$9,MATCH($AI71,Ref!$A$1:$A$9,0))*$P71*0.0001),)</f>
        <v>38</v>
      </c>
      <c r="AC71" s="137">
        <v>43</v>
      </c>
      <c r="AD71" s="137">
        <v>29</v>
      </c>
      <c r="AE71" s="137">
        <v>74</v>
      </c>
      <c r="AF71" s="137">
        <v>34</v>
      </c>
      <c r="AG71" s="137">
        <v>38</v>
      </c>
      <c r="AH71" s="137">
        <v>26</v>
      </c>
      <c r="AI71" s="208">
        <v>3</v>
      </c>
      <c r="AJ71" s="172">
        <v>3000</v>
      </c>
      <c r="AK71" s="172">
        <v>30081</v>
      </c>
      <c r="AL71" s="172">
        <v>2000</v>
      </c>
      <c r="AM71" s="172">
        <v>30084</v>
      </c>
      <c r="AN71" s="172">
        <v>0</v>
      </c>
      <c r="AO71" s="172">
        <f t="shared" si="6"/>
        <v>34081</v>
      </c>
      <c r="AP71" s="172">
        <v>0</v>
      </c>
      <c r="AQ71" s="172">
        <f t="shared" si="7"/>
        <v>34084</v>
      </c>
      <c r="AR71" s="172">
        <v>1</v>
      </c>
      <c r="AS71" s="172">
        <v>0</v>
      </c>
      <c r="AT71" s="199">
        <v>78014</v>
      </c>
      <c r="AU71" s="195" t="s">
        <v>121</v>
      </c>
    </row>
    <row r="72" spans="1:47" x14ac:dyDescent="0.2">
      <c r="A72" s="173">
        <v>55015</v>
      </c>
      <c r="B72" s="174" t="s">
        <v>122</v>
      </c>
      <c r="C72" s="172">
        <v>86015</v>
      </c>
      <c r="D72" s="172">
        <v>150015</v>
      </c>
      <c r="E72" s="206" t="s">
        <v>123</v>
      </c>
      <c r="F72" s="207">
        <v>4</v>
      </c>
      <c r="G72" s="172">
        <v>8500</v>
      </c>
      <c r="H72" s="172">
        <v>8500</v>
      </c>
      <c r="I72" s="172">
        <v>10000</v>
      </c>
      <c r="J72" s="172">
        <v>1</v>
      </c>
      <c r="K72" s="190">
        <f>IF($J72=1,INDEX('큐펫&amp;몹 정리(최신)'!P:P,MATCH($E72,'큐펫&amp;몹 정리(최신)'!$B:$B,0))*20,IF($J72=2,INDEX('큐펫&amp;몹 정리(최신)'!P:P,MATCH($E72,'큐펫&amp;몹 정리(최신)'!$B:$B,0))*25,IF($J72=3,INDEX('큐펫&amp;몹 정리(최신)'!P:P,MATCH($E72,'큐펫&amp;몹 정리(최신)'!$B:$B,0))*30,IF($J72=4,INDEX('큐펫&amp;몹 정리(최신)'!P:P,MATCH($E72,'큐펫&amp;몹 정리(최신)'!$B:$B,0))*35,INDEX('큐펫&amp;몹 정리(최신)'!P:P,MATCH($E72,'큐펫&amp;몹 정리(최신)'!$B:$B,0))*40))))</f>
        <v>840</v>
      </c>
      <c r="L72" s="190">
        <f>IF($J72=1,INDEX('큐펫&amp;몹 정리(최신)'!Q:Q,MATCH($E72,'큐펫&amp;몹 정리(최신)'!$B:$B,0))*20,IF($J72=2,INDEX('큐펫&amp;몹 정리(최신)'!Q:Q,MATCH($E72,'큐펫&amp;몹 정리(최신)'!$B:$B,0))*25,IF($J72=3,INDEX('큐펫&amp;몹 정리(최신)'!Q:Q,MATCH($E72,'큐펫&amp;몹 정리(최신)'!$B:$B,0))*30,IF($J72=4,INDEX('큐펫&amp;몹 정리(최신)'!Q:Q,MATCH($E72,'큐펫&amp;몹 정리(최신)'!$B:$B,0))*35,INDEX('큐펫&amp;몹 정리(최신)'!Q:Q,MATCH($E72,'큐펫&amp;몹 정리(최신)'!$B:$B,0))*40))))</f>
        <v>80</v>
      </c>
      <c r="M72" s="190">
        <f>IF($J72=1,INDEX('큐펫&amp;몹 정리(최신)'!R:R,MATCH($E72,'큐펫&amp;몹 정리(최신)'!$B:$B,0))*20,IF($J72=2,INDEX('큐펫&amp;몹 정리(최신)'!R:R,MATCH($E72,'큐펫&amp;몹 정리(최신)'!$B:$B,0))*25,IF($J72=3,INDEX('큐펫&amp;몹 정리(최신)'!R:R,MATCH($E72,'큐펫&amp;몹 정리(최신)'!$B:$B,0))*30,IF($J72=4,INDEX('큐펫&amp;몹 정리(최신)'!R:R,MATCH($E72,'큐펫&amp;몹 정리(최신)'!$B:$B,0))*35,INDEX('큐펫&amp;몹 정리(최신)'!R:R,MATCH($E72,'큐펫&amp;몹 정리(최신)'!$B:$B,0))*40))))</f>
        <v>360</v>
      </c>
      <c r="N72" s="190">
        <f>IF($J72=1,INDEX('큐펫&amp;몹 정리(최신)'!S:S,MATCH($E72,'큐펫&amp;몹 정리(최신)'!$B:$B,0))*20,IF($J72=2,INDEX('큐펫&amp;몹 정리(최신)'!S:S,MATCH($E72,'큐펫&amp;몹 정리(최신)'!$B:$B,0))*25,IF($J72=3,INDEX('큐펫&amp;몹 정리(최신)'!S:S,MATCH($E72,'큐펫&amp;몹 정리(최신)'!$B:$B,0))*30,IF($J72=4,INDEX('큐펫&amp;몹 정리(최신)'!S:S,MATCH($E72,'큐펫&amp;몹 정리(최신)'!$B:$B,0))*35,INDEX('큐펫&amp;몹 정리(최신)'!S:S,MATCH($E72,'큐펫&amp;몹 정리(최신)'!$B:$B,0))*40))))</f>
        <v>280</v>
      </c>
      <c r="O72" s="190">
        <f>IF($J72=1,INDEX('큐펫&amp;몹 정리(최신)'!T:T,MATCH($E72,'큐펫&amp;몹 정리(최신)'!$B:$B,0))*20,IF($J72=2,INDEX('큐펫&amp;몹 정리(최신)'!T:T,MATCH($E72,'큐펫&amp;몹 정리(최신)'!$B:$B,0))*25,IF($J72=3,INDEX('큐펫&amp;몹 정리(최신)'!T:T,MATCH($E72,'큐펫&amp;몹 정리(최신)'!$B:$B,0))*30,IF($J72=4,INDEX('큐펫&amp;몹 정리(최신)'!T:T,MATCH($E72,'큐펫&amp;몹 정리(최신)'!$B:$B,0))*35,INDEX('큐펫&amp;몹 정리(최신)'!T:T,MATCH($E72,'큐펫&amp;몹 정리(최신)'!$B:$B,0))*40))))</f>
        <v>440</v>
      </c>
      <c r="P72" s="217">
        <v>20</v>
      </c>
      <c r="Q72" s="217">
        <f t="shared" si="8"/>
        <v>28224</v>
      </c>
      <c r="R72" s="217">
        <f t="shared" si="9"/>
        <v>418</v>
      </c>
      <c r="S72" s="217">
        <f t="shared" si="10"/>
        <v>704</v>
      </c>
      <c r="T72" s="217">
        <f t="shared" si="11"/>
        <v>4251</v>
      </c>
      <c r="U72" s="217">
        <f t="shared" si="12"/>
        <v>8827</v>
      </c>
      <c r="V72" s="217">
        <f t="shared" si="13"/>
        <v>6964</v>
      </c>
      <c r="W72" s="217">
        <f>ROUND(AC72+(INDEX(Ref!B$1:B$9,MATCH($AI72,Ref!$A$1:$A$9,0))*P72*0.0001),)</f>
        <v>21</v>
      </c>
      <c r="X72" s="217">
        <f>ROUND(AD72+(INDEX(Ref!C$1:C$9,MATCH($AI72,Ref!$A$1:$A$9,0))*$P72*0.0001),)</f>
        <v>26</v>
      </c>
      <c r="Y72" s="217">
        <f>ROUND(AE72+(INDEX(Ref!D$1:D$9,MATCH($AI72,Ref!$A$1:$A$9,0))*$P72*0.0001),)</f>
        <v>43</v>
      </c>
      <c r="Z72" s="217">
        <f>ROUND(AF72+(INDEX(Ref!E$1:E$9,MATCH($AI72,Ref!$A$1:$A$9,0))*$P72*0.0001),)</f>
        <v>34</v>
      </c>
      <c r="AA72" s="217">
        <f>ROUND(AG72+(INDEX(Ref!F$1:F$9,MATCH($AI72,Ref!$A$1:$A$9,0))*$P72*0.0001),)</f>
        <v>28</v>
      </c>
      <c r="AB72" s="217">
        <f>ROUND(AH72+(INDEX(Ref!G$1:G$9,MATCH($AI72,Ref!$A$1:$A$9,0))*$P72*0.0001),)</f>
        <v>32</v>
      </c>
      <c r="AC72" s="137">
        <v>18</v>
      </c>
      <c r="AD72" s="137">
        <v>23</v>
      </c>
      <c r="AE72" s="137">
        <v>40</v>
      </c>
      <c r="AF72" s="137">
        <v>30</v>
      </c>
      <c r="AG72" s="137">
        <v>25</v>
      </c>
      <c r="AH72" s="137">
        <v>28</v>
      </c>
      <c r="AI72" s="208">
        <v>8</v>
      </c>
      <c r="AJ72" s="172">
        <v>3000</v>
      </c>
      <c r="AK72" s="172">
        <v>30085</v>
      </c>
      <c r="AL72" s="172">
        <v>2000</v>
      </c>
      <c r="AM72" s="172">
        <v>30088</v>
      </c>
      <c r="AN72" s="172">
        <v>0</v>
      </c>
      <c r="AO72" s="172">
        <f t="shared" si="6"/>
        <v>34085</v>
      </c>
      <c r="AP72" s="172">
        <v>0</v>
      </c>
      <c r="AQ72" s="172">
        <f t="shared" si="7"/>
        <v>34088</v>
      </c>
      <c r="AR72" s="172">
        <v>1</v>
      </c>
      <c r="AS72" s="172">
        <v>0</v>
      </c>
      <c r="AT72" s="199">
        <v>78015</v>
      </c>
      <c r="AU72" s="195" t="s">
        <v>124</v>
      </c>
    </row>
    <row r="73" spans="1:47" x14ac:dyDescent="0.2">
      <c r="A73" s="173">
        <v>55015</v>
      </c>
      <c r="B73" s="174" t="s">
        <v>122</v>
      </c>
      <c r="C73" s="172">
        <v>86015</v>
      </c>
      <c r="D73" s="172">
        <v>150015</v>
      </c>
      <c r="E73" s="206" t="s">
        <v>123</v>
      </c>
      <c r="F73" s="207">
        <v>4</v>
      </c>
      <c r="G73" s="172">
        <v>8500</v>
      </c>
      <c r="H73" s="172">
        <v>8500</v>
      </c>
      <c r="I73" s="172">
        <v>10000</v>
      </c>
      <c r="J73" s="172">
        <v>2</v>
      </c>
      <c r="K73" s="190">
        <f>IF($J73=1,INDEX('큐펫&amp;몹 정리(최신)'!P:P,MATCH($E73,'큐펫&amp;몹 정리(최신)'!$B:$B,0))*20,IF($J73=2,INDEX('큐펫&amp;몹 정리(최신)'!P:P,MATCH($E73,'큐펫&amp;몹 정리(최신)'!$B:$B,0))*25,IF($J73=3,INDEX('큐펫&amp;몹 정리(최신)'!P:P,MATCH($E73,'큐펫&amp;몹 정리(최신)'!$B:$B,0))*30,IF($J73=4,INDEX('큐펫&amp;몹 정리(최신)'!P:P,MATCH($E73,'큐펫&amp;몹 정리(최신)'!$B:$B,0))*35,INDEX('큐펫&amp;몹 정리(최신)'!P:P,MATCH($E73,'큐펫&amp;몹 정리(최신)'!$B:$B,0))*40))))</f>
        <v>1050</v>
      </c>
      <c r="L73" s="190">
        <f>IF($J73=1,INDEX('큐펫&amp;몹 정리(최신)'!Q:Q,MATCH($E73,'큐펫&amp;몹 정리(최신)'!$B:$B,0))*20,IF($J73=2,INDEX('큐펫&amp;몹 정리(최신)'!Q:Q,MATCH($E73,'큐펫&amp;몹 정리(최신)'!$B:$B,0))*25,IF($J73=3,INDEX('큐펫&amp;몹 정리(최신)'!Q:Q,MATCH($E73,'큐펫&amp;몹 정리(최신)'!$B:$B,0))*30,IF($J73=4,INDEX('큐펫&amp;몹 정리(최신)'!Q:Q,MATCH($E73,'큐펫&amp;몹 정리(최신)'!$B:$B,0))*35,INDEX('큐펫&amp;몹 정리(최신)'!Q:Q,MATCH($E73,'큐펫&amp;몹 정리(최신)'!$B:$B,0))*40))))</f>
        <v>100</v>
      </c>
      <c r="M73" s="190">
        <f>IF($J73=1,INDEX('큐펫&amp;몹 정리(최신)'!R:R,MATCH($E73,'큐펫&amp;몹 정리(최신)'!$B:$B,0))*20,IF($J73=2,INDEX('큐펫&amp;몹 정리(최신)'!R:R,MATCH($E73,'큐펫&amp;몹 정리(최신)'!$B:$B,0))*25,IF($J73=3,INDEX('큐펫&amp;몹 정리(최신)'!R:R,MATCH($E73,'큐펫&amp;몹 정리(최신)'!$B:$B,0))*30,IF($J73=4,INDEX('큐펫&amp;몹 정리(최신)'!R:R,MATCH($E73,'큐펫&amp;몹 정리(최신)'!$B:$B,0))*35,INDEX('큐펫&amp;몹 정리(최신)'!R:R,MATCH($E73,'큐펫&amp;몹 정리(최신)'!$B:$B,0))*40))))</f>
        <v>450</v>
      </c>
      <c r="N73" s="190">
        <f>IF($J73=1,INDEX('큐펫&amp;몹 정리(최신)'!S:S,MATCH($E73,'큐펫&amp;몹 정리(최신)'!$B:$B,0))*20,IF($J73=2,INDEX('큐펫&amp;몹 정리(최신)'!S:S,MATCH($E73,'큐펫&amp;몹 정리(최신)'!$B:$B,0))*25,IF($J73=3,INDEX('큐펫&amp;몹 정리(최신)'!S:S,MATCH($E73,'큐펫&amp;몹 정리(최신)'!$B:$B,0))*30,IF($J73=4,INDEX('큐펫&amp;몹 정리(최신)'!S:S,MATCH($E73,'큐펫&amp;몹 정리(최신)'!$B:$B,0))*35,INDEX('큐펫&amp;몹 정리(최신)'!S:S,MATCH($E73,'큐펫&amp;몹 정리(최신)'!$B:$B,0))*40))))</f>
        <v>350</v>
      </c>
      <c r="O73" s="190">
        <f>IF($J73=1,INDEX('큐펫&amp;몹 정리(최신)'!T:T,MATCH($E73,'큐펫&amp;몹 정리(최신)'!$B:$B,0))*20,IF($J73=2,INDEX('큐펫&amp;몹 정리(최신)'!T:T,MATCH($E73,'큐펫&amp;몹 정리(최신)'!$B:$B,0))*25,IF($J73=3,INDEX('큐펫&amp;몹 정리(최신)'!T:T,MATCH($E73,'큐펫&amp;몹 정리(최신)'!$B:$B,0))*30,IF($J73=4,INDEX('큐펫&amp;몹 정리(최신)'!T:T,MATCH($E73,'큐펫&amp;몹 정리(최신)'!$B:$B,0))*35,INDEX('큐펫&amp;몹 정리(최신)'!T:T,MATCH($E73,'큐펫&amp;몹 정리(최신)'!$B:$B,0))*40))))</f>
        <v>550</v>
      </c>
      <c r="P73" s="217">
        <v>40</v>
      </c>
      <c r="Q73" s="217">
        <f t="shared" si="8"/>
        <v>67780</v>
      </c>
      <c r="R73" s="217">
        <f t="shared" si="9"/>
        <v>764</v>
      </c>
      <c r="S73" s="217">
        <f t="shared" si="10"/>
        <v>1329</v>
      </c>
      <c r="T73" s="217">
        <f t="shared" si="11"/>
        <v>8056</v>
      </c>
      <c r="U73" s="217">
        <f t="shared" si="12"/>
        <v>15584</v>
      </c>
      <c r="V73" s="217">
        <f t="shared" si="13"/>
        <v>12279</v>
      </c>
      <c r="W73" s="217">
        <f>ROUND(AC73+(INDEX(Ref!B$1:B$9,MATCH($AI73,Ref!$A$1:$A$9,0))*P73*0.0001),)</f>
        <v>26</v>
      </c>
      <c r="X73" s="217">
        <f>ROUND(AD73+(INDEX(Ref!C$1:C$9,MATCH($AI73,Ref!$A$1:$A$9,0))*$P73*0.0001),)</f>
        <v>32</v>
      </c>
      <c r="Y73" s="217">
        <f>ROUND(AE73+(INDEX(Ref!D$1:D$9,MATCH($AI73,Ref!$A$1:$A$9,0))*$P73*0.0001),)</f>
        <v>49</v>
      </c>
      <c r="Z73" s="217">
        <f>ROUND(AF73+(INDEX(Ref!E$1:E$9,MATCH($AI73,Ref!$A$1:$A$9,0))*$P73*0.0001),)</f>
        <v>42</v>
      </c>
      <c r="AA73" s="217">
        <f>ROUND(AG73+(INDEX(Ref!F$1:F$9,MATCH($AI73,Ref!$A$1:$A$9,0))*$P73*0.0001),)</f>
        <v>35</v>
      </c>
      <c r="AB73" s="217">
        <f>ROUND(AH73+(INDEX(Ref!G$1:G$9,MATCH($AI73,Ref!$A$1:$A$9,0))*$P73*0.0001),)</f>
        <v>40</v>
      </c>
      <c r="AC73" s="137">
        <v>21</v>
      </c>
      <c r="AD73" s="137">
        <v>26</v>
      </c>
      <c r="AE73" s="137">
        <v>43</v>
      </c>
      <c r="AF73" s="137">
        <v>34</v>
      </c>
      <c r="AG73" s="137">
        <v>28</v>
      </c>
      <c r="AH73" s="137">
        <v>32</v>
      </c>
      <c r="AI73" s="208">
        <v>8</v>
      </c>
      <c r="AJ73" s="172">
        <v>3000</v>
      </c>
      <c r="AK73" s="172">
        <v>30086</v>
      </c>
      <c r="AL73" s="172">
        <v>2000</v>
      </c>
      <c r="AM73" s="172">
        <v>30088</v>
      </c>
      <c r="AN73" s="172">
        <v>0</v>
      </c>
      <c r="AO73" s="172">
        <f t="shared" si="6"/>
        <v>34086</v>
      </c>
      <c r="AP73" s="172">
        <v>0</v>
      </c>
      <c r="AQ73" s="172">
        <f t="shared" si="7"/>
        <v>34088</v>
      </c>
      <c r="AR73" s="172">
        <v>1</v>
      </c>
      <c r="AS73" s="172">
        <v>0</v>
      </c>
      <c r="AT73" s="199">
        <v>78015</v>
      </c>
      <c r="AU73" s="195" t="s">
        <v>124</v>
      </c>
    </row>
    <row r="74" spans="1:47" x14ac:dyDescent="0.2">
      <c r="A74" s="173">
        <v>55015</v>
      </c>
      <c r="B74" s="174" t="s">
        <v>122</v>
      </c>
      <c r="C74" s="172">
        <v>86015</v>
      </c>
      <c r="D74" s="172">
        <v>150015</v>
      </c>
      <c r="E74" s="206" t="s">
        <v>123</v>
      </c>
      <c r="F74" s="207">
        <v>4</v>
      </c>
      <c r="G74" s="172">
        <v>8500</v>
      </c>
      <c r="H74" s="172">
        <v>8500</v>
      </c>
      <c r="I74" s="172">
        <v>10000</v>
      </c>
      <c r="J74" s="172">
        <v>3</v>
      </c>
      <c r="K74" s="190">
        <f>IF($J74=1,INDEX('큐펫&amp;몹 정리(최신)'!P:P,MATCH($E74,'큐펫&amp;몹 정리(최신)'!$B:$B,0))*20,IF($J74=2,INDEX('큐펫&amp;몹 정리(최신)'!P:P,MATCH($E74,'큐펫&amp;몹 정리(최신)'!$B:$B,0))*25,IF($J74=3,INDEX('큐펫&amp;몹 정리(최신)'!P:P,MATCH($E74,'큐펫&amp;몹 정리(최신)'!$B:$B,0))*30,IF($J74=4,INDEX('큐펫&amp;몹 정리(최신)'!P:P,MATCH($E74,'큐펫&amp;몹 정리(최신)'!$B:$B,0))*35,INDEX('큐펫&amp;몹 정리(최신)'!P:P,MATCH($E74,'큐펫&amp;몹 정리(최신)'!$B:$B,0))*40))))</f>
        <v>1260</v>
      </c>
      <c r="L74" s="190">
        <f>IF($J74=1,INDEX('큐펫&amp;몹 정리(최신)'!Q:Q,MATCH($E74,'큐펫&amp;몹 정리(최신)'!$B:$B,0))*20,IF($J74=2,INDEX('큐펫&amp;몹 정리(최신)'!Q:Q,MATCH($E74,'큐펫&amp;몹 정리(최신)'!$B:$B,0))*25,IF($J74=3,INDEX('큐펫&amp;몹 정리(최신)'!Q:Q,MATCH($E74,'큐펫&amp;몹 정리(최신)'!$B:$B,0))*30,IF($J74=4,INDEX('큐펫&amp;몹 정리(최신)'!Q:Q,MATCH($E74,'큐펫&amp;몹 정리(최신)'!$B:$B,0))*35,INDEX('큐펫&amp;몹 정리(최신)'!Q:Q,MATCH($E74,'큐펫&amp;몹 정리(최신)'!$B:$B,0))*40))))</f>
        <v>120</v>
      </c>
      <c r="M74" s="190">
        <f>IF($J74=1,INDEX('큐펫&amp;몹 정리(최신)'!R:R,MATCH($E74,'큐펫&amp;몹 정리(최신)'!$B:$B,0))*20,IF($J74=2,INDEX('큐펫&amp;몹 정리(최신)'!R:R,MATCH($E74,'큐펫&amp;몹 정리(최신)'!$B:$B,0))*25,IF($J74=3,INDEX('큐펫&amp;몹 정리(최신)'!R:R,MATCH($E74,'큐펫&amp;몹 정리(최신)'!$B:$B,0))*30,IF($J74=4,INDEX('큐펫&amp;몹 정리(최신)'!R:R,MATCH($E74,'큐펫&amp;몹 정리(최신)'!$B:$B,0))*35,INDEX('큐펫&amp;몹 정리(최신)'!R:R,MATCH($E74,'큐펫&amp;몹 정리(최신)'!$B:$B,0))*40))))</f>
        <v>540</v>
      </c>
      <c r="N74" s="190">
        <f>IF($J74=1,INDEX('큐펫&amp;몹 정리(최신)'!S:S,MATCH($E74,'큐펫&amp;몹 정리(최신)'!$B:$B,0))*20,IF($J74=2,INDEX('큐펫&amp;몹 정리(최신)'!S:S,MATCH($E74,'큐펫&amp;몹 정리(최신)'!$B:$B,0))*25,IF($J74=3,INDEX('큐펫&amp;몹 정리(최신)'!S:S,MATCH($E74,'큐펫&amp;몹 정리(최신)'!$B:$B,0))*30,IF($J74=4,INDEX('큐펫&amp;몹 정리(최신)'!S:S,MATCH($E74,'큐펫&amp;몹 정리(최신)'!$B:$B,0))*35,INDEX('큐펫&amp;몹 정리(최신)'!S:S,MATCH($E74,'큐펫&amp;몹 정리(최신)'!$B:$B,0))*40))))</f>
        <v>420</v>
      </c>
      <c r="O74" s="190">
        <f>IF($J74=1,INDEX('큐펫&amp;몹 정리(최신)'!T:T,MATCH($E74,'큐펫&amp;몹 정리(최신)'!$B:$B,0))*20,IF($J74=2,INDEX('큐펫&amp;몹 정리(최신)'!T:T,MATCH($E74,'큐펫&amp;몹 정리(최신)'!$B:$B,0))*25,IF($J74=3,INDEX('큐펫&amp;몹 정리(최신)'!T:T,MATCH($E74,'큐펫&amp;몹 정리(최신)'!$B:$B,0))*30,IF($J74=4,INDEX('큐펫&amp;몹 정리(최신)'!T:T,MATCH($E74,'큐펫&amp;몹 정리(최신)'!$B:$B,0))*35,INDEX('큐펫&amp;몹 정리(최신)'!T:T,MATCH($E74,'큐펫&amp;몹 정리(최신)'!$B:$B,0))*40))))</f>
        <v>660</v>
      </c>
      <c r="P74" s="217">
        <v>60</v>
      </c>
      <c r="Q74" s="217">
        <f t="shared" si="8"/>
        <v>122724</v>
      </c>
      <c r="R74" s="217">
        <f t="shared" si="9"/>
        <v>1265</v>
      </c>
      <c r="S74" s="217">
        <f t="shared" si="10"/>
        <v>2247</v>
      </c>
      <c r="T74" s="217">
        <f t="shared" si="11"/>
        <v>13647</v>
      </c>
      <c r="U74" s="217">
        <f t="shared" si="12"/>
        <v>23951</v>
      </c>
      <c r="V74" s="217">
        <f t="shared" si="13"/>
        <v>18860</v>
      </c>
      <c r="W74" s="217">
        <f>ROUND(AC74+(INDEX(Ref!B$1:B$9,MATCH($AI74,Ref!$A$1:$A$9,0))*P74*0.0001),)</f>
        <v>31</v>
      </c>
      <c r="X74" s="217">
        <f>ROUND(AD74+(INDEX(Ref!C$1:C$9,MATCH($AI74,Ref!$A$1:$A$9,0))*$P74*0.0001),)</f>
        <v>40</v>
      </c>
      <c r="Y74" s="217">
        <f>ROUND(AE74+(INDEX(Ref!D$1:D$9,MATCH($AI74,Ref!$A$1:$A$9,0))*$P74*0.0001),)</f>
        <v>54</v>
      </c>
      <c r="Z74" s="217">
        <f>ROUND(AF74+(INDEX(Ref!E$1:E$9,MATCH($AI74,Ref!$A$1:$A$9,0))*$P74*0.0001),)</f>
        <v>50</v>
      </c>
      <c r="AA74" s="217">
        <f>ROUND(AG74+(INDEX(Ref!F$1:F$9,MATCH($AI74,Ref!$A$1:$A$9,0))*$P74*0.0001),)</f>
        <v>42</v>
      </c>
      <c r="AB74" s="217">
        <f>ROUND(AH74+(INDEX(Ref!G$1:G$9,MATCH($AI74,Ref!$A$1:$A$9,0))*$P74*0.0001),)</f>
        <v>47</v>
      </c>
      <c r="AC74" s="137">
        <v>23</v>
      </c>
      <c r="AD74" s="137">
        <v>30</v>
      </c>
      <c r="AE74" s="137">
        <v>45</v>
      </c>
      <c r="AF74" s="137">
        <v>38</v>
      </c>
      <c r="AG74" s="137">
        <v>32</v>
      </c>
      <c r="AH74" s="137">
        <v>36</v>
      </c>
      <c r="AI74" s="208">
        <v>8</v>
      </c>
      <c r="AJ74" s="172">
        <v>3000</v>
      </c>
      <c r="AK74" s="172">
        <v>30086</v>
      </c>
      <c r="AL74" s="172">
        <v>2000</v>
      </c>
      <c r="AM74" s="172">
        <v>30089</v>
      </c>
      <c r="AN74" s="172">
        <v>0</v>
      </c>
      <c r="AO74" s="172">
        <f t="shared" si="6"/>
        <v>34086</v>
      </c>
      <c r="AP74" s="172">
        <v>0</v>
      </c>
      <c r="AQ74" s="172">
        <f t="shared" si="7"/>
        <v>34089</v>
      </c>
      <c r="AR74" s="172">
        <v>1</v>
      </c>
      <c r="AS74" s="172">
        <v>0</v>
      </c>
      <c r="AT74" s="199">
        <v>78015</v>
      </c>
      <c r="AU74" s="195" t="s">
        <v>124</v>
      </c>
    </row>
    <row r="75" spans="1:47" x14ac:dyDescent="0.2">
      <c r="A75" s="173">
        <v>55015</v>
      </c>
      <c r="B75" s="174" t="s">
        <v>122</v>
      </c>
      <c r="C75" s="172">
        <v>86015</v>
      </c>
      <c r="D75" s="172">
        <v>150015</v>
      </c>
      <c r="E75" s="206" t="s">
        <v>123</v>
      </c>
      <c r="F75" s="207">
        <v>4</v>
      </c>
      <c r="G75" s="172">
        <v>8500</v>
      </c>
      <c r="H75" s="172">
        <v>8500</v>
      </c>
      <c r="I75" s="172">
        <v>10000</v>
      </c>
      <c r="J75" s="172">
        <v>4</v>
      </c>
      <c r="K75" s="190">
        <f>IF($J75=1,INDEX('큐펫&amp;몹 정리(최신)'!P:P,MATCH($E75,'큐펫&amp;몹 정리(최신)'!$B:$B,0))*20,IF($J75=2,INDEX('큐펫&amp;몹 정리(최신)'!P:P,MATCH($E75,'큐펫&amp;몹 정리(최신)'!$B:$B,0))*25,IF($J75=3,INDEX('큐펫&amp;몹 정리(최신)'!P:P,MATCH($E75,'큐펫&amp;몹 정리(최신)'!$B:$B,0))*30,IF($J75=4,INDEX('큐펫&amp;몹 정리(최신)'!P:P,MATCH($E75,'큐펫&amp;몹 정리(최신)'!$B:$B,0))*35,INDEX('큐펫&amp;몹 정리(최신)'!P:P,MATCH($E75,'큐펫&amp;몹 정리(최신)'!$B:$B,0))*40))))</f>
        <v>1470</v>
      </c>
      <c r="L75" s="190">
        <f>IF($J75=1,INDEX('큐펫&amp;몹 정리(최신)'!Q:Q,MATCH($E75,'큐펫&amp;몹 정리(최신)'!$B:$B,0))*20,IF($J75=2,INDEX('큐펫&amp;몹 정리(최신)'!Q:Q,MATCH($E75,'큐펫&amp;몹 정리(최신)'!$B:$B,0))*25,IF($J75=3,INDEX('큐펫&amp;몹 정리(최신)'!Q:Q,MATCH($E75,'큐펫&amp;몹 정리(최신)'!$B:$B,0))*30,IF($J75=4,INDEX('큐펫&amp;몹 정리(최신)'!Q:Q,MATCH($E75,'큐펫&amp;몹 정리(최신)'!$B:$B,0))*35,INDEX('큐펫&amp;몹 정리(최신)'!Q:Q,MATCH($E75,'큐펫&amp;몹 정리(최신)'!$B:$B,0))*40))))</f>
        <v>140</v>
      </c>
      <c r="M75" s="190">
        <f>IF($J75=1,INDEX('큐펫&amp;몹 정리(최신)'!R:R,MATCH($E75,'큐펫&amp;몹 정리(최신)'!$B:$B,0))*20,IF($J75=2,INDEX('큐펫&amp;몹 정리(최신)'!R:R,MATCH($E75,'큐펫&amp;몹 정리(최신)'!$B:$B,0))*25,IF($J75=3,INDEX('큐펫&amp;몹 정리(최신)'!R:R,MATCH($E75,'큐펫&amp;몹 정리(최신)'!$B:$B,0))*30,IF($J75=4,INDEX('큐펫&amp;몹 정리(최신)'!R:R,MATCH($E75,'큐펫&amp;몹 정리(최신)'!$B:$B,0))*35,INDEX('큐펫&amp;몹 정리(최신)'!R:R,MATCH($E75,'큐펫&amp;몹 정리(최신)'!$B:$B,0))*40))))</f>
        <v>630</v>
      </c>
      <c r="N75" s="190">
        <f>IF($J75=1,INDEX('큐펫&amp;몹 정리(최신)'!S:S,MATCH($E75,'큐펫&amp;몹 정리(최신)'!$B:$B,0))*20,IF($J75=2,INDEX('큐펫&amp;몹 정리(최신)'!S:S,MATCH($E75,'큐펫&amp;몹 정리(최신)'!$B:$B,0))*25,IF($J75=3,INDEX('큐펫&amp;몹 정리(최신)'!S:S,MATCH($E75,'큐펫&amp;몹 정리(최신)'!$B:$B,0))*30,IF($J75=4,INDEX('큐펫&amp;몹 정리(최신)'!S:S,MATCH($E75,'큐펫&amp;몹 정리(최신)'!$B:$B,0))*35,INDEX('큐펫&amp;몹 정리(최신)'!S:S,MATCH($E75,'큐펫&amp;몹 정리(최신)'!$B:$B,0))*40))))</f>
        <v>490</v>
      </c>
      <c r="O75" s="190">
        <f>IF($J75=1,INDEX('큐펫&amp;몹 정리(최신)'!T:T,MATCH($E75,'큐펫&amp;몹 정리(최신)'!$B:$B,0))*20,IF($J75=2,INDEX('큐펫&amp;몹 정리(최신)'!T:T,MATCH($E75,'큐펫&amp;몹 정리(최신)'!$B:$B,0))*25,IF($J75=3,INDEX('큐펫&amp;몹 정리(최신)'!T:T,MATCH($E75,'큐펫&amp;몹 정리(최신)'!$B:$B,0))*30,IF($J75=4,INDEX('큐펫&amp;몹 정리(최신)'!T:T,MATCH($E75,'큐펫&amp;몹 정리(최신)'!$B:$B,0))*35,INDEX('큐펫&amp;몹 정리(최신)'!T:T,MATCH($E75,'큐펫&amp;몹 정리(최신)'!$B:$B,0))*40))))</f>
        <v>770</v>
      </c>
      <c r="P75" s="217">
        <v>80</v>
      </c>
      <c r="Q75" s="217">
        <f t="shared" si="8"/>
        <v>196636</v>
      </c>
      <c r="R75" s="217">
        <f t="shared" si="9"/>
        <v>1949</v>
      </c>
      <c r="S75" s="217">
        <f t="shared" si="10"/>
        <v>3519</v>
      </c>
      <c r="T75" s="217">
        <f t="shared" si="11"/>
        <v>21368</v>
      </c>
      <c r="U75" s="217">
        <f t="shared" si="12"/>
        <v>34558</v>
      </c>
      <c r="V75" s="217">
        <f t="shared" si="13"/>
        <v>27200</v>
      </c>
      <c r="W75" s="217">
        <f>ROUND(AC75+(INDEX(Ref!B$1:B$9,MATCH($AI75,Ref!$A$1:$A$9,0))*P75*0.0001),)</f>
        <v>36</v>
      </c>
      <c r="X75" s="217">
        <f>ROUND(AD75+(INDEX(Ref!C$1:C$9,MATCH($AI75,Ref!$A$1:$A$9,0))*$P75*0.0001),)</f>
        <v>46</v>
      </c>
      <c r="Y75" s="217">
        <f>ROUND(AE75+(INDEX(Ref!D$1:D$9,MATCH($AI75,Ref!$A$1:$A$9,0))*$P75*0.0001),)</f>
        <v>61</v>
      </c>
      <c r="Z75" s="217">
        <f>ROUND(AF75+(INDEX(Ref!E$1:E$9,MATCH($AI75,Ref!$A$1:$A$9,0))*$P75*0.0001),)</f>
        <v>58</v>
      </c>
      <c r="AA75" s="217">
        <f>ROUND(AG75+(INDEX(Ref!F$1:F$9,MATCH($AI75,Ref!$A$1:$A$9,0))*$P75*0.0001),)</f>
        <v>49</v>
      </c>
      <c r="AB75" s="217">
        <f>ROUND(AH75+(INDEX(Ref!G$1:G$9,MATCH($AI75,Ref!$A$1:$A$9,0))*$P75*0.0001),)</f>
        <v>54</v>
      </c>
      <c r="AC75" s="137">
        <v>26</v>
      </c>
      <c r="AD75" s="137">
        <v>33</v>
      </c>
      <c r="AE75" s="137">
        <v>49</v>
      </c>
      <c r="AF75" s="137">
        <v>42</v>
      </c>
      <c r="AG75" s="137">
        <v>35</v>
      </c>
      <c r="AH75" s="137">
        <v>39</v>
      </c>
      <c r="AI75" s="208">
        <v>8</v>
      </c>
      <c r="AJ75" s="172">
        <v>3000</v>
      </c>
      <c r="AK75" s="172">
        <v>30087</v>
      </c>
      <c r="AL75" s="172">
        <v>2000</v>
      </c>
      <c r="AM75" s="172">
        <v>30089</v>
      </c>
      <c r="AN75" s="172">
        <v>0</v>
      </c>
      <c r="AO75" s="172">
        <f t="shared" si="6"/>
        <v>34087</v>
      </c>
      <c r="AP75" s="172">
        <v>0</v>
      </c>
      <c r="AQ75" s="172">
        <f t="shared" si="7"/>
        <v>34089</v>
      </c>
      <c r="AR75" s="172">
        <v>1</v>
      </c>
      <c r="AS75" s="172">
        <v>0</v>
      </c>
      <c r="AT75" s="199">
        <v>78015</v>
      </c>
      <c r="AU75" s="195" t="s">
        <v>124</v>
      </c>
    </row>
    <row r="76" spans="1:47" x14ac:dyDescent="0.2">
      <c r="A76" s="173">
        <v>55015</v>
      </c>
      <c r="B76" s="174" t="s">
        <v>122</v>
      </c>
      <c r="C76" s="172">
        <v>86015</v>
      </c>
      <c r="D76" s="172">
        <v>150015</v>
      </c>
      <c r="E76" s="206" t="s">
        <v>123</v>
      </c>
      <c r="F76" s="207">
        <v>4</v>
      </c>
      <c r="G76" s="172">
        <v>8500</v>
      </c>
      <c r="H76" s="172">
        <v>8500</v>
      </c>
      <c r="I76" s="172">
        <v>10000</v>
      </c>
      <c r="J76" s="172">
        <v>5</v>
      </c>
      <c r="K76" s="190">
        <f>IF($J76=1,INDEX('큐펫&amp;몹 정리(최신)'!P:P,MATCH($E76,'큐펫&amp;몹 정리(최신)'!$B:$B,0))*20,IF($J76=2,INDEX('큐펫&amp;몹 정리(최신)'!P:P,MATCH($E76,'큐펫&amp;몹 정리(최신)'!$B:$B,0))*25,IF($J76=3,INDEX('큐펫&amp;몹 정리(최신)'!P:P,MATCH($E76,'큐펫&amp;몹 정리(최신)'!$B:$B,0))*30,IF($J76=4,INDEX('큐펫&amp;몹 정리(최신)'!P:P,MATCH($E76,'큐펫&amp;몹 정리(최신)'!$B:$B,0))*35,INDEX('큐펫&amp;몹 정리(최신)'!P:P,MATCH($E76,'큐펫&amp;몹 정리(최신)'!$B:$B,0))*40))))</f>
        <v>1680</v>
      </c>
      <c r="L76" s="190">
        <f>IF($J76=1,INDEX('큐펫&amp;몹 정리(최신)'!Q:Q,MATCH($E76,'큐펫&amp;몹 정리(최신)'!$B:$B,0))*20,IF($J76=2,INDEX('큐펫&amp;몹 정리(최신)'!Q:Q,MATCH($E76,'큐펫&amp;몹 정리(최신)'!$B:$B,0))*25,IF($J76=3,INDEX('큐펫&amp;몹 정리(최신)'!Q:Q,MATCH($E76,'큐펫&amp;몹 정리(최신)'!$B:$B,0))*30,IF($J76=4,INDEX('큐펫&amp;몹 정리(최신)'!Q:Q,MATCH($E76,'큐펫&amp;몹 정리(최신)'!$B:$B,0))*35,INDEX('큐펫&amp;몹 정리(최신)'!Q:Q,MATCH($E76,'큐펫&amp;몹 정리(최신)'!$B:$B,0))*40))))</f>
        <v>160</v>
      </c>
      <c r="M76" s="190">
        <f>IF($J76=1,INDEX('큐펫&amp;몹 정리(최신)'!R:R,MATCH($E76,'큐펫&amp;몹 정리(최신)'!$B:$B,0))*20,IF($J76=2,INDEX('큐펫&amp;몹 정리(최신)'!R:R,MATCH($E76,'큐펫&amp;몹 정리(최신)'!$B:$B,0))*25,IF($J76=3,INDEX('큐펫&amp;몹 정리(최신)'!R:R,MATCH($E76,'큐펫&amp;몹 정리(최신)'!$B:$B,0))*30,IF($J76=4,INDEX('큐펫&amp;몹 정리(최신)'!R:R,MATCH($E76,'큐펫&amp;몹 정리(최신)'!$B:$B,0))*35,INDEX('큐펫&amp;몹 정리(최신)'!R:R,MATCH($E76,'큐펫&amp;몹 정리(최신)'!$B:$B,0))*40))))</f>
        <v>720</v>
      </c>
      <c r="N76" s="190">
        <f>IF($J76=1,INDEX('큐펫&amp;몹 정리(최신)'!S:S,MATCH($E76,'큐펫&amp;몹 정리(최신)'!$B:$B,0))*20,IF($J76=2,INDEX('큐펫&amp;몹 정리(최신)'!S:S,MATCH($E76,'큐펫&amp;몹 정리(최신)'!$B:$B,0))*25,IF($J76=3,INDEX('큐펫&amp;몹 정리(최신)'!S:S,MATCH($E76,'큐펫&amp;몹 정리(최신)'!$B:$B,0))*30,IF($J76=4,INDEX('큐펫&amp;몹 정리(최신)'!S:S,MATCH($E76,'큐펫&amp;몹 정리(최신)'!$B:$B,0))*35,INDEX('큐펫&amp;몹 정리(최신)'!S:S,MATCH($E76,'큐펫&amp;몹 정리(최신)'!$B:$B,0))*40))))</f>
        <v>560</v>
      </c>
      <c r="O76" s="190">
        <f>IF($J76=1,INDEX('큐펫&amp;몹 정리(최신)'!T:T,MATCH($E76,'큐펫&amp;몹 정리(최신)'!$B:$B,0))*20,IF($J76=2,INDEX('큐펫&amp;몹 정리(최신)'!T:T,MATCH($E76,'큐펫&amp;몹 정리(최신)'!$B:$B,0))*25,IF($J76=3,INDEX('큐펫&amp;몹 정리(최신)'!T:T,MATCH($E76,'큐펫&amp;몹 정리(최신)'!$B:$B,0))*30,IF($J76=4,INDEX('큐펫&amp;몹 정리(최신)'!T:T,MATCH($E76,'큐펫&amp;몹 정리(최신)'!$B:$B,0))*35,INDEX('큐펫&amp;몹 정리(최신)'!T:T,MATCH($E76,'큐펫&amp;몹 정리(최신)'!$B:$B,0))*40))))</f>
        <v>880</v>
      </c>
      <c r="P76" s="217">
        <v>100</v>
      </c>
      <c r="Q76" s="217">
        <f t="shared" si="8"/>
        <v>287280</v>
      </c>
      <c r="R76" s="217">
        <f t="shared" si="9"/>
        <v>2982</v>
      </c>
      <c r="S76" s="217">
        <f t="shared" si="10"/>
        <v>5202</v>
      </c>
      <c r="T76" s="217">
        <f t="shared" si="11"/>
        <v>31567</v>
      </c>
      <c r="U76" s="217">
        <f t="shared" si="12"/>
        <v>46495</v>
      </c>
      <c r="V76" s="217">
        <f t="shared" si="13"/>
        <v>36586</v>
      </c>
      <c r="W76" s="217">
        <f>ROUND(AC76+(INDEX(Ref!B$1:B$9,MATCH($AI76,Ref!$A$1:$A$9,0))*P76*0.0001),)</f>
        <v>42</v>
      </c>
      <c r="X76" s="217">
        <f>ROUND(AD76+(INDEX(Ref!C$1:C$9,MATCH($AI76,Ref!$A$1:$A$9,0))*$P76*0.0001),)</f>
        <v>52</v>
      </c>
      <c r="Y76" s="217">
        <f>ROUND(AE76+(INDEX(Ref!D$1:D$9,MATCH($AI76,Ref!$A$1:$A$9,0))*$P76*0.0001),)</f>
        <v>66</v>
      </c>
      <c r="Z76" s="217">
        <f>ROUND(AF76+(INDEX(Ref!E$1:E$9,MATCH($AI76,Ref!$A$1:$A$9,0))*$P76*0.0001),)</f>
        <v>66</v>
      </c>
      <c r="AA76" s="217">
        <f>ROUND(AG76+(INDEX(Ref!F$1:F$9,MATCH($AI76,Ref!$A$1:$A$9,0))*$P76*0.0001),)</f>
        <v>56</v>
      </c>
      <c r="AB76" s="217">
        <f>ROUND(AH76+(INDEX(Ref!G$1:G$9,MATCH($AI76,Ref!$A$1:$A$9,0))*$P76*0.0001),)</f>
        <v>62</v>
      </c>
      <c r="AC76" s="137">
        <v>29</v>
      </c>
      <c r="AD76" s="137">
        <v>36</v>
      </c>
      <c r="AE76" s="137">
        <v>51</v>
      </c>
      <c r="AF76" s="137">
        <v>46</v>
      </c>
      <c r="AG76" s="137">
        <v>39</v>
      </c>
      <c r="AH76" s="137">
        <v>43</v>
      </c>
      <c r="AI76" s="208">
        <v>8</v>
      </c>
      <c r="AJ76" s="172">
        <v>3000</v>
      </c>
      <c r="AK76" s="172">
        <v>30087</v>
      </c>
      <c r="AL76" s="172">
        <v>2000</v>
      </c>
      <c r="AM76" s="172">
        <v>30090</v>
      </c>
      <c r="AN76" s="172">
        <v>0</v>
      </c>
      <c r="AO76" s="172">
        <f t="shared" si="6"/>
        <v>34087</v>
      </c>
      <c r="AP76" s="172">
        <v>0</v>
      </c>
      <c r="AQ76" s="172">
        <f t="shared" si="7"/>
        <v>34090</v>
      </c>
      <c r="AR76" s="172">
        <v>1</v>
      </c>
      <c r="AS76" s="172">
        <v>0</v>
      </c>
      <c r="AT76" s="199">
        <v>78015</v>
      </c>
      <c r="AU76" s="195" t="s">
        <v>124</v>
      </c>
    </row>
    <row r="77" spans="1:47" x14ac:dyDescent="0.2">
      <c r="A77" s="173">
        <v>55016</v>
      </c>
      <c r="B77" s="174" t="s">
        <v>125</v>
      </c>
      <c r="C77" s="172">
        <v>86016</v>
      </c>
      <c r="D77" s="172">
        <v>150016</v>
      </c>
      <c r="E77" s="206" t="s">
        <v>126</v>
      </c>
      <c r="F77" s="207">
        <v>5</v>
      </c>
      <c r="G77" s="172">
        <v>13000</v>
      </c>
      <c r="H77" s="172">
        <v>9000</v>
      </c>
      <c r="I77" s="172">
        <v>10000</v>
      </c>
      <c r="J77" s="172">
        <v>1</v>
      </c>
      <c r="K77" s="190">
        <f>IF($J77=1,INDEX('큐펫&amp;몹 정리(최신)'!P:P,MATCH($E77,'큐펫&amp;몹 정리(최신)'!$B:$B,0))*20,IF($J77=2,INDEX('큐펫&amp;몹 정리(최신)'!P:P,MATCH($E77,'큐펫&amp;몹 정리(최신)'!$B:$B,0))*25,IF($J77=3,INDEX('큐펫&amp;몹 정리(최신)'!P:P,MATCH($E77,'큐펫&amp;몹 정리(최신)'!$B:$B,0))*30,IF($J77=4,INDEX('큐펫&amp;몹 정리(최신)'!P:P,MATCH($E77,'큐펫&amp;몹 정리(최신)'!$B:$B,0))*35,INDEX('큐펫&amp;몹 정리(최신)'!P:P,MATCH($E77,'큐펫&amp;몹 정리(최신)'!$B:$B,0))*40))))</f>
        <v>800</v>
      </c>
      <c r="L77" s="190">
        <f>IF($J77=1,INDEX('큐펫&amp;몹 정리(최신)'!Q:Q,MATCH($E77,'큐펫&amp;몹 정리(최신)'!$B:$B,0))*20,IF($J77=2,INDEX('큐펫&amp;몹 정리(최신)'!Q:Q,MATCH($E77,'큐펫&amp;몹 정리(최신)'!$B:$B,0))*25,IF($J77=3,INDEX('큐펫&amp;몹 정리(최신)'!Q:Q,MATCH($E77,'큐펫&amp;몹 정리(최신)'!$B:$B,0))*30,IF($J77=4,INDEX('큐펫&amp;몹 정리(최신)'!Q:Q,MATCH($E77,'큐펫&amp;몹 정리(최신)'!$B:$B,0))*35,INDEX('큐펫&amp;몹 정리(최신)'!Q:Q,MATCH($E77,'큐펫&amp;몹 정리(최신)'!$B:$B,0))*40))))</f>
        <v>220</v>
      </c>
      <c r="M77" s="190">
        <f>IF($J77=1,INDEX('큐펫&amp;몹 정리(최신)'!R:R,MATCH($E77,'큐펫&amp;몹 정리(최신)'!$B:$B,0))*20,IF($J77=2,INDEX('큐펫&amp;몹 정리(최신)'!R:R,MATCH($E77,'큐펫&amp;몹 정리(최신)'!$B:$B,0))*25,IF($J77=3,INDEX('큐펫&amp;몹 정리(최신)'!R:R,MATCH($E77,'큐펫&amp;몹 정리(최신)'!$B:$B,0))*30,IF($J77=4,INDEX('큐펫&amp;몹 정리(최신)'!R:R,MATCH($E77,'큐펫&amp;몹 정리(최신)'!$B:$B,0))*35,INDEX('큐펫&amp;몹 정리(최신)'!R:R,MATCH($E77,'큐펫&amp;몹 정리(최신)'!$B:$B,0))*40))))</f>
        <v>80</v>
      </c>
      <c r="N77" s="190">
        <f>IF($J77=1,INDEX('큐펫&amp;몹 정리(최신)'!S:S,MATCH($E77,'큐펫&amp;몹 정리(최신)'!$B:$B,0))*20,IF($J77=2,INDEX('큐펫&amp;몹 정리(최신)'!S:S,MATCH($E77,'큐펫&amp;몹 정리(최신)'!$B:$B,0))*25,IF($J77=3,INDEX('큐펫&amp;몹 정리(최신)'!S:S,MATCH($E77,'큐펫&amp;몹 정리(최신)'!$B:$B,0))*30,IF($J77=4,INDEX('큐펫&amp;몹 정리(최신)'!S:S,MATCH($E77,'큐펫&amp;몹 정리(최신)'!$B:$B,0))*35,INDEX('큐펫&amp;몹 정리(최신)'!S:S,MATCH($E77,'큐펫&amp;몹 정리(최신)'!$B:$B,0))*40))))</f>
        <v>400</v>
      </c>
      <c r="O77" s="190">
        <f>IF($J77=1,INDEX('큐펫&amp;몹 정리(최신)'!T:T,MATCH($E77,'큐펫&amp;몹 정리(최신)'!$B:$B,0))*20,IF($J77=2,INDEX('큐펫&amp;몹 정리(최신)'!T:T,MATCH($E77,'큐펫&amp;몹 정리(최신)'!$B:$B,0))*25,IF($J77=3,INDEX('큐펫&amp;몹 정리(최신)'!T:T,MATCH($E77,'큐펫&amp;몹 정리(최신)'!$B:$B,0))*30,IF($J77=4,INDEX('큐펫&amp;몹 정리(최신)'!T:T,MATCH($E77,'큐펫&amp;몹 정리(최신)'!$B:$B,0))*35,INDEX('큐펫&amp;몹 정리(최신)'!T:T,MATCH($E77,'큐펫&amp;몹 정리(최신)'!$B:$B,0))*40))))</f>
        <v>500</v>
      </c>
      <c r="P77" s="217">
        <v>20</v>
      </c>
      <c r="Q77" s="217">
        <f t="shared" si="8"/>
        <v>26240</v>
      </c>
      <c r="R77" s="217">
        <f t="shared" si="9"/>
        <v>697</v>
      </c>
      <c r="S77" s="217">
        <f t="shared" si="10"/>
        <v>3801</v>
      </c>
      <c r="T77" s="217">
        <f t="shared" si="11"/>
        <v>350</v>
      </c>
      <c r="U77" s="217">
        <f t="shared" si="12"/>
        <v>11807</v>
      </c>
      <c r="V77" s="217">
        <f t="shared" si="13"/>
        <v>7394</v>
      </c>
      <c r="W77" s="217">
        <f>ROUND(AC77+(INDEX(Ref!B$1:B$9,MATCH($AI77,Ref!$A$1:$A$9,0))*P77*0.0001),)</f>
        <v>17</v>
      </c>
      <c r="X77" s="217">
        <f>ROUND(AD77+(INDEX(Ref!C$1:C$9,MATCH($AI77,Ref!$A$1:$A$9,0))*$P77*0.0001),)</f>
        <v>32</v>
      </c>
      <c r="Y77" s="217">
        <f>ROUND(AE77+(INDEX(Ref!D$1:D$9,MATCH($AI77,Ref!$A$1:$A$9,0))*$P77*0.0001),)</f>
        <v>39</v>
      </c>
      <c r="Z77" s="217">
        <f>ROUND(AF77+(INDEX(Ref!E$1:E$9,MATCH($AI77,Ref!$A$1:$A$9,0))*$P77*0.0001),)</f>
        <v>19</v>
      </c>
      <c r="AA77" s="217">
        <f>ROUND(AG77+(INDEX(Ref!F$1:F$9,MATCH($AI77,Ref!$A$1:$A$9,0))*$P77*0.0001),)</f>
        <v>41</v>
      </c>
      <c r="AB77" s="217">
        <f>ROUND(AH77+(INDEX(Ref!G$1:G$9,MATCH($AI77,Ref!$A$1:$A$9,0))*$P77*0.0001),)</f>
        <v>36</v>
      </c>
      <c r="AC77" s="137">
        <v>15</v>
      </c>
      <c r="AD77" s="137">
        <v>28</v>
      </c>
      <c r="AE77" s="137">
        <v>36</v>
      </c>
      <c r="AF77" s="137">
        <v>17</v>
      </c>
      <c r="AG77" s="137">
        <v>36</v>
      </c>
      <c r="AH77" s="137">
        <v>32</v>
      </c>
      <c r="AI77" s="208">
        <v>5</v>
      </c>
      <c r="AJ77" s="172">
        <v>3000</v>
      </c>
      <c r="AK77" s="172">
        <v>30091</v>
      </c>
      <c r="AL77" s="172">
        <v>2000</v>
      </c>
      <c r="AM77" s="172">
        <v>30094</v>
      </c>
      <c r="AN77" s="172">
        <v>0</v>
      </c>
      <c r="AO77" s="172">
        <f t="shared" ref="AO77:AO140" si="14">AK77+4000</f>
        <v>34091</v>
      </c>
      <c r="AP77" s="172">
        <v>0</v>
      </c>
      <c r="AQ77" s="172">
        <f t="shared" ref="AQ77:AQ140" si="15">AM77+4000</f>
        <v>34094</v>
      </c>
      <c r="AR77" s="172">
        <v>1</v>
      </c>
      <c r="AS77" s="172">
        <v>0</v>
      </c>
      <c r="AT77" s="199">
        <v>78016</v>
      </c>
      <c r="AU77" s="195" t="s">
        <v>127</v>
      </c>
    </row>
    <row r="78" spans="1:47" x14ac:dyDescent="0.2">
      <c r="A78" s="173">
        <v>55016</v>
      </c>
      <c r="B78" s="174" t="s">
        <v>125</v>
      </c>
      <c r="C78" s="172">
        <v>86016</v>
      </c>
      <c r="D78" s="172">
        <v>150016</v>
      </c>
      <c r="E78" s="206" t="s">
        <v>126</v>
      </c>
      <c r="F78" s="207">
        <v>5</v>
      </c>
      <c r="G78" s="172">
        <v>13000</v>
      </c>
      <c r="H78" s="172">
        <v>9000</v>
      </c>
      <c r="I78" s="172">
        <v>10000</v>
      </c>
      <c r="J78" s="172">
        <v>2</v>
      </c>
      <c r="K78" s="190">
        <f>IF($J78=1,INDEX('큐펫&amp;몹 정리(최신)'!P:P,MATCH($E78,'큐펫&amp;몹 정리(최신)'!$B:$B,0))*20,IF($J78=2,INDEX('큐펫&amp;몹 정리(최신)'!P:P,MATCH($E78,'큐펫&amp;몹 정리(최신)'!$B:$B,0))*25,IF($J78=3,INDEX('큐펫&amp;몹 정리(최신)'!P:P,MATCH($E78,'큐펫&amp;몹 정리(최신)'!$B:$B,0))*30,IF($J78=4,INDEX('큐펫&amp;몹 정리(최신)'!P:P,MATCH($E78,'큐펫&amp;몹 정리(최신)'!$B:$B,0))*35,INDEX('큐펫&amp;몹 정리(최신)'!P:P,MATCH($E78,'큐펫&amp;몹 정리(최신)'!$B:$B,0))*40))))</f>
        <v>1000</v>
      </c>
      <c r="L78" s="190">
        <f>IF($J78=1,INDEX('큐펫&amp;몹 정리(최신)'!Q:Q,MATCH($E78,'큐펫&amp;몹 정리(최신)'!$B:$B,0))*20,IF($J78=2,INDEX('큐펫&amp;몹 정리(최신)'!Q:Q,MATCH($E78,'큐펫&amp;몹 정리(최신)'!$B:$B,0))*25,IF($J78=3,INDEX('큐펫&amp;몹 정리(최신)'!Q:Q,MATCH($E78,'큐펫&amp;몹 정리(최신)'!$B:$B,0))*30,IF($J78=4,INDEX('큐펫&amp;몹 정리(최신)'!Q:Q,MATCH($E78,'큐펫&amp;몹 정리(최신)'!$B:$B,0))*35,INDEX('큐펫&amp;몹 정리(최신)'!Q:Q,MATCH($E78,'큐펫&amp;몹 정리(최신)'!$B:$B,0))*40))))</f>
        <v>275</v>
      </c>
      <c r="M78" s="190">
        <f>IF($J78=1,INDEX('큐펫&amp;몹 정리(최신)'!R:R,MATCH($E78,'큐펫&amp;몹 정리(최신)'!$B:$B,0))*20,IF($J78=2,INDEX('큐펫&amp;몹 정리(최신)'!R:R,MATCH($E78,'큐펫&amp;몹 정리(최신)'!$B:$B,0))*25,IF($J78=3,INDEX('큐펫&amp;몹 정리(최신)'!R:R,MATCH($E78,'큐펫&amp;몹 정리(최신)'!$B:$B,0))*30,IF($J78=4,INDEX('큐펫&amp;몹 정리(최신)'!R:R,MATCH($E78,'큐펫&amp;몹 정리(최신)'!$B:$B,0))*35,INDEX('큐펫&amp;몹 정리(최신)'!R:R,MATCH($E78,'큐펫&amp;몹 정리(최신)'!$B:$B,0))*40))))</f>
        <v>100</v>
      </c>
      <c r="N78" s="190">
        <f>IF($J78=1,INDEX('큐펫&amp;몹 정리(최신)'!S:S,MATCH($E78,'큐펫&amp;몹 정리(최신)'!$B:$B,0))*20,IF($J78=2,INDEX('큐펫&amp;몹 정리(최신)'!S:S,MATCH($E78,'큐펫&amp;몹 정리(최신)'!$B:$B,0))*25,IF($J78=3,INDEX('큐펫&amp;몹 정리(최신)'!S:S,MATCH($E78,'큐펫&amp;몹 정리(최신)'!$B:$B,0))*30,IF($J78=4,INDEX('큐펫&amp;몹 정리(최신)'!S:S,MATCH($E78,'큐펫&amp;몹 정리(최신)'!$B:$B,0))*35,INDEX('큐펫&amp;몹 정리(최신)'!S:S,MATCH($E78,'큐펫&amp;몹 정리(최신)'!$B:$B,0))*40))))</f>
        <v>500</v>
      </c>
      <c r="O78" s="190">
        <f>IF($J78=1,INDEX('큐펫&amp;몹 정리(최신)'!T:T,MATCH($E78,'큐펫&amp;몹 정리(최신)'!$B:$B,0))*20,IF($J78=2,INDEX('큐펫&amp;몹 정리(최신)'!T:T,MATCH($E78,'큐펫&amp;몹 정리(최신)'!$B:$B,0))*25,IF($J78=3,INDEX('큐펫&amp;몹 정리(최신)'!T:T,MATCH($E78,'큐펫&amp;몹 정리(최신)'!$B:$B,0))*30,IF($J78=4,INDEX('큐펫&amp;몹 정리(최신)'!T:T,MATCH($E78,'큐펫&amp;몹 정리(최신)'!$B:$B,0))*35,INDEX('큐펫&amp;몹 정리(최신)'!T:T,MATCH($E78,'큐펫&amp;몹 정리(최신)'!$B:$B,0))*40))))</f>
        <v>625</v>
      </c>
      <c r="P78" s="217">
        <v>40</v>
      </c>
      <c r="Q78" s="217">
        <f t="shared" si="8"/>
        <v>62600</v>
      </c>
      <c r="R78" s="217">
        <f t="shared" si="9"/>
        <v>1296</v>
      </c>
      <c r="S78" s="217">
        <f t="shared" si="10"/>
        <v>7288</v>
      </c>
      <c r="T78" s="217">
        <f t="shared" si="11"/>
        <v>661</v>
      </c>
      <c r="U78" s="217">
        <f t="shared" si="12"/>
        <v>21009</v>
      </c>
      <c r="V78" s="217">
        <f t="shared" si="13"/>
        <v>13149</v>
      </c>
      <c r="W78" s="217">
        <f>ROUND(AC78+(INDEX(Ref!B$1:B$9,MATCH($AI78,Ref!$A$1:$A$9,0))*P78*0.0001),)</f>
        <v>21</v>
      </c>
      <c r="X78" s="217">
        <f>ROUND(AD78+(INDEX(Ref!C$1:C$9,MATCH($AI78,Ref!$A$1:$A$9,0))*$P78*0.0001),)</f>
        <v>40</v>
      </c>
      <c r="Y78" s="217">
        <f>ROUND(AE78+(INDEX(Ref!D$1:D$9,MATCH($AI78,Ref!$A$1:$A$9,0))*$P78*0.0001),)</f>
        <v>44</v>
      </c>
      <c r="Z78" s="217">
        <f>ROUND(AF78+(INDEX(Ref!E$1:E$9,MATCH($AI78,Ref!$A$1:$A$9,0))*$P78*0.0001),)</f>
        <v>24</v>
      </c>
      <c r="AA78" s="217">
        <f>ROUND(AG78+(INDEX(Ref!F$1:F$9,MATCH($AI78,Ref!$A$1:$A$9,0))*$P78*0.0001),)</f>
        <v>51</v>
      </c>
      <c r="AB78" s="217">
        <f>ROUND(AH78+(INDEX(Ref!G$1:G$9,MATCH($AI78,Ref!$A$1:$A$9,0))*$P78*0.0001),)</f>
        <v>44</v>
      </c>
      <c r="AC78" s="137">
        <v>17</v>
      </c>
      <c r="AD78" s="137">
        <v>32</v>
      </c>
      <c r="AE78" s="137">
        <v>39</v>
      </c>
      <c r="AF78" s="137">
        <v>19</v>
      </c>
      <c r="AG78" s="137">
        <v>41</v>
      </c>
      <c r="AH78" s="137">
        <v>36</v>
      </c>
      <c r="AI78" s="208">
        <v>5</v>
      </c>
      <c r="AJ78" s="172">
        <v>3000</v>
      </c>
      <c r="AK78" s="172">
        <v>30092</v>
      </c>
      <c r="AL78" s="172">
        <v>2000</v>
      </c>
      <c r="AM78" s="172">
        <v>30094</v>
      </c>
      <c r="AN78" s="172">
        <v>0</v>
      </c>
      <c r="AO78" s="172">
        <f t="shared" si="14"/>
        <v>34092</v>
      </c>
      <c r="AP78" s="172">
        <v>0</v>
      </c>
      <c r="AQ78" s="172">
        <f t="shared" si="15"/>
        <v>34094</v>
      </c>
      <c r="AR78" s="172">
        <v>1</v>
      </c>
      <c r="AS78" s="172">
        <v>0</v>
      </c>
      <c r="AT78" s="199">
        <v>78016</v>
      </c>
      <c r="AU78" s="195" t="s">
        <v>127</v>
      </c>
    </row>
    <row r="79" spans="1:47" x14ac:dyDescent="0.2">
      <c r="A79" s="173">
        <v>55016</v>
      </c>
      <c r="B79" s="174" t="s">
        <v>125</v>
      </c>
      <c r="C79" s="172">
        <v>86016</v>
      </c>
      <c r="D79" s="172">
        <v>150016</v>
      </c>
      <c r="E79" s="206" t="s">
        <v>126</v>
      </c>
      <c r="F79" s="207">
        <v>5</v>
      </c>
      <c r="G79" s="172">
        <v>13000</v>
      </c>
      <c r="H79" s="172">
        <v>9000</v>
      </c>
      <c r="I79" s="172">
        <v>10000</v>
      </c>
      <c r="J79" s="172">
        <v>3</v>
      </c>
      <c r="K79" s="190">
        <f>IF($J79=1,INDEX('큐펫&amp;몹 정리(최신)'!P:P,MATCH($E79,'큐펫&amp;몹 정리(최신)'!$B:$B,0))*20,IF($J79=2,INDEX('큐펫&amp;몹 정리(최신)'!P:P,MATCH($E79,'큐펫&amp;몹 정리(최신)'!$B:$B,0))*25,IF($J79=3,INDEX('큐펫&amp;몹 정리(최신)'!P:P,MATCH($E79,'큐펫&amp;몹 정리(최신)'!$B:$B,0))*30,IF($J79=4,INDEX('큐펫&amp;몹 정리(최신)'!P:P,MATCH($E79,'큐펫&amp;몹 정리(최신)'!$B:$B,0))*35,INDEX('큐펫&amp;몹 정리(최신)'!P:P,MATCH($E79,'큐펫&amp;몹 정리(최신)'!$B:$B,0))*40))))</f>
        <v>1200</v>
      </c>
      <c r="L79" s="190">
        <f>IF($J79=1,INDEX('큐펫&amp;몹 정리(최신)'!Q:Q,MATCH($E79,'큐펫&amp;몹 정리(최신)'!$B:$B,0))*20,IF($J79=2,INDEX('큐펫&amp;몹 정리(최신)'!Q:Q,MATCH($E79,'큐펫&amp;몹 정리(최신)'!$B:$B,0))*25,IF($J79=3,INDEX('큐펫&amp;몹 정리(최신)'!Q:Q,MATCH($E79,'큐펫&amp;몹 정리(최신)'!$B:$B,0))*30,IF($J79=4,INDEX('큐펫&amp;몹 정리(최신)'!Q:Q,MATCH($E79,'큐펫&amp;몹 정리(최신)'!$B:$B,0))*35,INDEX('큐펫&amp;몹 정리(최신)'!Q:Q,MATCH($E79,'큐펫&amp;몹 정리(최신)'!$B:$B,0))*40))))</f>
        <v>330</v>
      </c>
      <c r="M79" s="190">
        <f>IF($J79=1,INDEX('큐펫&amp;몹 정리(최신)'!R:R,MATCH($E79,'큐펫&amp;몹 정리(최신)'!$B:$B,0))*20,IF($J79=2,INDEX('큐펫&amp;몹 정리(최신)'!R:R,MATCH($E79,'큐펫&amp;몹 정리(최신)'!$B:$B,0))*25,IF($J79=3,INDEX('큐펫&amp;몹 정리(최신)'!R:R,MATCH($E79,'큐펫&amp;몹 정리(최신)'!$B:$B,0))*30,IF($J79=4,INDEX('큐펫&amp;몹 정리(최신)'!R:R,MATCH($E79,'큐펫&amp;몹 정리(최신)'!$B:$B,0))*35,INDEX('큐펫&amp;몹 정리(최신)'!R:R,MATCH($E79,'큐펫&amp;몹 정리(최신)'!$B:$B,0))*40))))</f>
        <v>120</v>
      </c>
      <c r="N79" s="190">
        <f>IF($J79=1,INDEX('큐펫&amp;몹 정리(최신)'!S:S,MATCH($E79,'큐펫&amp;몹 정리(최신)'!$B:$B,0))*20,IF($J79=2,INDEX('큐펫&amp;몹 정리(최신)'!S:S,MATCH($E79,'큐펫&amp;몹 정리(최신)'!$B:$B,0))*25,IF($J79=3,INDEX('큐펫&amp;몹 정리(최신)'!S:S,MATCH($E79,'큐펫&amp;몹 정리(최신)'!$B:$B,0))*30,IF($J79=4,INDEX('큐펫&amp;몹 정리(최신)'!S:S,MATCH($E79,'큐펫&amp;몹 정리(최신)'!$B:$B,0))*35,INDEX('큐펫&amp;몹 정리(최신)'!S:S,MATCH($E79,'큐펫&amp;몹 정리(최신)'!$B:$B,0))*40))))</f>
        <v>600</v>
      </c>
      <c r="O79" s="190">
        <f>IF($J79=1,INDEX('큐펫&amp;몹 정리(최신)'!T:T,MATCH($E79,'큐펫&amp;몹 정리(최신)'!$B:$B,0))*20,IF($J79=2,INDEX('큐펫&amp;몹 정리(최신)'!T:T,MATCH($E79,'큐펫&amp;몹 정리(최신)'!$B:$B,0))*25,IF($J79=3,INDEX('큐펫&amp;몹 정리(최신)'!T:T,MATCH($E79,'큐펫&amp;몹 정리(최신)'!$B:$B,0))*30,IF($J79=4,INDEX('큐펫&amp;몹 정리(최신)'!T:T,MATCH($E79,'큐펫&amp;몹 정리(최신)'!$B:$B,0))*35,INDEX('큐펫&amp;몹 정리(최신)'!T:T,MATCH($E79,'큐펫&amp;몹 정리(최신)'!$B:$B,0))*40))))</f>
        <v>750</v>
      </c>
      <c r="P79" s="217">
        <v>60</v>
      </c>
      <c r="Q79" s="217">
        <f t="shared" si="8"/>
        <v>114000</v>
      </c>
      <c r="R79" s="217">
        <f t="shared" si="9"/>
        <v>2338</v>
      </c>
      <c r="S79" s="217">
        <f t="shared" si="10"/>
        <v>12047</v>
      </c>
      <c r="T79" s="217">
        <f t="shared" si="11"/>
        <v>1047</v>
      </c>
      <c r="U79" s="217">
        <f t="shared" si="12"/>
        <v>33010</v>
      </c>
      <c r="V79" s="217">
        <f t="shared" si="13"/>
        <v>20653</v>
      </c>
      <c r="W79" s="217">
        <f>ROUND(AC79+(INDEX(Ref!B$1:B$9,MATCH($AI79,Ref!$A$1:$A$9,0))*P79*0.0001),)</f>
        <v>26</v>
      </c>
      <c r="X79" s="217">
        <f>ROUND(AD79+(INDEX(Ref!C$1:C$9,MATCH($AI79,Ref!$A$1:$A$9,0))*$P79*0.0001),)</f>
        <v>47</v>
      </c>
      <c r="Y79" s="217">
        <f>ROUND(AE79+(INDEX(Ref!D$1:D$9,MATCH($AI79,Ref!$A$1:$A$9,0))*$P79*0.0001),)</f>
        <v>50</v>
      </c>
      <c r="Z79" s="217">
        <f>ROUND(AF79+(INDEX(Ref!E$1:E$9,MATCH($AI79,Ref!$A$1:$A$9,0))*$P79*0.0001),)</f>
        <v>28</v>
      </c>
      <c r="AA79" s="217">
        <f>ROUND(AG79+(INDEX(Ref!F$1:F$9,MATCH($AI79,Ref!$A$1:$A$9,0))*$P79*0.0001),)</f>
        <v>60</v>
      </c>
      <c r="AB79" s="217">
        <f>ROUND(AH79+(INDEX(Ref!G$1:G$9,MATCH($AI79,Ref!$A$1:$A$9,0))*$P79*0.0001),)</f>
        <v>53</v>
      </c>
      <c r="AC79" s="137">
        <v>19</v>
      </c>
      <c r="AD79" s="137">
        <v>36</v>
      </c>
      <c r="AE79" s="137">
        <v>42</v>
      </c>
      <c r="AF79" s="137">
        <v>21</v>
      </c>
      <c r="AG79" s="137">
        <v>46</v>
      </c>
      <c r="AH79" s="137">
        <v>40</v>
      </c>
      <c r="AI79" s="208">
        <v>5</v>
      </c>
      <c r="AJ79" s="172">
        <v>3000</v>
      </c>
      <c r="AK79" s="172">
        <v>30092</v>
      </c>
      <c r="AL79" s="172">
        <v>2000</v>
      </c>
      <c r="AM79" s="172">
        <v>30095</v>
      </c>
      <c r="AN79" s="172">
        <v>0</v>
      </c>
      <c r="AO79" s="172">
        <f t="shared" si="14"/>
        <v>34092</v>
      </c>
      <c r="AP79" s="172">
        <v>0</v>
      </c>
      <c r="AQ79" s="172">
        <f t="shared" si="15"/>
        <v>34095</v>
      </c>
      <c r="AR79" s="172">
        <v>1</v>
      </c>
      <c r="AS79" s="172">
        <v>0</v>
      </c>
      <c r="AT79" s="199">
        <v>78016</v>
      </c>
      <c r="AU79" s="195" t="s">
        <v>127</v>
      </c>
    </row>
    <row r="80" spans="1:47" x14ac:dyDescent="0.2">
      <c r="A80" s="173">
        <v>55016</v>
      </c>
      <c r="B80" s="174" t="s">
        <v>125</v>
      </c>
      <c r="C80" s="172">
        <v>86016</v>
      </c>
      <c r="D80" s="172">
        <v>150016</v>
      </c>
      <c r="E80" s="206" t="s">
        <v>126</v>
      </c>
      <c r="F80" s="207">
        <v>5</v>
      </c>
      <c r="G80" s="172">
        <v>13000</v>
      </c>
      <c r="H80" s="172">
        <v>9000</v>
      </c>
      <c r="I80" s="172">
        <v>10000</v>
      </c>
      <c r="J80" s="172">
        <v>4</v>
      </c>
      <c r="K80" s="190">
        <f>IF($J80=1,INDEX('큐펫&amp;몹 정리(최신)'!P:P,MATCH($E80,'큐펫&amp;몹 정리(최신)'!$B:$B,0))*20,IF($J80=2,INDEX('큐펫&amp;몹 정리(최신)'!P:P,MATCH($E80,'큐펫&amp;몹 정리(최신)'!$B:$B,0))*25,IF($J80=3,INDEX('큐펫&amp;몹 정리(최신)'!P:P,MATCH($E80,'큐펫&amp;몹 정리(최신)'!$B:$B,0))*30,IF($J80=4,INDEX('큐펫&amp;몹 정리(최신)'!P:P,MATCH($E80,'큐펫&amp;몹 정리(최신)'!$B:$B,0))*35,INDEX('큐펫&amp;몹 정리(최신)'!P:P,MATCH($E80,'큐펫&amp;몹 정리(최신)'!$B:$B,0))*40))))</f>
        <v>1400</v>
      </c>
      <c r="L80" s="190">
        <f>IF($J80=1,INDEX('큐펫&amp;몹 정리(최신)'!Q:Q,MATCH($E80,'큐펫&amp;몹 정리(최신)'!$B:$B,0))*20,IF($J80=2,INDEX('큐펫&amp;몹 정리(최신)'!Q:Q,MATCH($E80,'큐펫&amp;몹 정리(최신)'!$B:$B,0))*25,IF($J80=3,INDEX('큐펫&amp;몹 정리(최신)'!Q:Q,MATCH($E80,'큐펫&amp;몹 정리(최신)'!$B:$B,0))*30,IF($J80=4,INDEX('큐펫&amp;몹 정리(최신)'!Q:Q,MATCH($E80,'큐펫&amp;몹 정리(최신)'!$B:$B,0))*35,INDEX('큐펫&amp;몹 정리(최신)'!Q:Q,MATCH($E80,'큐펫&amp;몹 정리(최신)'!$B:$B,0))*40))))</f>
        <v>385</v>
      </c>
      <c r="M80" s="190">
        <f>IF($J80=1,INDEX('큐펫&amp;몹 정리(최신)'!R:R,MATCH($E80,'큐펫&amp;몹 정리(최신)'!$B:$B,0))*20,IF($J80=2,INDEX('큐펫&amp;몹 정리(최신)'!R:R,MATCH($E80,'큐펫&amp;몹 정리(최신)'!$B:$B,0))*25,IF($J80=3,INDEX('큐펫&amp;몹 정리(최신)'!R:R,MATCH($E80,'큐펫&amp;몹 정리(최신)'!$B:$B,0))*30,IF($J80=4,INDEX('큐펫&amp;몹 정리(최신)'!R:R,MATCH($E80,'큐펫&amp;몹 정리(최신)'!$B:$B,0))*35,INDEX('큐펫&amp;몹 정리(최신)'!R:R,MATCH($E80,'큐펫&amp;몹 정리(최신)'!$B:$B,0))*40))))</f>
        <v>140</v>
      </c>
      <c r="N80" s="190">
        <f>IF($J80=1,INDEX('큐펫&amp;몹 정리(최신)'!S:S,MATCH($E80,'큐펫&amp;몹 정리(최신)'!$B:$B,0))*20,IF($J80=2,INDEX('큐펫&amp;몹 정리(최신)'!S:S,MATCH($E80,'큐펫&amp;몹 정리(최신)'!$B:$B,0))*25,IF($J80=3,INDEX('큐펫&amp;몹 정리(최신)'!S:S,MATCH($E80,'큐펫&amp;몹 정리(최신)'!$B:$B,0))*30,IF($J80=4,INDEX('큐펫&amp;몹 정리(최신)'!S:S,MATCH($E80,'큐펫&amp;몹 정리(최신)'!$B:$B,0))*35,INDEX('큐펫&amp;몹 정리(최신)'!S:S,MATCH($E80,'큐펫&amp;몹 정리(최신)'!$B:$B,0))*40))))</f>
        <v>700</v>
      </c>
      <c r="O80" s="190">
        <f>IF($J80=1,INDEX('큐펫&amp;몹 정리(최신)'!T:T,MATCH($E80,'큐펫&amp;몹 정리(최신)'!$B:$B,0))*20,IF($J80=2,INDEX('큐펫&amp;몹 정리(최신)'!T:T,MATCH($E80,'큐펫&amp;몹 정리(최신)'!$B:$B,0))*25,IF($J80=3,INDEX('큐펫&amp;몹 정리(최신)'!T:T,MATCH($E80,'큐펫&amp;몹 정리(최신)'!$B:$B,0))*30,IF($J80=4,INDEX('큐펫&amp;몹 정리(최신)'!T:T,MATCH($E80,'큐펫&amp;몹 정리(최신)'!$B:$B,0))*35,INDEX('큐펫&amp;몹 정리(최신)'!T:T,MATCH($E80,'큐펫&amp;몹 정리(최신)'!$B:$B,0))*40))))</f>
        <v>875</v>
      </c>
      <c r="P80" s="217">
        <v>80</v>
      </c>
      <c r="Q80" s="217">
        <f t="shared" si="8"/>
        <v>179480</v>
      </c>
      <c r="R80" s="217">
        <f t="shared" si="9"/>
        <v>3831</v>
      </c>
      <c r="S80" s="217">
        <f t="shared" si="10"/>
        <v>19064</v>
      </c>
      <c r="T80" s="217">
        <f t="shared" si="11"/>
        <v>1750</v>
      </c>
      <c r="U80" s="217">
        <f t="shared" si="12"/>
        <v>46912</v>
      </c>
      <c r="V80" s="217">
        <f t="shared" si="13"/>
        <v>29346</v>
      </c>
      <c r="W80" s="217">
        <f>ROUND(AC80+(INDEX(Ref!B$1:B$9,MATCH($AI80,Ref!$A$1:$A$9,0))*P80*0.0001),)</f>
        <v>31</v>
      </c>
      <c r="X80" s="217">
        <f>ROUND(AD80+(INDEX(Ref!C$1:C$9,MATCH($AI80,Ref!$A$1:$A$9,0))*$P80*0.0001),)</f>
        <v>54</v>
      </c>
      <c r="Y80" s="217">
        <f>ROUND(AE80+(INDEX(Ref!D$1:D$9,MATCH($AI80,Ref!$A$1:$A$9,0))*$P80*0.0001),)</f>
        <v>54</v>
      </c>
      <c r="Z80" s="217">
        <f>ROUND(AF80+(INDEX(Ref!E$1:E$9,MATCH($AI80,Ref!$A$1:$A$9,0))*$P80*0.0001),)</f>
        <v>34</v>
      </c>
      <c r="AA80" s="217">
        <f>ROUND(AG80+(INDEX(Ref!F$1:F$9,MATCH($AI80,Ref!$A$1:$A$9,0))*$P80*0.0001),)</f>
        <v>70</v>
      </c>
      <c r="AB80" s="217">
        <f>ROUND(AH80+(INDEX(Ref!G$1:G$9,MATCH($AI80,Ref!$A$1:$A$9,0))*$P80*0.0001),)</f>
        <v>61</v>
      </c>
      <c r="AC80" s="137">
        <v>22</v>
      </c>
      <c r="AD80" s="137">
        <v>39</v>
      </c>
      <c r="AE80" s="137">
        <v>44</v>
      </c>
      <c r="AF80" s="137">
        <v>24</v>
      </c>
      <c r="AG80" s="137">
        <v>51</v>
      </c>
      <c r="AH80" s="137">
        <v>44</v>
      </c>
      <c r="AI80" s="208">
        <v>5</v>
      </c>
      <c r="AJ80" s="172">
        <v>3000</v>
      </c>
      <c r="AK80" s="172">
        <v>30093</v>
      </c>
      <c r="AL80" s="172">
        <v>2000</v>
      </c>
      <c r="AM80" s="172">
        <v>30095</v>
      </c>
      <c r="AN80" s="172">
        <v>0</v>
      </c>
      <c r="AO80" s="172">
        <f t="shared" si="14"/>
        <v>34093</v>
      </c>
      <c r="AP80" s="172">
        <v>0</v>
      </c>
      <c r="AQ80" s="172">
        <f t="shared" si="15"/>
        <v>34095</v>
      </c>
      <c r="AR80" s="172">
        <v>1</v>
      </c>
      <c r="AS80" s="172">
        <v>0</v>
      </c>
      <c r="AT80" s="199">
        <v>78016</v>
      </c>
      <c r="AU80" s="195" t="s">
        <v>127</v>
      </c>
    </row>
    <row r="81" spans="1:47" x14ac:dyDescent="0.2">
      <c r="A81" s="173">
        <v>55016</v>
      </c>
      <c r="B81" s="174" t="s">
        <v>125</v>
      </c>
      <c r="C81" s="172">
        <v>86016</v>
      </c>
      <c r="D81" s="172">
        <v>150016</v>
      </c>
      <c r="E81" s="206" t="s">
        <v>126</v>
      </c>
      <c r="F81" s="207">
        <v>5</v>
      </c>
      <c r="G81" s="172">
        <v>13000</v>
      </c>
      <c r="H81" s="172">
        <v>9000</v>
      </c>
      <c r="I81" s="172">
        <v>10000</v>
      </c>
      <c r="J81" s="172">
        <v>5</v>
      </c>
      <c r="K81" s="190">
        <f>IF($J81=1,INDEX('큐펫&amp;몹 정리(최신)'!P:P,MATCH($E81,'큐펫&amp;몹 정리(최신)'!$B:$B,0))*20,IF($J81=2,INDEX('큐펫&amp;몹 정리(최신)'!P:P,MATCH($E81,'큐펫&amp;몹 정리(최신)'!$B:$B,0))*25,IF($J81=3,INDEX('큐펫&amp;몹 정리(최신)'!P:P,MATCH($E81,'큐펫&amp;몹 정리(최신)'!$B:$B,0))*30,IF($J81=4,INDEX('큐펫&amp;몹 정리(최신)'!P:P,MATCH($E81,'큐펫&amp;몹 정리(최신)'!$B:$B,0))*35,INDEX('큐펫&amp;몹 정리(최신)'!P:P,MATCH($E81,'큐펫&amp;몹 정리(최신)'!$B:$B,0))*40))))</f>
        <v>1600</v>
      </c>
      <c r="L81" s="190">
        <f>IF($J81=1,INDEX('큐펫&amp;몹 정리(최신)'!Q:Q,MATCH($E81,'큐펫&amp;몹 정리(최신)'!$B:$B,0))*20,IF($J81=2,INDEX('큐펫&amp;몹 정리(최신)'!Q:Q,MATCH($E81,'큐펫&amp;몹 정리(최신)'!$B:$B,0))*25,IF($J81=3,INDEX('큐펫&amp;몹 정리(최신)'!Q:Q,MATCH($E81,'큐펫&amp;몹 정리(최신)'!$B:$B,0))*30,IF($J81=4,INDEX('큐펫&amp;몹 정리(최신)'!Q:Q,MATCH($E81,'큐펫&amp;몹 정리(최신)'!$B:$B,0))*35,INDEX('큐펫&amp;몹 정리(최신)'!Q:Q,MATCH($E81,'큐펫&amp;몹 정리(최신)'!$B:$B,0))*40))))</f>
        <v>440</v>
      </c>
      <c r="M81" s="190">
        <f>IF($J81=1,INDEX('큐펫&amp;몹 정리(최신)'!R:R,MATCH($E81,'큐펫&amp;몹 정리(최신)'!$B:$B,0))*20,IF($J81=2,INDEX('큐펫&amp;몹 정리(최신)'!R:R,MATCH($E81,'큐펫&amp;몹 정리(최신)'!$B:$B,0))*25,IF($J81=3,INDEX('큐펫&amp;몹 정리(최신)'!R:R,MATCH($E81,'큐펫&amp;몹 정리(최신)'!$B:$B,0))*30,IF($J81=4,INDEX('큐펫&amp;몹 정리(최신)'!R:R,MATCH($E81,'큐펫&amp;몹 정리(최신)'!$B:$B,0))*35,INDEX('큐펫&amp;몹 정리(최신)'!R:R,MATCH($E81,'큐펫&amp;몹 정리(최신)'!$B:$B,0))*40))))</f>
        <v>160</v>
      </c>
      <c r="N81" s="190">
        <f>IF($J81=1,INDEX('큐펫&amp;몹 정리(최신)'!S:S,MATCH($E81,'큐펫&amp;몹 정리(최신)'!$B:$B,0))*20,IF($J81=2,INDEX('큐펫&amp;몹 정리(최신)'!S:S,MATCH($E81,'큐펫&amp;몹 정리(최신)'!$B:$B,0))*25,IF($J81=3,INDEX('큐펫&amp;몹 정리(최신)'!S:S,MATCH($E81,'큐펫&amp;몹 정리(최신)'!$B:$B,0))*30,IF($J81=4,INDEX('큐펫&amp;몹 정리(최신)'!S:S,MATCH($E81,'큐펫&amp;몹 정리(최신)'!$B:$B,0))*35,INDEX('큐펫&amp;몹 정리(최신)'!S:S,MATCH($E81,'큐펫&amp;몹 정리(최신)'!$B:$B,0))*40))))</f>
        <v>800</v>
      </c>
      <c r="O81" s="190">
        <f>IF($J81=1,INDEX('큐펫&amp;몹 정리(최신)'!T:T,MATCH($E81,'큐펫&amp;몹 정리(최신)'!$B:$B,0))*20,IF($J81=2,INDEX('큐펫&amp;몹 정리(최신)'!T:T,MATCH($E81,'큐펫&amp;몹 정리(최신)'!$B:$B,0))*25,IF($J81=3,INDEX('큐펫&amp;몹 정리(최신)'!T:T,MATCH($E81,'큐펫&amp;몹 정리(최신)'!$B:$B,0))*30,IF($J81=4,INDEX('큐펫&amp;몹 정리(최신)'!T:T,MATCH($E81,'큐펫&amp;몹 정리(최신)'!$B:$B,0))*35,INDEX('큐펫&amp;몹 정리(최신)'!T:T,MATCH($E81,'큐펫&amp;몹 정리(최신)'!$B:$B,0))*40))))</f>
        <v>1000</v>
      </c>
      <c r="P81" s="217">
        <v>100</v>
      </c>
      <c r="Q81" s="217">
        <f t="shared" si="8"/>
        <v>264000</v>
      </c>
      <c r="R81" s="217">
        <f t="shared" si="9"/>
        <v>5543</v>
      </c>
      <c r="S81" s="217">
        <f t="shared" si="10"/>
        <v>28392</v>
      </c>
      <c r="T81" s="217">
        <f t="shared" si="11"/>
        <v>2463</v>
      </c>
      <c r="U81" s="217">
        <f t="shared" si="12"/>
        <v>64014</v>
      </c>
      <c r="V81" s="217">
        <f t="shared" si="13"/>
        <v>40038</v>
      </c>
      <c r="W81" s="217">
        <f>ROUND(AC81+(INDEX(Ref!B$1:B$9,MATCH($AI81,Ref!$A$1:$A$9,0))*P81*0.0001),)</f>
        <v>35</v>
      </c>
      <c r="X81" s="217">
        <f>ROUND(AD81+(INDEX(Ref!C$1:C$9,MATCH($AI81,Ref!$A$1:$A$9,0))*$P81*0.0001),)</f>
        <v>62</v>
      </c>
      <c r="Y81" s="217">
        <f>ROUND(AE81+(INDEX(Ref!D$1:D$9,MATCH($AI81,Ref!$A$1:$A$9,0))*$P81*0.0001),)</f>
        <v>60</v>
      </c>
      <c r="Z81" s="217">
        <f>ROUND(AF81+(INDEX(Ref!E$1:E$9,MATCH($AI81,Ref!$A$1:$A$9,0))*$P81*0.0001),)</f>
        <v>38</v>
      </c>
      <c r="AA81" s="217">
        <f>ROUND(AG81+(INDEX(Ref!F$1:F$9,MATCH($AI81,Ref!$A$1:$A$9,0))*$P81*0.0001),)</f>
        <v>80</v>
      </c>
      <c r="AB81" s="217">
        <f>ROUND(AH81+(INDEX(Ref!G$1:G$9,MATCH($AI81,Ref!$A$1:$A$9,0))*$P81*0.0001),)</f>
        <v>69</v>
      </c>
      <c r="AC81" s="137">
        <v>24</v>
      </c>
      <c r="AD81" s="137">
        <v>43</v>
      </c>
      <c r="AE81" s="137">
        <v>47</v>
      </c>
      <c r="AF81" s="137">
        <v>26</v>
      </c>
      <c r="AG81" s="137">
        <v>56</v>
      </c>
      <c r="AH81" s="137">
        <v>48</v>
      </c>
      <c r="AI81" s="208">
        <v>5</v>
      </c>
      <c r="AJ81" s="172">
        <v>3000</v>
      </c>
      <c r="AK81" s="172">
        <v>30093</v>
      </c>
      <c r="AL81" s="172">
        <v>2000</v>
      </c>
      <c r="AM81" s="172">
        <v>30096</v>
      </c>
      <c r="AN81" s="172">
        <v>0</v>
      </c>
      <c r="AO81" s="172">
        <f t="shared" si="14"/>
        <v>34093</v>
      </c>
      <c r="AP81" s="172">
        <v>0</v>
      </c>
      <c r="AQ81" s="172">
        <f t="shared" si="15"/>
        <v>34096</v>
      </c>
      <c r="AR81" s="172">
        <v>1</v>
      </c>
      <c r="AS81" s="172">
        <v>0</v>
      </c>
      <c r="AT81" s="199">
        <v>78016</v>
      </c>
      <c r="AU81" s="195" t="s">
        <v>127</v>
      </c>
    </row>
    <row r="82" spans="1:47" x14ac:dyDescent="0.2">
      <c r="A82" s="173">
        <v>55017</v>
      </c>
      <c r="B82" s="174" t="s">
        <v>128</v>
      </c>
      <c r="C82" s="173">
        <v>86017</v>
      </c>
      <c r="D82" s="172">
        <v>150017</v>
      </c>
      <c r="E82" s="206" t="s">
        <v>129</v>
      </c>
      <c r="F82" s="207">
        <v>4</v>
      </c>
      <c r="G82" s="173">
        <v>11500</v>
      </c>
      <c r="H82" s="173">
        <v>9500</v>
      </c>
      <c r="I82" s="172">
        <v>10000</v>
      </c>
      <c r="J82" s="172">
        <v>1</v>
      </c>
      <c r="K82" s="190">
        <f>IF($J82=1,INDEX('큐펫&amp;몹 정리(최신)'!P:P,MATCH($E82,'큐펫&amp;몹 정리(최신)'!$B:$B,0))*20,IF($J82=2,INDEX('큐펫&amp;몹 정리(최신)'!P:P,MATCH($E82,'큐펫&amp;몹 정리(최신)'!$B:$B,0))*25,IF($J82=3,INDEX('큐펫&amp;몹 정리(최신)'!P:P,MATCH($E82,'큐펫&amp;몹 정리(최신)'!$B:$B,0))*30,IF($J82=4,INDEX('큐펫&amp;몹 정리(최신)'!P:P,MATCH($E82,'큐펫&amp;몹 정리(최신)'!$B:$B,0))*35,INDEX('큐펫&amp;몹 정리(최신)'!P:P,MATCH($E82,'큐펫&amp;몹 정리(최신)'!$B:$B,0))*40))))</f>
        <v>800</v>
      </c>
      <c r="L82" s="190">
        <f>IF($J82=1,INDEX('큐펫&amp;몹 정리(최신)'!Q:Q,MATCH($E82,'큐펫&amp;몹 정리(최신)'!$B:$B,0))*20,IF($J82=2,INDEX('큐펫&amp;몹 정리(최신)'!Q:Q,MATCH($E82,'큐펫&amp;몹 정리(최신)'!$B:$B,0))*25,IF($J82=3,INDEX('큐펫&amp;몹 정리(최신)'!Q:Q,MATCH($E82,'큐펫&amp;몹 정리(최신)'!$B:$B,0))*30,IF($J82=4,INDEX('큐펫&amp;몹 정리(최신)'!Q:Q,MATCH($E82,'큐펫&amp;몹 정리(최신)'!$B:$B,0))*35,INDEX('큐펫&amp;몹 정리(최신)'!Q:Q,MATCH($E82,'큐펫&amp;몹 정리(최신)'!$B:$B,0))*40))))</f>
        <v>600</v>
      </c>
      <c r="M82" s="190">
        <f>IF($J82=1,INDEX('큐펫&amp;몹 정리(최신)'!R:R,MATCH($E82,'큐펫&amp;몹 정리(최신)'!$B:$B,0))*20,IF($J82=2,INDEX('큐펫&amp;몹 정리(최신)'!R:R,MATCH($E82,'큐펫&amp;몹 정리(최신)'!$B:$B,0))*25,IF($J82=3,INDEX('큐펫&amp;몹 정리(최신)'!R:R,MATCH($E82,'큐펫&amp;몹 정리(최신)'!$B:$B,0))*30,IF($J82=4,INDEX('큐펫&amp;몹 정리(최신)'!R:R,MATCH($E82,'큐펫&amp;몹 정리(최신)'!$B:$B,0))*35,INDEX('큐펫&amp;몹 정리(최신)'!R:R,MATCH($E82,'큐펫&amp;몹 정리(최신)'!$B:$B,0))*40))))</f>
        <v>80</v>
      </c>
      <c r="N82" s="190">
        <f>IF($J82=1,INDEX('큐펫&amp;몹 정리(최신)'!S:S,MATCH($E82,'큐펫&amp;몹 정리(최신)'!$B:$B,0))*20,IF($J82=2,INDEX('큐펫&amp;몹 정리(최신)'!S:S,MATCH($E82,'큐펫&amp;몹 정리(최신)'!$B:$B,0))*25,IF($J82=3,INDEX('큐펫&amp;몹 정리(최신)'!S:S,MATCH($E82,'큐펫&amp;몹 정리(최신)'!$B:$B,0))*30,IF($J82=4,INDEX('큐펫&amp;몹 정리(최신)'!S:S,MATCH($E82,'큐펫&amp;몹 정리(최신)'!$B:$B,0))*35,INDEX('큐펫&amp;몹 정리(최신)'!S:S,MATCH($E82,'큐펫&amp;몹 정리(최신)'!$B:$B,0))*40))))</f>
        <v>340</v>
      </c>
      <c r="O82" s="190">
        <f>IF($J82=1,INDEX('큐펫&amp;몹 정리(최신)'!T:T,MATCH($E82,'큐펫&amp;몹 정리(최신)'!$B:$B,0))*20,IF($J82=2,INDEX('큐펫&amp;몹 정리(최신)'!T:T,MATCH($E82,'큐펫&amp;몹 정리(최신)'!$B:$B,0))*25,IF($J82=3,INDEX('큐펫&amp;몹 정리(최신)'!T:T,MATCH($E82,'큐펫&amp;몹 정리(최신)'!$B:$B,0))*30,IF($J82=4,INDEX('큐펫&amp;몹 정리(최신)'!T:T,MATCH($E82,'큐펫&amp;몹 정리(최신)'!$B:$B,0))*35,INDEX('큐펫&amp;몹 정리(최신)'!T:T,MATCH($E82,'큐펫&amp;몹 정리(최신)'!$B:$B,0))*40))))</f>
        <v>180</v>
      </c>
      <c r="P82" s="217">
        <v>20</v>
      </c>
      <c r="Q82" s="217">
        <f t="shared" si="8"/>
        <v>28320</v>
      </c>
      <c r="R82" s="217">
        <f t="shared" si="9"/>
        <v>11199</v>
      </c>
      <c r="S82" s="217">
        <f t="shared" si="10"/>
        <v>3244</v>
      </c>
      <c r="T82" s="217">
        <f t="shared" si="11"/>
        <v>344</v>
      </c>
      <c r="U82" s="217">
        <f t="shared" si="12"/>
        <v>12252</v>
      </c>
      <c r="V82" s="217">
        <f t="shared" si="13"/>
        <v>3259</v>
      </c>
      <c r="W82" s="217">
        <f>ROUND(AC82+(INDEX(Ref!B$1:B$9,MATCH($AI82,Ref!$A$1:$A$9,0))*P82*0.0001),)</f>
        <v>43</v>
      </c>
      <c r="X82" s="217">
        <f>ROUND(AD82+(INDEX(Ref!C$1:C$9,MATCH($AI82,Ref!$A$1:$A$9,0))*$P82*0.0001),)</f>
        <v>26</v>
      </c>
      <c r="Y82" s="217">
        <f>ROUND(AE82+(INDEX(Ref!D$1:D$9,MATCH($AI82,Ref!$A$1:$A$9,0))*$P82*0.0001),)</f>
        <v>52</v>
      </c>
      <c r="Z82" s="217">
        <f>ROUND(AF82+(INDEX(Ref!E$1:E$9,MATCH($AI82,Ref!$A$1:$A$9,0))*$P82*0.0001),)</f>
        <v>19</v>
      </c>
      <c r="AA82" s="217">
        <f>ROUND(AG82+(INDEX(Ref!F$1:F$9,MATCH($AI82,Ref!$A$1:$A$9,0))*$P82*0.0001),)</f>
        <v>23</v>
      </c>
      <c r="AB82" s="217">
        <f>ROUND(AH82+(INDEX(Ref!G$1:G$9,MATCH($AI82,Ref!$A$1:$A$9,0))*$P82*0.0001),)</f>
        <v>21</v>
      </c>
      <c r="AC82" s="137">
        <v>38</v>
      </c>
      <c r="AD82" s="137">
        <v>23</v>
      </c>
      <c r="AE82" s="137">
        <v>48</v>
      </c>
      <c r="AF82" s="137">
        <v>17</v>
      </c>
      <c r="AG82" s="137">
        <v>20</v>
      </c>
      <c r="AH82" s="137">
        <v>18</v>
      </c>
      <c r="AI82" s="208">
        <v>1</v>
      </c>
      <c r="AJ82" s="172">
        <v>3000</v>
      </c>
      <c r="AK82" s="172">
        <v>30097</v>
      </c>
      <c r="AL82" s="172">
        <v>2000</v>
      </c>
      <c r="AM82" s="172">
        <v>30100</v>
      </c>
      <c r="AN82" s="172">
        <v>0</v>
      </c>
      <c r="AO82" s="172">
        <f t="shared" si="14"/>
        <v>34097</v>
      </c>
      <c r="AP82" s="172">
        <v>0</v>
      </c>
      <c r="AQ82" s="172">
        <f t="shared" si="15"/>
        <v>34100</v>
      </c>
      <c r="AR82" s="172">
        <v>1</v>
      </c>
      <c r="AS82" s="172">
        <v>0</v>
      </c>
      <c r="AT82" s="199">
        <v>78017</v>
      </c>
      <c r="AU82" s="195" t="s">
        <v>130</v>
      </c>
    </row>
    <row r="83" spans="1:47" x14ac:dyDescent="0.2">
      <c r="A83" s="173">
        <v>55017</v>
      </c>
      <c r="B83" s="174" t="s">
        <v>128</v>
      </c>
      <c r="C83" s="173">
        <v>86017</v>
      </c>
      <c r="D83" s="172">
        <v>150017</v>
      </c>
      <c r="E83" s="206" t="s">
        <v>129</v>
      </c>
      <c r="F83" s="207">
        <v>4</v>
      </c>
      <c r="G83" s="173">
        <v>11500</v>
      </c>
      <c r="H83" s="173">
        <v>9500</v>
      </c>
      <c r="I83" s="172">
        <v>10000</v>
      </c>
      <c r="J83" s="172">
        <v>2</v>
      </c>
      <c r="K83" s="190">
        <f>IF($J83=1,INDEX('큐펫&amp;몹 정리(최신)'!P:P,MATCH($E83,'큐펫&amp;몹 정리(최신)'!$B:$B,0))*20,IF($J83=2,INDEX('큐펫&amp;몹 정리(최신)'!P:P,MATCH($E83,'큐펫&amp;몹 정리(최신)'!$B:$B,0))*25,IF($J83=3,INDEX('큐펫&amp;몹 정리(최신)'!P:P,MATCH($E83,'큐펫&amp;몹 정리(최신)'!$B:$B,0))*30,IF($J83=4,INDEX('큐펫&amp;몹 정리(최신)'!P:P,MATCH($E83,'큐펫&amp;몹 정리(최신)'!$B:$B,0))*35,INDEX('큐펫&amp;몹 정리(최신)'!P:P,MATCH($E83,'큐펫&amp;몹 정리(최신)'!$B:$B,0))*40))))</f>
        <v>1000</v>
      </c>
      <c r="L83" s="190">
        <f>IF($J83=1,INDEX('큐펫&amp;몹 정리(최신)'!Q:Q,MATCH($E83,'큐펫&amp;몹 정리(최신)'!$B:$B,0))*20,IF($J83=2,INDEX('큐펫&amp;몹 정리(최신)'!Q:Q,MATCH($E83,'큐펫&amp;몹 정리(최신)'!$B:$B,0))*25,IF($J83=3,INDEX('큐펫&amp;몹 정리(최신)'!Q:Q,MATCH($E83,'큐펫&amp;몹 정리(최신)'!$B:$B,0))*30,IF($J83=4,INDEX('큐펫&amp;몹 정리(최신)'!Q:Q,MATCH($E83,'큐펫&amp;몹 정리(최신)'!$B:$B,0))*35,INDEX('큐펫&amp;몹 정리(최신)'!Q:Q,MATCH($E83,'큐펫&amp;몹 정리(최신)'!$B:$B,0))*40))))</f>
        <v>750</v>
      </c>
      <c r="M83" s="190">
        <f>IF($J83=1,INDEX('큐펫&amp;몹 정리(최신)'!R:R,MATCH($E83,'큐펫&amp;몹 정리(최신)'!$B:$B,0))*20,IF($J83=2,INDEX('큐펫&amp;몹 정리(최신)'!R:R,MATCH($E83,'큐펫&amp;몹 정리(최신)'!$B:$B,0))*25,IF($J83=3,INDEX('큐펫&amp;몹 정리(최신)'!R:R,MATCH($E83,'큐펫&amp;몹 정리(최신)'!$B:$B,0))*30,IF($J83=4,INDEX('큐펫&amp;몹 정리(최신)'!R:R,MATCH($E83,'큐펫&amp;몹 정리(최신)'!$B:$B,0))*35,INDEX('큐펫&amp;몹 정리(최신)'!R:R,MATCH($E83,'큐펫&amp;몹 정리(최신)'!$B:$B,0))*40))))</f>
        <v>100</v>
      </c>
      <c r="N83" s="190">
        <f>IF($J83=1,INDEX('큐펫&amp;몹 정리(최신)'!S:S,MATCH($E83,'큐펫&amp;몹 정리(최신)'!$B:$B,0))*20,IF($J83=2,INDEX('큐펫&amp;몹 정리(최신)'!S:S,MATCH($E83,'큐펫&amp;몹 정리(최신)'!$B:$B,0))*25,IF($J83=3,INDEX('큐펫&amp;몹 정리(최신)'!S:S,MATCH($E83,'큐펫&amp;몹 정리(최신)'!$B:$B,0))*30,IF($J83=4,INDEX('큐펫&amp;몹 정리(최신)'!S:S,MATCH($E83,'큐펫&amp;몹 정리(최신)'!$B:$B,0))*35,INDEX('큐펫&amp;몹 정리(최신)'!S:S,MATCH($E83,'큐펫&amp;몹 정리(최신)'!$B:$B,0))*40))))</f>
        <v>425</v>
      </c>
      <c r="O83" s="190">
        <f>IF($J83=1,INDEX('큐펫&amp;몹 정리(최신)'!T:T,MATCH($E83,'큐펫&amp;몹 정리(최신)'!$B:$B,0))*20,IF($J83=2,INDEX('큐펫&amp;몹 정리(최신)'!T:T,MATCH($E83,'큐펫&amp;몹 정리(최신)'!$B:$B,0))*25,IF($J83=3,INDEX('큐펫&amp;몹 정리(최신)'!T:T,MATCH($E83,'큐펫&amp;몹 정리(최신)'!$B:$B,0))*30,IF($J83=4,INDEX('큐펫&amp;몹 정리(최신)'!T:T,MATCH($E83,'큐펫&amp;몹 정리(최신)'!$B:$B,0))*35,INDEX('큐펫&amp;몹 정리(최신)'!T:T,MATCH($E83,'큐펫&amp;몹 정리(최신)'!$B:$B,0))*40))))</f>
        <v>225</v>
      </c>
      <c r="P83" s="217">
        <v>40</v>
      </c>
      <c r="Q83" s="217">
        <f t="shared" si="8"/>
        <v>69000</v>
      </c>
      <c r="R83" s="217">
        <f t="shared" si="9"/>
        <v>21205</v>
      </c>
      <c r="S83" s="217">
        <f t="shared" si="10"/>
        <v>6403</v>
      </c>
      <c r="T83" s="217">
        <f t="shared" si="11"/>
        <v>654</v>
      </c>
      <c r="U83" s="217">
        <f t="shared" si="12"/>
        <v>21266</v>
      </c>
      <c r="V83" s="217">
        <f t="shared" si="13"/>
        <v>5649</v>
      </c>
      <c r="W83" s="217">
        <f>ROUND(AC83+(INDEX(Ref!B$1:B$9,MATCH($AI83,Ref!$A$1:$A$9,0))*P83*0.0001),)</f>
        <v>53</v>
      </c>
      <c r="X83" s="217">
        <f>ROUND(AD83+(INDEX(Ref!C$1:C$9,MATCH($AI83,Ref!$A$1:$A$9,0))*$P83*0.0001),)</f>
        <v>32</v>
      </c>
      <c r="Y83" s="217">
        <f>ROUND(AE83+(INDEX(Ref!D$1:D$9,MATCH($AI83,Ref!$A$1:$A$9,0))*$P83*0.0001),)</f>
        <v>60</v>
      </c>
      <c r="Z83" s="217">
        <f>ROUND(AF83+(INDEX(Ref!E$1:E$9,MATCH($AI83,Ref!$A$1:$A$9,0))*$P83*0.0001),)</f>
        <v>24</v>
      </c>
      <c r="AA83" s="217">
        <f>ROUND(AG83+(INDEX(Ref!F$1:F$9,MATCH($AI83,Ref!$A$1:$A$9,0))*$P83*0.0001),)</f>
        <v>29</v>
      </c>
      <c r="AB83" s="217">
        <f>ROUND(AH83+(INDEX(Ref!G$1:G$9,MATCH($AI83,Ref!$A$1:$A$9,0))*$P83*0.0001),)</f>
        <v>26</v>
      </c>
      <c r="AC83" s="137">
        <v>43</v>
      </c>
      <c r="AD83" s="137">
        <v>26</v>
      </c>
      <c r="AE83" s="137">
        <v>52</v>
      </c>
      <c r="AF83" s="137">
        <v>19</v>
      </c>
      <c r="AG83" s="137">
        <v>23</v>
      </c>
      <c r="AH83" s="137">
        <v>21</v>
      </c>
      <c r="AI83" s="208">
        <v>1</v>
      </c>
      <c r="AJ83" s="172">
        <v>3000</v>
      </c>
      <c r="AK83" s="172">
        <v>30098</v>
      </c>
      <c r="AL83" s="172">
        <v>2000</v>
      </c>
      <c r="AM83" s="172">
        <v>30100</v>
      </c>
      <c r="AN83" s="172">
        <v>0</v>
      </c>
      <c r="AO83" s="172">
        <f t="shared" si="14"/>
        <v>34098</v>
      </c>
      <c r="AP83" s="172">
        <v>0</v>
      </c>
      <c r="AQ83" s="172">
        <f t="shared" si="15"/>
        <v>34100</v>
      </c>
      <c r="AR83" s="172">
        <v>1</v>
      </c>
      <c r="AS83" s="172">
        <v>0</v>
      </c>
      <c r="AT83" s="199">
        <v>78017</v>
      </c>
      <c r="AU83" s="195" t="s">
        <v>130</v>
      </c>
    </row>
    <row r="84" spans="1:47" x14ac:dyDescent="0.2">
      <c r="A84" s="173">
        <v>55017</v>
      </c>
      <c r="B84" s="174" t="s">
        <v>128</v>
      </c>
      <c r="C84" s="173">
        <v>86017</v>
      </c>
      <c r="D84" s="172">
        <v>150017</v>
      </c>
      <c r="E84" s="206" t="s">
        <v>129</v>
      </c>
      <c r="F84" s="207">
        <v>4</v>
      </c>
      <c r="G84" s="173">
        <v>11500</v>
      </c>
      <c r="H84" s="173">
        <v>9500</v>
      </c>
      <c r="I84" s="172">
        <v>10000</v>
      </c>
      <c r="J84" s="172">
        <v>3</v>
      </c>
      <c r="K84" s="190">
        <f>IF($J84=1,INDEX('큐펫&amp;몹 정리(최신)'!P:P,MATCH($E84,'큐펫&amp;몹 정리(최신)'!$B:$B,0))*20,IF($J84=2,INDEX('큐펫&amp;몹 정리(최신)'!P:P,MATCH($E84,'큐펫&amp;몹 정리(최신)'!$B:$B,0))*25,IF($J84=3,INDEX('큐펫&amp;몹 정리(최신)'!P:P,MATCH($E84,'큐펫&amp;몹 정리(최신)'!$B:$B,0))*30,IF($J84=4,INDEX('큐펫&amp;몹 정리(최신)'!P:P,MATCH($E84,'큐펫&amp;몹 정리(최신)'!$B:$B,0))*35,INDEX('큐펫&amp;몹 정리(최신)'!P:P,MATCH($E84,'큐펫&amp;몹 정리(최신)'!$B:$B,0))*40))))</f>
        <v>1200</v>
      </c>
      <c r="L84" s="190">
        <f>IF($J84=1,INDEX('큐펫&amp;몹 정리(최신)'!Q:Q,MATCH($E84,'큐펫&amp;몹 정리(최신)'!$B:$B,0))*20,IF($J84=2,INDEX('큐펫&amp;몹 정리(최신)'!Q:Q,MATCH($E84,'큐펫&amp;몹 정리(최신)'!$B:$B,0))*25,IF($J84=3,INDEX('큐펫&amp;몹 정리(최신)'!Q:Q,MATCH($E84,'큐펫&amp;몹 정리(최신)'!$B:$B,0))*30,IF($J84=4,INDEX('큐펫&amp;몹 정리(최신)'!Q:Q,MATCH($E84,'큐펫&amp;몹 정리(최신)'!$B:$B,0))*35,INDEX('큐펫&amp;몹 정리(최신)'!Q:Q,MATCH($E84,'큐펫&amp;몹 정리(최신)'!$B:$B,0))*40))))</f>
        <v>900</v>
      </c>
      <c r="M84" s="190">
        <f>IF($J84=1,INDEX('큐펫&amp;몹 정리(최신)'!R:R,MATCH($E84,'큐펫&amp;몹 정리(최신)'!$B:$B,0))*20,IF($J84=2,INDEX('큐펫&amp;몹 정리(최신)'!R:R,MATCH($E84,'큐펫&amp;몹 정리(최신)'!$B:$B,0))*25,IF($J84=3,INDEX('큐펫&amp;몹 정리(최신)'!R:R,MATCH($E84,'큐펫&amp;몹 정리(최신)'!$B:$B,0))*30,IF($J84=4,INDEX('큐펫&amp;몹 정리(최신)'!R:R,MATCH($E84,'큐펫&amp;몹 정리(최신)'!$B:$B,0))*35,INDEX('큐펫&amp;몹 정리(최신)'!R:R,MATCH($E84,'큐펫&amp;몹 정리(최신)'!$B:$B,0))*40))))</f>
        <v>120</v>
      </c>
      <c r="N84" s="190">
        <f>IF($J84=1,INDEX('큐펫&amp;몹 정리(최신)'!S:S,MATCH($E84,'큐펫&amp;몹 정리(최신)'!$B:$B,0))*20,IF($J84=2,INDEX('큐펫&amp;몹 정리(최신)'!S:S,MATCH($E84,'큐펫&amp;몹 정리(최신)'!$B:$B,0))*25,IF($J84=3,INDEX('큐펫&amp;몹 정리(최신)'!S:S,MATCH($E84,'큐펫&amp;몹 정리(최신)'!$B:$B,0))*30,IF($J84=4,INDEX('큐펫&amp;몹 정리(최신)'!S:S,MATCH($E84,'큐펫&amp;몹 정리(최신)'!$B:$B,0))*35,INDEX('큐펫&amp;몹 정리(최신)'!S:S,MATCH($E84,'큐펫&amp;몹 정리(최신)'!$B:$B,0))*40))))</f>
        <v>510</v>
      </c>
      <c r="O84" s="190">
        <f>IF($J84=1,INDEX('큐펫&amp;몹 정리(최신)'!T:T,MATCH($E84,'큐펫&amp;몹 정리(최신)'!$B:$B,0))*20,IF($J84=2,INDEX('큐펫&amp;몹 정리(최신)'!T:T,MATCH($E84,'큐펫&amp;몹 정리(최신)'!$B:$B,0))*25,IF($J84=3,INDEX('큐펫&amp;몹 정리(최신)'!T:T,MATCH($E84,'큐펫&amp;몹 정리(최신)'!$B:$B,0))*30,IF($J84=4,INDEX('큐펫&amp;몹 정리(최신)'!T:T,MATCH($E84,'큐펫&amp;몹 정리(최신)'!$B:$B,0))*35,INDEX('큐펫&amp;몹 정리(최신)'!T:T,MATCH($E84,'큐펫&amp;몹 정리(최신)'!$B:$B,0))*40))))</f>
        <v>270</v>
      </c>
      <c r="P84" s="217">
        <v>60</v>
      </c>
      <c r="Q84" s="217">
        <f t="shared" si="8"/>
        <v>126960</v>
      </c>
      <c r="R84" s="217">
        <f t="shared" si="9"/>
        <v>35891</v>
      </c>
      <c r="S84" s="217">
        <f t="shared" si="10"/>
        <v>10523</v>
      </c>
      <c r="T84" s="217">
        <f t="shared" si="11"/>
        <v>1038</v>
      </c>
      <c r="U84" s="217">
        <f t="shared" si="12"/>
        <v>32659</v>
      </c>
      <c r="V84" s="217">
        <f t="shared" si="13"/>
        <v>8668</v>
      </c>
      <c r="W84" s="217">
        <f>ROUND(AC84+(INDEX(Ref!B$1:B$9,MATCH($AI84,Ref!$A$1:$A$9,0))*P84*0.0001),)</f>
        <v>63</v>
      </c>
      <c r="X84" s="217">
        <f>ROUND(AD84+(INDEX(Ref!C$1:C$9,MATCH($AI84,Ref!$A$1:$A$9,0))*$P84*0.0001),)</f>
        <v>40</v>
      </c>
      <c r="Y84" s="217">
        <f>ROUND(AE84+(INDEX(Ref!D$1:D$9,MATCH($AI84,Ref!$A$1:$A$9,0))*$P84*0.0001),)</f>
        <v>68</v>
      </c>
      <c r="Z84" s="217">
        <f>ROUND(AF84+(INDEX(Ref!E$1:E$9,MATCH($AI84,Ref!$A$1:$A$9,0))*$P84*0.0001),)</f>
        <v>28</v>
      </c>
      <c r="AA84" s="217">
        <f>ROUND(AG84+(INDEX(Ref!F$1:F$9,MATCH($AI84,Ref!$A$1:$A$9,0))*$P84*0.0001),)</f>
        <v>34</v>
      </c>
      <c r="AB84" s="217">
        <f>ROUND(AH84+(INDEX(Ref!G$1:G$9,MATCH($AI84,Ref!$A$1:$A$9,0))*$P84*0.0001),)</f>
        <v>31</v>
      </c>
      <c r="AC84" s="137">
        <v>48.000000000000007</v>
      </c>
      <c r="AD84" s="137">
        <v>30</v>
      </c>
      <c r="AE84" s="137">
        <v>56</v>
      </c>
      <c r="AF84" s="137">
        <v>21</v>
      </c>
      <c r="AG84" s="137">
        <v>26</v>
      </c>
      <c r="AH84" s="137">
        <v>23</v>
      </c>
      <c r="AI84" s="208">
        <v>1</v>
      </c>
      <c r="AJ84" s="172">
        <v>3000</v>
      </c>
      <c r="AK84" s="172">
        <v>30098</v>
      </c>
      <c r="AL84" s="172">
        <v>2000</v>
      </c>
      <c r="AM84" s="172">
        <v>30101</v>
      </c>
      <c r="AN84" s="172">
        <v>0</v>
      </c>
      <c r="AO84" s="172">
        <f t="shared" si="14"/>
        <v>34098</v>
      </c>
      <c r="AP84" s="172">
        <v>0</v>
      </c>
      <c r="AQ84" s="172">
        <f t="shared" si="15"/>
        <v>34101</v>
      </c>
      <c r="AR84" s="172">
        <v>1</v>
      </c>
      <c r="AS84" s="172">
        <v>0</v>
      </c>
      <c r="AT84" s="199">
        <v>78017</v>
      </c>
      <c r="AU84" s="195" t="s">
        <v>130</v>
      </c>
    </row>
    <row r="85" spans="1:47" x14ac:dyDescent="0.2">
      <c r="A85" s="173">
        <v>55017</v>
      </c>
      <c r="B85" s="174" t="s">
        <v>128</v>
      </c>
      <c r="C85" s="173">
        <v>86017</v>
      </c>
      <c r="D85" s="172">
        <v>150017</v>
      </c>
      <c r="E85" s="206" t="s">
        <v>129</v>
      </c>
      <c r="F85" s="207">
        <v>4</v>
      </c>
      <c r="G85" s="173">
        <v>11500</v>
      </c>
      <c r="H85" s="173">
        <v>9500</v>
      </c>
      <c r="I85" s="172">
        <v>10000</v>
      </c>
      <c r="J85" s="172">
        <v>4</v>
      </c>
      <c r="K85" s="190">
        <f>IF($J85=1,INDEX('큐펫&amp;몹 정리(최신)'!P:P,MATCH($E85,'큐펫&amp;몹 정리(최신)'!$B:$B,0))*20,IF($J85=2,INDEX('큐펫&amp;몹 정리(최신)'!P:P,MATCH($E85,'큐펫&amp;몹 정리(최신)'!$B:$B,0))*25,IF($J85=3,INDEX('큐펫&amp;몹 정리(최신)'!P:P,MATCH($E85,'큐펫&amp;몹 정리(최신)'!$B:$B,0))*30,IF($J85=4,INDEX('큐펫&amp;몹 정리(최신)'!P:P,MATCH($E85,'큐펫&amp;몹 정리(최신)'!$B:$B,0))*35,INDEX('큐펫&amp;몹 정리(최신)'!P:P,MATCH($E85,'큐펫&amp;몹 정리(최신)'!$B:$B,0))*40))))</f>
        <v>1400</v>
      </c>
      <c r="L85" s="190">
        <f>IF($J85=1,INDEX('큐펫&amp;몹 정리(최신)'!Q:Q,MATCH($E85,'큐펫&amp;몹 정리(최신)'!$B:$B,0))*20,IF($J85=2,INDEX('큐펫&amp;몹 정리(최신)'!Q:Q,MATCH($E85,'큐펫&amp;몹 정리(최신)'!$B:$B,0))*25,IF($J85=3,INDEX('큐펫&amp;몹 정리(최신)'!Q:Q,MATCH($E85,'큐펫&amp;몹 정리(최신)'!$B:$B,0))*30,IF($J85=4,INDEX('큐펫&amp;몹 정리(최신)'!Q:Q,MATCH($E85,'큐펫&amp;몹 정리(최신)'!$B:$B,0))*35,INDEX('큐펫&amp;몹 정리(최신)'!Q:Q,MATCH($E85,'큐펫&amp;몹 정리(최신)'!$B:$B,0))*40))))</f>
        <v>1050</v>
      </c>
      <c r="M85" s="190">
        <f>IF($J85=1,INDEX('큐펫&amp;몹 정리(최신)'!R:R,MATCH($E85,'큐펫&amp;몹 정리(최신)'!$B:$B,0))*20,IF($J85=2,INDEX('큐펫&amp;몹 정리(최신)'!R:R,MATCH($E85,'큐펫&amp;몹 정리(최신)'!$B:$B,0))*25,IF($J85=3,INDEX('큐펫&amp;몹 정리(최신)'!R:R,MATCH($E85,'큐펫&amp;몹 정리(최신)'!$B:$B,0))*30,IF($J85=4,INDEX('큐펫&amp;몹 정리(최신)'!R:R,MATCH($E85,'큐펫&amp;몹 정리(최신)'!$B:$B,0))*35,INDEX('큐펫&amp;몹 정리(최신)'!R:R,MATCH($E85,'큐펫&amp;몹 정리(최신)'!$B:$B,0))*40))))</f>
        <v>140</v>
      </c>
      <c r="N85" s="190">
        <f>IF($J85=1,INDEX('큐펫&amp;몹 정리(최신)'!S:S,MATCH($E85,'큐펫&amp;몹 정리(최신)'!$B:$B,0))*20,IF($J85=2,INDEX('큐펫&amp;몹 정리(최신)'!S:S,MATCH($E85,'큐펫&amp;몹 정리(최신)'!$B:$B,0))*25,IF($J85=3,INDEX('큐펫&amp;몹 정리(최신)'!S:S,MATCH($E85,'큐펫&amp;몹 정리(최신)'!$B:$B,0))*30,IF($J85=4,INDEX('큐펫&amp;몹 정리(최신)'!S:S,MATCH($E85,'큐펫&amp;몹 정리(최신)'!$B:$B,0))*35,INDEX('큐펫&amp;몹 정리(최신)'!S:S,MATCH($E85,'큐펫&amp;몹 정리(최신)'!$B:$B,0))*40))))</f>
        <v>595</v>
      </c>
      <c r="O85" s="190">
        <f>IF($J85=1,INDEX('큐펫&amp;몹 정리(최신)'!T:T,MATCH($E85,'큐펫&amp;몹 정리(최신)'!$B:$B,0))*20,IF($J85=2,INDEX('큐펫&amp;몹 정리(최신)'!T:T,MATCH($E85,'큐펫&amp;몹 정리(최신)'!$B:$B,0))*25,IF($J85=3,INDEX('큐펫&amp;몹 정리(최신)'!T:T,MATCH($E85,'큐펫&amp;몹 정리(최신)'!$B:$B,0))*30,IF($J85=4,INDEX('큐펫&amp;몹 정리(최신)'!T:T,MATCH($E85,'큐펫&amp;몹 정리(최신)'!$B:$B,0))*35,INDEX('큐펫&amp;몹 정리(최신)'!T:T,MATCH($E85,'큐펫&amp;몹 정리(최신)'!$B:$B,0))*40))))</f>
        <v>315</v>
      </c>
      <c r="P85" s="217">
        <v>80</v>
      </c>
      <c r="Q85" s="217">
        <f t="shared" si="8"/>
        <v>204120</v>
      </c>
      <c r="R85" s="217">
        <f t="shared" si="9"/>
        <v>56157</v>
      </c>
      <c r="S85" s="217">
        <f t="shared" si="10"/>
        <v>16113</v>
      </c>
      <c r="T85" s="217">
        <f t="shared" si="11"/>
        <v>1740</v>
      </c>
      <c r="U85" s="217">
        <f t="shared" si="12"/>
        <v>46432</v>
      </c>
      <c r="V85" s="217">
        <f t="shared" si="13"/>
        <v>12319</v>
      </c>
      <c r="W85" s="217">
        <f>ROUND(AC85+(INDEX(Ref!B$1:B$9,MATCH($AI85,Ref!$A$1:$A$9,0))*P85*0.0001),)</f>
        <v>73</v>
      </c>
      <c r="X85" s="217">
        <f>ROUND(AD85+(INDEX(Ref!C$1:C$9,MATCH($AI85,Ref!$A$1:$A$9,0))*$P85*0.0001),)</f>
        <v>46</v>
      </c>
      <c r="Y85" s="217">
        <f>ROUND(AE85+(INDEX(Ref!D$1:D$9,MATCH($AI85,Ref!$A$1:$A$9,0))*$P85*0.0001),)</f>
        <v>76</v>
      </c>
      <c r="Z85" s="217">
        <f>ROUND(AF85+(INDEX(Ref!E$1:E$9,MATCH($AI85,Ref!$A$1:$A$9,0))*$P85*0.0001),)</f>
        <v>34</v>
      </c>
      <c r="AA85" s="217">
        <f>ROUND(AG85+(INDEX(Ref!F$1:F$9,MATCH($AI85,Ref!$A$1:$A$9,0))*$P85*0.0001),)</f>
        <v>39</v>
      </c>
      <c r="AB85" s="217">
        <f>ROUND(AH85+(INDEX(Ref!G$1:G$9,MATCH($AI85,Ref!$A$1:$A$9,0))*$P85*0.0001),)</f>
        <v>36</v>
      </c>
      <c r="AC85" s="137">
        <v>53</v>
      </c>
      <c r="AD85" s="137">
        <v>33</v>
      </c>
      <c r="AE85" s="137">
        <v>60</v>
      </c>
      <c r="AF85" s="137">
        <v>24</v>
      </c>
      <c r="AG85" s="137">
        <v>28</v>
      </c>
      <c r="AH85" s="137">
        <v>26</v>
      </c>
      <c r="AI85" s="208">
        <v>1</v>
      </c>
      <c r="AJ85" s="172">
        <v>3000</v>
      </c>
      <c r="AK85" s="172">
        <v>30099</v>
      </c>
      <c r="AL85" s="172">
        <v>2000</v>
      </c>
      <c r="AM85" s="172">
        <v>30101</v>
      </c>
      <c r="AN85" s="172">
        <v>0</v>
      </c>
      <c r="AO85" s="172">
        <f t="shared" si="14"/>
        <v>34099</v>
      </c>
      <c r="AP85" s="172">
        <v>0</v>
      </c>
      <c r="AQ85" s="172">
        <f t="shared" si="15"/>
        <v>34101</v>
      </c>
      <c r="AR85" s="172">
        <v>1</v>
      </c>
      <c r="AS85" s="172">
        <v>0</v>
      </c>
      <c r="AT85" s="199">
        <v>78017</v>
      </c>
      <c r="AU85" s="195" t="s">
        <v>130</v>
      </c>
    </row>
    <row r="86" spans="1:47" x14ac:dyDescent="0.2">
      <c r="A86" s="173">
        <v>55017</v>
      </c>
      <c r="B86" s="174" t="s">
        <v>128</v>
      </c>
      <c r="C86" s="173">
        <v>86017</v>
      </c>
      <c r="D86" s="172">
        <v>150017</v>
      </c>
      <c r="E86" s="206" t="s">
        <v>129</v>
      </c>
      <c r="F86" s="207">
        <v>4</v>
      </c>
      <c r="G86" s="173">
        <v>11500</v>
      </c>
      <c r="H86" s="173">
        <v>9500</v>
      </c>
      <c r="I86" s="172">
        <v>10000</v>
      </c>
      <c r="J86" s="172">
        <v>5</v>
      </c>
      <c r="K86" s="190">
        <f>IF($J86=1,INDEX('큐펫&amp;몹 정리(최신)'!P:P,MATCH($E86,'큐펫&amp;몹 정리(최신)'!$B:$B,0))*20,IF($J86=2,INDEX('큐펫&amp;몹 정리(최신)'!P:P,MATCH($E86,'큐펫&amp;몹 정리(최신)'!$B:$B,0))*25,IF($J86=3,INDEX('큐펫&amp;몹 정리(최신)'!P:P,MATCH($E86,'큐펫&amp;몹 정리(최신)'!$B:$B,0))*30,IF($J86=4,INDEX('큐펫&amp;몹 정리(최신)'!P:P,MATCH($E86,'큐펫&amp;몹 정리(최신)'!$B:$B,0))*35,INDEX('큐펫&amp;몹 정리(최신)'!P:P,MATCH($E86,'큐펫&amp;몹 정리(최신)'!$B:$B,0))*40))))</f>
        <v>1600</v>
      </c>
      <c r="L86" s="190">
        <f>IF($J86=1,INDEX('큐펫&amp;몹 정리(최신)'!Q:Q,MATCH($E86,'큐펫&amp;몹 정리(최신)'!$B:$B,0))*20,IF($J86=2,INDEX('큐펫&amp;몹 정리(최신)'!Q:Q,MATCH($E86,'큐펫&amp;몹 정리(최신)'!$B:$B,0))*25,IF($J86=3,INDEX('큐펫&amp;몹 정리(최신)'!Q:Q,MATCH($E86,'큐펫&amp;몹 정리(최신)'!$B:$B,0))*30,IF($J86=4,INDEX('큐펫&amp;몹 정리(최신)'!Q:Q,MATCH($E86,'큐펫&amp;몹 정리(최신)'!$B:$B,0))*35,INDEX('큐펫&amp;몹 정리(최신)'!Q:Q,MATCH($E86,'큐펫&amp;몹 정리(최신)'!$B:$B,0))*40))))</f>
        <v>1200</v>
      </c>
      <c r="M86" s="190">
        <f>IF($J86=1,INDEX('큐펫&amp;몹 정리(최신)'!R:R,MATCH($E86,'큐펫&amp;몹 정리(최신)'!$B:$B,0))*20,IF($J86=2,INDEX('큐펫&amp;몹 정리(최신)'!R:R,MATCH($E86,'큐펫&amp;몹 정리(최신)'!$B:$B,0))*25,IF($J86=3,INDEX('큐펫&amp;몹 정리(최신)'!R:R,MATCH($E86,'큐펫&amp;몹 정리(최신)'!$B:$B,0))*30,IF($J86=4,INDEX('큐펫&amp;몹 정리(최신)'!R:R,MATCH($E86,'큐펫&amp;몹 정리(최신)'!$B:$B,0))*35,INDEX('큐펫&amp;몹 정리(최신)'!R:R,MATCH($E86,'큐펫&amp;몹 정리(최신)'!$B:$B,0))*40))))</f>
        <v>160</v>
      </c>
      <c r="N86" s="190">
        <f>IF($J86=1,INDEX('큐펫&amp;몹 정리(최신)'!S:S,MATCH($E86,'큐펫&amp;몹 정리(최신)'!$B:$B,0))*20,IF($J86=2,INDEX('큐펫&amp;몹 정리(최신)'!S:S,MATCH($E86,'큐펫&amp;몹 정리(최신)'!$B:$B,0))*25,IF($J86=3,INDEX('큐펫&amp;몹 정리(최신)'!S:S,MATCH($E86,'큐펫&amp;몹 정리(최신)'!$B:$B,0))*30,IF($J86=4,INDEX('큐펫&amp;몹 정리(최신)'!S:S,MATCH($E86,'큐펫&amp;몹 정리(최신)'!$B:$B,0))*35,INDEX('큐펫&amp;몹 정리(최신)'!S:S,MATCH($E86,'큐펫&amp;몹 정리(최신)'!$B:$B,0))*40))))</f>
        <v>680</v>
      </c>
      <c r="O86" s="190">
        <f>IF($J86=1,INDEX('큐펫&amp;몹 정리(최신)'!T:T,MATCH($E86,'큐펫&amp;몹 정리(최신)'!$B:$B,0))*20,IF($J86=2,INDEX('큐펫&amp;몹 정리(최신)'!T:T,MATCH($E86,'큐펫&amp;몹 정리(최신)'!$B:$B,0))*25,IF($J86=3,INDEX('큐펫&amp;몹 정리(최신)'!T:T,MATCH($E86,'큐펫&amp;몹 정리(최신)'!$B:$B,0))*30,IF($J86=4,INDEX('큐펫&amp;몹 정리(최신)'!T:T,MATCH($E86,'큐펫&amp;몹 정리(최신)'!$B:$B,0))*35,INDEX('큐펫&amp;몹 정리(최신)'!T:T,MATCH($E86,'큐펫&amp;몹 정리(최신)'!$B:$B,0))*40))))</f>
        <v>360</v>
      </c>
      <c r="P86" s="217">
        <v>100</v>
      </c>
      <c r="Q86" s="217">
        <f t="shared" si="8"/>
        <v>302400</v>
      </c>
      <c r="R86" s="217">
        <f t="shared" si="9"/>
        <v>82903</v>
      </c>
      <c r="S86" s="217">
        <f t="shared" si="10"/>
        <v>24469</v>
      </c>
      <c r="T86" s="217">
        <f t="shared" si="11"/>
        <v>2452</v>
      </c>
      <c r="U86" s="217">
        <f t="shared" si="12"/>
        <v>62585</v>
      </c>
      <c r="V86" s="217">
        <f t="shared" si="13"/>
        <v>16598</v>
      </c>
      <c r="W86" s="217">
        <f>ROUND(AC86+(INDEX(Ref!B$1:B$9,MATCH($AI86,Ref!$A$1:$A$9,0))*P86*0.0001),)</f>
        <v>83</v>
      </c>
      <c r="X86" s="217">
        <f>ROUND(AD86+(INDEX(Ref!C$1:C$9,MATCH($AI86,Ref!$A$1:$A$9,0))*$P86*0.0001),)</f>
        <v>52</v>
      </c>
      <c r="Y86" s="217">
        <f>ROUND(AE86+(INDEX(Ref!D$1:D$9,MATCH($AI86,Ref!$A$1:$A$9,0))*$P86*0.0001),)</f>
        <v>84</v>
      </c>
      <c r="Z86" s="217">
        <f>ROUND(AF86+(INDEX(Ref!E$1:E$9,MATCH($AI86,Ref!$A$1:$A$9,0))*$P86*0.0001),)</f>
        <v>38</v>
      </c>
      <c r="AA86" s="217">
        <f>ROUND(AG86+(INDEX(Ref!F$1:F$9,MATCH($AI86,Ref!$A$1:$A$9,0))*$P86*0.0001),)</f>
        <v>45</v>
      </c>
      <c r="AB86" s="217">
        <f>ROUND(AH86+(INDEX(Ref!G$1:G$9,MATCH($AI86,Ref!$A$1:$A$9,0))*$P86*0.0001),)</f>
        <v>42</v>
      </c>
      <c r="AC86" s="137">
        <v>58.000000000000007</v>
      </c>
      <c r="AD86" s="137">
        <v>36</v>
      </c>
      <c r="AE86" s="137">
        <v>64</v>
      </c>
      <c r="AF86" s="137">
        <v>26</v>
      </c>
      <c r="AG86" s="137">
        <v>31</v>
      </c>
      <c r="AH86" s="137">
        <v>29</v>
      </c>
      <c r="AI86" s="208">
        <v>1</v>
      </c>
      <c r="AJ86" s="172">
        <v>3000</v>
      </c>
      <c r="AK86" s="172">
        <v>30099</v>
      </c>
      <c r="AL86" s="172">
        <v>2000</v>
      </c>
      <c r="AM86" s="172">
        <v>30102</v>
      </c>
      <c r="AN86" s="172">
        <v>0</v>
      </c>
      <c r="AO86" s="172">
        <f t="shared" si="14"/>
        <v>34099</v>
      </c>
      <c r="AP86" s="172">
        <v>0</v>
      </c>
      <c r="AQ86" s="172">
        <f t="shared" si="15"/>
        <v>34102</v>
      </c>
      <c r="AR86" s="172">
        <v>1</v>
      </c>
      <c r="AS86" s="172">
        <v>0</v>
      </c>
      <c r="AT86" s="199">
        <v>78017</v>
      </c>
      <c r="AU86" s="195" t="s">
        <v>130</v>
      </c>
    </row>
    <row r="87" spans="1:47" x14ac:dyDescent="0.2">
      <c r="A87" s="173">
        <v>55018</v>
      </c>
      <c r="B87" s="174" t="s">
        <v>131</v>
      </c>
      <c r="C87" s="172">
        <v>86018</v>
      </c>
      <c r="D87" s="172">
        <v>150018</v>
      </c>
      <c r="E87" s="206" t="s">
        <v>132</v>
      </c>
      <c r="F87" s="207">
        <v>8</v>
      </c>
      <c r="G87" s="173">
        <v>11500</v>
      </c>
      <c r="H87" s="173">
        <v>9500</v>
      </c>
      <c r="I87" s="172">
        <v>10000</v>
      </c>
      <c r="J87" s="172">
        <v>1</v>
      </c>
      <c r="K87" s="190">
        <f>IF($J87=1,INDEX('큐펫&amp;몹 정리(최신)'!P:P,MATCH($E87,'큐펫&amp;몹 정리(최신)'!$B:$B,0))*20,IF($J87=2,INDEX('큐펫&amp;몹 정리(최신)'!P:P,MATCH($E87,'큐펫&amp;몹 정리(최신)'!$B:$B,0))*25,IF($J87=3,INDEX('큐펫&amp;몹 정리(최신)'!P:P,MATCH($E87,'큐펫&amp;몹 정리(최신)'!$B:$B,0))*30,IF($J87=4,INDEX('큐펫&amp;몹 정리(최신)'!P:P,MATCH($E87,'큐펫&amp;몹 정리(최신)'!$B:$B,0))*35,INDEX('큐펫&amp;몹 정리(최신)'!P:P,MATCH($E87,'큐펫&amp;몹 정리(최신)'!$B:$B,0))*40))))</f>
        <v>760</v>
      </c>
      <c r="L87" s="190">
        <f>IF($J87=1,INDEX('큐펫&amp;몹 정리(최신)'!Q:Q,MATCH($E87,'큐펫&amp;몹 정리(최신)'!$B:$B,0))*20,IF($J87=2,INDEX('큐펫&amp;몹 정리(최신)'!Q:Q,MATCH($E87,'큐펫&amp;몹 정리(최신)'!$B:$B,0))*25,IF($J87=3,INDEX('큐펫&amp;몹 정리(최신)'!Q:Q,MATCH($E87,'큐펫&amp;몹 정리(최신)'!$B:$B,0))*30,IF($J87=4,INDEX('큐펫&amp;몹 정리(최신)'!Q:Q,MATCH($E87,'큐펫&amp;몹 정리(최신)'!$B:$B,0))*35,INDEX('큐펫&amp;몹 정리(최신)'!Q:Q,MATCH($E87,'큐펫&amp;몹 정리(최신)'!$B:$B,0))*40))))</f>
        <v>80</v>
      </c>
      <c r="M87" s="190">
        <f>IF($J87=1,INDEX('큐펫&amp;몹 정리(최신)'!R:R,MATCH($E87,'큐펫&amp;몹 정리(최신)'!$B:$B,0))*20,IF($J87=2,INDEX('큐펫&amp;몹 정리(최신)'!R:R,MATCH($E87,'큐펫&amp;몹 정리(최신)'!$B:$B,0))*25,IF($J87=3,INDEX('큐펫&amp;몹 정리(최신)'!R:R,MATCH($E87,'큐펫&amp;몹 정리(최신)'!$B:$B,0))*30,IF($J87=4,INDEX('큐펫&amp;몹 정리(최신)'!R:R,MATCH($E87,'큐펫&amp;몹 정리(최신)'!$B:$B,0))*35,INDEX('큐펫&amp;몹 정리(최신)'!R:R,MATCH($E87,'큐펫&amp;몹 정리(최신)'!$B:$B,0))*40))))</f>
        <v>480</v>
      </c>
      <c r="N87" s="190">
        <f>IF($J87=1,INDEX('큐펫&amp;몹 정리(최신)'!S:S,MATCH($E87,'큐펫&amp;몹 정리(최신)'!$B:$B,0))*20,IF($J87=2,INDEX('큐펫&amp;몹 정리(최신)'!S:S,MATCH($E87,'큐펫&amp;몹 정리(최신)'!$B:$B,0))*25,IF($J87=3,INDEX('큐펫&amp;몹 정리(최신)'!S:S,MATCH($E87,'큐펫&amp;몹 정리(최신)'!$B:$B,0))*30,IF($J87=4,INDEX('큐펫&amp;몹 정리(최신)'!S:S,MATCH($E87,'큐펫&amp;몹 정리(최신)'!$B:$B,0))*35,INDEX('큐펫&amp;몹 정리(최신)'!S:S,MATCH($E87,'큐펫&amp;몹 정리(최신)'!$B:$B,0))*40))))</f>
        <v>280</v>
      </c>
      <c r="O87" s="190">
        <f>IF($J87=1,INDEX('큐펫&amp;몹 정리(최신)'!T:T,MATCH($E87,'큐펫&amp;몹 정리(최신)'!$B:$B,0))*20,IF($J87=2,INDEX('큐펫&amp;몹 정리(최신)'!T:T,MATCH($E87,'큐펫&amp;몹 정리(최신)'!$B:$B,0))*25,IF($J87=3,INDEX('큐펫&amp;몹 정리(최신)'!T:T,MATCH($E87,'큐펫&amp;몹 정리(최신)'!$B:$B,0))*30,IF($J87=4,INDEX('큐펫&amp;몹 정리(최신)'!T:T,MATCH($E87,'큐펫&amp;몹 정리(최신)'!$B:$B,0))*35,INDEX('큐펫&amp;몹 정리(최신)'!T:T,MATCH($E87,'큐펫&amp;몹 정리(최신)'!$B:$B,0))*40))))</f>
        <v>400</v>
      </c>
      <c r="P87" s="217">
        <v>20</v>
      </c>
      <c r="Q87" s="217">
        <f t="shared" si="8"/>
        <v>26904</v>
      </c>
      <c r="R87" s="217">
        <f t="shared" si="9"/>
        <v>346</v>
      </c>
      <c r="S87" s="217">
        <f t="shared" si="10"/>
        <v>488</v>
      </c>
      <c r="T87" s="217">
        <f t="shared" si="11"/>
        <v>8979</v>
      </c>
      <c r="U87" s="217">
        <f t="shared" si="12"/>
        <v>10086</v>
      </c>
      <c r="V87" s="217">
        <f t="shared" si="13"/>
        <v>7243</v>
      </c>
      <c r="W87" s="217">
        <f>ROUND(AC87+(INDEX(Ref!B$1:B$9,MATCH($AI87,Ref!$A$1:$A$9,0))*P87*0.0001),)</f>
        <v>19</v>
      </c>
      <c r="X87" s="217">
        <f>ROUND(AD87+(INDEX(Ref!C$1:C$9,MATCH($AI87,Ref!$A$1:$A$9,0))*$P87*0.0001),)</f>
        <v>26</v>
      </c>
      <c r="Y87" s="217">
        <f>ROUND(AE87+(INDEX(Ref!D$1:D$9,MATCH($AI87,Ref!$A$1:$A$9,0))*$P87*0.0001),)</f>
        <v>52</v>
      </c>
      <c r="Z87" s="217">
        <f>ROUND(AF87+(INDEX(Ref!E$1:E$9,MATCH($AI87,Ref!$A$1:$A$9,0))*$P87*0.0001),)</f>
        <v>43</v>
      </c>
      <c r="AA87" s="217">
        <f>ROUND(AG87+(INDEX(Ref!F$1:F$9,MATCH($AI87,Ref!$A$1:$A$9,0))*$P87*0.0001),)</f>
        <v>23</v>
      </c>
      <c r="AB87" s="217">
        <f>ROUND(AH87+(INDEX(Ref!G$1:G$9,MATCH($AI87,Ref!$A$1:$A$9,0))*$P87*0.0001),)</f>
        <v>21</v>
      </c>
      <c r="AC87" s="137">
        <v>17</v>
      </c>
      <c r="AD87" s="137">
        <v>23</v>
      </c>
      <c r="AE87" s="137">
        <v>48</v>
      </c>
      <c r="AF87" s="137">
        <v>38</v>
      </c>
      <c r="AG87" s="137">
        <v>20</v>
      </c>
      <c r="AH87" s="137">
        <v>18</v>
      </c>
      <c r="AI87" s="208">
        <v>2</v>
      </c>
      <c r="AJ87" s="172">
        <v>3000</v>
      </c>
      <c r="AK87" s="172">
        <v>30103</v>
      </c>
      <c r="AL87" s="172">
        <v>2000</v>
      </c>
      <c r="AM87" s="172">
        <v>30106</v>
      </c>
      <c r="AN87" s="172">
        <v>0</v>
      </c>
      <c r="AO87" s="172">
        <f t="shared" si="14"/>
        <v>34103</v>
      </c>
      <c r="AP87" s="172">
        <v>0</v>
      </c>
      <c r="AQ87" s="172">
        <f t="shared" si="15"/>
        <v>34106</v>
      </c>
      <c r="AR87" s="172">
        <v>1</v>
      </c>
      <c r="AS87" s="172">
        <v>0</v>
      </c>
      <c r="AT87" s="199">
        <v>78018</v>
      </c>
      <c r="AU87" s="195" t="s">
        <v>133</v>
      </c>
    </row>
    <row r="88" spans="1:47" x14ac:dyDescent="0.2">
      <c r="A88" s="173">
        <v>55018</v>
      </c>
      <c r="B88" s="174" t="s">
        <v>131</v>
      </c>
      <c r="C88" s="172">
        <v>86018</v>
      </c>
      <c r="D88" s="172">
        <v>150018</v>
      </c>
      <c r="E88" s="206" t="s">
        <v>132</v>
      </c>
      <c r="F88" s="207">
        <v>8</v>
      </c>
      <c r="G88" s="173">
        <v>11500</v>
      </c>
      <c r="H88" s="173">
        <v>9500</v>
      </c>
      <c r="I88" s="172">
        <v>10000</v>
      </c>
      <c r="J88" s="172">
        <v>2</v>
      </c>
      <c r="K88" s="190">
        <f>IF($J88=1,INDEX('큐펫&amp;몹 정리(최신)'!P:P,MATCH($E88,'큐펫&amp;몹 정리(최신)'!$B:$B,0))*20,IF($J88=2,INDEX('큐펫&amp;몹 정리(최신)'!P:P,MATCH($E88,'큐펫&amp;몹 정리(최신)'!$B:$B,0))*25,IF($J88=3,INDEX('큐펫&amp;몹 정리(최신)'!P:P,MATCH($E88,'큐펫&amp;몹 정리(최신)'!$B:$B,0))*30,IF($J88=4,INDEX('큐펫&amp;몹 정리(최신)'!P:P,MATCH($E88,'큐펫&amp;몹 정리(최신)'!$B:$B,0))*35,INDEX('큐펫&amp;몹 정리(최신)'!P:P,MATCH($E88,'큐펫&amp;몹 정리(최신)'!$B:$B,0))*40))))</f>
        <v>950</v>
      </c>
      <c r="L88" s="190">
        <f>IF($J88=1,INDEX('큐펫&amp;몹 정리(최신)'!Q:Q,MATCH($E88,'큐펫&amp;몹 정리(최신)'!$B:$B,0))*20,IF($J88=2,INDEX('큐펫&amp;몹 정리(최신)'!Q:Q,MATCH($E88,'큐펫&amp;몹 정리(최신)'!$B:$B,0))*25,IF($J88=3,INDEX('큐펫&amp;몹 정리(최신)'!Q:Q,MATCH($E88,'큐펫&amp;몹 정리(최신)'!$B:$B,0))*30,IF($J88=4,INDEX('큐펫&amp;몹 정리(최신)'!Q:Q,MATCH($E88,'큐펫&amp;몹 정리(최신)'!$B:$B,0))*35,INDEX('큐펫&amp;몹 정리(최신)'!Q:Q,MATCH($E88,'큐펫&amp;몹 정리(최신)'!$B:$B,0))*40))))</f>
        <v>100</v>
      </c>
      <c r="M88" s="190">
        <f>IF($J88=1,INDEX('큐펫&amp;몹 정리(최신)'!R:R,MATCH($E88,'큐펫&amp;몹 정리(최신)'!$B:$B,0))*20,IF($J88=2,INDEX('큐펫&amp;몹 정리(최신)'!R:R,MATCH($E88,'큐펫&amp;몹 정리(최신)'!$B:$B,0))*25,IF($J88=3,INDEX('큐펫&amp;몹 정리(최신)'!R:R,MATCH($E88,'큐펫&amp;몹 정리(최신)'!$B:$B,0))*30,IF($J88=4,INDEX('큐펫&amp;몹 정리(최신)'!R:R,MATCH($E88,'큐펫&amp;몹 정리(최신)'!$B:$B,0))*35,INDEX('큐펫&amp;몹 정리(최신)'!R:R,MATCH($E88,'큐펫&amp;몹 정리(최신)'!$B:$B,0))*40))))</f>
        <v>600</v>
      </c>
      <c r="N88" s="190">
        <f>IF($J88=1,INDEX('큐펫&amp;몹 정리(최신)'!S:S,MATCH($E88,'큐펫&amp;몹 정리(최신)'!$B:$B,0))*20,IF($J88=2,INDEX('큐펫&amp;몹 정리(최신)'!S:S,MATCH($E88,'큐펫&amp;몹 정리(최신)'!$B:$B,0))*25,IF($J88=3,INDEX('큐펫&amp;몹 정리(최신)'!S:S,MATCH($E88,'큐펫&amp;몹 정리(최신)'!$B:$B,0))*30,IF($J88=4,INDEX('큐펫&amp;몹 정리(최신)'!S:S,MATCH($E88,'큐펫&amp;몹 정리(최신)'!$B:$B,0))*35,INDEX('큐펫&amp;몹 정리(최신)'!S:S,MATCH($E88,'큐펫&amp;몹 정리(최신)'!$B:$B,0))*40))))</f>
        <v>350</v>
      </c>
      <c r="O88" s="190">
        <f>IF($J88=1,INDEX('큐펫&amp;몹 정리(최신)'!T:T,MATCH($E88,'큐펫&amp;몹 정리(최신)'!$B:$B,0))*20,IF($J88=2,INDEX('큐펫&amp;몹 정리(최신)'!T:T,MATCH($E88,'큐펫&amp;몹 정리(최신)'!$B:$B,0))*25,IF($J88=3,INDEX('큐펫&amp;몹 정리(최신)'!T:T,MATCH($E88,'큐펫&amp;몹 정리(최신)'!$B:$B,0))*30,IF($J88=4,INDEX('큐펫&amp;몹 정리(최신)'!T:T,MATCH($E88,'큐펫&amp;몹 정리(최신)'!$B:$B,0))*35,INDEX('큐펫&amp;몹 정리(최신)'!T:T,MATCH($E88,'큐펫&amp;몹 정리(최신)'!$B:$B,0))*40))))</f>
        <v>500</v>
      </c>
      <c r="P88" s="217">
        <v>40</v>
      </c>
      <c r="Q88" s="217">
        <f t="shared" si="8"/>
        <v>65500</v>
      </c>
      <c r="R88" s="217">
        <f t="shared" si="9"/>
        <v>656</v>
      </c>
      <c r="S88" s="217">
        <f t="shared" si="10"/>
        <v>930</v>
      </c>
      <c r="T88" s="217">
        <f t="shared" si="11"/>
        <v>16990</v>
      </c>
      <c r="U88" s="217">
        <f t="shared" si="12"/>
        <v>17509</v>
      </c>
      <c r="V88" s="217">
        <f t="shared" si="13"/>
        <v>12553</v>
      </c>
      <c r="W88" s="217">
        <f>ROUND(AC88+(INDEX(Ref!B$1:B$9,MATCH($AI88,Ref!$A$1:$A$9,0))*P88*0.0001),)</f>
        <v>24</v>
      </c>
      <c r="X88" s="217">
        <f>ROUND(AD88+(INDEX(Ref!C$1:C$9,MATCH($AI88,Ref!$A$1:$A$9,0))*$P88*0.0001),)</f>
        <v>32</v>
      </c>
      <c r="Y88" s="217">
        <f>ROUND(AE88+(INDEX(Ref!D$1:D$9,MATCH($AI88,Ref!$A$1:$A$9,0))*$P88*0.0001),)</f>
        <v>60</v>
      </c>
      <c r="Z88" s="217">
        <f>ROUND(AF88+(INDEX(Ref!E$1:E$9,MATCH($AI88,Ref!$A$1:$A$9,0))*$P88*0.0001),)</f>
        <v>53</v>
      </c>
      <c r="AA88" s="217">
        <f>ROUND(AG88+(INDEX(Ref!F$1:F$9,MATCH($AI88,Ref!$A$1:$A$9,0))*$P88*0.0001),)</f>
        <v>29</v>
      </c>
      <c r="AB88" s="217">
        <f>ROUND(AH88+(INDEX(Ref!G$1:G$9,MATCH($AI88,Ref!$A$1:$A$9,0))*$P88*0.0001),)</f>
        <v>26</v>
      </c>
      <c r="AC88" s="137">
        <v>19</v>
      </c>
      <c r="AD88" s="137">
        <v>26</v>
      </c>
      <c r="AE88" s="137">
        <v>52</v>
      </c>
      <c r="AF88" s="137">
        <v>43</v>
      </c>
      <c r="AG88" s="137">
        <v>23</v>
      </c>
      <c r="AH88" s="137">
        <v>21</v>
      </c>
      <c r="AI88" s="208">
        <v>2</v>
      </c>
      <c r="AJ88" s="172">
        <v>3000</v>
      </c>
      <c r="AK88" s="172">
        <v>30104</v>
      </c>
      <c r="AL88" s="172">
        <v>2000</v>
      </c>
      <c r="AM88" s="172">
        <v>30106</v>
      </c>
      <c r="AN88" s="172">
        <v>0</v>
      </c>
      <c r="AO88" s="172">
        <f t="shared" si="14"/>
        <v>34104</v>
      </c>
      <c r="AP88" s="172">
        <v>0</v>
      </c>
      <c r="AQ88" s="172">
        <f t="shared" si="15"/>
        <v>34106</v>
      </c>
      <c r="AR88" s="172">
        <v>1</v>
      </c>
      <c r="AS88" s="172">
        <v>0</v>
      </c>
      <c r="AT88" s="199">
        <v>78018</v>
      </c>
      <c r="AU88" s="195" t="s">
        <v>133</v>
      </c>
    </row>
    <row r="89" spans="1:47" x14ac:dyDescent="0.2">
      <c r="A89" s="173">
        <v>55018</v>
      </c>
      <c r="B89" s="174" t="s">
        <v>131</v>
      </c>
      <c r="C89" s="172">
        <v>86018</v>
      </c>
      <c r="D89" s="172">
        <v>150018</v>
      </c>
      <c r="E89" s="206" t="s">
        <v>132</v>
      </c>
      <c r="F89" s="207">
        <v>8</v>
      </c>
      <c r="G89" s="173">
        <v>11500</v>
      </c>
      <c r="H89" s="173">
        <v>9500</v>
      </c>
      <c r="I89" s="172">
        <v>10000</v>
      </c>
      <c r="J89" s="172">
        <v>3</v>
      </c>
      <c r="K89" s="190">
        <f>IF($J89=1,INDEX('큐펫&amp;몹 정리(최신)'!P:P,MATCH($E89,'큐펫&amp;몹 정리(최신)'!$B:$B,0))*20,IF($J89=2,INDEX('큐펫&amp;몹 정리(최신)'!P:P,MATCH($E89,'큐펫&amp;몹 정리(최신)'!$B:$B,0))*25,IF($J89=3,INDEX('큐펫&amp;몹 정리(최신)'!P:P,MATCH($E89,'큐펫&amp;몹 정리(최신)'!$B:$B,0))*30,IF($J89=4,INDEX('큐펫&amp;몹 정리(최신)'!P:P,MATCH($E89,'큐펫&amp;몹 정리(최신)'!$B:$B,0))*35,INDEX('큐펫&amp;몹 정리(최신)'!P:P,MATCH($E89,'큐펫&amp;몹 정리(최신)'!$B:$B,0))*40))))</f>
        <v>1140</v>
      </c>
      <c r="L89" s="190">
        <f>IF($J89=1,INDEX('큐펫&amp;몹 정리(최신)'!Q:Q,MATCH($E89,'큐펫&amp;몹 정리(최신)'!$B:$B,0))*20,IF($J89=2,INDEX('큐펫&amp;몹 정리(최신)'!Q:Q,MATCH($E89,'큐펫&amp;몹 정리(최신)'!$B:$B,0))*25,IF($J89=3,INDEX('큐펫&amp;몹 정리(최신)'!Q:Q,MATCH($E89,'큐펫&amp;몹 정리(최신)'!$B:$B,0))*30,IF($J89=4,INDEX('큐펫&amp;몹 정리(최신)'!Q:Q,MATCH($E89,'큐펫&amp;몹 정리(최신)'!$B:$B,0))*35,INDEX('큐펫&amp;몹 정리(최신)'!Q:Q,MATCH($E89,'큐펫&amp;몹 정리(최신)'!$B:$B,0))*40))))</f>
        <v>120</v>
      </c>
      <c r="M89" s="190">
        <f>IF($J89=1,INDEX('큐펫&amp;몹 정리(최신)'!R:R,MATCH($E89,'큐펫&amp;몹 정리(최신)'!$B:$B,0))*20,IF($J89=2,INDEX('큐펫&amp;몹 정리(최신)'!R:R,MATCH($E89,'큐펫&amp;몹 정리(최신)'!$B:$B,0))*25,IF($J89=3,INDEX('큐펫&amp;몹 정리(최신)'!R:R,MATCH($E89,'큐펫&amp;몹 정리(최신)'!$B:$B,0))*30,IF($J89=4,INDEX('큐펫&amp;몹 정리(최신)'!R:R,MATCH($E89,'큐펫&amp;몹 정리(최신)'!$B:$B,0))*35,INDEX('큐펫&amp;몹 정리(최신)'!R:R,MATCH($E89,'큐펫&amp;몹 정리(최신)'!$B:$B,0))*40))))</f>
        <v>720</v>
      </c>
      <c r="N89" s="190">
        <f>IF($J89=1,INDEX('큐펫&amp;몹 정리(최신)'!S:S,MATCH($E89,'큐펫&amp;몹 정리(최신)'!$B:$B,0))*20,IF($J89=2,INDEX('큐펫&amp;몹 정리(최신)'!S:S,MATCH($E89,'큐펫&amp;몹 정리(최신)'!$B:$B,0))*25,IF($J89=3,INDEX('큐펫&amp;몹 정리(최신)'!S:S,MATCH($E89,'큐펫&amp;몹 정리(최신)'!$B:$B,0))*30,IF($J89=4,INDEX('큐펫&amp;몹 정리(최신)'!S:S,MATCH($E89,'큐펫&amp;몹 정리(최신)'!$B:$B,0))*35,INDEX('큐펫&amp;몹 정리(최신)'!S:S,MATCH($E89,'큐펫&amp;몹 정리(최신)'!$B:$B,0))*40))))</f>
        <v>420</v>
      </c>
      <c r="O89" s="190">
        <f>IF($J89=1,INDEX('큐펫&amp;몹 정리(최신)'!T:T,MATCH($E89,'큐펫&amp;몹 정리(최신)'!$B:$B,0))*20,IF($J89=2,INDEX('큐펫&amp;몹 정리(최신)'!T:T,MATCH($E89,'큐펫&amp;몹 정리(최신)'!$B:$B,0))*25,IF($J89=3,INDEX('큐펫&amp;몹 정리(최신)'!T:T,MATCH($E89,'큐펫&amp;몹 정리(최신)'!$B:$B,0))*30,IF($J89=4,INDEX('큐펫&amp;몹 정리(최신)'!T:T,MATCH($E89,'큐펫&amp;몹 정리(최신)'!$B:$B,0))*35,INDEX('큐펫&amp;몹 정리(최신)'!T:T,MATCH($E89,'큐펫&amp;몹 정리(최신)'!$B:$B,0))*40))))</f>
        <v>600</v>
      </c>
      <c r="P89" s="217">
        <v>60</v>
      </c>
      <c r="Q89" s="217">
        <f t="shared" si="8"/>
        <v>120612</v>
      </c>
      <c r="R89" s="217">
        <f t="shared" si="9"/>
        <v>1041</v>
      </c>
      <c r="S89" s="217">
        <f t="shared" si="10"/>
        <v>1498</v>
      </c>
      <c r="T89" s="217">
        <f t="shared" si="11"/>
        <v>28744</v>
      </c>
      <c r="U89" s="217">
        <f t="shared" si="12"/>
        <v>26891</v>
      </c>
      <c r="V89" s="217">
        <f t="shared" si="13"/>
        <v>19263</v>
      </c>
      <c r="W89" s="217">
        <f>ROUND(AC89+(INDEX(Ref!B$1:B$9,MATCH($AI89,Ref!$A$1:$A$9,0))*P89*0.0001),)</f>
        <v>28</v>
      </c>
      <c r="X89" s="217">
        <f>ROUND(AD89+(INDEX(Ref!C$1:C$9,MATCH($AI89,Ref!$A$1:$A$9,0))*$P89*0.0001),)</f>
        <v>40</v>
      </c>
      <c r="Y89" s="217">
        <f>ROUND(AE89+(INDEX(Ref!D$1:D$9,MATCH($AI89,Ref!$A$1:$A$9,0))*$P89*0.0001),)</f>
        <v>68</v>
      </c>
      <c r="Z89" s="217">
        <f>ROUND(AF89+(INDEX(Ref!E$1:E$9,MATCH($AI89,Ref!$A$1:$A$9,0))*$P89*0.0001),)</f>
        <v>63</v>
      </c>
      <c r="AA89" s="217">
        <f>ROUND(AG89+(INDEX(Ref!F$1:F$9,MATCH($AI89,Ref!$A$1:$A$9,0))*$P89*0.0001),)</f>
        <v>34</v>
      </c>
      <c r="AB89" s="217">
        <f>ROUND(AH89+(INDEX(Ref!G$1:G$9,MATCH($AI89,Ref!$A$1:$A$9,0))*$P89*0.0001),)</f>
        <v>31</v>
      </c>
      <c r="AC89" s="137">
        <v>21</v>
      </c>
      <c r="AD89" s="137">
        <v>30</v>
      </c>
      <c r="AE89" s="137">
        <v>56</v>
      </c>
      <c r="AF89" s="137">
        <v>48.000000000000007</v>
      </c>
      <c r="AG89" s="137">
        <v>26</v>
      </c>
      <c r="AH89" s="137">
        <v>23</v>
      </c>
      <c r="AI89" s="208">
        <v>2</v>
      </c>
      <c r="AJ89" s="172">
        <v>3000</v>
      </c>
      <c r="AK89" s="172">
        <v>30104</v>
      </c>
      <c r="AL89" s="172">
        <v>2000</v>
      </c>
      <c r="AM89" s="172">
        <v>30107</v>
      </c>
      <c r="AN89" s="172">
        <v>0</v>
      </c>
      <c r="AO89" s="172">
        <f t="shared" si="14"/>
        <v>34104</v>
      </c>
      <c r="AP89" s="172">
        <v>0</v>
      </c>
      <c r="AQ89" s="172">
        <f t="shared" si="15"/>
        <v>34107</v>
      </c>
      <c r="AR89" s="172">
        <v>1</v>
      </c>
      <c r="AS89" s="172">
        <v>0</v>
      </c>
      <c r="AT89" s="199">
        <v>78018</v>
      </c>
      <c r="AU89" s="195" t="s">
        <v>133</v>
      </c>
    </row>
    <row r="90" spans="1:47" x14ac:dyDescent="0.2">
      <c r="A90" s="173">
        <v>55018</v>
      </c>
      <c r="B90" s="174" t="s">
        <v>131</v>
      </c>
      <c r="C90" s="172">
        <v>86018</v>
      </c>
      <c r="D90" s="172">
        <v>150018</v>
      </c>
      <c r="E90" s="206" t="s">
        <v>132</v>
      </c>
      <c r="F90" s="207">
        <v>8</v>
      </c>
      <c r="G90" s="173">
        <v>11500</v>
      </c>
      <c r="H90" s="173">
        <v>9500</v>
      </c>
      <c r="I90" s="172">
        <v>10000</v>
      </c>
      <c r="J90" s="172">
        <v>4</v>
      </c>
      <c r="K90" s="190">
        <f>IF($J90=1,INDEX('큐펫&amp;몹 정리(최신)'!P:P,MATCH($E90,'큐펫&amp;몹 정리(최신)'!$B:$B,0))*20,IF($J90=2,INDEX('큐펫&amp;몹 정리(최신)'!P:P,MATCH($E90,'큐펫&amp;몹 정리(최신)'!$B:$B,0))*25,IF($J90=3,INDEX('큐펫&amp;몹 정리(최신)'!P:P,MATCH($E90,'큐펫&amp;몹 정리(최신)'!$B:$B,0))*30,IF($J90=4,INDEX('큐펫&amp;몹 정리(최신)'!P:P,MATCH($E90,'큐펫&amp;몹 정리(최신)'!$B:$B,0))*35,INDEX('큐펫&amp;몹 정리(최신)'!P:P,MATCH($E90,'큐펫&amp;몹 정리(최신)'!$B:$B,0))*40))))</f>
        <v>1330</v>
      </c>
      <c r="L90" s="190">
        <f>IF($J90=1,INDEX('큐펫&amp;몹 정리(최신)'!Q:Q,MATCH($E90,'큐펫&amp;몹 정리(최신)'!$B:$B,0))*20,IF($J90=2,INDEX('큐펫&amp;몹 정리(최신)'!Q:Q,MATCH($E90,'큐펫&amp;몹 정리(최신)'!$B:$B,0))*25,IF($J90=3,INDEX('큐펫&amp;몹 정리(최신)'!Q:Q,MATCH($E90,'큐펫&amp;몹 정리(최신)'!$B:$B,0))*30,IF($J90=4,INDEX('큐펫&amp;몹 정리(최신)'!Q:Q,MATCH($E90,'큐펫&amp;몹 정리(최신)'!$B:$B,0))*35,INDEX('큐펫&amp;몹 정리(최신)'!Q:Q,MATCH($E90,'큐펫&amp;몹 정리(최신)'!$B:$B,0))*40))))</f>
        <v>140</v>
      </c>
      <c r="M90" s="190">
        <f>IF($J90=1,INDEX('큐펫&amp;몹 정리(최신)'!R:R,MATCH($E90,'큐펫&amp;몹 정리(최신)'!$B:$B,0))*20,IF($J90=2,INDEX('큐펫&amp;몹 정리(최신)'!R:R,MATCH($E90,'큐펫&amp;몹 정리(최신)'!$B:$B,0))*25,IF($J90=3,INDEX('큐펫&amp;몹 정리(최신)'!R:R,MATCH($E90,'큐펫&amp;몹 정리(최신)'!$B:$B,0))*30,IF($J90=4,INDEX('큐펫&amp;몹 정리(최신)'!R:R,MATCH($E90,'큐펫&amp;몹 정리(최신)'!$B:$B,0))*35,INDEX('큐펫&amp;몹 정리(최신)'!R:R,MATCH($E90,'큐펫&amp;몹 정리(최신)'!$B:$B,0))*40))))</f>
        <v>840</v>
      </c>
      <c r="N90" s="190">
        <f>IF($J90=1,INDEX('큐펫&amp;몹 정리(최신)'!S:S,MATCH($E90,'큐펫&amp;몹 정리(최신)'!$B:$B,0))*20,IF($J90=2,INDEX('큐펫&amp;몹 정리(최신)'!S:S,MATCH($E90,'큐펫&amp;몹 정리(최신)'!$B:$B,0))*25,IF($J90=3,INDEX('큐펫&amp;몹 정리(최신)'!S:S,MATCH($E90,'큐펫&amp;몹 정리(최신)'!$B:$B,0))*30,IF($J90=4,INDEX('큐펫&amp;몹 정리(최신)'!S:S,MATCH($E90,'큐펫&amp;몹 정리(최신)'!$B:$B,0))*35,INDEX('큐펫&amp;몹 정리(최신)'!S:S,MATCH($E90,'큐펫&amp;몹 정리(최신)'!$B:$B,0))*40))))</f>
        <v>490</v>
      </c>
      <c r="O90" s="190">
        <f>IF($J90=1,INDEX('큐펫&amp;몹 정리(최신)'!T:T,MATCH($E90,'큐펫&amp;몹 정리(최신)'!$B:$B,0))*20,IF($J90=2,INDEX('큐펫&amp;몹 정리(최신)'!T:T,MATCH($E90,'큐펫&amp;몹 정리(최신)'!$B:$B,0))*25,IF($J90=3,INDEX('큐펫&amp;몹 정리(최신)'!T:T,MATCH($E90,'큐펫&amp;몹 정리(최신)'!$B:$B,0))*30,IF($J90=4,INDEX('큐펫&amp;몹 정리(최신)'!T:T,MATCH($E90,'큐펫&amp;몹 정리(최신)'!$B:$B,0))*35,INDEX('큐펫&amp;몹 정리(최신)'!T:T,MATCH($E90,'큐펫&amp;몹 정리(최신)'!$B:$B,0))*40))))</f>
        <v>700</v>
      </c>
      <c r="P90" s="217">
        <v>80</v>
      </c>
      <c r="Q90" s="217">
        <f t="shared" si="8"/>
        <v>193864</v>
      </c>
      <c r="R90" s="217">
        <f t="shared" si="9"/>
        <v>1743</v>
      </c>
      <c r="S90" s="217">
        <f t="shared" si="10"/>
        <v>2263</v>
      </c>
      <c r="T90" s="217">
        <f t="shared" si="11"/>
        <v>44963</v>
      </c>
      <c r="U90" s="217">
        <f t="shared" si="12"/>
        <v>38232</v>
      </c>
      <c r="V90" s="217">
        <f t="shared" si="13"/>
        <v>27373</v>
      </c>
      <c r="W90" s="217">
        <f>ROUND(AC90+(INDEX(Ref!B$1:B$9,MATCH($AI90,Ref!$A$1:$A$9,0))*P90*0.0001),)</f>
        <v>34</v>
      </c>
      <c r="X90" s="217">
        <f>ROUND(AD90+(INDEX(Ref!C$1:C$9,MATCH($AI90,Ref!$A$1:$A$9,0))*$P90*0.0001),)</f>
        <v>46</v>
      </c>
      <c r="Y90" s="217">
        <f>ROUND(AE90+(INDEX(Ref!D$1:D$9,MATCH($AI90,Ref!$A$1:$A$9,0))*$P90*0.0001),)</f>
        <v>76</v>
      </c>
      <c r="Z90" s="217">
        <f>ROUND(AF90+(INDEX(Ref!E$1:E$9,MATCH($AI90,Ref!$A$1:$A$9,0))*$P90*0.0001),)</f>
        <v>73</v>
      </c>
      <c r="AA90" s="217">
        <f>ROUND(AG90+(INDEX(Ref!F$1:F$9,MATCH($AI90,Ref!$A$1:$A$9,0))*$P90*0.0001),)</f>
        <v>39</v>
      </c>
      <c r="AB90" s="217">
        <f>ROUND(AH90+(INDEX(Ref!G$1:G$9,MATCH($AI90,Ref!$A$1:$A$9,0))*$P90*0.0001),)</f>
        <v>36</v>
      </c>
      <c r="AC90" s="137">
        <v>24</v>
      </c>
      <c r="AD90" s="137">
        <v>33</v>
      </c>
      <c r="AE90" s="137">
        <v>60</v>
      </c>
      <c r="AF90" s="137">
        <v>53</v>
      </c>
      <c r="AG90" s="137">
        <v>28</v>
      </c>
      <c r="AH90" s="137">
        <v>26</v>
      </c>
      <c r="AI90" s="208">
        <v>2</v>
      </c>
      <c r="AJ90" s="172">
        <v>3000</v>
      </c>
      <c r="AK90" s="172">
        <v>30105</v>
      </c>
      <c r="AL90" s="172">
        <v>2000</v>
      </c>
      <c r="AM90" s="172">
        <v>30107</v>
      </c>
      <c r="AN90" s="172">
        <v>0</v>
      </c>
      <c r="AO90" s="172">
        <f t="shared" si="14"/>
        <v>34105</v>
      </c>
      <c r="AP90" s="172">
        <v>0</v>
      </c>
      <c r="AQ90" s="172">
        <f t="shared" si="15"/>
        <v>34107</v>
      </c>
      <c r="AR90" s="172">
        <v>1</v>
      </c>
      <c r="AS90" s="172">
        <v>0</v>
      </c>
      <c r="AT90" s="199">
        <v>78018</v>
      </c>
      <c r="AU90" s="195" t="s">
        <v>133</v>
      </c>
    </row>
    <row r="91" spans="1:47" x14ac:dyDescent="0.2">
      <c r="A91" s="173">
        <v>55018</v>
      </c>
      <c r="B91" s="174" t="s">
        <v>131</v>
      </c>
      <c r="C91" s="172">
        <v>86018</v>
      </c>
      <c r="D91" s="172">
        <v>150018</v>
      </c>
      <c r="E91" s="206" t="s">
        <v>132</v>
      </c>
      <c r="F91" s="207">
        <v>8</v>
      </c>
      <c r="G91" s="173">
        <v>11500</v>
      </c>
      <c r="H91" s="173">
        <v>9500</v>
      </c>
      <c r="I91" s="172">
        <v>10000</v>
      </c>
      <c r="J91" s="172">
        <v>5</v>
      </c>
      <c r="K91" s="190">
        <f>IF($J91=1,INDEX('큐펫&amp;몹 정리(최신)'!P:P,MATCH($E91,'큐펫&amp;몹 정리(최신)'!$B:$B,0))*20,IF($J91=2,INDEX('큐펫&amp;몹 정리(최신)'!P:P,MATCH($E91,'큐펫&amp;몹 정리(최신)'!$B:$B,0))*25,IF($J91=3,INDEX('큐펫&amp;몹 정리(최신)'!P:P,MATCH($E91,'큐펫&amp;몹 정리(최신)'!$B:$B,0))*30,IF($J91=4,INDEX('큐펫&amp;몹 정리(최신)'!P:P,MATCH($E91,'큐펫&amp;몹 정리(최신)'!$B:$B,0))*35,INDEX('큐펫&amp;몹 정리(최신)'!P:P,MATCH($E91,'큐펫&amp;몹 정리(최신)'!$B:$B,0))*40))))</f>
        <v>1520</v>
      </c>
      <c r="L91" s="190">
        <f>IF($J91=1,INDEX('큐펫&amp;몹 정리(최신)'!Q:Q,MATCH($E91,'큐펫&amp;몹 정리(최신)'!$B:$B,0))*20,IF($J91=2,INDEX('큐펫&amp;몹 정리(최신)'!Q:Q,MATCH($E91,'큐펫&amp;몹 정리(최신)'!$B:$B,0))*25,IF($J91=3,INDEX('큐펫&amp;몹 정리(최신)'!Q:Q,MATCH($E91,'큐펫&amp;몹 정리(최신)'!$B:$B,0))*30,IF($J91=4,INDEX('큐펫&amp;몹 정리(최신)'!Q:Q,MATCH($E91,'큐펫&amp;몹 정리(최신)'!$B:$B,0))*35,INDEX('큐펫&amp;몹 정리(최신)'!Q:Q,MATCH($E91,'큐펫&amp;몹 정리(최신)'!$B:$B,0))*40))))</f>
        <v>160</v>
      </c>
      <c r="M91" s="190">
        <f>IF($J91=1,INDEX('큐펫&amp;몹 정리(최신)'!R:R,MATCH($E91,'큐펫&amp;몹 정리(최신)'!$B:$B,0))*20,IF($J91=2,INDEX('큐펫&amp;몹 정리(최신)'!R:R,MATCH($E91,'큐펫&amp;몹 정리(최신)'!$B:$B,0))*25,IF($J91=3,INDEX('큐펫&amp;몹 정리(최신)'!R:R,MATCH($E91,'큐펫&amp;몹 정리(최신)'!$B:$B,0))*30,IF($J91=4,INDEX('큐펫&amp;몹 정리(최신)'!R:R,MATCH($E91,'큐펫&amp;몹 정리(최신)'!$B:$B,0))*35,INDEX('큐펫&amp;몹 정리(최신)'!R:R,MATCH($E91,'큐펫&amp;몹 정리(최신)'!$B:$B,0))*40))))</f>
        <v>960</v>
      </c>
      <c r="N91" s="190">
        <f>IF($J91=1,INDEX('큐펫&amp;몹 정리(최신)'!S:S,MATCH($E91,'큐펫&amp;몹 정리(최신)'!$B:$B,0))*20,IF($J91=2,INDEX('큐펫&amp;몹 정리(최신)'!S:S,MATCH($E91,'큐펫&amp;몹 정리(최신)'!$B:$B,0))*25,IF($J91=3,INDEX('큐펫&amp;몹 정리(최신)'!S:S,MATCH($E91,'큐펫&amp;몹 정리(최신)'!$B:$B,0))*30,IF($J91=4,INDEX('큐펫&amp;몹 정리(최신)'!S:S,MATCH($E91,'큐펫&amp;몹 정리(최신)'!$B:$B,0))*35,INDEX('큐펫&amp;몹 정리(최신)'!S:S,MATCH($E91,'큐펫&amp;몹 정리(최신)'!$B:$B,0))*40))))</f>
        <v>560</v>
      </c>
      <c r="O91" s="190">
        <f>IF($J91=1,INDEX('큐펫&amp;몹 정리(최신)'!T:T,MATCH($E91,'큐펫&amp;몹 정리(최신)'!$B:$B,0))*20,IF($J91=2,INDEX('큐펫&amp;몹 정리(최신)'!T:T,MATCH($E91,'큐펫&amp;몹 정리(최신)'!$B:$B,0))*25,IF($J91=3,INDEX('큐펫&amp;몹 정리(최신)'!T:T,MATCH($E91,'큐펫&amp;몹 정리(최신)'!$B:$B,0))*30,IF($J91=4,INDEX('큐펫&amp;몹 정리(최신)'!T:T,MATCH($E91,'큐펫&amp;몹 정리(최신)'!$B:$B,0))*35,INDEX('큐펫&amp;몹 정리(최신)'!T:T,MATCH($E91,'큐펫&amp;몹 정리(최신)'!$B:$B,0))*40))))</f>
        <v>800</v>
      </c>
      <c r="P91" s="217">
        <v>100</v>
      </c>
      <c r="Q91" s="217">
        <f t="shared" si="8"/>
        <v>287280</v>
      </c>
      <c r="R91" s="217">
        <f t="shared" si="9"/>
        <v>2456</v>
      </c>
      <c r="S91" s="217">
        <f t="shared" si="10"/>
        <v>3397</v>
      </c>
      <c r="T91" s="217">
        <f t="shared" si="11"/>
        <v>66366</v>
      </c>
      <c r="U91" s="217">
        <f t="shared" si="12"/>
        <v>51534</v>
      </c>
      <c r="V91" s="217">
        <f t="shared" si="13"/>
        <v>36883</v>
      </c>
      <c r="W91" s="217">
        <f>ROUND(AC91+(INDEX(Ref!B$1:B$9,MATCH($AI91,Ref!$A$1:$A$9,0))*P91*0.0001),)</f>
        <v>38</v>
      </c>
      <c r="X91" s="217">
        <f>ROUND(AD91+(INDEX(Ref!C$1:C$9,MATCH($AI91,Ref!$A$1:$A$9,0))*$P91*0.0001),)</f>
        <v>52</v>
      </c>
      <c r="Y91" s="217">
        <f>ROUND(AE91+(INDEX(Ref!D$1:D$9,MATCH($AI91,Ref!$A$1:$A$9,0))*$P91*0.0001),)</f>
        <v>84</v>
      </c>
      <c r="Z91" s="217">
        <f>ROUND(AF91+(INDEX(Ref!E$1:E$9,MATCH($AI91,Ref!$A$1:$A$9,0))*$P91*0.0001),)</f>
        <v>83</v>
      </c>
      <c r="AA91" s="217">
        <f>ROUND(AG91+(INDEX(Ref!F$1:F$9,MATCH($AI91,Ref!$A$1:$A$9,0))*$P91*0.0001),)</f>
        <v>45</v>
      </c>
      <c r="AB91" s="217">
        <f>ROUND(AH91+(INDEX(Ref!G$1:G$9,MATCH($AI91,Ref!$A$1:$A$9,0))*$P91*0.0001),)</f>
        <v>42</v>
      </c>
      <c r="AC91" s="137">
        <v>26</v>
      </c>
      <c r="AD91" s="137">
        <v>36</v>
      </c>
      <c r="AE91" s="137">
        <v>64</v>
      </c>
      <c r="AF91" s="137">
        <v>58.000000000000007</v>
      </c>
      <c r="AG91" s="137">
        <v>31</v>
      </c>
      <c r="AH91" s="137">
        <v>29</v>
      </c>
      <c r="AI91" s="208">
        <v>2</v>
      </c>
      <c r="AJ91" s="172">
        <v>3000</v>
      </c>
      <c r="AK91" s="172">
        <v>30105</v>
      </c>
      <c r="AL91" s="172">
        <v>2000</v>
      </c>
      <c r="AM91" s="172">
        <v>30108</v>
      </c>
      <c r="AN91" s="172">
        <v>0</v>
      </c>
      <c r="AO91" s="172">
        <f t="shared" si="14"/>
        <v>34105</v>
      </c>
      <c r="AP91" s="172">
        <v>0</v>
      </c>
      <c r="AQ91" s="172">
        <f t="shared" si="15"/>
        <v>34108</v>
      </c>
      <c r="AR91" s="172">
        <v>1</v>
      </c>
      <c r="AS91" s="172">
        <v>0</v>
      </c>
      <c r="AT91" s="199">
        <v>78018</v>
      </c>
      <c r="AU91" s="195" t="s">
        <v>133</v>
      </c>
    </row>
    <row r="92" spans="1:47" x14ac:dyDescent="0.2">
      <c r="A92" s="173">
        <v>55019</v>
      </c>
      <c r="B92" s="174" t="s">
        <v>134</v>
      </c>
      <c r="C92" s="172">
        <v>86019</v>
      </c>
      <c r="D92" s="172">
        <v>150019</v>
      </c>
      <c r="E92" s="206" t="s">
        <v>135</v>
      </c>
      <c r="F92" s="207">
        <v>5</v>
      </c>
      <c r="G92" s="172">
        <v>13000</v>
      </c>
      <c r="H92" s="172">
        <v>9000</v>
      </c>
      <c r="I92" s="172">
        <v>10000</v>
      </c>
      <c r="J92" s="172">
        <v>1</v>
      </c>
      <c r="K92" s="190">
        <f>IF($J92=1,INDEX('큐펫&amp;몹 정리(최신)'!P:P,MATCH($E92,'큐펫&amp;몹 정리(최신)'!$B:$B,0))*20,IF($J92=2,INDEX('큐펫&amp;몹 정리(최신)'!P:P,MATCH($E92,'큐펫&amp;몹 정리(최신)'!$B:$B,0))*25,IF($J92=3,INDEX('큐펫&amp;몹 정리(최신)'!P:P,MATCH($E92,'큐펫&amp;몹 정리(최신)'!$B:$B,0))*30,IF($J92=4,INDEX('큐펫&amp;몹 정리(최신)'!P:P,MATCH($E92,'큐펫&amp;몹 정리(최신)'!$B:$B,0))*35,INDEX('큐펫&amp;몹 정리(최신)'!P:P,MATCH($E92,'큐펫&amp;몹 정리(최신)'!$B:$B,0))*40))))</f>
        <v>1000</v>
      </c>
      <c r="L92" s="190">
        <f>IF($J92=1,INDEX('큐펫&amp;몹 정리(최신)'!Q:Q,MATCH($E92,'큐펫&amp;몹 정리(최신)'!$B:$B,0))*20,IF($J92=2,INDEX('큐펫&amp;몹 정리(최신)'!Q:Q,MATCH($E92,'큐펫&amp;몹 정리(최신)'!$B:$B,0))*25,IF($J92=3,INDEX('큐펫&amp;몹 정리(최신)'!Q:Q,MATCH($E92,'큐펫&amp;몹 정리(최신)'!$B:$B,0))*30,IF($J92=4,INDEX('큐펫&amp;몹 정리(최신)'!Q:Q,MATCH($E92,'큐펫&amp;몹 정리(최신)'!$B:$B,0))*35,INDEX('큐펫&amp;몹 정리(최신)'!Q:Q,MATCH($E92,'큐펫&amp;몹 정리(최신)'!$B:$B,0))*40))))</f>
        <v>60</v>
      </c>
      <c r="M92" s="190">
        <f>IF($J92=1,INDEX('큐펫&amp;몹 정리(최신)'!R:R,MATCH($E92,'큐펫&amp;몹 정리(최신)'!$B:$B,0))*20,IF($J92=2,INDEX('큐펫&amp;몹 정리(최신)'!R:R,MATCH($E92,'큐펫&amp;몹 정리(최신)'!$B:$B,0))*25,IF($J92=3,INDEX('큐펫&amp;몹 정리(최신)'!R:R,MATCH($E92,'큐펫&amp;몹 정리(최신)'!$B:$B,0))*30,IF($J92=4,INDEX('큐펫&amp;몹 정리(최신)'!R:R,MATCH($E92,'큐펫&amp;몹 정리(최신)'!$B:$B,0))*35,INDEX('큐펫&amp;몹 정리(최신)'!R:R,MATCH($E92,'큐펫&amp;몹 정리(최신)'!$B:$B,0))*40))))</f>
        <v>80</v>
      </c>
      <c r="N92" s="190">
        <f>IF($J92=1,INDEX('큐펫&amp;몹 정리(최신)'!S:S,MATCH($E92,'큐펫&amp;몹 정리(최신)'!$B:$B,0))*20,IF($J92=2,INDEX('큐펫&amp;몹 정리(최신)'!S:S,MATCH($E92,'큐펫&amp;몹 정리(최신)'!$B:$B,0))*25,IF($J92=3,INDEX('큐펫&amp;몹 정리(최신)'!S:S,MATCH($E92,'큐펫&amp;몹 정리(최신)'!$B:$B,0))*30,IF($J92=4,INDEX('큐펫&amp;몹 정리(최신)'!S:S,MATCH($E92,'큐펫&amp;몹 정리(최신)'!$B:$B,0))*35,INDEX('큐펫&amp;몹 정리(최신)'!S:S,MATCH($E92,'큐펫&amp;몹 정리(최신)'!$B:$B,0))*40))))</f>
        <v>400</v>
      </c>
      <c r="O92" s="190">
        <f>IF($J92=1,INDEX('큐펫&amp;몹 정리(최신)'!T:T,MATCH($E92,'큐펫&amp;몹 정리(최신)'!$B:$B,0))*20,IF($J92=2,INDEX('큐펫&amp;몹 정리(최신)'!T:T,MATCH($E92,'큐펫&amp;몹 정리(최신)'!$B:$B,0))*25,IF($J92=3,INDEX('큐펫&amp;몹 정리(최신)'!T:T,MATCH($E92,'큐펫&amp;몹 정리(최신)'!$B:$B,0))*30,IF($J92=4,INDEX('큐펫&amp;몹 정리(최신)'!T:T,MATCH($E92,'큐펫&amp;몹 정리(최신)'!$B:$B,0))*35,INDEX('큐펫&amp;몹 정리(최신)'!T:T,MATCH($E92,'큐펫&amp;몹 정리(최신)'!$B:$B,0))*40))))</f>
        <v>460</v>
      </c>
      <c r="P92" s="217">
        <v>20</v>
      </c>
      <c r="Q92" s="217">
        <f t="shared" si="8"/>
        <v>32800</v>
      </c>
      <c r="R92" s="217">
        <f t="shared" si="9"/>
        <v>229</v>
      </c>
      <c r="S92" s="217">
        <f t="shared" si="10"/>
        <v>276</v>
      </c>
      <c r="T92" s="217">
        <f t="shared" si="11"/>
        <v>1448</v>
      </c>
      <c r="U92" s="217">
        <f t="shared" si="12"/>
        <v>11807</v>
      </c>
      <c r="V92" s="217">
        <f t="shared" si="13"/>
        <v>6826</v>
      </c>
      <c r="W92" s="217">
        <f>ROUND(AC92+(INDEX(Ref!B$1:B$9,MATCH($AI92,Ref!$A$1:$A$9,0))*P92*0.0001),)</f>
        <v>17</v>
      </c>
      <c r="X92" s="217">
        <f>ROUND(AD92+(INDEX(Ref!C$1:C$9,MATCH($AI92,Ref!$A$1:$A$9,0))*$P92*0.0001),)</f>
        <v>32</v>
      </c>
      <c r="Y92" s="217">
        <f>ROUND(AE92+(INDEX(Ref!D$1:D$9,MATCH($AI92,Ref!$A$1:$A$9,0))*$P92*0.0001),)</f>
        <v>39</v>
      </c>
      <c r="Z92" s="217">
        <f>ROUND(AF92+(INDEX(Ref!E$1:E$9,MATCH($AI92,Ref!$A$1:$A$9,0))*$P92*0.0001),)</f>
        <v>41</v>
      </c>
      <c r="AA92" s="217">
        <f>ROUND(AG92+(INDEX(Ref!F$1:F$9,MATCH($AI92,Ref!$A$1:$A$9,0))*$P92*0.0001),)</f>
        <v>19</v>
      </c>
      <c r="AB92" s="217">
        <f>ROUND(AH92+(INDEX(Ref!G$1:G$9,MATCH($AI92,Ref!$A$1:$A$9,0))*$P92*0.0001),)</f>
        <v>36</v>
      </c>
      <c r="AC92" s="137">
        <v>15</v>
      </c>
      <c r="AD92" s="137">
        <v>28</v>
      </c>
      <c r="AE92" s="137">
        <v>36</v>
      </c>
      <c r="AF92" s="137">
        <v>36</v>
      </c>
      <c r="AG92" s="137">
        <v>17</v>
      </c>
      <c r="AH92" s="137">
        <v>32</v>
      </c>
      <c r="AI92" s="208">
        <v>6</v>
      </c>
      <c r="AJ92" s="172">
        <v>3000</v>
      </c>
      <c r="AK92" s="172">
        <v>30109</v>
      </c>
      <c r="AL92" s="172">
        <v>2000</v>
      </c>
      <c r="AM92" s="172">
        <v>30112</v>
      </c>
      <c r="AN92" s="172">
        <v>0</v>
      </c>
      <c r="AO92" s="172">
        <f t="shared" si="14"/>
        <v>34109</v>
      </c>
      <c r="AP92" s="172">
        <v>0</v>
      </c>
      <c r="AQ92" s="172">
        <f t="shared" si="15"/>
        <v>34112</v>
      </c>
      <c r="AR92" s="172">
        <v>1</v>
      </c>
      <c r="AS92" s="172">
        <v>0</v>
      </c>
      <c r="AT92" s="199">
        <v>78019</v>
      </c>
      <c r="AU92" s="195" t="s">
        <v>136</v>
      </c>
    </row>
    <row r="93" spans="1:47" x14ac:dyDescent="0.2">
      <c r="A93" s="173">
        <v>55019</v>
      </c>
      <c r="B93" s="174" t="s">
        <v>134</v>
      </c>
      <c r="C93" s="172">
        <v>86019</v>
      </c>
      <c r="D93" s="172">
        <v>150019</v>
      </c>
      <c r="E93" s="206" t="s">
        <v>135</v>
      </c>
      <c r="F93" s="207">
        <v>5</v>
      </c>
      <c r="G93" s="172">
        <v>13000</v>
      </c>
      <c r="H93" s="172">
        <v>9000</v>
      </c>
      <c r="I93" s="172">
        <v>10000</v>
      </c>
      <c r="J93" s="172">
        <v>2</v>
      </c>
      <c r="K93" s="190">
        <f>IF($J93=1,INDEX('큐펫&amp;몹 정리(최신)'!P:P,MATCH($E93,'큐펫&amp;몹 정리(최신)'!$B:$B,0))*20,IF($J93=2,INDEX('큐펫&amp;몹 정리(최신)'!P:P,MATCH($E93,'큐펫&amp;몹 정리(최신)'!$B:$B,0))*25,IF($J93=3,INDEX('큐펫&amp;몹 정리(최신)'!P:P,MATCH($E93,'큐펫&amp;몹 정리(최신)'!$B:$B,0))*30,IF($J93=4,INDEX('큐펫&amp;몹 정리(최신)'!P:P,MATCH($E93,'큐펫&amp;몹 정리(최신)'!$B:$B,0))*35,INDEX('큐펫&amp;몹 정리(최신)'!P:P,MATCH($E93,'큐펫&amp;몹 정리(최신)'!$B:$B,0))*40))))</f>
        <v>1250</v>
      </c>
      <c r="L93" s="190">
        <f>IF($J93=1,INDEX('큐펫&amp;몹 정리(최신)'!Q:Q,MATCH($E93,'큐펫&amp;몹 정리(최신)'!$B:$B,0))*20,IF($J93=2,INDEX('큐펫&amp;몹 정리(최신)'!Q:Q,MATCH($E93,'큐펫&amp;몹 정리(최신)'!$B:$B,0))*25,IF($J93=3,INDEX('큐펫&amp;몹 정리(최신)'!Q:Q,MATCH($E93,'큐펫&amp;몹 정리(최신)'!$B:$B,0))*30,IF($J93=4,INDEX('큐펫&amp;몹 정리(최신)'!Q:Q,MATCH($E93,'큐펫&amp;몹 정리(최신)'!$B:$B,0))*35,INDEX('큐펫&amp;몹 정리(최신)'!Q:Q,MATCH($E93,'큐펫&amp;몹 정리(최신)'!$B:$B,0))*40))))</f>
        <v>75</v>
      </c>
      <c r="M93" s="190">
        <f>IF($J93=1,INDEX('큐펫&amp;몹 정리(최신)'!R:R,MATCH($E93,'큐펫&amp;몹 정리(최신)'!$B:$B,0))*20,IF($J93=2,INDEX('큐펫&amp;몹 정리(최신)'!R:R,MATCH($E93,'큐펫&amp;몹 정리(최신)'!$B:$B,0))*25,IF($J93=3,INDEX('큐펫&amp;몹 정리(최신)'!R:R,MATCH($E93,'큐펫&amp;몹 정리(최신)'!$B:$B,0))*30,IF($J93=4,INDEX('큐펫&amp;몹 정리(최신)'!R:R,MATCH($E93,'큐펫&amp;몹 정리(최신)'!$B:$B,0))*35,INDEX('큐펫&amp;몹 정리(최신)'!R:R,MATCH($E93,'큐펫&amp;몹 정리(최신)'!$B:$B,0))*40))))</f>
        <v>100</v>
      </c>
      <c r="N93" s="190">
        <f>IF($J93=1,INDEX('큐펫&amp;몹 정리(최신)'!S:S,MATCH($E93,'큐펫&amp;몹 정리(최신)'!$B:$B,0))*20,IF($J93=2,INDEX('큐펫&amp;몹 정리(최신)'!S:S,MATCH($E93,'큐펫&amp;몹 정리(최신)'!$B:$B,0))*25,IF($J93=3,INDEX('큐펫&amp;몹 정리(최신)'!S:S,MATCH($E93,'큐펫&amp;몹 정리(최신)'!$B:$B,0))*30,IF($J93=4,INDEX('큐펫&amp;몹 정리(최신)'!S:S,MATCH($E93,'큐펫&amp;몹 정리(최신)'!$B:$B,0))*35,INDEX('큐펫&amp;몹 정리(최신)'!S:S,MATCH($E93,'큐펫&amp;몹 정리(최신)'!$B:$B,0))*40))))</f>
        <v>500</v>
      </c>
      <c r="O93" s="190">
        <f>IF($J93=1,INDEX('큐펫&amp;몹 정리(최신)'!T:T,MATCH($E93,'큐펫&amp;몹 정리(최신)'!$B:$B,0))*20,IF($J93=2,INDEX('큐펫&amp;몹 정리(최신)'!T:T,MATCH($E93,'큐펫&amp;몹 정리(최신)'!$B:$B,0))*25,IF($J93=3,INDEX('큐펫&amp;몹 정리(최신)'!T:T,MATCH($E93,'큐펫&amp;몹 정리(최신)'!$B:$B,0))*30,IF($J93=4,INDEX('큐펫&amp;몹 정리(최신)'!T:T,MATCH($E93,'큐펫&amp;몹 정리(최신)'!$B:$B,0))*35,INDEX('큐펫&amp;몹 정리(최신)'!T:T,MATCH($E93,'큐펫&amp;몹 정리(최신)'!$B:$B,0))*40))))</f>
        <v>575</v>
      </c>
      <c r="P93" s="217">
        <v>40</v>
      </c>
      <c r="Q93" s="217">
        <f t="shared" si="8"/>
        <v>78200</v>
      </c>
      <c r="R93" s="217">
        <f t="shared" si="9"/>
        <v>407</v>
      </c>
      <c r="S93" s="217">
        <f t="shared" si="10"/>
        <v>514</v>
      </c>
      <c r="T93" s="217">
        <f t="shared" si="11"/>
        <v>2737</v>
      </c>
      <c r="U93" s="217">
        <f t="shared" si="12"/>
        <v>21009</v>
      </c>
      <c r="V93" s="217">
        <f t="shared" si="13"/>
        <v>12126</v>
      </c>
      <c r="W93" s="217">
        <f>ROUND(AC93+(INDEX(Ref!B$1:B$9,MATCH($AI93,Ref!$A$1:$A$9,0))*P93*0.0001),)</f>
        <v>21</v>
      </c>
      <c r="X93" s="217">
        <f>ROUND(AD93+(INDEX(Ref!C$1:C$9,MATCH($AI93,Ref!$A$1:$A$9,0))*$P93*0.0001),)</f>
        <v>40</v>
      </c>
      <c r="Y93" s="217">
        <f>ROUND(AE93+(INDEX(Ref!D$1:D$9,MATCH($AI93,Ref!$A$1:$A$9,0))*$P93*0.0001),)</f>
        <v>44</v>
      </c>
      <c r="Z93" s="217">
        <f>ROUND(AF93+(INDEX(Ref!E$1:E$9,MATCH($AI93,Ref!$A$1:$A$9,0))*$P93*0.0001),)</f>
        <v>51</v>
      </c>
      <c r="AA93" s="217">
        <f>ROUND(AG93+(INDEX(Ref!F$1:F$9,MATCH($AI93,Ref!$A$1:$A$9,0))*$P93*0.0001),)</f>
        <v>24</v>
      </c>
      <c r="AB93" s="217">
        <f>ROUND(AH93+(INDEX(Ref!G$1:G$9,MATCH($AI93,Ref!$A$1:$A$9,0))*$P93*0.0001),)</f>
        <v>44</v>
      </c>
      <c r="AC93" s="137">
        <v>17</v>
      </c>
      <c r="AD93" s="137">
        <v>32</v>
      </c>
      <c r="AE93" s="137">
        <v>39</v>
      </c>
      <c r="AF93" s="137">
        <v>41</v>
      </c>
      <c r="AG93" s="137">
        <v>19</v>
      </c>
      <c r="AH93" s="137">
        <v>36</v>
      </c>
      <c r="AI93" s="208">
        <v>6</v>
      </c>
      <c r="AJ93" s="172">
        <v>3000</v>
      </c>
      <c r="AK93" s="172">
        <v>30110</v>
      </c>
      <c r="AL93" s="172">
        <v>2000</v>
      </c>
      <c r="AM93" s="172">
        <v>30112</v>
      </c>
      <c r="AN93" s="172">
        <v>0</v>
      </c>
      <c r="AO93" s="172">
        <f t="shared" si="14"/>
        <v>34110</v>
      </c>
      <c r="AP93" s="172">
        <v>0</v>
      </c>
      <c r="AQ93" s="172">
        <f t="shared" si="15"/>
        <v>34112</v>
      </c>
      <c r="AR93" s="172">
        <v>1</v>
      </c>
      <c r="AS93" s="172">
        <v>0</v>
      </c>
      <c r="AT93" s="199">
        <v>78019</v>
      </c>
      <c r="AU93" s="195" t="s">
        <v>136</v>
      </c>
    </row>
    <row r="94" spans="1:47" x14ac:dyDescent="0.2">
      <c r="A94" s="173">
        <v>55019</v>
      </c>
      <c r="B94" s="174" t="s">
        <v>134</v>
      </c>
      <c r="C94" s="172">
        <v>86019</v>
      </c>
      <c r="D94" s="172">
        <v>150019</v>
      </c>
      <c r="E94" s="206" t="s">
        <v>135</v>
      </c>
      <c r="F94" s="207">
        <v>5</v>
      </c>
      <c r="G94" s="172">
        <v>13000</v>
      </c>
      <c r="H94" s="172">
        <v>9000</v>
      </c>
      <c r="I94" s="172">
        <v>10000</v>
      </c>
      <c r="J94" s="172">
        <v>3</v>
      </c>
      <c r="K94" s="190">
        <f>IF($J94=1,INDEX('큐펫&amp;몹 정리(최신)'!P:P,MATCH($E94,'큐펫&amp;몹 정리(최신)'!$B:$B,0))*20,IF($J94=2,INDEX('큐펫&amp;몹 정리(최신)'!P:P,MATCH($E94,'큐펫&amp;몹 정리(최신)'!$B:$B,0))*25,IF($J94=3,INDEX('큐펫&amp;몹 정리(최신)'!P:P,MATCH($E94,'큐펫&amp;몹 정리(최신)'!$B:$B,0))*30,IF($J94=4,INDEX('큐펫&amp;몹 정리(최신)'!P:P,MATCH($E94,'큐펫&amp;몹 정리(최신)'!$B:$B,0))*35,INDEX('큐펫&amp;몹 정리(최신)'!P:P,MATCH($E94,'큐펫&amp;몹 정리(최신)'!$B:$B,0))*40))))</f>
        <v>1500</v>
      </c>
      <c r="L94" s="190">
        <f>IF($J94=1,INDEX('큐펫&amp;몹 정리(최신)'!Q:Q,MATCH($E94,'큐펫&amp;몹 정리(최신)'!$B:$B,0))*20,IF($J94=2,INDEX('큐펫&amp;몹 정리(최신)'!Q:Q,MATCH($E94,'큐펫&amp;몹 정리(최신)'!$B:$B,0))*25,IF($J94=3,INDEX('큐펫&amp;몹 정리(최신)'!Q:Q,MATCH($E94,'큐펫&amp;몹 정리(최신)'!$B:$B,0))*30,IF($J94=4,INDEX('큐펫&amp;몹 정리(최신)'!Q:Q,MATCH($E94,'큐펫&amp;몹 정리(최신)'!$B:$B,0))*35,INDEX('큐펫&amp;몹 정리(최신)'!Q:Q,MATCH($E94,'큐펫&amp;몹 정리(최신)'!$B:$B,0))*40))))</f>
        <v>90</v>
      </c>
      <c r="M94" s="190">
        <f>IF($J94=1,INDEX('큐펫&amp;몹 정리(최신)'!R:R,MATCH($E94,'큐펫&amp;몹 정리(최신)'!$B:$B,0))*20,IF($J94=2,INDEX('큐펫&amp;몹 정리(최신)'!R:R,MATCH($E94,'큐펫&amp;몹 정리(최신)'!$B:$B,0))*25,IF($J94=3,INDEX('큐펫&amp;몹 정리(최신)'!R:R,MATCH($E94,'큐펫&amp;몹 정리(최신)'!$B:$B,0))*30,IF($J94=4,INDEX('큐펫&amp;몹 정리(최신)'!R:R,MATCH($E94,'큐펫&amp;몹 정리(최신)'!$B:$B,0))*35,INDEX('큐펫&amp;몹 정리(최신)'!R:R,MATCH($E94,'큐펫&amp;몹 정리(최신)'!$B:$B,0))*40))))</f>
        <v>120</v>
      </c>
      <c r="N94" s="190">
        <f>IF($J94=1,INDEX('큐펫&amp;몹 정리(최신)'!S:S,MATCH($E94,'큐펫&amp;몹 정리(최신)'!$B:$B,0))*20,IF($J94=2,INDEX('큐펫&amp;몹 정리(최신)'!S:S,MATCH($E94,'큐펫&amp;몹 정리(최신)'!$B:$B,0))*25,IF($J94=3,INDEX('큐펫&amp;몹 정리(최신)'!S:S,MATCH($E94,'큐펫&amp;몹 정리(최신)'!$B:$B,0))*30,IF($J94=4,INDEX('큐펫&amp;몹 정리(최신)'!S:S,MATCH($E94,'큐펫&amp;몹 정리(최신)'!$B:$B,0))*35,INDEX('큐펫&amp;몹 정리(최신)'!S:S,MATCH($E94,'큐펫&amp;몹 정리(최신)'!$B:$B,0))*40))))</f>
        <v>600</v>
      </c>
      <c r="O94" s="190">
        <f>IF($J94=1,INDEX('큐펫&amp;몹 정리(최신)'!T:T,MATCH($E94,'큐펫&amp;몹 정리(최신)'!$B:$B,0))*20,IF($J94=2,INDEX('큐펫&amp;몹 정리(최신)'!T:T,MATCH($E94,'큐펫&amp;몹 정리(최신)'!$B:$B,0))*25,IF($J94=3,INDEX('큐펫&amp;몹 정리(최신)'!T:T,MATCH($E94,'큐펫&amp;몹 정리(최신)'!$B:$B,0))*30,IF($J94=4,INDEX('큐펫&amp;몹 정리(최신)'!T:T,MATCH($E94,'큐펫&amp;몹 정리(최신)'!$B:$B,0))*35,INDEX('큐펫&amp;몹 정리(최신)'!T:T,MATCH($E94,'큐펫&amp;몹 정리(최신)'!$B:$B,0))*40))))</f>
        <v>690</v>
      </c>
      <c r="P94" s="217">
        <v>60</v>
      </c>
      <c r="Q94" s="217">
        <f t="shared" si="8"/>
        <v>142500</v>
      </c>
      <c r="R94" s="217">
        <f t="shared" si="9"/>
        <v>708</v>
      </c>
      <c r="S94" s="217">
        <f t="shared" si="10"/>
        <v>808</v>
      </c>
      <c r="T94" s="217">
        <f t="shared" si="11"/>
        <v>4486</v>
      </c>
      <c r="U94" s="217">
        <f t="shared" si="12"/>
        <v>33010</v>
      </c>
      <c r="V94" s="217">
        <f t="shared" si="13"/>
        <v>19035</v>
      </c>
      <c r="W94" s="217">
        <f>ROUND(AC94+(INDEX(Ref!B$1:B$9,MATCH($AI94,Ref!$A$1:$A$9,0))*P94*0.0001),)</f>
        <v>26</v>
      </c>
      <c r="X94" s="217">
        <f>ROUND(AD94+(INDEX(Ref!C$1:C$9,MATCH($AI94,Ref!$A$1:$A$9,0))*$P94*0.0001),)</f>
        <v>47</v>
      </c>
      <c r="Y94" s="217">
        <f>ROUND(AE94+(INDEX(Ref!D$1:D$9,MATCH($AI94,Ref!$A$1:$A$9,0))*$P94*0.0001),)</f>
        <v>50</v>
      </c>
      <c r="Z94" s="217">
        <f>ROUND(AF94+(INDEX(Ref!E$1:E$9,MATCH($AI94,Ref!$A$1:$A$9,0))*$P94*0.0001),)</f>
        <v>60</v>
      </c>
      <c r="AA94" s="217">
        <f>ROUND(AG94+(INDEX(Ref!F$1:F$9,MATCH($AI94,Ref!$A$1:$A$9,0))*$P94*0.0001),)</f>
        <v>28</v>
      </c>
      <c r="AB94" s="217">
        <f>ROUND(AH94+(INDEX(Ref!G$1:G$9,MATCH($AI94,Ref!$A$1:$A$9,0))*$P94*0.0001),)</f>
        <v>53</v>
      </c>
      <c r="AC94" s="137">
        <v>19</v>
      </c>
      <c r="AD94" s="137">
        <v>36</v>
      </c>
      <c r="AE94" s="137">
        <v>42</v>
      </c>
      <c r="AF94" s="137">
        <v>46</v>
      </c>
      <c r="AG94" s="137">
        <v>21</v>
      </c>
      <c r="AH94" s="137">
        <v>40</v>
      </c>
      <c r="AI94" s="208">
        <v>6</v>
      </c>
      <c r="AJ94" s="172">
        <v>3000</v>
      </c>
      <c r="AK94" s="172">
        <v>30110</v>
      </c>
      <c r="AL94" s="172">
        <v>2000</v>
      </c>
      <c r="AM94" s="172">
        <v>30113</v>
      </c>
      <c r="AN94" s="172">
        <v>0</v>
      </c>
      <c r="AO94" s="172">
        <f t="shared" si="14"/>
        <v>34110</v>
      </c>
      <c r="AP94" s="172">
        <v>0</v>
      </c>
      <c r="AQ94" s="172">
        <f t="shared" si="15"/>
        <v>34113</v>
      </c>
      <c r="AR94" s="172">
        <v>1</v>
      </c>
      <c r="AS94" s="172">
        <v>0</v>
      </c>
      <c r="AT94" s="199">
        <v>78019</v>
      </c>
      <c r="AU94" s="195" t="s">
        <v>136</v>
      </c>
    </row>
    <row r="95" spans="1:47" x14ac:dyDescent="0.2">
      <c r="A95" s="173">
        <v>55019</v>
      </c>
      <c r="B95" s="174" t="s">
        <v>134</v>
      </c>
      <c r="C95" s="172">
        <v>86019</v>
      </c>
      <c r="D95" s="172">
        <v>150019</v>
      </c>
      <c r="E95" s="206" t="s">
        <v>135</v>
      </c>
      <c r="F95" s="207">
        <v>5</v>
      </c>
      <c r="G95" s="172">
        <v>13000</v>
      </c>
      <c r="H95" s="172">
        <v>9000</v>
      </c>
      <c r="I95" s="172">
        <v>10000</v>
      </c>
      <c r="J95" s="172">
        <v>4</v>
      </c>
      <c r="K95" s="190">
        <f>IF($J95=1,INDEX('큐펫&amp;몹 정리(최신)'!P:P,MATCH($E95,'큐펫&amp;몹 정리(최신)'!$B:$B,0))*20,IF($J95=2,INDEX('큐펫&amp;몹 정리(최신)'!P:P,MATCH($E95,'큐펫&amp;몹 정리(최신)'!$B:$B,0))*25,IF($J95=3,INDEX('큐펫&amp;몹 정리(최신)'!P:P,MATCH($E95,'큐펫&amp;몹 정리(최신)'!$B:$B,0))*30,IF($J95=4,INDEX('큐펫&amp;몹 정리(최신)'!P:P,MATCH($E95,'큐펫&amp;몹 정리(최신)'!$B:$B,0))*35,INDEX('큐펫&amp;몹 정리(최신)'!P:P,MATCH($E95,'큐펫&amp;몹 정리(최신)'!$B:$B,0))*40))))</f>
        <v>1750</v>
      </c>
      <c r="L95" s="190">
        <f>IF($J95=1,INDEX('큐펫&amp;몹 정리(최신)'!Q:Q,MATCH($E95,'큐펫&amp;몹 정리(최신)'!$B:$B,0))*20,IF($J95=2,INDEX('큐펫&amp;몹 정리(최신)'!Q:Q,MATCH($E95,'큐펫&amp;몹 정리(최신)'!$B:$B,0))*25,IF($J95=3,INDEX('큐펫&amp;몹 정리(최신)'!Q:Q,MATCH($E95,'큐펫&amp;몹 정리(최신)'!$B:$B,0))*30,IF($J95=4,INDEX('큐펫&amp;몹 정리(최신)'!Q:Q,MATCH($E95,'큐펫&amp;몹 정리(최신)'!$B:$B,0))*35,INDEX('큐펫&amp;몹 정리(최신)'!Q:Q,MATCH($E95,'큐펫&amp;몹 정리(최신)'!$B:$B,0))*40))))</f>
        <v>105</v>
      </c>
      <c r="M95" s="190">
        <f>IF($J95=1,INDEX('큐펫&amp;몹 정리(최신)'!R:R,MATCH($E95,'큐펫&amp;몹 정리(최신)'!$B:$B,0))*20,IF($J95=2,INDEX('큐펫&amp;몹 정리(최신)'!R:R,MATCH($E95,'큐펫&amp;몹 정리(최신)'!$B:$B,0))*25,IF($J95=3,INDEX('큐펫&amp;몹 정리(최신)'!R:R,MATCH($E95,'큐펫&amp;몹 정리(최신)'!$B:$B,0))*30,IF($J95=4,INDEX('큐펫&amp;몹 정리(최신)'!R:R,MATCH($E95,'큐펫&amp;몹 정리(최신)'!$B:$B,0))*35,INDEX('큐펫&amp;몹 정리(최신)'!R:R,MATCH($E95,'큐펫&amp;몹 정리(최신)'!$B:$B,0))*40))))</f>
        <v>140</v>
      </c>
      <c r="N95" s="190">
        <f>IF($J95=1,INDEX('큐펫&amp;몹 정리(최신)'!S:S,MATCH($E95,'큐펫&amp;몹 정리(최신)'!$B:$B,0))*20,IF($J95=2,INDEX('큐펫&amp;몹 정리(최신)'!S:S,MATCH($E95,'큐펫&amp;몹 정리(최신)'!$B:$B,0))*25,IF($J95=3,INDEX('큐펫&amp;몹 정리(최신)'!S:S,MATCH($E95,'큐펫&amp;몹 정리(최신)'!$B:$B,0))*30,IF($J95=4,INDEX('큐펫&amp;몹 정리(최신)'!S:S,MATCH($E95,'큐펫&amp;몹 정리(최신)'!$B:$B,0))*35,INDEX('큐펫&amp;몹 정리(최신)'!S:S,MATCH($E95,'큐펫&amp;몹 정리(최신)'!$B:$B,0))*40))))</f>
        <v>700</v>
      </c>
      <c r="O95" s="190">
        <f>IF($J95=1,INDEX('큐펫&amp;몹 정리(최신)'!T:T,MATCH($E95,'큐펫&amp;몹 정리(최신)'!$B:$B,0))*20,IF($J95=2,INDEX('큐펫&amp;몹 정리(최신)'!T:T,MATCH($E95,'큐펫&amp;몹 정리(최신)'!$B:$B,0))*25,IF($J95=3,INDEX('큐펫&amp;몹 정리(최신)'!T:T,MATCH($E95,'큐펫&amp;몹 정리(최신)'!$B:$B,0))*30,IF($J95=4,INDEX('큐펫&amp;몹 정리(최신)'!T:T,MATCH($E95,'큐펫&amp;몹 정리(최신)'!$B:$B,0))*35,INDEX('큐펫&amp;몹 정리(최신)'!T:T,MATCH($E95,'큐펫&amp;몹 정리(최신)'!$B:$B,0))*40))))</f>
        <v>805</v>
      </c>
      <c r="P95" s="217">
        <v>80</v>
      </c>
      <c r="Q95" s="217">
        <f t="shared" si="8"/>
        <v>224300</v>
      </c>
      <c r="R95" s="217">
        <f t="shared" si="9"/>
        <v>1131</v>
      </c>
      <c r="S95" s="217">
        <f t="shared" si="10"/>
        <v>1341</v>
      </c>
      <c r="T95" s="217">
        <f t="shared" si="11"/>
        <v>7059</v>
      </c>
      <c r="U95" s="217">
        <f t="shared" si="12"/>
        <v>46912</v>
      </c>
      <c r="V95" s="217">
        <f t="shared" si="13"/>
        <v>27037</v>
      </c>
      <c r="W95" s="217">
        <f>ROUND(AC95+(INDEX(Ref!B$1:B$9,MATCH($AI95,Ref!$A$1:$A$9,0))*P95*0.0001),)</f>
        <v>31</v>
      </c>
      <c r="X95" s="217">
        <f>ROUND(AD95+(INDEX(Ref!C$1:C$9,MATCH($AI95,Ref!$A$1:$A$9,0))*$P95*0.0001),)</f>
        <v>54</v>
      </c>
      <c r="Y95" s="217">
        <f>ROUND(AE95+(INDEX(Ref!D$1:D$9,MATCH($AI95,Ref!$A$1:$A$9,0))*$P95*0.0001),)</f>
        <v>54</v>
      </c>
      <c r="Z95" s="217">
        <f>ROUND(AF95+(INDEX(Ref!E$1:E$9,MATCH($AI95,Ref!$A$1:$A$9,0))*$P95*0.0001),)</f>
        <v>70</v>
      </c>
      <c r="AA95" s="217">
        <f>ROUND(AG95+(INDEX(Ref!F$1:F$9,MATCH($AI95,Ref!$A$1:$A$9,0))*$P95*0.0001),)</f>
        <v>34</v>
      </c>
      <c r="AB95" s="217">
        <f>ROUND(AH95+(INDEX(Ref!G$1:G$9,MATCH($AI95,Ref!$A$1:$A$9,0))*$P95*0.0001),)</f>
        <v>61</v>
      </c>
      <c r="AC95" s="137">
        <v>22</v>
      </c>
      <c r="AD95" s="137">
        <v>39</v>
      </c>
      <c r="AE95" s="137">
        <v>44</v>
      </c>
      <c r="AF95" s="137">
        <v>51</v>
      </c>
      <c r="AG95" s="137">
        <v>24</v>
      </c>
      <c r="AH95" s="137">
        <v>44</v>
      </c>
      <c r="AI95" s="208">
        <v>6</v>
      </c>
      <c r="AJ95" s="172">
        <v>3000</v>
      </c>
      <c r="AK95" s="172">
        <v>30111</v>
      </c>
      <c r="AL95" s="172">
        <v>2000</v>
      </c>
      <c r="AM95" s="172">
        <v>30113</v>
      </c>
      <c r="AN95" s="172">
        <v>0</v>
      </c>
      <c r="AO95" s="172">
        <f t="shared" si="14"/>
        <v>34111</v>
      </c>
      <c r="AP95" s="172">
        <v>0</v>
      </c>
      <c r="AQ95" s="172">
        <f t="shared" si="15"/>
        <v>34113</v>
      </c>
      <c r="AR95" s="172">
        <v>1</v>
      </c>
      <c r="AS95" s="172">
        <v>0</v>
      </c>
      <c r="AT95" s="199">
        <v>78019</v>
      </c>
      <c r="AU95" s="195" t="s">
        <v>136</v>
      </c>
    </row>
    <row r="96" spans="1:47" x14ac:dyDescent="0.2">
      <c r="A96" s="173">
        <v>55019</v>
      </c>
      <c r="B96" s="174" t="s">
        <v>134</v>
      </c>
      <c r="C96" s="172">
        <v>86019</v>
      </c>
      <c r="D96" s="172">
        <v>150019</v>
      </c>
      <c r="E96" s="206" t="s">
        <v>135</v>
      </c>
      <c r="F96" s="207">
        <v>5</v>
      </c>
      <c r="G96" s="172">
        <v>13000</v>
      </c>
      <c r="H96" s="172">
        <v>9000</v>
      </c>
      <c r="I96" s="172">
        <v>10000</v>
      </c>
      <c r="J96" s="172">
        <v>5</v>
      </c>
      <c r="K96" s="190">
        <f>IF($J96=1,INDEX('큐펫&amp;몹 정리(최신)'!P:P,MATCH($E96,'큐펫&amp;몹 정리(최신)'!$B:$B,0))*20,IF($J96=2,INDEX('큐펫&amp;몹 정리(최신)'!P:P,MATCH($E96,'큐펫&amp;몹 정리(최신)'!$B:$B,0))*25,IF($J96=3,INDEX('큐펫&amp;몹 정리(최신)'!P:P,MATCH($E96,'큐펫&amp;몹 정리(최신)'!$B:$B,0))*30,IF($J96=4,INDEX('큐펫&amp;몹 정리(최신)'!P:P,MATCH($E96,'큐펫&amp;몹 정리(최신)'!$B:$B,0))*35,INDEX('큐펫&amp;몹 정리(최신)'!P:P,MATCH($E96,'큐펫&amp;몹 정리(최신)'!$B:$B,0))*40))))</f>
        <v>2000</v>
      </c>
      <c r="L96" s="190">
        <f>IF($J96=1,INDEX('큐펫&amp;몹 정리(최신)'!Q:Q,MATCH($E96,'큐펫&amp;몹 정리(최신)'!$B:$B,0))*20,IF($J96=2,INDEX('큐펫&amp;몹 정리(최신)'!Q:Q,MATCH($E96,'큐펫&amp;몹 정리(최신)'!$B:$B,0))*25,IF($J96=3,INDEX('큐펫&amp;몹 정리(최신)'!Q:Q,MATCH($E96,'큐펫&amp;몹 정리(최신)'!$B:$B,0))*30,IF($J96=4,INDEX('큐펫&amp;몹 정리(최신)'!Q:Q,MATCH($E96,'큐펫&amp;몹 정리(최신)'!$B:$B,0))*35,INDEX('큐펫&amp;몹 정리(최신)'!Q:Q,MATCH($E96,'큐펫&amp;몹 정리(최신)'!$B:$B,0))*40))))</f>
        <v>120</v>
      </c>
      <c r="M96" s="190">
        <f>IF($J96=1,INDEX('큐펫&amp;몹 정리(최신)'!R:R,MATCH($E96,'큐펫&amp;몹 정리(최신)'!$B:$B,0))*20,IF($J96=2,INDEX('큐펫&amp;몹 정리(최신)'!R:R,MATCH($E96,'큐펫&amp;몹 정리(최신)'!$B:$B,0))*25,IF($J96=3,INDEX('큐펫&amp;몹 정리(최신)'!R:R,MATCH($E96,'큐펫&amp;몹 정리(최신)'!$B:$B,0))*30,IF($J96=4,INDEX('큐펫&amp;몹 정리(최신)'!R:R,MATCH($E96,'큐펫&amp;몹 정리(최신)'!$B:$B,0))*35,INDEX('큐펫&amp;몹 정리(최신)'!R:R,MATCH($E96,'큐펫&amp;몹 정리(최신)'!$B:$B,0))*40))))</f>
        <v>160</v>
      </c>
      <c r="N96" s="190">
        <f>IF($J96=1,INDEX('큐펫&amp;몹 정리(최신)'!S:S,MATCH($E96,'큐펫&amp;몹 정리(최신)'!$B:$B,0))*20,IF($J96=2,INDEX('큐펫&amp;몹 정리(최신)'!S:S,MATCH($E96,'큐펫&amp;몹 정리(최신)'!$B:$B,0))*25,IF($J96=3,INDEX('큐펫&amp;몹 정리(최신)'!S:S,MATCH($E96,'큐펫&amp;몹 정리(최신)'!$B:$B,0))*30,IF($J96=4,INDEX('큐펫&amp;몹 정리(최신)'!S:S,MATCH($E96,'큐펫&amp;몹 정리(최신)'!$B:$B,0))*35,INDEX('큐펫&amp;몹 정리(최신)'!S:S,MATCH($E96,'큐펫&amp;몹 정리(최신)'!$B:$B,0))*40))))</f>
        <v>800</v>
      </c>
      <c r="O96" s="190">
        <f>IF($J96=1,INDEX('큐펫&amp;몹 정리(최신)'!T:T,MATCH($E96,'큐펫&amp;몹 정리(최신)'!$B:$B,0))*20,IF($J96=2,INDEX('큐펫&amp;몹 정리(최신)'!T:T,MATCH($E96,'큐펫&amp;몹 정리(최신)'!$B:$B,0))*25,IF($J96=3,INDEX('큐펫&amp;몹 정리(최신)'!T:T,MATCH($E96,'큐펫&amp;몹 정리(최신)'!$B:$B,0))*30,IF($J96=4,INDEX('큐펫&amp;몹 정리(최신)'!T:T,MATCH($E96,'큐펫&amp;몹 정리(최신)'!$B:$B,0))*35,INDEX('큐펫&amp;몹 정리(최신)'!T:T,MATCH($E96,'큐펫&amp;몹 정리(최신)'!$B:$B,0))*40))))</f>
        <v>920</v>
      </c>
      <c r="P96" s="217">
        <v>100</v>
      </c>
      <c r="Q96" s="217">
        <f t="shared" si="8"/>
        <v>330000</v>
      </c>
      <c r="R96" s="217">
        <f t="shared" si="9"/>
        <v>1613</v>
      </c>
      <c r="S96" s="217">
        <f t="shared" si="10"/>
        <v>1881</v>
      </c>
      <c r="T96" s="217">
        <f t="shared" si="11"/>
        <v>10472</v>
      </c>
      <c r="U96" s="217">
        <f t="shared" si="12"/>
        <v>64014</v>
      </c>
      <c r="V96" s="217">
        <f t="shared" si="13"/>
        <v>36880</v>
      </c>
      <c r="W96" s="217">
        <f>ROUND(AC96+(INDEX(Ref!B$1:B$9,MATCH($AI96,Ref!$A$1:$A$9,0))*P96*0.0001),)</f>
        <v>35</v>
      </c>
      <c r="X96" s="217">
        <f>ROUND(AD96+(INDEX(Ref!C$1:C$9,MATCH($AI96,Ref!$A$1:$A$9,0))*$P96*0.0001),)</f>
        <v>62</v>
      </c>
      <c r="Y96" s="217">
        <f>ROUND(AE96+(INDEX(Ref!D$1:D$9,MATCH($AI96,Ref!$A$1:$A$9,0))*$P96*0.0001),)</f>
        <v>60</v>
      </c>
      <c r="Z96" s="217">
        <f>ROUND(AF96+(INDEX(Ref!E$1:E$9,MATCH($AI96,Ref!$A$1:$A$9,0))*$P96*0.0001),)</f>
        <v>80</v>
      </c>
      <c r="AA96" s="217">
        <f>ROUND(AG96+(INDEX(Ref!F$1:F$9,MATCH($AI96,Ref!$A$1:$A$9,0))*$P96*0.0001),)</f>
        <v>38</v>
      </c>
      <c r="AB96" s="217">
        <f>ROUND(AH96+(INDEX(Ref!G$1:G$9,MATCH($AI96,Ref!$A$1:$A$9,0))*$P96*0.0001),)</f>
        <v>69</v>
      </c>
      <c r="AC96" s="137">
        <v>24</v>
      </c>
      <c r="AD96" s="137">
        <v>43</v>
      </c>
      <c r="AE96" s="137">
        <v>47</v>
      </c>
      <c r="AF96" s="137">
        <v>56</v>
      </c>
      <c r="AG96" s="137">
        <v>26</v>
      </c>
      <c r="AH96" s="137">
        <v>48</v>
      </c>
      <c r="AI96" s="208">
        <v>6</v>
      </c>
      <c r="AJ96" s="172">
        <v>3000</v>
      </c>
      <c r="AK96" s="172">
        <v>30111</v>
      </c>
      <c r="AL96" s="172">
        <v>2000</v>
      </c>
      <c r="AM96" s="172">
        <v>30114</v>
      </c>
      <c r="AN96" s="172">
        <v>0</v>
      </c>
      <c r="AO96" s="172">
        <f t="shared" si="14"/>
        <v>34111</v>
      </c>
      <c r="AP96" s="172">
        <v>0</v>
      </c>
      <c r="AQ96" s="172">
        <f t="shared" si="15"/>
        <v>34114</v>
      </c>
      <c r="AR96" s="172">
        <v>1</v>
      </c>
      <c r="AS96" s="172">
        <v>0</v>
      </c>
      <c r="AT96" s="199">
        <v>78019</v>
      </c>
      <c r="AU96" s="195" t="s">
        <v>136</v>
      </c>
    </row>
    <row r="97" spans="1:47" x14ac:dyDescent="0.2">
      <c r="A97" s="173">
        <v>55020</v>
      </c>
      <c r="B97" s="174" t="s">
        <v>137</v>
      </c>
      <c r="C97" s="172">
        <v>86020</v>
      </c>
      <c r="D97" s="172">
        <v>150020</v>
      </c>
      <c r="E97" s="206" t="s">
        <v>138</v>
      </c>
      <c r="F97" s="207">
        <v>3</v>
      </c>
      <c r="G97" s="173">
        <v>11500</v>
      </c>
      <c r="H97" s="173">
        <v>9500</v>
      </c>
      <c r="I97" s="172">
        <v>10000</v>
      </c>
      <c r="J97" s="172">
        <v>1</v>
      </c>
      <c r="K97" s="190">
        <f>IF($J97=1,INDEX('큐펫&amp;몹 정리(최신)'!P:P,MATCH($E97,'큐펫&amp;몹 정리(최신)'!$B:$B,0))*20,IF($J97=2,INDEX('큐펫&amp;몹 정리(최신)'!P:P,MATCH($E97,'큐펫&amp;몹 정리(최신)'!$B:$B,0))*25,IF($J97=3,INDEX('큐펫&amp;몹 정리(최신)'!P:P,MATCH($E97,'큐펫&amp;몹 정리(최신)'!$B:$B,0))*30,IF($J97=4,INDEX('큐펫&amp;몹 정리(최신)'!P:P,MATCH($E97,'큐펫&amp;몹 정리(최신)'!$B:$B,0))*35,INDEX('큐펫&amp;몹 정리(최신)'!P:P,MATCH($E97,'큐펫&amp;몹 정리(최신)'!$B:$B,0))*40))))</f>
        <v>700</v>
      </c>
      <c r="L97" s="190">
        <f>IF($J97=1,INDEX('큐펫&amp;몹 정리(최신)'!Q:Q,MATCH($E97,'큐펫&amp;몹 정리(최신)'!$B:$B,0))*20,IF($J97=2,INDEX('큐펫&amp;몹 정리(최신)'!Q:Q,MATCH($E97,'큐펫&amp;몹 정리(최신)'!$B:$B,0))*25,IF($J97=3,INDEX('큐펫&amp;몹 정리(최신)'!Q:Q,MATCH($E97,'큐펫&amp;몹 정리(최신)'!$B:$B,0))*30,IF($J97=4,INDEX('큐펫&amp;몹 정리(최신)'!Q:Q,MATCH($E97,'큐펫&amp;몹 정리(최신)'!$B:$B,0))*35,INDEX('큐펫&amp;몹 정리(최신)'!Q:Q,MATCH($E97,'큐펫&amp;몹 정리(최신)'!$B:$B,0))*40))))</f>
        <v>360</v>
      </c>
      <c r="M97" s="190">
        <f>IF($J97=1,INDEX('큐펫&amp;몹 정리(최신)'!R:R,MATCH($E97,'큐펫&amp;몹 정리(최신)'!$B:$B,0))*20,IF($J97=2,INDEX('큐펫&amp;몹 정리(최신)'!R:R,MATCH($E97,'큐펫&amp;몹 정리(최신)'!$B:$B,0))*25,IF($J97=3,INDEX('큐펫&amp;몹 정리(최신)'!R:R,MATCH($E97,'큐펫&amp;몹 정리(최신)'!$B:$B,0))*30,IF($J97=4,INDEX('큐펫&amp;몹 정리(최신)'!R:R,MATCH($E97,'큐펫&amp;몹 정리(최신)'!$B:$B,0))*35,INDEX('큐펫&amp;몹 정리(최신)'!R:R,MATCH($E97,'큐펫&amp;몹 정리(최신)'!$B:$B,0))*40))))</f>
        <v>200</v>
      </c>
      <c r="N97" s="190">
        <f>IF($J97=1,INDEX('큐펫&amp;몹 정리(최신)'!S:S,MATCH($E97,'큐펫&amp;몹 정리(최신)'!$B:$B,0))*20,IF($J97=2,INDEX('큐펫&amp;몹 정리(최신)'!S:S,MATCH($E97,'큐펫&amp;몹 정리(최신)'!$B:$B,0))*25,IF($J97=3,INDEX('큐펫&amp;몹 정리(최신)'!S:S,MATCH($E97,'큐펫&amp;몹 정리(최신)'!$B:$B,0))*30,IF($J97=4,INDEX('큐펫&amp;몹 정리(최신)'!S:S,MATCH($E97,'큐펫&amp;몹 정리(최신)'!$B:$B,0))*35,INDEX('큐펫&amp;몹 정리(최신)'!S:S,MATCH($E97,'큐펫&amp;몹 정리(최신)'!$B:$B,0))*40))))</f>
        <v>340</v>
      </c>
      <c r="O97" s="190">
        <f>IF($J97=1,INDEX('큐펫&amp;몹 정리(최신)'!T:T,MATCH($E97,'큐펫&amp;몹 정리(최신)'!$B:$B,0))*20,IF($J97=2,INDEX('큐펫&amp;몹 정리(최신)'!T:T,MATCH($E97,'큐펫&amp;몹 정리(최신)'!$B:$B,0))*25,IF($J97=3,INDEX('큐펫&amp;몹 정리(최신)'!T:T,MATCH($E97,'큐펫&amp;몹 정리(최신)'!$B:$B,0))*30,IF($J97=4,INDEX('큐펫&amp;몹 정리(최신)'!T:T,MATCH($E97,'큐펫&amp;몹 정리(최신)'!$B:$B,0))*35,INDEX('큐펫&amp;몹 정리(최신)'!T:T,MATCH($E97,'큐펫&amp;몹 정리(최신)'!$B:$B,0))*40))))</f>
        <v>400</v>
      </c>
      <c r="P97" s="217">
        <v>20</v>
      </c>
      <c r="Q97" s="217">
        <f t="shared" si="8"/>
        <v>24780</v>
      </c>
      <c r="R97" s="217">
        <f t="shared" si="9"/>
        <v>6762</v>
      </c>
      <c r="S97" s="217">
        <f t="shared" si="10"/>
        <v>1975</v>
      </c>
      <c r="T97" s="217">
        <f t="shared" si="11"/>
        <v>778</v>
      </c>
      <c r="U97" s="217">
        <f t="shared" si="12"/>
        <v>12252</v>
      </c>
      <c r="V97" s="217">
        <f t="shared" si="13"/>
        <v>7219</v>
      </c>
      <c r="W97" s="217">
        <f>ROUND(AC97+(INDEX(Ref!B$1:B$9,MATCH($AI97,Ref!$A$1:$A$9,0))*P97*0.0001),)</f>
        <v>43</v>
      </c>
      <c r="X97" s="217">
        <f>ROUND(AD97+(INDEX(Ref!C$1:C$9,MATCH($AI97,Ref!$A$1:$A$9,0))*$P97*0.0001),)</f>
        <v>26</v>
      </c>
      <c r="Y97" s="217">
        <f>ROUND(AE97+(INDEX(Ref!D$1:D$9,MATCH($AI97,Ref!$A$1:$A$9,0))*$P97*0.0001),)</f>
        <v>52</v>
      </c>
      <c r="Z97" s="217">
        <f>ROUND(AF97+(INDEX(Ref!E$1:E$9,MATCH($AI97,Ref!$A$1:$A$9,0))*$P97*0.0001),)</f>
        <v>19</v>
      </c>
      <c r="AA97" s="217">
        <f>ROUND(AG97+(INDEX(Ref!F$1:F$9,MATCH($AI97,Ref!$A$1:$A$9,0))*$P97*0.0001),)</f>
        <v>23</v>
      </c>
      <c r="AB97" s="217">
        <f>ROUND(AH97+(INDEX(Ref!G$1:G$9,MATCH($AI97,Ref!$A$1:$A$9,0))*$P97*0.0001),)</f>
        <v>21</v>
      </c>
      <c r="AC97" s="137">
        <v>38</v>
      </c>
      <c r="AD97" s="137">
        <v>23</v>
      </c>
      <c r="AE97" s="137">
        <v>48</v>
      </c>
      <c r="AF97" s="137">
        <v>17</v>
      </c>
      <c r="AG97" s="137">
        <v>20</v>
      </c>
      <c r="AH97" s="137">
        <v>18</v>
      </c>
      <c r="AI97" s="208">
        <v>1</v>
      </c>
      <c r="AJ97" s="172">
        <v>3000</v>
      </c>
      <c r="AK97" s="172">
        <v>30115</v>
      </c>
      <c r="AL97" s="172">
        <v>2000</v>
      </c>
      <c r="AM97" s="172">
        <v>30118</v>
      </c>
      <c r="AN97" s="172">
        <v>0</v>
      </c>
      <c r="AO97" s="172">
        <f t="shared" si="14"/>
        <v>34115</v>
      </c>
      <c r="AP97" s="172">
        <v>0</v>
      </c>
      <c r="AQ97" s="172">
        <f t="shared" si="15"/>
        <v>34118</v>
      </c>
      <c r="AR97" s="172">
        <v>1</v>
      </c>
      <c r="AS97" s="172">
        <v>0</v>
      </c>
      <c r="AT97" s="199">
        <v>78020</v>
      </c>
      <c r="AU97" s="195" t="s">
        <v>139</v>
      </c>
    </row>
    <row r="98" spans="1:47" x14ac:dyDescent="0.2">
      <c r="A98" s="173">
        <v>55020</v>
      </c>
      <c r="B98" s="174" t="s">
        <v>137</v>
      </c>
      <c r="C98" s="172">
        <v>86020</v>
      </c>
      <c r="D98" s="172">
        <v>150020</v>
      </c>
      <c r="E98" s="206" t="s">
        <v>138</v>
      </c>
      <c r="F98" s="207">
        <v>3</v>
      </c>
      <c r="G98" s="173">
        <v>11500</v>
      </c>
      <c r="H98" s="173">
        <v>9500</v>
      </c>
      <c r="I98" s="172">
        <v>10000</v>
      </c>
      <c r="J98" s="172">
        <v>2</v>
      </c>
      <c r="K98" s="190">
        <f>IF($J98=1,INDEX('큐펫&amp;몹 정리(최신)'!P:P,MATCH($E98,'큐펫&amp;몹 정리(최신)'!$B:$B,0))*20,IF($J98=2,INDEX('큐펫&amp;몹 정리(최신)'!P:P,MATCH($E98,'큐펫&amp;몹 정리(최신)'!$B:$B,0))*25,IF($J98=3,INDEX('큐펫&amp;몹 정리(최신)'!P:P,MATCH($E98,'큐펫&amp;몹 정리(최신)'!$B:$B,0))*30,IF($J98=4,INDEX('큐펫&amp;몹 정리(최신)'!P:P,MATCH($E98,'큐펫&amp;몹 정리(최신)'!$B:$B,0))*35,INDEX('큐펫&amp;몹 정리(최신)'!P:P,MATCH($E98,'큐펫&amp;몹 정리(최신)'!$B:$B,0))*40))))</f>
        <v>875</v>
      </c>
      <c r="L98" s="190">
        <f>IF($J98=1,INDEX('큐펫&amp;몹 정리(최신)'!Q:Q,MATCH($E98,'큐펫&amp;몹 정리(최신)'!$B:$B,0))*20,IF($J98=2,INDEX('큐펫&amp;몹 정리(최신)'!Q:Q,MATCH($E98,'큐펫&amp;몹 정리(최신)'!$B:$B,0))*25,IF($J98=3,INDEX('큐펫&amp;몹 정리(최신)'!Q:Q,MATCH($E98,'큐펫&amp;몹 정리(최신)'!$B:$B,0))*30,IF($J98=4,INDEX('큐펫&amp;몹 정리(최신)'!Q:Q,MATCH($E98,'큐펫&amp;몹 정리(최신)'!$B:$B,0))*35,INDEX('큐펫&amp;몹 정리(최신)'!Q:Q,MATCH($E98,'큐펫&amp;몹 정리(최신)'!$B:$B,0))*40))))</f>
        <v>450</v>
      </c>
      <c r="M98" s="190">
        <f>IF($J98=1,INDEX('큐펫&amp;몹 정리(최신)'!R:R,MATCH($E98,'큐펫&amp;몹 정리(최신)'!$B:$B,0))*20,IF($J98=2,INDEX('큐펫&amp;몹 정리(최신)'!R:R,MATCH($E98,'큐펫&amp;몹 정리(최신)'!$B:$B,0))*25,IF($J98=3,INDEX('큐펫&amp;몹 정리(최신)'!R:R,MATCH($E98,'큐펫&amp;몹 정리(최신)'!$B:$B,0))*30,IF($J98=4,INDEX('큐펫&amp;몹 정리(최신)'!R:R,MATCH($E98,'큐펫&amp;몹 정리(최신)'!$B:$B,0))*35,INDEX('큐펫&amp;몹 정리(최신)'!R:R,MATCH($E98,'큐펫&amp;몹 정리(최신)'!$B:$B,0))*40))))</f>
        <v>250</v>
      </c>
      <c r="N98" s="190">
        <f>IF($J98=1,INDEX('큐펫&amp;몹 정리(최신)'!S:S,MATCH($E98,'큐펫&amp;몹 정리(최신)'!$B:$B,0))*20,IF($J98=2,INDEX('큐펫&amp;몹 정리(최신)'!S:S,MATCH($E98,'큐펫&amp;몹 정리(최신)'!$B:$B,0))*25,IF($J98=3,INDEX('큐펫&amp;몹 정리(최신)'!S:S,MATCH($E98,'큐펫&amp;몹 정리(최신)'!$B:$B,0))*30,IF($J98=4,INDEX('큐펫&amp;몹 정리(최신)'!S:S,MATCH($E98,'큐펫&amp;몹 정리(최신)'!$B:$B,0))*35,INDEX('큐펫&amp;몹 정리(최신)'!S:S,MATCH($E98,'큐펫&amp;몹 정리(최신)'!$B:$B,0))*40))))</f>
        <v>425</v>
      </c>
      <c r="O98" s="190">
        <f>IF($J98=1,INDEX('큐펫&amp;몹 정리(최신)'!T:T,MATCH($E98,'큐펫&amp;몹 정리(최신)'!$B:$B,0))*20,IF($J98=2,INDEX('큐펫&amp;몹 정리(최신)'!T:T,MATCH($E98,'큐펫&amp;몹 정리(최신)'!$B:$B,0))*25,IF($J98=3,INDEX('큐펫&amp;몹 정리(최신)'!T:T,MATCH($E98,'큐펫&amp;몹 정리(최신)'!$B:$B,0))*30,IF($J98=4,INDEX('큐펫&amp;몹 정리(최신)'!T:T,MATCH($E98,'큐펫&amp;몹 정리(최신)'!$B:$B,0))*35,INDEX('큐펫&amp;몹 정리(최신)'!T:T,MATCH($E98,'큐펫&amp;몹 정리(최신)'!$B:$B,0))*40))))</f>
        <v>500</v>
      </c>
      <c r="P98" s="217">
        <v>40</v>
      </c>
      <c r="Q98" s="217">
        <f t="shared" si="8"/>
        <v>60300</v>
      </c>
      <c r="R98" s="217">
        <f t="shared" si="9"/>
        <v>12778</v>
      </c>
      <c r="S98" s="217">
        <f t="shared" si="10"/>
        <v>3880</v>
      </c>
      <c r="T98" s="217">
        <f t="shared" si="11"/>
        <v>1518</v>
      </c>
      <c r="U98" s="217">
        <f t="shared" si="12"/>
        <v>21266</v>
      </c>
      <c r="V98" s="217">
        <f t="shared" si="13"/>
        <v>12524</v>
      </c>
      <c r="W98" s="217">
        <f>ROUND(AC98+(INDEX(Ref!B$1:B$9,MATCH($AI98,Ref!$A$1:$A$9,0))*P98*0.0001),)</f>
        <v>53</v>
      </c>
      <c r="X98" s="217">
        <f>ROUND(AD98+(INDEX(Ref!C$1:C$9,MATCH($AI98,Ref!$A$1:$A$9,0))*$P98*0.0001),)</f>
        <v>32</v>
      </c>
      <c r="Y98" s="217">
        <f>ROUND(AE98+(INDEX(Ref!D$1:D$9,MATCH($AI98,Ref!$A$1:$A$9,0))*$P98*0.0001),)</f>
        <v>60</v>
      </c>
      <c r="Z98" s="217">
        <f>ROUND(AF98+(INDEX(Ref!E$1:E$9,MATCH($AI98,Ref!$A$1:$A$9,0))*$P98*0.0001),)</f>
        <v>24</v>
      </c>
      <c r="AA98" s="217">
        <f>ROUND(AG98+(INDEX(Ref!F$1:F$9,MATCH($AI98,Ref!$A$1:$A$9,0))*$P98*0.0001),)</f>
        <v>29</v>
      </c>
      <c r="AB98" s="217">
        <f>ROUND(AH98+(INDEX(Ref!G$1:G$9,MATCH($AI98,Ref!$A$1:$A$9,0))*$P98*0.0001),)</f>
        <v>26</v>
      </c>
      <c r="AC98" s="137">
        <v>43</v>
      </c>
      <c r="AD98" s="137">
        <v>26</v>
      </c>
      <c r="AE98" s="137">
        <v>52</v>
      </c>
      <c r="AF98" s="137">
        <v>19</v>
      </c>
      <c r="AG98" s="137">
        <v>23</v>
      </c>
      <c r="AH98" s="137">
        <v>21</v>
      </c>
      <c r="AI98" s="208">
        <v>1</v>
      </c>
      <c r="AJ98" s="172">
        <v>3000</v>
      </c>
      <c r="AK98" s="172">
        <v>30116</v>
      </c>
      <c r="AL98" s="172">
        <v>2000</v>
      </c>
      <c r="AM98" s="172">
        <v>30118</v>
      </c>
      <c r="AN98" s="172">
        <v>0</v>
      </c>
      <c r="AO98" s="172">
        <f t="shared" si="14"/>
        <v>34116</v>
      </c>
      <c r="AP98" s="172">
        <v>0</v>
      </c>
      <c r="AQ98" s="172">
        <f t="shared" si="15"/>
        <v>34118</v>
      </c>
      <c r="AR98" s="172">
        <v>1</v>
      </c>
      <c r="AS98" s="172">
        <v>0</v>
      </c>
      <c r="AT98" s="199">
        <v>78020</v>
      </c>
      <c r="AU98" s="195" t="s">
        <v>139</v>
      </c>
    </row>
    <row r="99" spans="1:47" x14ac:dyDescent="0.2">
      <c r="A99" s="173">
        <v>55020</v>
      </c>
      <c r="B99" s="174" t="s">
        <v>137</v>
      </c>
      <c r="C99" s="172">
        <v>86020</v>
      </c>
      <c r="D99" s="172">
        <v>150020</v>
      </c>
      <c r="E99" s="206" t="s">
        <v>138</v>
      </c>
      <c r="F99" s="207">
        <v>3</v>
      </c>
      <c r="G99" s="173">
        <v>11500</v>
      </c>
      <c r="H99" s="173">
        <v>9500</v>
      </c>
      <c r="I99" s="172">
        <v>10000</v>
      </c>
      <c r="J99" s="172">
        <v>3</v>
      </c>
      <c r="K99" s="190">
        <f>IF($J99=1,INDEX('큐펫&amp;몹 정리(최신)'!P:P,MATCH($E99,'큐펫&amp;몹 정리(최신)'!$B:$B,0))*20,IF($J99=2,INDEX('큐펫&amp;몹 정리(최신)'!P:P,MATCH($E99,'큐펫&amp;몹 정리(최신)'!$B:$B,0))*25,IF($J99=3,INDEX('큐펫&amp;몹 정리(최신)'!P:P,MATCH($E99,'큐펫&amp;몹 정리(최신)'!$B:$B,0))*30,IF($J99=4,INDEX('큐펫&amp;몹 정리(최신)'!P:P,MATCH($E99,'큐펫&amp;몹 정리(최신)'!$B:$B,0))*35,INDEX('큐펫&amp;몹 정리(최신)'!P:P,MATCH($E99,'큐펫&amp;몹 정리(최신)'!$B:$B,0))*40))))</f>
        <v>1050</v>
      </c>
      <c r="L99" s="190">
        <f>IF($J99=1,INDEX('큐펫&amp;몹 정리(최신)'!Q:Q,MATCH($E99,'큐펫&amp;몹 정리(최신)'!$B:$B,0))*20,IF($J99=2,INDEX('큐펫&amp;몹 정리(최신)'!Q:Q,MATCH($E99,'큐펫&amp;몹 정리(최신)'!$B:$B,0))*25,IF($J99=3,INDEX('큐펫&amp;몹 정리(최신)'!Q:Q,MATCH($E99,'큐펫&amp;몹 정리(최신)'!$B:$B,0))*30,IF($J99=4,INDEX('큐펫&amp;몹 정리(최신)'!Q:Q,MATCH($E99,'큐펫&amp;몹 정리(최신)'!$B:$B,0))*35,INDEX('큐펫&amp;몹 정리(최신)'!Q:Q,MATCH($E99,'큐펫&amp;몹 정리(최신)'!$B:$B,0))*40))))</f>
        <v>540</v>
      </c>
      <c r="M99" s="190">
        <f>IF($J99=1,INDEX('큐펫&amp;몹 정리(최신)'!R:R,MATCH($E99,'큐펫&amp;몹 정리(최신)'!$B:$B,0))*20,IF($J99=2,INDEX('큐펫&amp;몹 정리(최신)'!R:R,MATCH($E99,'큐펫&amp;몹 정리(최신)'!$B:$B,0))*25,IF($J99=3,INDEX('큐펫&amp;몹 정리(최신)'!R:R,MATCH($E99,'큐펫&amp;몹 정리(최신)'!$B:$B,0))*30,IF($J99=4,INDEX('큐펫&amp;몹 정리(최신)'!R:R,MATCH($E99,'큐펫&amp;몹 정리(최신)'!$B:$B,0))*35,INDEX('큐펫&amp;몹 정리(최신)'!R:R,MATCH($E99,'큐펫&amp;몹 정리(최신)'!$B:$B,0))*40))))</f>
        <v>300</v>
      </c>
      <c r="N99" s="190">
        <f>IF($J99=1,INDEX('큐펫&amp;몹 정리(최신)'!S:S,MATCH($E99,'큐펫&amp;몹 정리(최신)'!$B:$B,0))*20,IF($J99=2,INDEX('큐펫&amp;몹 정리(최신)'!S:S,MATCH($E99,'큐펫&amp;몹 정리(최신)'!$B:$B,0))*25,IF($J99=3,INDEX('큐펫&amp;몹 정리(최신)'!S:S,MATCH($E99,'큐펫&amp;몹 정리(최신)'!$B:$B,0))*30,IF($J99=4,INDEX('큐펫&amp;몹 정리(최신)'!S:S,MATCH($E99,'큐펫&amp;몹 정리(최신)'!$B:$B,0))*35,INDEX('큐펫&amp;몹 정리(최신)'!S:S,MATCH($E99,'큐펫&amp;몹 정리(최신)'!$B:$B,0))*40))))</f>
        <v>510</v>
      </c>
      <c r="O99" s="190">
        <f>IF($J99=1,INDEX('큐펫&amp;몹 정리(최신)'!T:T,MATCH($E99,'큐펫&amp;몹 정리(최신)'!$B:$B,0))*20,IF($J99=2,INDEX('큐펫&amp;몹 정리(최신)'!T:T,MATCH($E99,'큐펫&amp;몹 정리(최신)'!$B:$B,0))*25,IF($J99=3,INDEX('큐펫&amp;몹 정리(최신)'!T:T,MATCH($E99,'큐펫&amp;몹 정리(최신)'!$B:$B,0))*30,IF($J99=4,INDEX('큐펫&amp;몹 정리(최신)'!T:T,MATCH($E99,'큐펫&amp;몹 정리(최신)'!$B:$B,0))*35,INDEX('큐펫&amp;몹 정리(최신)'!T:T,MATCH($E99,'큐펫&amp;몹 정리(최신)'!$B:$B,0))*40))))</f>
        <v>600</v>
      </c>
      <c r="P99" s="217">
        <v>60</v>
      </c>
      <c r="Q99" s="217">
        <f t="shared" si="8"/>
        <v>111040</v>
      </c>
      <c r="R99" s="217">
        <f t="shared" si="9"/>
        <v>21603</v>
      </c>
      <c r="S99" s="217">
        <f t="shared" si="10"/>
        <v>6362</v>
      </c>
      <c r="T99" s="217">
        <f t="shared" si="11"/>
        <v>2450</v>
      </c>
      <c r="U99" s="217">
        <f t="shared" si="12"/>
        <v>32659</v>
      </c>
      <c r="V99" s="217">
        <f t="shared" si="13"/>
        <v>19228</v>
      </c>
      <c r="W99" s="217">
        <f>ROUND(AC99+(INDEX(Ref!B$1:B$9,MATCH($AI99,Ref!$A$1:$A$9,0))*P99*0.0001),)</f>
        <v>63</v>
      </c>
      <c r="X99" s="217">
        <f>ROUND(AD99+(INDEX(Ref!C$1:C$9,MATCH($AI99,Ref!$A$1:$A$9,0))*$P99*0.0001),)</f>
        <v>40</v>
      </c>
      <c r="Y99" s="217">
        <f>ROUND(AE99+(INDEX(Ref!D$1:D$9,MATCH($AI99,Ref!$A$1:$A$9,0))*$P99*0.0001),)</f>
        <v>68</v>
      </c>
      <c r="Z99" s="217">
        <f>ROUND(AF99+(INDEX(Ref!E$1:E$9,MATCH($AI99,Ref!$A$1:$A$9,0))*$P99*0.0001),)</f>
        <v>28</v>
      </c>
      <c r="AA99" s="217">
        <f>ROUND(AG99+(INDEX(Ref!F$1:F$9,MATCH($AI99,Ref!$A$1:$A$9,0))*$P99*0.0001),)</f>
        <v>34</v>
      </c>
      <c r="AB99" s="217">
        <f>ROUND(AH99+(INDEX(Ref!G$1:G$9,MATCH($AI99,Ref!$A$1:$A$9,0))*$P99*0.0001),)</f>
        <v>31</v>
      </c>
      <c r="AC99" s="137">
        <v>48.000000000000007</v>
      </c>
      <c r="AD99" s="137">
        <v>30</v>
      </c>
      <c r="AE99" s="137">
        <v>56</v>
      </c>
      <c r="AF99" s="137">
        <v>21</v>
      </c>
      <c r="AG99" s="137">
        <v>26</v>
      </c>
      <c r="AH99" s="137">
        <v>23</v>
      </c>
      <c r="AI99" s="208">
        <v>1</v>
      </c>
      <c r="AJ99" s="172">
        <v>3000</v>
      </c>
      <c r="AK99" s="172">
        <v>30116</v>
      </c>
      <c r="AL99" s="172">
        <v>2000</v>
      </c>
      <c r="AM99" s="172">
        <v>30119</v>
      </c>
      <c r="AN99" s="172">
        <v>0</v>
      </c>
      <c r="AO99" s="172">
        <f t="shared" si="14"/>
        <v>34116</v>
      </c>
      <c r="AP99" s="172">
        <v>0</v>
      </c>
      <c r="AQ99" s="172">
        <f t="shared" si="15"/>
        <v>34119</v>
      </c>
      <c r="AR99" s="172">
        <v>1</v>
      </c>
      <c r="AS99" s="172">
        <v>0</v>
      </c>
      <c r="AT99" s="199">
        <v>78020</v>
      </c>
      <c r="AU99" s="195" t="s">
        <v>139</v>
      </c>
    </row>
    <row r="100" spans="1:47" x14ac:dyDescent="0.2">
      <c r="A100" s="173">
        <v>55020</v>
      </c>
      <c r="B100" s="174" t="s">
        <v>137</v>
      </c>
      <c r="C100" s="172">
        <v>86020</v>
      </c>
      <c r="D100" s="172">
        <v>150020</v>
      </c>
      <c r="E100" s="206" t="s">
        <v>138</v>
      </c>
      <c r="F100" s="207">
        <v>3</v>
      </c>
      <c r="G100" s="173">
        <v>11500</v>
      </c>
      <c r="H100" s="173">
        <v>9500</v>
      </c>
      <c r="I100" s="172">
        <v>10000</v>
      </c>
      <c r="J100" s="172">
        <v>4</v>
      </c>
      <c r="K100" s="190">
        <f>IF($J100=1,INDEX('큐펫&amp;몹 정리(최신)'!P:P,MATCH($E100,'큐펫&amp;몹 정리(최신)'!$B:$B,0))*20,IF($J100=2,INDEX('큐펫&amp;몹 정리(최신)'!P:P,MATCH($E100,'큐펫&amp;몹 정리(최신)'!$B:$B,0))*25,IF($J100=3,INDEX('큐펫&amp;몹 정리(최신)'!P:P,MATCH($E100,'큐펫&amp;몹 정리(최신)'!$B:$B,0))*30,IF($J100=4,INDEX('큐펫&amp;몹 정리(최신)'!P:P,MATCH($E100,'큐펫&amp;몹 정리(최신)'!$B:$B,0))*35,INDEX('큐펫&amp;몹 정리(최신)'!P:P,MATCH($E100,'큐펫&amp;몹 정리(최신)'!$B:$B,0))*40))))</f>
        <v>1225</v>
      </c>
      <c r="L100" s="190">
        <f>IF($J100=1,INDEX('큐펫&amp;몹 정리(최신)'!Q:Q,MATCH($E100,'큐펫&amp;몹 정리(최신)'!$B:$B,0))*20,IF($J100=2,INDEX('큐펫&amp;몹 정리(최신)'!Q:Q,MATCH($E100,'큐펫&amp;몹 정리(최신)'!$B:$B,0))*25,IF($J100=3,INDEX('큐펫&amp;몹 정리(최신)'!Q:Q,MATCH($E100,'큐펫&amp;몹 정리(최신)'!$B:$B,0))*30,IF($J100=4,INDEX('큐펫&amp;몹 정리(최신)'!Q:Q,MATCH($E100,'큐펫&amp;몹 정리(최신)'!$B:$B,0))*35,INDEX('큐펫&amp;몹 정리(최신)'!Q:Q,MATCH($E100,'큐펫&amp;몹 정리(최신)'!$B:$B,0))*40))))</f>
        <v>630</v>
      </c>
      <c r="M100" s="190">
        <f>IF($J100=1,INDEX('큐펫&amp;몹 정리(최신)'!R:R,MATCH($E100,'큐펫&amp;몹 정리(최신)'!$B:$B,0))*20,IF($J100=2,INDEX('큐펫&amp;몹 정리(최신)'!R:R,MATCH($E100,'큐펫&amp;몹 정리(최신)'!$B:$B,0))*25,IF($J100=3,INDEX('큐펫&amp;몹 정리(최신)'!R:R,MATCH($E100,'큐펫&amp;몹 정리(최신)'!$B:$B,0))*30,IF($J100=4,INDEX('큐펫&amp;몹 정리(최신)'!R:R,MATCH($E100,'큐펫&amp;몹 정리(최신)'!$B:$B,0))*35,INDEX('큐펫&amp;몹 정리(최신)'!R:R,MATCH($E100,'큐펫&amp;몹 정리(최신)'!$B:$B,0))*40))))</f>
        <v>350</v>
      </c>
      <c r="N100" s="190">
        <f>IF($J100=1,INDEX('큐펫&amp;몹 정리(최신)'!S:S,MATCH($E100,'큐펫&amp;몹 정리(최신)'!$B:$B,0))*20,IF($J100=2,INDEX('큐펫&amp;몹 정리(최신)'!S:S,MATCH($E100,'큐펫&amp;몹 정리(최신)'!$B:$B,0))*25,IF($J100=3,INDEX('큐펫&amp;몹 정리(최신)'!S:S,MATCH($E100,'큐펫&amp;몹 정리(최신)'!$B:$B,0))*30,IF($J100=4,INDEX('큐펫&amp;몹 정리(최신)'!S:S,MATCH($E100,'큐펫&amp;몹 정리(최신)'!$B:$B,0))*35,INDEX('큐펫&amp;몹 정리(최신)'!S:S,MATCH($E100,'큐펫&amp;몹 정리(최신)'!$B:$B,0))*40))))</f>
        <v>595</v>
      </c>
      <c r="O100" s="190">
        <f>IF($J100=1,INDEX('큐펫&amp;몹 정리(최신)'!T:T,MATCH($E100,'큐펫&amp;몹 정리(최신)'!$B:$B,0))*20,IF($J100=2,INDEX('큐펫&amp;몹 정리(최신)'!T:T,MATCH($E100,'큐펫&amp;몹 정리(최신)'!$B:$B,0))*25,IF($J100=3,INDEX('큐펫&amp;몹 정리(최신)'!T:T,MATCH($E100,'큐펫&amp;몹 정리(최신)'!$B:$B,0))*30,IF($J100=4,INDEX('큐펫&amp;몹 정리(최신)'!T:T,MATCH($E100,'큐펫&amp;몹 정리(최신)'!$B:$B,0))*35,INDEX('큐펫&amp;몹 정리(최신)'!T:T,MATCH($E100,'큐펫&amp;몹 정리(최신)'!$B:$B,0))*40))))</f>
        <v>700</v>
      </c>
      <c r="P100" s="217">
        <v>80</v>
      </c>
      <c r="Q100" s="217">
        <f t="shared" si="8"/>
        <v>178580</v>
      </c>
      <c r="R100" s="217">
        <f t="shared" si="9"/>
        <v>33775</v>
      </c>
      <c r="S100" s="217">
        <f t="shared" si="10"/>
        <v>9725</v>
      </c>
      <c r="T100" s="217">
        <f t="shared" si="11"/>
        <v>4167</v>
      </c>
      <c r="U100" s="217">
        <f t="shared" si="12"/>
        <v>46432</v>
      </c>
      <c r="V100" s="217">
        <f t="shared" si="13"/>
        <v>27334</v>
      </c>
      <c r="W100" s="217">
        <f>ROUND(AC100+(INDEX(Ref!B$1:B$9,MATCH($AI100,Ref!$A$1:$A$9,0))*P100*0.0001),)</f>
        <v>73</v>
      </c>
      <c r="X100" s="217">
        <f>ROUND(AD100+(INDEX(Ref!C$1:C$9,MATCH($AI100,Ref!$A$1:$A$9,0))*$P100*0.0001),)</f>
        <v>46</v>
      </c>
      <c r="Y100" s="217">
        <f>ROUND(AE100+(INDEX(Ref!D$1:D$9,MATCH($AI100,Ref!$A$1:$A$9,0))*$P100*0.0001),)</f>
        <v>76</v>
      </c>
      <c r="Z100" s="217">
        <f>ROUND(AF100+(INDEX(Ref!E$1:E$9,MATCH($AI100,Ref!$A$1:$A$9,0))*$P100*0.0001),)</f>
        <v>34</v>
      </c>
      <c r="AA100" s="217">
        <f>ROUND(AG100+(INDEX(Ref!F$1:F$9,MATCH($AI100,Ref!$A$1:$A$9,0))*$P100*0.0001),)</f>
        <v>39</v>
      </c>
      <c r="AB100" s="217">
        <f>ROUND(AH100+(INDEX(Ref!G$1:G$9,MATCH($AI100,Ref!$A$1:$A$9,0))*$P100*0.0001),)</f>
        <v>36</v>
      </c>
      <c r="AC100" s="137">
        <v>53</v>
      </c>
      <c r="AD100" s="137">
        <v>33</v>
      </c>
      <c r="AE100" s="137">
        <v>60</v>
      </c>
      <c r="AF100" s="137">
        <v>24</v>
      </c>
      <c r="AG100" s="137">
        <v>28</v>
      </c>
      <c r="AH100" s="137">
        <v>26</v>
      </c>
      <c r="AI100" s="208">
        <v>1</v>
      </c>
      <c r="AJ100" s="172">
        <v>3000</v>
      </c>
      <c r="AK100" s="172">
        <v>30117</v>
      </c>
      <c r="AL100" s="172">
        <v>2000</v>
      </c>
      <c r="AM100" s="172">
        <v>30119</v>
      </c>
      <c r="AN100" s="172">
        <v>0</v>
      </c>
      <c r="AO100" s="172">
        <f t="shared" si="14"/>
        <v>34117</v>
      </c>
      <c r="AP100" s="172">
        <v>0</v>
      </c>
      <c r="AQ100" s="172">
        <f t="shared" si="15"/>
        <v>34119</v>
      </c>
      <c r="AR100" s="172">
        <v>1</v>
      </c>
      <c r="AS100" s="172">
        <v>0</v>
      </c>
      <c r="AT100" s="199">
        <v>78020</v>
      </c>
      <c r="AU100" s="195" t="s">
        <v>139</v>
      </c>
    </row>
    <row r="101" spans="1:47" x14ac:dyDescent="0.2">
      <c r="A101" s="173">
        <v>55020</v>
      </c>
      <c r="B101" s="174" t="s">
        <v>137</v>
      </c>
      <c r="C101" s="172">
        <v>86020</v>
      </c>
      <c r="D101" s="172">
        <v>150020</v>
      </c>
      <c r="E101" s="206" t="s">
        <v>138</v>
      </c>
      <c r="F101" s="207">
        <v>3</v>
      </c>
      <c r="G101" s="173">
        <v>11500</v>
      </c>
      <c r="H101" s="173">
        <v>9500</v>
      </c>
      <c r="I101" s="172">
        <v>10000</v>
      </c>
      <c r="J101" s="172">
        <v>5</v>
      </c>
      <c r="K101" s="190">
        <f>IF($J101=1,INDEX('큐펫&amp;몹 정리(최신)'!P:P,MATCH($E101,'큐펫&amp;몹 정리(최신)'!$B:$B,0))*20,IF($J101=2,INDEX('큐펫&amp;몹 정리(최신)'!P:P,MATCH($E101,'큐펫&amp;몹 정리(최신)'!$B:$B,0))*25,IF($J101=3,INDEX('큐펫&amp;몹 정리(최신)'!P:P,MATCH($E101,'큐펫&amp;몹 정리(최신)'!$B:$B,0))*30,IF($J101=4,INDEX('큐펫&amp;몹 정리(최신)'!P:P,MATCH($E101,'큐펫&amp;몹 정리(최신)'!$B:$B,0))*35,INDEX('큐펫&amp;몹 정리(최신)'!P:P,MATCH($E101,'큐펫&amp;몹 정리(최신)'!$B:$B,0))*40))))</f>
        <v>1400</v>
      </c>
      <c r="L101" s="190">
        <f>IF($J101=1,INDEX('큐펫&amp;몹 정리(최신)'!Q:Q,MATCH($E101,'큐펫&amp;몹 정리(최신)'!$B:$B,0))*20,IF($J101=2,INDEX('큐펫&amp;몹 정리(최신)'!Q:Q,MATCH($E101,'큐펫&amp;몹 정리(최신)'!$B:$B,0))*25,IF($J101=3,INDEX('큐펫&amp;몹 정리(최신)'!Q:Q,MATCH($E101,'큐펫&amp;몹 정리(최신)'!$B:$B,0))*30,IF($J101=4,INDEX('큐펫&amp;몹 정리(최신)'!Q:Q,MATCH($E101,'큐펫&amp;몹 정리(최신)'!$B:$B,0))*35,INDEX('큐펫&amp;몹 정리(최신)'!Q:Q,MATCH($E101,'큐펫&amp;몹 정리(최신)'!$B:$B,0))*40))))</f>
        <v>720</v>
      </c>
      <c r="M101" s="190">
        <f>IF($J101=1,INDEX('큐펫&amp;몹 정리(최신)'!R:R,MATCH($E101,'큐펫&amp;몹 정리(최신)'!$B:$B,0))*20,IF($J101=2,INDEX('큐펫&amp;몹 정리(최신)'!R:R,MATCH($E101,'큐펫&amp;몹 정리(최신)'!$B:$B,0))*25,IF($J101=3,INDEX('큐펫&amp;몹 정리(최신)'!R:R,MATCH($E101,'큐펫&amp;몹 정리(최신)'!$B:$B,0))*30,IF($J101=4,INDEX('큐펫&amp;몹 정리(최신)'!R:R,MATCH($E101,'큐펫&amp;몹 정리(최신)'!$B:$B,0))*35,INDEX('큐펫&amp;몹 정리(최신)'!R:R,MATCH($E101,'큐펫&amp;몹 정리(최신)'!$B:$B,0))*40))))</f>
        <v>400</v>
      </c>
      <c r="N101" s="190">
        <f>IF($J101=1,INDEX('큐펫&amp;몹 정리(최신)'!S:S,MATCH($E101,'큐펫&amp;몹 정리(최신)'!$B:$B,0))*20,IF($J101=2,INDEX('큐펫&amp;몹 정리(최신)'!S:S,MATCH($E101,'큐펫&amp;몹 정리(최신)'!$B:$B,0))*25,IF($J101=3,INDEX('큐펫&amp;몹 정리(최신)'!S:S,MATCH($E101,'큐펫&amp;몹 정리(최신)'!$B:$B,0))*30,IF($J101=4,INDEX('큐펫&amp;몹 정리(최신)'!S:S,MATCH($E101,'큐펫&amp;몹 정리(최신)'!$B:$B,0))*35,INDEX('큐펫&amp;몹 정리(최신)'!S:S,MATCH($E101,'큐펫&amp;몹 정리(최신)'!$B:$B,0))*40))))</f>
        <v>680</v>
      </c>
      <c r="O101" s="190">
        <f>IF($J101=1,INDEX('큐펫&amp;몹 정리(최신)'!T:T,MATCH($E101,'큐펫&amp;몹 정리(최신)'!$B:$B,0))*20,IF($J101=2,INDEX('큐펫&amp;몹 정리(최신)'!T:T,MATCH($E101,'큐펫&amp;몹 정리(최신)'!$B:$B,0))*25,IF($J101=3,INDEX('큐펫&amp;몹 정리(최신)'!T:T,MATCH($E101,'큐펫&amp;몹 정리(최신)'!$B:$B,0))*30,IF($J101=4,INDEX('큐펫&amp;몹 정리(최신)'!T:T,MATCH($E101,'큐펫&amp;몹 정리(최신)'!$B:$B,0))*35,INDEX('큐펫&amp;몹 정리(최신)'!T:T,MATCH($E101,'큐펫&amp;몹 정리(최신)'!$B:$B,0))*40))))</f>
        <v>800</v>
      </c>
      <c r="P101" s="217">
        <v>100</v>
      </c>
      <c r="Q101" s="217">
        <f t="shared" si="8"/>
        <v>264600</v>
      </c>
      <c r="R101" s="217">
        <f t="shared" si="9"/>
        <v>49836</v>
      </c>
      <c r="S101" s="217">
        <f t="shared" si="10"/>
        <v>14749</v>
      </c>
      <c r="T101" s="217">
        <f t="shared" si="11"/>
        <v>5918</v>
      </c>
      <c r="U101" s="217">
        <f t="shared" si="12"/>
        <v>62585</v>
      </c>
      <c r="V101" s="217">
        <f t="shared" si="13"/>
        <v>36838</v>
      </c>
      <c r="W101" s="217">
        <f>ROUND(AC101+(INDEX(Ref!B$1:B$9,MATCH($AI101,Ref!$A$1:$A$9,0))*P101*0.0001),)</f>
        <v>83</v>
      </c>
      <c r="X101" s="217">
        <f>ROUND(AD101+(INDEX(Ref!C$1:C$9,MATCH($AI101,Ref!$A$1:$A$9,0))*$P101*0.0001),)</f>
        <v>52</v>
      </c>
      <c r="Y101" s="217">
        <f>ROUND(AE101+(INDEX(Ref!D$1:D$9,MATCH($AI101,Ref!$A$1:$A$9,0))*$P101*0.0001),)</f>
        <v>84</v>
      </c>
      <c r="Z101" s="217">
        <f>ROUND(AF101+(INDEX(Ref!E$1:E$9,MATCH($AI101,Ref!$A$1:$A$9,0))*$P101*0.0001),)</f>
        <v>38</v>
      </c>
      <c r="AA101" s="217">
        <f>ROUND(AG101+(INDEX(Ref!F$1:F$9,MATCH($AI101,Ref!$A$1:$A$9,0))*$P101*0.0001),)</f>
        <v>45</v>
      </c>
      <c r="AB101" s="217">
        <f>ROUND(AH101+(INDEX(Ref!G$1:G$9,MATCH($AI101,Ref!$A$1:$A$9,0))*$P101*0.0001),)</f>
        <v>42</v>
      </c>
      <c r="AC101" s="137">
        <v>58.000000000000007</v>
      </c>
      <c r="AD101" s="137">
        <v>36</v>
      </c>
      <c r="AE101" s="137">
        <v>64</v>
      </c>
      <c r="AF101" s="137">
        <v>26</v>
      </c>
      <c r="AG101" s="137">
        <v>31</v>
      </c>
      <c r="AH101" s="137">
        <v>29</v>
      </c>
      <c r="AI101" s="208">
        <v>1</v>
      </c>
      <c r="AJ101" s="172">
        <v>3000</v>
      </c>
      <c r="AK101" s="172">
        <v>30117</v>
      </c>
      <c r="AL101" s="172">
        <v>2000</v>
      </c>
      <c r="AM101" s="172">
        <v>30120</v>
      </c>
      <c r="AN101" s="172">
        <v>0</v>
      </c>
      <c r="AO101" s="172">
        <f t="shared" si="14"/>
        <v>34117</v>
      </c>
      <c r="AP101" s="172">
        <v>0</v>
      </c>
      <c r="AQ101" s="172">
        <f t="shared" si="15"/>
        <v>34120</v>
      </c>
      <c r="AR101" s="172">
        <v>1</v>
      </c>
      <c r="AS101" s="172">
        <v>0</v>
      </c>
      <c r="AT101" s="199">
        <v>78020</v>
      </c>
      <c r="AU101" s="195" t="s">
        <v>139</v>
      </c>
    </row>
    <row r="102" spans="1:47" x14ac:dyDescent="0.2">
      <c r="A102" s="173">
        <v>55021</v>
      </c>
      <c r="B102" s="174" t="s">
        <v>140</v>
      </c>
      <c r="C102" s="172">
        <v>86021</v>
      </c>
      <c r="D102" s="172">
        <v>150021</v>
      </c>
      <c r="E102" s="206" t="s">
        <v>141</v>
      </c>
      <c r="F102" s="207">
        <v>5</v>
      </c>
      <c r="G102" s="172">
        <v>13000</v>
      </c>
      <c r="H102" s="172">
        <v>9000</v>
      </c>
      <c r="I102" s="172">
        <v>10000</v>
      </c>
      <c r="J102" s="172">
        <v>1</v>
      </c>
      <c r="K102" s="190">
        <f>IF($J102=1,INDEX('큐펫&amp;몹 정리(최신)'!P:P,MATCH($E102,'큐펫&amp;몹 정리(최신)'!$B:$B,0))*20,IF($J102=2,INDEX('큐펫&amp;몹 정리(최신)'!P:P,MATCH($E102,'큐펫&amp;몹 정리(최신)'!$B:$B,0))*25,IF($J102=3,INDEX('큐펫&amp;몹 정리(최신)'!P:P,MATCH($E102,'큐펫&amp;몹 정리(최신)'!$B:$B,0))*30,IF($J102=4,INDEX('큐펫&amp;몹 정리(최신)'!P:P,MATCH($E102,'큐펫&amp;몹 정리(최신)'!$B:$B,0))*35,INDEX('큐펫&amp;몹 정리(최신)'!P:P,MATCH($E102,'큐펫&amp;몹 정리(최신)'!$B:$B,0))*40))))</f>
        <v>900</v>
      </c>
      <c r="L102" s="190">
        <f>IF($J102=1,INDEX('큐펫&amp;몹 정리(최신)'!Q:Q,MATCH($E102,'큐펫&amp;몹 정리(최신)'!$B:$B,0))*20,IF($J102=2,INDEX('큐펫&amp;몹 정리(최신)'!Q:Q,MATCH($E102,'큐펫&amp;몹 정리(최신)'!$B:$B,0))*25,IF($J102=3,INDEX('큐펫&amp;몹 정리(최신)'!Q:Q,MATCH($E102,'큐펫&amp;몹 정리(최신)'!$B:$B,0))*30,IF($J102=4,INDEX('큐펫&amp;몹 정리(최신)'!Q:Q,MATCH($E102,'큐펫&amp;몹 정리(최신)'!$B:$B,0))*35,INDEX('큐펫&amp;몹 정리(최신)'!Q:Q,MATCH($E102,'큐펫&amp;몹 정리(최신)'!$B:$B,0))*40))))</f>
        <v>100</v>
      </c>
      <c r="M102" s="190">
        <f>IF($J102=1,INDEX('큐펫&amp;몹 정리(최신)'!R:R,MATCH($E102,'큐펫&amp;몹 정리(최신)'!$B:$B,0))*20,IF($J102=2,INDEX('큐펫&amp;몹 정리(최신)'!R:R,MATCH($E102,'큐펫&amp;몹 정리(최신)'!$B:$B,0))*25,IF($J102=3,INDEX('큐펫&amp;몹 정리(최신)'!R:R,MATCH($E102,'큐펫&amp;몹 정리(최신)'!$B:$B,0))*30,IF($J102=4,INDEX('큐펫&amp;몹 정리(최신)'!R:R,MATCH($E102,'큐펫&amp;몹 정리(최신)'!$B:$B,0))*35,INDEX('큐펫&amp;몹 정리(최신)'!R:R,MATCH($E102,'큐펫&amp;몹 정리(최신)'!$B:$B,0))*40))))</f>
        <v>80</v>
      </c>
      <c r="N102" s="190">
        <f>IF($J102=1,INDEX('큐펫&amp;몹 정리(최신)'!S:S,MATCH($E102,'큐펫&amp;몹 정리(최신)'!$B:$B,0))*20,IF($J102=2,INDEX('큐펫&amp;몹 정리(최신)'!S:S,MATCH($E102,'큐펫&amp;몹 정리(최신)'!$B:$B,0))*25,IF($J102=3,INDEX('큐펫&amp;몹 정리(최신)'!S:S,MATCH($E102,'큐펫&amp;몹 정리(최신)'!$B:$B,0))*30,IF($J102=4,INDEX('큐펫&amp;몹 정리(최신)'!S:S,MATCH($E102,'큐펫&amp;몹 정리(최신)'!$B:$B,0))*35,INDEX('큐펫&amp;몹 정리(최신)'!S:S,MATCH($E102,'큐펫&amp;몹 정리(최신)'!$B:$B,0))*40))))</f>
        <v>700</v>
      </c>
      <c r="O102" s="190">
        <f>IF($J102=1,INDEX('큐펫&amp;몹 정리(최신)'!T:T,MATCH($E102,'큐펫&amp;몹 정리(최신)'!$B:$B,0))*20,IF($J102=2,INDEX('큐펫&amp;몹 정리(최신)'!T:T,MATCH($E102,'큐펫&amp;몹 정리(최신)'!$B:$B,0))*25,IF($J102=3,INDEX('큐펫&amp;몹 정리(최신)'!T:T,MATCH($E102,'큐펫&amp;몹 정리(최신)'!$B:$B,0))*30,IF($J102=4,INDEX('큐펫&amp;몹 정리(최신)'!T:T,MATCH($E102,'큐펫&amp;몹 정리(최신)'!$B:$B,0))*35,INDEX('큐펫&amp;몹 정리(최신)'!T:T,MATCH($E102,'큐펫&amp;몹 정리(최신)'!$B:$B,0))*40))))</f>
        <v>220</v>
      </c>
      <c r="P102" s="217">
        <v>20</v>
      </c>
      <c r="Q102" s="217">
        <f t="shared" si="8"/>
        <v>29520</v>
      </c>
      <c r="R102" s="217">
        <f t="shared" si="9"/>
        <v>350</v>
      </c>
      <c r="S102" s="217">
        <f t="shared" si="10"/>
        <v>1784</v>
      </c>
      <c r="T102" s="217">
        <f t="shared" si="11"/>
        <v>350</v>
      </c>
      <c r="U102" s="217">
        <f t="shared" si="12"/>
        <v>20657</v>
      </c>
      <c r="V102" s="217">
        <f t="shared" si="13"/>
        <v>3264</v>
      </c>
      <c r="W102" s="217">
        <f>ROUND(AC102+(INDEX(Ref!B$1:B$9,MATCH($AI102,Ref!$A$1:$A$9,0))*P102*0.0001),)</f>
        <v>17</v>
      </c>
      <c r="X102" s="217">
        <f>ROUND(AD102+(INDEX(Ref!C$1:C$9,MATCH($AI102,Ref!$A$1:$A$9,0))*$P102*0.0001),)</f>
        <v>32</v>
      </c>
      <c r="Y102" s="217">
        <f>ROUND(AE102+(INDEX(Ref!D$1:D$9,MATCH($AI102,Ref!$A$1:$A$9,0))*$P102*0.0001),)</f>
        <v>39</v>
      </c>
      <c r="Z102" s="217">
        <f>ROUND(AF102+(INDEX(Ref!E$1:E$9,MATCH($AI102,Ref!$A$1:$A$9,0))*$P102*0.0001),)</f>
        <v>19</v>
      </c>
      <c r="AA102" s="217">
        <f>ROUND(AG102+(INDEX(Ref!F$1:F$9,MATCH($AI102,Ref!$A$1:$A$9,0))*$P102*0.0001),)</f>
        <v>41</v>
      </c>
      <c r="AB102" s="217">
        <f>ROUND(AH102+(INDEX(Ref!G$1:G$9,MATCH($AI102,Ref!$A$1:$A$9,0))*$P102*0.0001),)</f>
        <v>36</v>
      </c>
      <c r="AC102" s="137">
        <v>15</v>
      </c>
      <c r="AD102" s="137">
        <v>28</v>
      </c>
      <c r="AE102" s="137">
        <v>36</v>
      </c>
      <c r="AF102" s="137">
        <v>17</v>
      </c>
      <c r="AG102" s="137">
        <v>36</v>
      </c>
      <c r="AH102" s="137">
        <v>32</v>
      </c>
      <c r="AI102" s="208">
        <v>5</v>
      </c>
      <c r="AJ102" s="172">
        <v>3000</v>
      </c>
      <c r="AK102" s="172">
        <v>30121</v>
      </c>
      <c r="AL102" s="172">
        <v>2000</v>
      </c>
      <c r="AM102" s="172">
        <v>30124</v>
      </c>
      <c r="AN102" s="172">
        <v>0</v>
      </c>
      <c r="AO102" s="172">
        <f t="shared" si="14"/>
        <v>34121</v>
      </c>
      <c r="AP102" s="172">
        <v>0</v>
      </c>
      <c r="AQ102" s="172">
        <f t="shared" si="15"/>
        <v>34124</v>
      </c>
      <c r="AR102" s="172">
        <v>1</v>
      </c>
      <c r="AS102" s="172">
        <v>0</v>
      </c>
      <c r="AT102" s="199">
        <v>78021</v>
      </c>
      <c r="AU102" s="195" t="s">
        <v>142</v>
      </c>
    </row>
    <row r="103" spans="1:47" x14ac:dyDescent="0.2">
      <c r="A103" s="173">
        <v>55021</v>
      </c>
      <c r="B103" s="174" t="s">
        <v>140</v>
      </c>
      <c r="C103" s="172">
        <v>86021</v>
      </c>
      <c r="D103" s="172">
        <v>150021</v>
      </c>
      <c r="E103" s="206" t="s">
        <v>141</v>
      </c>
      <c r="F103" s="207">
        <v>5</v>
      </c>
      <c r="G103" s="172">
        <v>13000</v>
      </c>
      <c r="H103" s="172">
        <v>9000</v>
      </c>
      <c r="I103" s="172">
        <v>10000</v>
      </c>
      <c r="J103" s="172">
        <v>2</v>
      </c>
      <c r="K103" s="190">
        <f>IF($J103=1,INDEX('큐펫&amp;몹 정리(최신)'!P:P,MATCH($E103,'큐펫&amp;몹 정리(최신)'!$B:$B,0))*20,IF($J103=2,INDEX('큐펫&amp;몹 정리(최신)'!P:P,MATCH($E103,'큐펫&amp;몹 정리(최신)'!$B:$B,0))*25,IF($J103=3,INDEX('큐펫&amp;몹 정리(최신)'!P:P,MATCH($E103,'큐펫&amp;몹 정리(최신)'!$B:$B,0))*30,IF($J103=4,INDEX('큐펫&amp;몹 정리(최신)'!P:P,MATCH($E103,'큐펫&amp;몹 정리(최신)'!$B:$B,0))*35,INDEX('큐펫&amp;몹 정리(최신)'!P:P,MATCH($E103,'큐펫&amp;몹 정리(최신)'!$B:$B,0))*40))))</f>
        <v>1125</v>
      </c>
      <c r="L103" s="190">
        <f>IF($J103=1,INDEX('큐펫&amp;몹 정리(최신)'!Q:Q,MATCH($E103,'큐펫&amp;몹 정리(최신)'!$B:$B,0))*20,IF($J103=2,INDEX('큐펫&amp;몹 정리(최신)'!Q:Q,MATCH($E103,'큐펫&amp;몹 정리(최신)'!$B:$B,0))*25,IF($J103=3,INDEX('큐펫&amp;몹 정리(최신)'!Q:Q,MATCH($E103,'큐펫&amp;몹 정리(최신)'!$B:$B,0))*30,IF($J103=4,INDEX('큐펫&amp;몹 정리(최신)'!Q:Q,MATCH($E103,'큐펫&amp;몹 정리(최신)'!$B:$B,0))*35,INDEX('큐펫&amp;몹 정리(최신)'!Q:Q,MATCH($E103,'큐펫&amp;몹 정리(최신)'!$B:$B,0))*40))))</f>
        <v>125</v>
      </c>
      <c r="M103" s="190">
        <f>IF($J103=1,INDEX('큐펫&amp;몹 정리(최신)'!R:R,MATCH($E103,'큐펫&amp;몹 정리(최신)'!$B:$B,0))*20,IF($J103=2,INDEX('큐펫&amp;몹 정리(최신)'!R:R,MATCH($E103,'큐펫&amp;몹 정리(최신)'!$B:$B,0))*25,IF($J103=3,INDEX('큐펫&amp;몹 정리(최신)'!R:R,MATCH($E103,'큐펫&amp;몹 정리(최신)'!$B:$B,0))*30,IF($J103=4,INDEX('큐펫&amp;몹 정리(최신)'!R:R,MATCH($E103,'큐펫&amp;몹 정리(최신)'!$B:$B,0))*35,INDEX('큐펫&amp;몹 정리(최신)'!R:R,MATCH($E103,'큐펫&amp;몹 정리(최신)'!$B:$B,0))*40))))</f>
        <v>100</v>
      </c>
      <c r="N103" s="190">
        <f>IF($J103=1,INDEX('큐펫&amp;몹 정리(최신)'!S:S,MATCH($E103,'큐펫&amp;몹 정리(최신)'!$B:$B,0))*20,IF($J103=2,INDEX('큐펫&amp;몹 정리(최신)'!S:S,MATCH($E103,'큐펫&amp;몹 정리(최신)'!$B:$B,0))*25,IF($J103=3,INDEX('큐펫&amp;몹 정리(최신)'!S:S,MATCH($E103,'큐펫&amp;몹 정리(최신)'!$B:$B,0))*30,IF($J103=4,INDEX('큐펫&amp;몹 정리(최신)'!S:S,MATCH($E103,'큐펫&amp;몹 정리(최신)'!$B:$B,0))*35,INDEX('큐펫&amp;몹 정리(최신)'!S:S,MATCH($E103,'큐펫&amp;몹 정리(최신)'!$B:$B,0))*40))))</f>
        <v>875</v>
      </c>
      <c r="O103" s="190">
        <f>IF($J103=1,INDEX('큐펫&amp;몹 정리(최신)'!T:T,MATCH($E103,'큐펫&amp;몹 정리(최신)'!$B:$B,0))*20,IF($J103=2,INDEX('큐펫&amp;몹 정리(최신)'!T:T,MATCH($E103,'큐펫&amp;몹 정리(최신)'!$B:$B,0))*25,IF($J103=3,INDEX('큐펫&amp;몹 정리(최신)'!T:T,MATCH($E103,'큐펫&amp;몹 정리(최신)'!$B:$B,0))*30,IF($J103=4,INDEX('큐펫&amp;몹 정리(최신)'!T:T,MATCH($E103,'큐펫&amp;몹 정리(최신)'!$B:$B,0))*35,INDEX('큐펫&amp;몹 정리(최신)'!T:T,MATCH($E103,'큐펫&amp;몹 정리(최신)'!$B:$B,0))*40))))</f>
        <v>275</v>
      </c>
      <c r="P103" s="217">
        <v>40</v>
      </c>
      <c r="Q103" s="217">
        <f t="shared" si="8"/>
        <v>70400</v>
      </c>
      <c r="R103" s="217">
        <f t="shared" si="9"/>
        <v>634</v>
      </c>
      <c r="S103" s="217">
        <f t="shared" si="10"/>
        <v>3387</v>
      </c>
      <c r="T103" s="217">
        <f t="shared" si="11"/>
        <v>661</v>
      </c>
      <c r="U103" s="217">
        <f t="shared" si="12"/>
        <v>36759</v>
      </c>
      <c r="V103" s="217">
        <f t="shared" si="13"/>
        <v>5799</v>
      </c>
      <c r="W103" s="217">
        <f>ROUND(AC103+(INDEX(Ref!B$1:B$9,MATCH($AI103,Ref!$A$1:$A$9,0))*P103*0.0001),)</f>
        <v>21</v>
      </c>
      <c r="X103" s="217">
        <f>ROUND(AD103+(INDEX(Ref!C$1:C$9,MATCH($AI103,Ref!$A$1:$A$9,0))*$P103*0.0001),)</f>
        <v>40</v>
      </c>
      <c r="Y103" s="217">
        <f>ROUND(AE103+(INDEX(Ref!D$1:D$9,MATCH($AI103,Ref!$A$1:$A$9,0))*$P103*0.0001),)</f>
        <v>44</v>
      </c>
      <c r="Z103" s="217">
        <f>ROUND(AF103+(INDEX(Ref!E$1:E$9,MATCH($AI103,Ref!$A$1:$A$9,0))*$P103*0.0001),)</f>
        <v>24</v>
      </c>
      <c r="AA103" s="217">
        <f>ROUND(AG103+(INDEX(Ref!F$1:F$9,MATCH($AI103,Ref!$A$1:$A$9,0))*$P103*0.0001),)</f>
        <v>51</v>
      </c>
      <c r="AB103" s="217">
        <f>ROUND(AH103+(INDEX(Ref!G$1:G$9,MATCH($AI103,Ref!$A$1:$A$9,0))*$P103*0.0001),)</f>
        <v>44</v>
      </c>
      <c r="AC103" s="137">
        <v>17</v>
      </c>
      <c r="AD103" s="137">
        <v>32</v>
      </c>
      <c r="AE103" s="137">
        <v>39</v>
      </c>
      <c r="AF103" s="137">
        <v>19</v>
      </c>
      <c r="AG103" s="137">
        <v>41</v>
      </c>
      <c r="AH103" s="137">
        <v>36</v>
      </c>
      <c r="AI103" s="208">
        <v>5</v>
      </c>
      <c r="AJ103" s="172">
        <v>3000</v>
      </c>
      <c r="AK103" s="172">
        <v>30122</v>
      </c>
      <c r="AL103" s="172">
        <v>2000</v>
      </c>
      <c r="AM103" s="172">
        <v>30124</v>
      </c>
      <c r="AN103" s="172">
        <v>0</v>
      </c>
      <c r="AO103" s="172">
        <f t="shared" si="14"/>
        <v>34122</v>
      </c>
      <c r="AP103" s="172">
        <v>0</v>
      </c>
      <c r="AQ103" s="172">
        <f t="shared" si="15"/>
        <v>34124</v>
      </c>
      <c r="AR103" s="172">
        <v>1</v>
      </c>
      <c r="AS103" s="172">
        <v>0</v>
      </c>
      <c r="AT103" s="199">
        <v>78021</v>
      </c>
      <c r="AU103" s="195" t="s">
        <v>142</v>
      </c>
    </row>
    <row r="104" spans="1:47" x14ac:dyDescent="0.2">
      <c r="A104" s="173">
        <v>55021</v>
      </c>
      <c r="B104" s="174" t="s">
        <v>140</v>
      </c>
      <c r="C104" s="172">
        <v>86021</v>
      </c>
      <c r="D104" s="172">
        <v>150021</v>
      </c>
      <c r="E104" s="206" t="s">
        <v>141</v>
      </c>
      <c r="F104" s="207">
        <v>5</v>
      </c>
      <c r="G104" s="172">
        <v>13000</v>
      </c>
      <c r="H104" s="172">
        <v>9000</v>
      </c>
      <c r="I104" s="172">
        <v>10000</v>
      </c>
      <c r="J104" s="172">
        <v>3</v>
      </c>
      <c r="K104" s="190">
        <f>IF($J104=1,INDEX('큐펫&amp;몹 정리(최신)'!P:P,MATCH($E104,'큐펫&amp;몹 정리(최신)'!$B:$B,0))*20,IF($J104=2,INDEX('큐펫&amp;몹 정리(최신)'!P:P,MATCH($E104,'큐펫&amp;몹 정리(최신)'!$B:$B,0))*25,IF($J104=3,INDEX('큐펫&amp;몹 정리(최신)'!P:P,MATCH($E104,'큐펫&amp;몹 정리(최신)'!$B:$B,0))*30,IF($J104=4,INDEX('큐펫&amp;몹 정리(최신)'!P:P,MATCH($E104,'큐펫&amp;몹 정리(최신)'!$B:$B,0))*35,INDEX('큐펫&amp;몹 정리(최신)'!P:P,MATCH($E104,'큐펫&amp;몹 정리(최신)'!$B:$B,0))*40))))</f>
        <v>1350</v>
      </c>
      <c r="L104" s="190">
        <f>IF($J104=1,INDEX('큐펫&amp;몹 정리(최신)'!Q:Q,MATCH($E104,'큐펫&amp;몹 정리(최신)'!$B:$B,0))*20,IF($J104=2,INDEX('큐펫&amp;몹 정리(최신)'!Q:Q,MATCH($E104,'큐펫&amp;몹 정리(최신)'!$B:$B,0))*25,IF($J104=3,INDEX('큐펫&amp;몹 정리(최신)'!Q:Q,MATCH($E104,'큐펫&amp;몹 정리(최신)'!$B:$B,0))*30,IF($J104=4,INDEX('큐펫&amp;몹 정리(최신)'!Q:Q,MATCH($E104,'큐펫&amp;몹 정리(최신)'!$B:$B,0))*35,INDEX('큐펫&amp;몹 정리(최신)'!Q:Q,MATCH($E104,'큐펫&amp;몹 정리(최신)'!$B:$B,0))*40))))</f>
        <v>150</v>
      </c>
      <c r="M104" s="190">
        <f>IF($J104=1,INDEX('큐펫&amp;몹 정리(최신)'!R:R,MATCH($E104,'큐펫&amp;몹 정리(최신)'!$B:$B,0))*20,IF($J104=2,INDEX('큐펫&amp;몹 정리(최신)'!R:R,MATCH($E104,'큐펫&amp;몹 정리(최신)'!$B:$B,0))*25,IF($J104=3,INDEX('큐펫&amp;몹 정리(최신)'!R:R,MATCH($E104,'큐펫&amp;몹 정리(최신)'!$B:$B,0))*30,IF($J104=4,INDEX('큐펫&amp;몹 정리(최신)'!R:R,MATCH($E104,'큐펫&amp;몹 정리(최신)'!$B:$B,0))*35,INDEX('큐펫&amp;몹 정리(최신)'!R:R,MATCH($E104,'큐펫&amp;몹 정리(최신)'!$B:$B,0))*40))))</f>
        <v>120</v>
      </c>
      <c r="N104" s="190">
        <f>IF($J104=1,INDEX('큐펫&amp;몹 정리(최신)'!S:S,MATCH($E104,'큐펫&amp;몹 정리(최신)'!$B:$B,0))*20,IF($J104=2,INDEX('큐펫&amp;몹 정리(최신)'!S:S,MATCH($E104,'큐펫&amp;몹 정리(최신)'!$B:$B,0))*25,IF($J104=3,INDEX('큐펫&amp;몹 정리(최신)'!S:S,MATCH($E104,'큐펫&amp;몹 정리(최신)'!$B:$B,0))*30,IF($J104=4,INDEX('큐펫&amp;몹 정리(최신)'!S:S,MATCH($E104,'큐펫&amp;몹 정리(최신)'!$B:$B,0))*35,INDEX('큐펫&amp;몹 정리(최신)'!S:S,MATCH($E104,'큐펫&amp;몹 정리(최신)'!$B:$B,0))*40))))</f>
        <v>1050</v>
      </c>
      <c r="O104" s="190">
        <f>IF($J104=1,INDEX('큐펫&amp;몹 정리(최신)'!T:T,MATCH($E104,'큐펫&amp;몹 정리(최신)'!$B:$B,0))*20,IF($J104=2,INDEX('큐펫&amp;몹 정리(최신)'!T:T,MATCH($E104,'큐펫&amp;몹 정리(최신)'!$B:$B,0))*25,IF($J104=3,INDEX('큐펫&amp;몹 정리(최신)'!T:T,MATCH($E104,'큐펫&amp;몹 정리(최신)'!$B:$B,0))*30,IF($J104=4,INDEX('큐펫&amp;몹 정리(최신)'!T:T,MATCH($E104,'큐펫&amp;몹 정리(최신)'!$B:$B,0))*35,INDEX('큐펫&amp;몹 정리(최신)'!T:T,MATCH($E104,'큐펫&amp;몹 정리(최신)'!$B:$B,0))*40))))</f>
        <v>330</v>
      </c>
      <c r="P104" s="217">
        <v>60</v>
      </c>
      <c r="Q104" s="217">
        <f t="shared" si="8"/>
        <v>128200</v>
      </c>
      <c r="R104" s="217">
        <f t="shared" si="9"/>
        <v>1121</v>
      </c>
      <c r="S104" s="217">
        <f t="shared" si="10"/>
        <v>5567</v>
      </c>
      <c r="T104" s="217">
        <f t="shared" si="11"/>
        <v>1047</v>
      </c>
      <c r="U104" s="217">
        <f t="shared" si="12"/>
        <v>57760</v>
      </c>
      <c r="V104" s="217">
        <f t="shared" si="13"/>
        <v>9103</v>
      </c>
      <c r="W104" s="217">
        <f>ROUND(AC104+(INDEX(Ref!B$1:B$9,MATCH($AI104,Ref!$A$1:$A$9,0))*P104*0.0001),)</f>
        <v>26</v>
      </c>
      <c r="X104" s="217">
        <f>ROUND(AD104+(INDEX(Ref!C$1:C$9,MATCH($AI104,Ref!$A$1:$A$9,0))*$P104*0.0001),)</f>
        <v>47</v>
      </c>
      <c r="Y104" s="217">
        <f>ROUND(AE104+(INDEX(Ref!D$1:D$9,MATCH($AI104,Ref!$A$1:$A$9,0))*$P104*0.0001),)</f>
        <v>50</v>
      </c>
      <c r="Z104" s="217">
        <f>ROUND(AF104+(INDEX(Ref!E$1:E$9,MATCH($AI104,Ref!$A$1:$A$9,0))*$P104*0.0001),)</f>
        <v>28</v>
      </c>
      <c r="AA104" s="217">
        <f>ROUND(AG104+(INDEX(Ref!F$1:F$9,MATCH($AI104,Ref!$A$1:$A$9,0))*$P104*0.0001),)</f>
        <v>60</v>
      </c>
      <c r="AB104" s="217">
        <f>ROUND(AH104+(INDEX(Ref!G$1:G$9,MATCH($AI104,Ref!$A$1:$A$9,0))*$P104*0.0001),)</f>
        <v>53</v>
      </c>
      <c r="AC104" s="137">
        <v>19</v>
      </c>
      <c r="AD104" s="137">
        <v>36</v>
      </c>
      <c r="AE104" s="137">
        <v>42</v>
      </c>
      <c r="AF104" s="137">
        <v>21</v>
      </c>
      <c r="AG104" s="137">
        <v>46</v>
      </c>
      <c r="AH104" s="137">
        <v>40</v>
      </c>
      <c r="AI104" s="208">
        <v>5</v>
      </c>
      <c r="AJ104" s="172">
        <v>3000</v>
      </c>
      <c r="AK104" s="172">
        <v>30122</v>
      </c>
      <c r="AL104" s="172">
        <v>2000</v>
      </c>
      <c r="AM104" s="172">
        <v>30125</v>
      </c>
      <c r="AN104" s="172">
        <v>0</v>
      </c>
      <c r="AO104" s="172">
        <f t="shared" si="14"/>
        <v>34122</v>
      </c>
      <c r="AP104" s="172">
        <v>0</v>
      </c>
      <c r="AQ104" s="172">
        <f t="shared" si="15"/>
        <v>34125</v>
      </c>
      <c r="AR104" s="172">
        <v>1</v>
      </c>
      <c r="AS104" s="172">
        <v>0</v>
      </c>
      <c r="AT104" s="199">
        <v>78021</v>
      </c>
      <c r="AU104" s="195" t="s">
        <v>142</v>
      </c>
    </row>
    <row r="105" spans="1:47" x14ac:dyDescent="0.2">
      <c r="A105" s="173">
        <v>55021</v>
      </c>
      <c r="B105" s="174" t="s">
        <v>140</v>
      </c>
      <c r="C105" s="172">
        <v>86021</v>
      </c>
      <c r="D105" s="172">
        <v>150021</v>
      </c>
      <c r="E105" s="206" t="s">
        <v>141</v>
      </c>
      <c r="F105" s="207">
        <v>5</v>
      </c>
      <c r="G105" s="172">
        <v>13000</v>
      </c>
      <c r="H105" s="172">
        <v>9000</v>
      </c>
      <c r="I105" s="172">
        <v>10000</v>
      </c>
      <c r="J105" s="172">
        <v>4</v>
      </c>
      <c r="K105" s="190">
        <f>IF($J105=1,INDEX('큐펫&amp;몹 정리(최신)'!P:P,MATCH($E105,'큐펫&amp;몹 정리(최신)'!$B:$B,0))*20,IF($J105=2,INDEX('큐펫&amp;몹 정리(최신)'!P:P,MATCH($E105,'큐펫&amp;몹 정리(최신)'!$B:$B,0))*25,IF($J105=3,INDEX('큐펫&amp;몹 정리(최신)'!P:P,MATCH($E105,'큐펫&amp;몹 정리(최신)'!$B:$B,0))*30,IF($J105=4,INDEX('큐펫&amp;몹 정리(최신)'!P:P,MATCH($E105,'큐펫&amp;몹 정리(최신)'!$B:$B,0))*35,INDEX('큐펫&amp;몹 정리(최신)'!P:P,MATCH($E105,'큐펫&amp;몹 정리(최신)'!$B:$B,0))*40))))</f>
        <v>1575</v>
      </c>
      <c r="L105" s="190">
        <f>IF($J105=1,INDEX('큐펫&amp;몹 정리(최신)'!Q:Q,MATCH($E105,'큐펫&amp;몹 정리(최신)'!$B:$B,0))*20,IF($J105=2,INDEX('큐펫&amp;몹 정리(최신)'!Q:Q,MATCH($E105,'큐펫&amp;몹 정리(최신)'!$B:$B,0))*25,IF($J105=3,INDEX('큐펫&amp;몹 정리(최신)'!Q:Q,MATCH($E105,'큐펫&amp;몹 정리(최신)'!$B:$B,0))*30,IF($J105=4,INDEX('큐펫&amp;몹 정리(최신)'!Q:Q,MATCH($E105,'큐펫&amp;몹 정리(최신)'!$B:$B,0))*35,INDEX('큐펫&amp;몹 정리(최신)'!Q:Q,MATCH($E105,'큐펫&amp;몹 정리(최신)'!$B:$B,0))*40))))</f>
        <v>175</v>
      </c>
      <c r="M105" s="190">
        <f>IF($J105=1,INDEX('큐펫&amp;몹 정리(최신)'!R:R,MATCH($E105,'큐펫&amp;몹 정리(최신)'!$B:$B,0))*20,IF($J105=2,INDEX('큐펫&amp;몹 정리(최신)'!R:R,MATCH($E105,'큐펫&amp;몹 정리(최신)'!$B:$B,0))*25,IF($J105=3,INDEX('큐펫&amp;몹 정리(최신)'!R:R,MATCH($E105,'큐펫&amp;몹 정리(최신)'!$B:$B,0))*30,IF($J105=4,INDEX('큐펫&amp;몹 정리(최신)'!R:R,MATCH($E105,'큐펫&amp;몹 정리(최신)'!$B:$B,0))*35,INDEX('큐펫&amp;몹 정리(최신)'!R:R,MATCH($E105,'큐펫&amp;몹 정리(최신)'!$B:$B,0))*40))))</f>
        <v>140</v>
      </c>
      <c r="N105" s="190">
        <f>IF($J105=1,INDEX('큐펫&amp;몹 정리(최신)'!S:S,MATCH($E105,'큐펫&amp;몹 정리(최신)'!$B:$B,0))*20,IF($J105=2,INDEX('큐펫&amp;몹 정리(최신)'!S:S,MATCH($E105,'큐펫&amp;몹 정리(최신)'!$B:$B,0))*25,IF($J105=3,INDEX('큐펫&amp;몹 정리(최신)'!S:S,MATCH($E105,'큐펫&amp;몹 정리(최신)'!$B:$B,0))*30,IF($J105=4,INDEX('큐펫&amp;몹 정리(최신)'!S:S,MATCH($E105,'큐펫&amp;몹 정리(최신)'!$B:$B,0))*35,INDEX('큐펫&amp;몹 정리(최신)'!S:S,MATCH($E105,'큐펫&amp;몹 정리(최신)'!$B:$B,0))*40))))</f>
        <v>1225</v>
      </c>
      <c r="O105" s="190">
        <f>IF($J105=1,INDEX('큐펫&amp;몹 정리(최신)'!T:T,MATCH($E105,'큐펫&amp;몹 정리(최신)'!$B:$B,0))*20,IF($J105=2,INDEX('큐펫&amp;몹 정리(최신)'!T:T,MATCH($E105,'큐펫&amp;몹 정리(최신)'!$B:$B,0))*25,IF($J105=3,INDEX('큐펫&amp;몹 정리(최신)'!T:T,MATCH($E105,'큐펫&amp;몹 정리(최신)'!$B:$B,0))*30,IF($J105=4,INDEX('큐펫&amp;몹 정리(최신)'!T:T,MATCH($E105,'큐펫&amp;몹 정리(최신)'!$B:$B,0))*35,INDEX('큐펫&amp;몹 정리(최신)'!T:T,MATCH($E105,'큐펫&amp;몹 정리(최신)'!$B:$B,0))*40))))</f>
        <v>385</v>
      </c>
      <c r="P105" s="217">
        <v>80</v>
      </c>
      <c r="Q105" s="217">
        <f t="shared" si="8"/>
        <v>201840</v>
      </c>
      <c r="R105" s="217">
        <f t="shared" si="9"/>
        <v>1813</v>
      </c>
      <c r="S105" s="217">
        <f t="shared" si="10"/>
        <v>8774</v>
      </c>
      <c r="T105" s="217">
        <f t="shared" si="11"/>
        <v>1750</v>
      </c>
      <c r="U105" s="217">
        <f t="shared" si="12"/>
        <v>82087</v>
      </c>
      <c r="V105" s="217">
        <f t="shared" si="13"/>
        <v>12931</v>
      </c>
      <c r="W105" s="217">
        <f>ROUND(AC105+(INDEX(Ref!B$1:B$9,MATCH($AI105,Ref!$A$1:$A$9,0))*P105*0.0001),)</f>
        <v>31</v>
      </c>
      <c r="X105" s="217">
        <f>ROUND(AD105+(INDEX(Ref!C$1:C$9,MATCH($AI105,Ref!$A$1:$A$9,0))*$P105*0.0001),)</f>
        <v>54</v>
      </c>
      <c r="Y105" s="217">
        <f>ROUND(AE105+(INDEX(Ref!D$1:D$9,MATCH($AI105,Ref!$A$1:$A$9,0))*$P105*0.0001),)</f>
        <v>54</v>
      </c>
      <c r="Z105" s="217">
        <f>ROUND(AF105+(INDEX(Ref!E$1:E$9,MATCH($AI105,Ref!$A$1:$A$9,0))*$P105*0.0001),)</f>
        <v>34</v>
      </c>
      <c r="AA105" s="217">
        <f>ROUND(AG105+(INDEX(Ref!F$1:F$9,MATCH($AI105,Ref!$A$1:$A$9,0))*$P105*0.0001),)</f>
        <v>70</v>
      </c>
      <c r="AB105" s="217">
        <f>ROUND(AH105+(INDEX(Ref!G$1:G$9,MATCH($AI105,Ref!$A$1:$A$9,0))*$P105*0.0001),)</f>
        <v>61</v>
      </c>
      <c r="AC105" s="137">
        <v>22</v>
      </c>
      <c r="AD105" s="137">
        <v>39</v>
      </c>
      <c r="AE105" s="137">
        <v>44</v>
      </c>
      <c r="AF105" s="137">
        <v>24</v>
      </c>
      <c r="AG105" s="137">
        <v>51</v>
      </c>
      <c r="AH105" s="137">
        <v>44</v>
      </c>
      <c r="AI105" s="208">
        <v>5</v>
      </c>
      <c r="AJ105" s="172">
        <v>3000</v>
      </c>
      <c r="AK105" s="172">
        <v>30123</v>
      </c>
      <c r="AL105" s="172">
        <v>2000</v>
      </c>
      <c r="AM105" s="172">
        <v>30125</v>
      </c>
      <c r="AN105" s="172">
        <v>0</v>
      </c>
      <c r="AO105" s="172">
        <f t="shared" si="14"/>
        <v>34123</v>
      </c>
      <c r="AP105" s="172">
        <v>0</v>
      </c>
      <c r="AQ105" s="172">
        <f t="shared" si="15"/>
        <v>34125</v>
      </c>
      <c r="AR105" s="172">
        <v>1</v>
      </c>
      <c r="AS105" s="172">
        <v>0</v>
      </c>
      <c r="AT105" s="199">
        <v>78021</v>
      </c>
      <c r="AU105" s="195" t="s">
        <v>142</v>
      </c>
    </row>
    <row r="106" spans="1:47" x14ac:dyDescent="0.2">
      <c r="A106" s="173">
        <v>55021</v>
      </c>
      <c r="B106" s="174" t="s">
        <v>140</v>
      </c>
      <c r="C106" s="172">
        <v>86021</v>
      </c>
      <c r="D106" s="172">
        <v>150021</v>
      </c>
      <c r="E106" s="206" t="s">
        <v>141</v>
      </c>
      <c r="F106" s="207">
        <v>5</v>
      </c>
      <c r="G106" s="172">
        <v>13000</v>
      </c>
      <c r="H106" s="172">
        <v>9000</v>
      </c>
      <c r="I106" s="172">
        <v>10000</v>
      </c>
      <c r="J106" s="172">
        <v>5</v>
      </c>
      <c r="K106" s="190">
        <f>IF($J106=1,INDEX('큐펫&amp;몹 정리(최신)'!P:P,MATCH($E106,'큐펫&amp;몹 정리(최신)'!$B:$B,0))*20,IF($J106=2,INDEX('큐펫&amp;몹 정리(최신)'!P:P,MATCH($E106,'큐펫&amp;몹 정리(최신)'!$B:$B,0))*25,IF($J106=3,INDEX('큐펫&amp;몹 정리(최신)'!P:P,MATCH($E106,'큐펫&amp;몹 정리(최신)'!$B:$B,0))*30,IF($J106=4,INDEX('큐펫&amp;몹 정리(최신)'!P:P,MATCH($E106,'큐펫&amp;몹 정리(최신)'!$B:$B,0))*35,INDEX('큐펫&amp;몹 정리(최신)'!P:P,MATCH($E106,'큐펫&amp;몹 정리(최신)'!$B:$B,0))*40))))</f>
        <v>1800</v>
      </c>
      <c r="L106" s="190">
        <f>IF($J106=1,INDEX('큐펫&amp;몹 정리(최신)'!Q:Q,MATCH($E106,'큐펫&amp;몹 정리(최신)'!$B:$B,0))*20,IF($J106=2,INDEX('큐펫&amp;몹 정리(최신)'!Q:Q,MATCH($E106,'큐펫&amp;몹 정리(최신)'!$B:$B,0))*25,IF($J106=3,INDEX('큐펫&amp;몹 정리(최신)'!Q:Q,MATCH($E106,'큐펫&amp;몹 정리(최신)'!$B:$B,0))*30,IF($J106=4,INDEX('큐펫&amp;몹 정리(최신)'!Q:Q,MATCH($E106,'큐펫&amp;몹 정리(최신)'!$B:$B,0))*35,INDEX('큐펫&amp;몹 정리(최신)'!Q:Q,MATCH($E106,'큐펫&amp;몹 정리(최신)'!$B:$B,0))*40))))</f>
        <v>200</v>
      </c>
      <c r="M106" s="190">
        <f>IF($J106=1,INDEX('큐펫&amp;몹 정리(최신)'!R:R,MATCH($E106,'큐펫&amp;몹 정리(최신)'!$B:$B,0))*20,IF($J106=2,INDEX('큐펫&amp;몹 정리(최신)'!R:R,MATCH($E106,'큐펫&amp;몹 정리(최신)'!$B:$B,0))*25,IF($J106=3,INDEX('큐펫&amp;몹 정리(최신)'!R:R,MATCH($E106,'큐펫&amp;몹 정리(최신)'!$B:$B,0))*30,IF($J106=4,INDEX('큐펫&amp;몹 정리(최신)'!R:R,MATCH($E106,'큐펫&amp;몹 정리(최신)'!$B:$B,0))*35,INDEX('큐펫&amp;몹 정리(최신)'!R:R,MATCH($E106,'큐펫&amp;몹 정리(최신)'!$B:$B,0))*40))))</f>
        <v>160</v>
      </c>
      <c r="N106" s="190">
        <f>IF($J106=1,INDEX('큐펫&amp;몹 정리(최신)'!S:S,MATCH($E106,'큐펫&amp;몹 정리(최신)'!$B:$B,0))*20,IF($J106=2,INDEX('큐펫&amp;몹 정리(최신)'!S:S,MATCH($E106,'큐펫&amp;몹 정리(최신)'!$B:$B,0))*25,IF($J106=3,INDEX('큐펫&amp;몹 정리(최신)'!S:S,MATCH($E106,'큐펫&amp;몹 정리(최신)'!$B:$B,0))*30,IF($J106=4,INDEX('큐펫&amp;몹 정리(최신)'!S:S,MATCH($E106,'큐펫&amp;몹 정리(최신)'!$B:$B,0))*35,INDEX('큐펫&amp;몹 정리(최신)'!S:S,MATCH($E106,'큐펫&amp;몹 정리(최신)'!$B:$B,0))*40))))</f>
        <v>1400</v>
      </c>
      <c r="O106" s="190">
        <f>IF($J106=1,INDEX('큐펫&amp;몹 정리(최신)'!T:T,MATCH($E106,'큐펫&amp;몹 정리(최신)'!$B:$B,0))*20,IF($J106=2,INDEX('큐펫&amp;몹 정리(최신)'!T:T,MATCH($E106,'큐펫&amp;몹 정리(최신)'!$B:$B,0))*25,IF($J106=3,INDEX('큐펫&amp;몹 정리(최신)'!T:T,MATCH($E106,'큐펫&amp;몹 정리(최신)'!$B:$B,0))*30,IF($J106=4,INDEX('큐펫&amp;몹 정리(최신)'!T:T,MATCH($E106,'큐펫&amp;몹 정리(최신)'!$B:$B,0))*35,INDEX('큐펫&amp;몹 정리(최신)'!T:T,MATCH($E106,'큐펫&amp;몹 정리(최신)'!$B:$B,0))*40))))</f>
        <v>440</v>
      </c>
      <c r="P106" s="217">
        <v>100</v>
      </c>
      <c r="Q106" s="217">
        <f t="shared" si="8"/>
        <v>297000</v>
      </c>
      <c r="R106" s="217">
        <f t="shared" si="9"/>
        <v>2603</v>
      </c>
      <c r="S106" s="217">
        <f t="shared" si="10"/>
        <v>13032</v>
      </c>
      <c r="T106" s="217">
        <f t="shared" si="11"/>
        <v>2463</v>
      </c>
      <c r="U106" s="217">
        <f t="shared" si="12"/>
        <v>112014</v>
      </c>
      <c r="V106" s="217">
        <f t="shared" si="13"/>
        <v>17638</v>
      </c>
      <c r="W106" s="217">
        <f>ROUND(AC106+(INDEX(Ref!B$1:B$9,MATCH($AI106,Ref!$A$1:$A$9,0))*P106*0.0001),)</f>
        <v>35</v>
      </c>
      <c r="X106" s="217">
        <f>ROUND(AD106+(INDEX(Ref!C$1:C$9,MATCH($AI106,Ref!$A$1:$A$9,0))*$P106*0.0001),)</f>
        <v>62</v>
      </c>
      <c r="Y106" s="217">
        <f>ROUND(AE106+(INDEX(Ref!D$1:D$9,MATCH($AI106,Ref!$A$1:$A$9,0))*$P106*0.0001),)</f>
        <v>60</v>
      </c>
      <c r="Z106" s="217">
        <f>ROUND(AF106+(INDEX(Ref!E$1:E$9,MATCH($AI106,Ref!$A$1:$A$9,0))*$P106*0.0001),)</f>
        <v>38</v>
      </c>
      <c r="AA106" s="217">
        <f>ROUND(AG106+(INDEX(Ref!F$1:F$9,MATCH($AI106,Ref!$A$1:$A$9,0))*$P106*0.0001),)</f>
        <v>80</v>
      </c>
      <c r="AB106" s="217">
        <f>ROUND(AH106+(INDEX(Ref!G$1:G$9,MATCH($AI106,Ref!$A$1:$A$9,0))*$P106*0.0001),)</f>
        <v>69</v>
      </c>
      <c r="AC106" s="137">
        <v>24</v>
      </c>
      <c r="AD106" s="137">
        <v>43</v>
      </c>
      <c r="AE106" s="137">
        <v>47</v>
      </c>
      <c r="AF106" s="137">
        <v>26</v>
      </c>
      <c r="AG106" s="137">
        <v>56</v>
      </c>
      <c r="AH106" s="137">
        <v>48</v>
      </c>
      <c r="AI106" s="208">
        <v>5</v>
      </c>
      <c r="AJ106" s="172">
        <v>3000</v>
      </c>
      <c r="AK106" s="172">
        <v>30123</v>
      </c>
      <c r="AL106" s="172">
        <v>2000</v>
      </c>
      <c r="AM106" s="172">
        <v>30126</v>
      </c>
      <c r="AN106" s="172">
        <v>0</v>
      </c>
      <c r="AO106" s="172">
        <f t="shared" si="14"/>
        <v>34123</v>
      </c>
      <c r="AP106" s="172">
        <v>0</v>
      </c>
      <c r="AQ106" s="172">
        <f t="shared" si="15"/>
        <v>34126</v>
      </c>
      <c r="AR106" s="172">
        <v>1</v>
      </c>
      <c r="AS106" s="172">
        <v>0</v>
      </c>
      <c r="AT106" s="199">
        <v>78021</v>
      </c>
      <c r="AU106" s="195" t="s">
        <v>142</v>
      </c>
    </row>
    <row r="107" spans="1:47" x14ac:dyDescent="0.2">
      <c r="A107" s="173">
        <v>55022</v>
      </c>
      <c r="B107" s="174" t="s">
        <v>143</v>
      </c>
      <c r="C107" s="172">
        <v>86022</v>
      </c>
      <c r="D107" s="172">
        <v>150022</v>
      </c>
      <c r="E107" s="206" t="s">
        <v>144</v>
      </c>
      <c r="F107" s="207">
        <v>2</v>
      </c>
      <c r="G107" s="172">
        <v>8500</v>
      </c>
      <c r="H107" s="172">
        <v>8500</v>
      </c>
      <c r="I107" s="172">
        <v>10000</v>
      </c>
      <c r="J107" s="172">
        <v>1</v>
      </c>
      <c r="K107" s="190">
        <f>IF($J107=1,INDEX('큐펫&amp;몹 정리(최신)'!P:P,MATCH($E107,'큐펫&amp;몹 정리(최신)'!$B:$B,0))*20,IF($J107=2,INDEX('큐펫&amp;몹 정리(최신)'!P:P,MATCH($E107,'큐펫&amp;몹 정리(최신)'!$B:$B,0))*25,IF($J107=3,INDEX('큐펫&amp;몹 정리(최신)'!P:P,MATCH($E107,'큐펫&amp;몹 정리(최신)'!$B:$B,0))*30,IF($J107=4,INDEX('큐펫&amp;몹 정리(최신)'!P:P,MATCH($E107,'큐펫&amp;몹 정리(최신)'!$B:$B,0))*35,INDEX('큐펫&amp;몹 정리(최신)'!P:P,MATCH($E107,'큐펫&amp;몹 정리(최신)'!$B:$B,0))*40))))</f>
        <v>720</v>
      </c>
      <c r="L107" s="190">
        <f>IF($J107=1,INDEX('큐펫&amp;몹 정리(최신)'!Q:Q,MATCH($E107,'큐펫&amp;몹 정리(최신)'!$B:$B,0))*20,IF($J107=2,INDEX('큐펫&amp;몹 정리(최신)'!Q:Q,MATCH($E107,'큐펫&amp;몹 정리(최신)'!$B:$B,0))*25,IF($J107=3,INDEX('큐펫&amp;몹 정리(최신)'!Q:Q,MATCH($E107,'큐펫&amp;몹 정리(최신)'!$B:$B,0))*30,IF($J107=4,INDEX('큐펫&amp;몹 정리(최신)'!Q:Q,MATCH($E107,'큐펫&amp;몹 정리(최신)'!$B:$B,0))*35,INDEX('큐펫&amp;몹 정리(최신)'!Q:Q,MATCH($E107,'큐펫&amp;몹 정리(최신)'!$B:$B,0))*40))))</f>
        <v>80</v>
      </c>
      <c r="M107" s="190">
        <f>IF($J107=1,INDEX('큐펫&amp;몹 정리(최신)'!R:R,MATCH($E107,'큐펫&amp;몹 정리(최신)'!$B:$B,0))*20,IF($J107=2,INDEX('큐펫&amp;몹 정리(최신)'!R:R,MATCH($E107,'큐펫&amp;몹 정리(최신)'!$B:$B,0))*25,IF($J107=3,INDEX('큐펫&amp;몹 정리(최신)'!R:R,MATCH($E107,'큐펫&amp;몹 정리(최신)'!$B:$B,0))*30,IF($J107=4,INDEX('큐펫&amp;몹 정리(최신)'!R:R,MATCH($E107,'큐펫&amp;몹 정리(최신)'!$B:$B,0))*35,INDEX('큐펫&amp;몹 정리(최신)'!R:R,MATCH($E107,'큐펫&amp;몹 정리(최신)'!$B:$B,0))*40))))</f>
        <v>360</v>
      </c>
      <c r="N107" s="190">
        <f>IF($J107=1,INDEX('큐펫&amp;몹 정리(최신)'!S:S,MATCH($E107,'큐펫&amp;몹 정리(최신)'!$B:$B,0))*20,IF($J107=2,INDEX('큐펫&amp;몹 정리(최신)'!S:S,MATCH($E107,'큐펫&amp;몹 정리(최신)'!$B:$B,0))*25,IF($J107=3,INDEX('큐펫&amp;몹 정리(최신)'!S:S,MATCH($E107,'큐펫&amp;몹 정리(최신)'!$B:$B,0))*30,IF($J107=4,INDEX('큐펫&amp;몹 정리(최신)'!S:S,MATCH($E107,'큐펫&amp;몹 정리(최신)'!$B:$B,0))*35,INDEX('큐펫&amp;몹 정리(최신)'!S:S,MATCH($E107,'큐펫&amp;몹 정리(최신)'!$B:$B,0))*40))))</f>
        <v>180</v>
      </c>
      <c r="O107" s="190">
        <f>IF($J107=1,INDEX('큐펫&amp;몹 정리(최신)'!T:T,MATCH($E107,'큐펫&amp;몹 정리(최신)'!$B:$B,0))*20,IF($J107=2,INDEX('큐펫&amp;몹 정리(최신)'!T:T,MATCH($E107,'큐펫&amp;몹 정리(최신)'!$B:$B,0))*25,IF($J107=3,INDEX('큐펫&amp;몹 정리(최신)'!T:T,MATCH($E107,'큐펫&amp;몹 정리(최신)'!$B:$B,0))*30,IF($J107=4,INDEX('큐펫&amp;몹 정리(최신)'!T:T,MATCH($E107,'큐펫&amp;몹 정리(최신)'!$B:$B,0))*35,INDEX('큐펫&amp;몹 정리(최신)'!T:T,MATCH($E107,'큐펫&amp;몹 정리(최신)'!$B:$B,0))*40))))</f>
        <v>660</v>
      </c>
      <c r="P107" s="217">
        <v>20</v>
      </c>
      <c r="Q107" s="217">
        <f t="shared" si="8"/>
        <v>24192</v>
      </c>
      <c r="R107" s="217">
        <f t="shared" si="9"/>
        <v>418</v>
      </c>
      <c r="S107" s="217">
        <f t="shared" si="10"/>
        <v>704</v>
      </c>
      <c r="T107" s="217">
        <f t="shared" si="11"/>
        <v>4251</v>
      </c>
      <c r="U107" s="217">
        <f t="shared" si="12"/>
        <v>5677</v>
      </c>
      <c r="V107" s="217">
        <f t="shared" si="13"/>
        <v>10429</v>
      </c>
      <c r="W107" s="217">
        <f>ROUND(AC107+(INDEX(Ref!B$1:B$9,MATCH($AI107,Ref!$A$1:$A$9,0))*P107*0.0001),)</f>
        <v>21</v>
      </c>
      <c r="X107" s="217">
        <f>ROUND(AD107+(INDEX(Ref!C$1:C$9,MATCH($AI107,Ref!$A$1:$A$9,0))*$P107*0.0001),)</f>
        <v>26</v>
      </c>
      <c r="Y107" s="217">
        <f>ROUND(AE107+(INDEX(Ref!D$1:D$9,MATCH($AI107,Ref!$A$1:$A$9,0))*$P107*0.0001),)</f>
        <v>43</v>
      </c>
      <c r="Z107" s="217">
        <f>ROUND(AF107+(INDEX(Ref!E$1:E$9,MATCH($AI107,Ref!$A$1:$A$9,0))*$P107*0.0001),)</f>
        <v>34</v>
      </c>
      <c r="AA107" s="217">
        <f>ROUND(AG107+(INDEX(Ref!F$1:F$9,MATCH($AI107,Ref!$A$1:$A$9,0))*$P107*0.0001),)</f>
        <v>28</v>
      </c>
      <c r="AB107" s="217">
        <f>ROUND(AH107+(INDEX(Ref!G$1:G$9,MATCH($AI107,Ref!$A$1:$A$9,0))*$P107*0.0001),)</f>
        <v>32</v>
      </c>
      <c r="AC107" s="137">
        <v>18</v>
      </c>
      <c r="AD107" s="137">
        <v>23</v>
      </c>
      <c r="AE107" s="137">
        <v>40</v>
      </c>
      <c r="AF107" s="137">
        <v>30</v>
      </c>
      <c r="AG107" s="137">
        <v>25</v>
      </c>
      <c r="AH107" s="137">
        <v>28</v>
      </c>
      <c r="AI107" s="208">
        <v>8</v>
      </c>
      <c r="AJ107" s="172">
        <v>3000</v>
      </c>
      <c r="AK107" s="172">
        <v>30127</v>
      </c>
      <c r="AL107" s="172">
        <v>2000</v>
      </c>
      <c r="AM107" s="172">
        <v>30130</v>
      </c>
      <c r="AN107" s="172">
        <v>0</v>
      </c>
      <c r="AO107" s="172">
        <f t="shared" si="14"/>
        <v>34127</v>
      </c>
      <c r="AP107" s="172">
        <v>0</v>
      </c>
      <c r="AQ107" s="172">
        <f t="shared" si="15"/>
        <v>34130</v>
      </c>
      <c r="AR107" s="172">
        <v>1</v>
      </c>
      <c r="AS107" s="172">
        <v>0</v>
      </c>
      <c r="AT107" s="199">
        <v>78022</v>
      </c>
      <c r="AU107" s="195" t="s">
        <v>145</v>
      </c>
    </row>
    <row r="108" spans="1:47" x14ac:dyDescent="0.2">
      <c r="A108" s="173">
        <v>55022</v>
      </c>
      <c r="B108" s="174" t="s">
        <v>143</v>
      </c>
      <c r="C108" s="172">
        <v>86022</v>
      </c>
      <c r="D108" s="172">
        <v>150022</v>
      </c>
      <c r="E108" s="206" t="s">
        <v>144</v>
      </c>
      <c r="F108" s="207">
        <v>2</v>
      </c>
      <c r="G108" s="172">
        <v>8500</v>
      </c>
      <c r="H108" s="172">
        <v>8500</v>
      </c>
      <c r="I108" s="172">
        <v>10000</v>
      </c>
      <c r="J108" s="172">
        <v>2</v>
      </c>
      <c r="K108" s="190">
        <f>IF($J108=1,INDEX('큐펫&amp;몹 정리(최신)'!P:P,MATCH($E108,'큐펫&amp;몹 정리(최신)'!$B:$B,0))*20,IF($J108=2,INDEX('큐펫&amp;몹 정리(최신)'!P:P,MATCH($E108,'큐펫&amp;몹 정리(최신)'!$B:$B,0))*25,IF($J108=3,INDEX('큐펫&amp;몹 정리(최신)'!P:P,MATCH($E108,'큐펫&amp;몹 정리(최신)'!$B:$B,0))*30,IF($J108=4,INDEX('큐펫&amp;몹 정리(최신)'!P:P,MATCH($E108,'큐펫&amp;몹 정리(최신)'!$B:$B,0))*35,INDEX('큐펫&amp;몹 정리(최신)'!P:P,MATCH($E108,'큐펫&amp;몹 정리(최신)'!$B:$B,0))*40))))</f>
        <v>900</v>
      </c>
      <c r="L108" s="190">
        <f>IF($J108=1,INDEX('큐펫&amp;몹 정리(최신)'!Q:Q,MATCH($E108,'큐펫&amp;몹 정리(최신)'!$B:$B,0))*20,IF($J108=2,INDEX('큐펫&amp;몹 정리(최신)'!Q:Q,MATCH($E108,'큐펫&amp;몹 정리(최신)'!$B:$B,0))*25,IF($J108=3,INDEX('큐펫&amp;몹 정리(최신)'!Q:Q,MATCH($E108,'큐펫&amp;몹 정리(최신)'!$B:$B,0))*30,IF($J108=4,INDEX('큐펫&amp;몹 정리(최신)'!Q:Q,MATCH($E108,'큐펫&amp;몹 정리(최신)'!$B:$B,0))*35,INDEX('큐펫&amp;몹 정리(최신)'!Q:Q,MATCH($E108,'큐펫&amp;몹 정리(최신)'!$B:$B,0))*40))))</f>
        <v>100</v>
      </c>
      <c r="M108" s="190">
        <f>IF($J108=1,INDEX('큐펫&amp;몹 정리(최신)'!R:R,MATCH($E108,'큐펫&amp;몹 정리(최신)'!$B:$B,0))*20,IF($J108=2,INDEX('큐펫&amp;몹 정리(최신)'!R:R,MATCH($E108,'큐펫&amp;몹 정리(최신)'!$B:$B,0))*25,IF($J108=3,INDEX('큐펫&amp;몹 정리(최신)'!R:R,MATCH($E108,'큐펫&amp;몹 정리(최신)'!$B:$B,0))*30,IF($J108=4,INDEX('큐펫&amp;몹 정리(최신)'!R:R,MATCH($E108,'큐펫&amp;몹 정리(최신)'!$B:$B,0))*35,INDEX('큐펫&amp;몹 정리(최신)'!R:R,MATCH($E108,'큐펫&amp;몹 정리(최신)'!$B:$B,0))*40))))</f>
        <v>450</v>
      </c>
      <c r="N108" s="190">
        <f>IF($J108=1,INDEX('큐펫&amp;몹 정리(최신)'!S:S,MATCH($E108,'큐펫&amp;몹 정리(최신)'!$B:$B,0))*20,IF($J108=2,INDEX('큐펫&amp;몹 정리(최신)'!S:S,MATCH($E108,'큐펫&amp;몹 정리(최신)'!$B:$B,0))*25,IF($J108=3,INDEX('큐펫&amp;몹 정리(최신)'!S:S,MATCH($E108,'큐펫&amp;몹 정리(최신)'!$B:$B,0))*30,IF($J108=4,INDEX('큐펫&amp;몹 정리(최신)'!S:S,MATCH($E108,'큐펫&amp;몹 정리(최신)'!$B:$B,0))*35,INDEX('큐펫&amp;몹 정리(최신)'!S:S,MATCH($E108,'큐펫&amp;몹 정리(최신)'!$B:$B,0))*40))))</f>
        <v>225</v>
      </c>
      <c r="O108" s="190">
        <f>IF($J108=1,INDEX('큐펫&amp;몹 정리(최신)'!T:T,MATCH($E108,'큐펫&amp;몹 정리(최신)'!$B:$B,0))*20,IF($J108=2,INDEX('큐펫&amp;몹 정리(최신)'!T:T,MATCH($E108,'큐펫&amp;몹 정리(최신)'!$B:$B,0))*25,IF($J108=3,INDEX('큐펫&amp;몹 정리(최신)'!T:T,MATCH($E108,'큐펫&amp;몹 정리(최신)'!$B:$B,0))*30,IF($J108=4,INDEX('큐펫&amp;몹 정리(최신)'!T:T,MATCH($E108,'큐펫&amp;몹 정리(최신)'!$B:$B,0))*35,INDEX('큐펫&amp;몹 정리(최신)'!T:T,MATCH($E108,'큐펫&amp;몹 정리(최신)'!$B:$B,0))*40))))</f>
        <v>825</v>
      </c>
      <c r="P108" s="217">
        <v>40</v>
      </c>
      <c r="Q108" s="217">
        <f t="shared" si="8"/>
        <v>58140</v>
      </c>
      <c r="R108" s="217">
        <f t="shared" si="9"/>
        <v>764</v>
      </c>
      <c r="S108" s="217">
        <f t="shared" si="10"/>
        <v>1329</v>
      </c>
      <c r="T108" s="217">
        <f t="shared" si="11"/>
        <v>8056</v>
      </c>
      <c r="U108" s="217">
        <f t="shared" si="12"/>
        <v>10021</v>
      </c>
      <c r="V108" s="217">
        <f t="shared" si="13"/>
        <v>18398</v>
      </c>
      <c r="W108" s="217">
        <f>ROUND(AC108+(INDEX(Ref!B$1:B$9,MATCH($AI108,Ref!$A$1:$A$9,0))*P108*0.0001),)</f>
        <v>26</v>
      </c>
      <c r="X108" s="217">
        <f>ROUND(AD108+(INDEX(Ref!C$1:C$9,MATCH($AI108,Ref!$A$1:$A$9,0))*$P108*0.0001),)</f>
        <v>32</v>
      </c>
      <c r="Y108" s="217">
        <f>ROUND(AE108+(INDEX(Ref!D$1:D$9,MATCH($AI108,Ref!$A$1:$A$9,0))*$P108*0.0001),)</f>
        <v>49</v>
      </c>
      <c r="Z108" s="217">
        <f>ROUND(AF108+(INDEX(Ref!E$1:E$9,MATCH($AI108,Ref!$A$1:$A$9,0))*$P108*0.0001),)</f>
        <v>42</v>
      </c>
      <c r="AA108" s="217">
        <f>ROUND(AG108+(INDEX(Ref!F$1:F$9,MATCH($AI108,Ref!$A$1:$A$9,0))*$P108*0.0001),)</f>
        <v>35</v>
      </c>
      <c r="AB108" s="217">
        <f>ROUND(AH108+(INDEX(Ref!G$1:G$9,MATCH($AI108,Ref!$A$1:$A$9,0))*$P108*0.0001),)</f>
        <v>40</v>
      </c>
      <c r="AC108" s="137">
        <v>21</v>
      </c>
      <c r="AD108" s="137">
        <v>26</v>
      </c>
      <c r="AE108" s="137">
        <v>43</v>
      </c>
      <c r="AF108" s="137">
        <v>34</v>
      </c>
      <c r="AG108" s="137">
        <v>28</v>
      </c>
      <c r="AH108" s="137">
        <v>32</v>
      </c>
      <c r="AI108" s="208">
        <v>8</v>
      </c>
      <c r="AJ108" s="172">
        <v>3000</v>
      </c>
      <c r="AK108" s="172">
        <v>30128</v>
      </c>
      <c r="AL108" s="172">
        <v>2000</v>
      </c>
      <c r="AM108" s="172">
        <v>30130</v>
      </c>
      <c r="AN108" s="172">
        <v>0</v>
      </c>
      <c r="AO108" s="172">
        <f t="shared" si="14"/>
        <v>34128</v>
      </c>
      <c r="AP108" s="172">
        <v>0</v>
      </c>
      <c r="AQ108" s="172">
        <f t="shared" si="15"/>
        <v>34130</v>
      </c>
      <c r="AR108" s="172">
        <v>1</v>
      </c>
      <c r="AS108" s="172">
        <v>0</v>
      </c>
      <c r="AT108" s="199">
        <v>78022</v>
      </c>
      <c r="AU108" s="195" t="s">
        <v>145</v>
      </c>
    </row>
    <row r="109" spans="1:47" x14ac:dyDescent="0.2">
      <c r="A109" s="173">
        <v>55022</v>
      </c>
      <c r="B109" s="174" t="s">
        <v>143</v>
      </c>
      <c r="C109" s="172">
        <v>86022</v>
      </c>
      <c r="D109" s="172">
        <v>150022</v>
      </c>
      <c r="E109" s="206" t="s">
        <v>144</v>
      </c>
      <c r="F109" s="207">
        <v>2</v>
      </c>
      <c r="G109" s="172">
        <v>8500</v>
      </c>
      <c r="H109" s="172">
        <v>8500</v>
      </c>
      <c r="I109" s="172">
        <v>10000</v>
      </c>
      <c r="J109" s="172">
        <v>3</v>
      </c>
      <c r="K109" s="190">
        <f>IF($J109=1,INDEX('큐펫&amp;몹 정리(최신)'!P:P,MATCH($E109,'큐펫&amp;몹 정리(최신)'!$B:$B,0))*20,IF($J109=2,INDEX('큐펫&amp;몹 정리(최신)'!P:P,MATCH($E109,'큐펫&amp;몹 정리(최신)'!$B:$B,0))*25,IF($J109=3,INDEX('큐펫&amp;몹 정리(최신)'!P:P,MATCH($E109,'큐펫&amp;몹 정리(최신)'!$B:$B,0))*30,IF($J109=4,INDEX('큐펫&amp;몹 정리(최신)'!P:P,MATCH($E109,'큐펫&amp;몹 정리(최신)'!$B:$B,0))*35,INDEX('큐펫&amp;몹 정리(최신)'!P:P,MATCH($E109,'큐펫&amp;몹 정리(최신)'!$B:$B,0))*40))))</f>
        <v>1080</v>
      </c>
      <c r="L109" s="190">
        <f>IF($J109=1,INDEX('큐펫&amp;몹 정리(최신)'!Q:Q,MATCH($E109,'큐펫&amp;몹 정리(최신)'!$B:$B,0))*20,IF($J109=2,INDEX('큐펫&amp;몹 정리(최신)'!Q:Q,MATCH($E109,'큐펫&amp;몹 정리(최신)'!$B:$B,0))*25,IF($J109=3,INDEX('큐펫&amp;몹 정리(최신)'!Q:Q,MATCH($E109,'큐펫&amp;몹 정리(최신)'!$B:$B,0))*30,IF($J109=4,INDEX('큐펫&amp;몹 정리(최신)'!Q:Q,MATCH($E109,'큐펫&amp;몹 정리(최신)'!$B:$B,0))*35,INDEX('큐펫&amp;몹 정리(최신)'!Q:Q,MATCH($E109,'큐펫&amp;몹 정리(최신)'!$B:$B,0))*40))))</f>
        <v>120</v>
      </c>
      <c r="M109" s="190">
        <f>IF($J109=1,INDEX('큐펫&amp;몹 정리(최신)'!R:R,MATCH($E109,'큐펫&amp;몹 정리(최신)'!$B:$B,0))*20,IF($J109=2,INDEX('큐펫&amp;몹 정리(최신)'!R:R,MATCH($E109,'큐펫&amp;몹 정리(최신)'!$B:$B,0))*25,IF($J109=3,INDEX('큐펫&amp;몹 정리(최신)'!R:R,MATCH($E109,'큐펫&amp;몹 정리(최신)'!$B:$B,0))*30,IF($J109=4,INDEX('큐펫&amp;몹 정리(최신)'!R:R,MATCH($E109,'큐펫&amp;몹 정리(최신)'!$B:$B,0))*35,INDEX('큐펫&amp;몹 정리(최신)'!R:R,MATCH($E109,'큐펫&amp;몹 정리(최신)'!$B:$B,0))*40))))</f>
        <v>540</v>
      </c>
      <c r="N109" s="190">
        <f>IF($J109=1,INDEX('큐펫&amp;몹 정리(최신)'!S:S,MATCH($E109,'큐펫&amp;몹 정리(최신)'!$B:$B,0))*20,IF($J109=2,INDEX('큐펫&amp;몹 정리(최신)'!S:S,MATCH($E109,'큐펫&amp;몹 정리(최신)'!$B:$B,0))*25,IF($J109=3,INDEX('큐펫&amp;몹 정리(최신)'!S:S,MATCH($E109,'큐펫&amp;몹 정리(최신)'!$B:$B,0))*30,IF($J109=4,INDEX('큐펫&amp;몹 정리(최신)'!S:S,MATCH($E109,'큐펫&amp;몹 정리(최신)'!$B:$B,0))*35,INDEX('큐펫&amp;몹 정리(최신)'!S:S,MATCH($E109,'큐펫&amp;몹 정리(최신)'!$B:$B,0))*40))))</f>
        <v>270</v>
      </c>
      <c r="O109" s="190">
        <f>IF($J109=1,INDEX('큐펫&amp;몹 정리(최신)'!T:T,MATCH($E109,'큐펫&amp;몹 정리(최신)'!$B:$B,0))*20,IF($J109=2,INDEX('큐펫&amp;몹 정리(최신)'!T:T,MATCH($E109,'큐펫&amp;몹 정리(최신)'!$B:$B,0))*25,IF($J109=3,INDEX('큐펫&amp;몹 정리(최신)'!T:T,MATCH($E109,'큐펫&amp;몹 정리(최신)'!$B:$B,0))*30,IF($J109=4,INDEX('큐펫&amp;몹 정리(최신)'!T:T,MATCH($E109,'큐펫&amp;몹 정리(최신)'!$B:$B,0))*35,INDEX('큐펫&amp;몹 정리(최신)'!T:T,MATCH($E109,'큐펫&amp;몹 정리(최신)'!$B:$B,0))*40))))</f>
        <v>990</v>
      </c>
      <c r="P109" s="217">
        <v>60</v>
      </c>
      <c r="Q109" s="217">
        <f t="shared" si="8"/>
        <v>105192</v>
      </c>
      <c r="R109" s="217">
        <f t="shared" si="9"/>
        <v>1265</v>
      </c>
      <c r="S109" s="217">
        <f t="shared" si="10"/>
        <v>2247</v>
      </c>
      <c r="T109" s="217">
        <f t="shared" si="11"/>
        <v>13647</v>
      </c>
      <c r="U109" s="217">
        <f t="shared" si="12"/>
        <v>15401</v>
      </c>
      <c r="V109" s="217">
        <f t="shared" si="13"/>
        <v>28265</v>
      </c>
      <c r="W109" s="217">
        <f>ROUND(AC109+(INDEX(Ref!B$1:B$9,MATCH($AI109,Ref!$A$1:$A$9,0))*P109*0.0001),)</f>
        <v>31</v>
      </c>
      <c r="X109" s="217">
        <f>ROUND(AD109+(INDEX(Ref!C$1:C$9,MATCH($AI109,Ref!$A$1:$A$9,0))*$P109*0.0001),)</f>
        <v>40</v>
      </c>
      <c r="Y109" s="217">
        <f>ROUND(AE109+(INDEX(Ref!D$1:D$9,MATCH($AI109,Ref!$A$1:$A$9,0))*$P109*0.0001),)</f>
        <v>54</v>
      </c>
      <c r="Z109" s="217">
        <f>ROUND(AF109+(INDEX(Ref!E$1:E$9,MATCH($AI109,Ref!$A$1:$A$9,0))*$P109*0.0001),)</f>
        <v>50</v>
      </c>
      <c r="AA109" s="217">
        <f>ROUND(AG109+(INDEX(Ref!F$1:F$9,MATCH($AI109,Ref!$A$1:$A$9,0))*$P109*0.0001),)</f>
        <v>42</v>
      </c>
      <c r="AB109" s="217">
        <f>ROUND(AH109+(INDEX(Ref!G$1:G$9,MATCH($AI109,Ref!$A$1:$A$9,0))*$P109*0.0001),)</f>
        <v>47</v>
      </c>
      <c r="AC109" s="137">
        <v>23</v>
      </c>
      <c r="AD109" s="137">
        <v>30</v>
      </c>
      <c r="AE109" s="137">
        <v>45</v>
      </c>
      <c r="AF109" s="137">
        <v>38</v>
      </c>
      <c r="AG109" s="137">
        <v>32</v>
      </c>
      <c r="AH109" s="137">
        <v>36</v>
      </c>
      <c r="AI109" s="208">
        <v>8</v>
      </c>
      <c r="AJ109" s="172">
        <v>3000</v>
      </c>
      <c r="AK109" s="172">
        <v>30128</v>
      </c>
      <c r="AL109" s="172">
        <v>2000</v>
      </c>
      <c r="AM109" s="172">
        <v>30131</v>
      </c>
      <c r="AN109" s="172">
        <v>0</v>
      </c>
      <c r="AO109" s="172">
        <f t="shared" si="14"/>
        <v>34128</v>
      </c>
      <c r="AP109" s="172">
        <v>0</v>
      </c>
      <c r="AQ109" s="172">
        <f t="shared" si="15"/>
        <v>34131</v>
      </c>
      <c r="AR109" s="172">
        <v>1</v>
      </c>
      <c r="AS109" s="172">
        <v>0</v>
      </c>
      <c r="AT109" s="199">
        <v>78022</v>
      </c>
      <c r="AU109" s="195" t="s">
        <v>145</v>
      </c>
    </row>
    <row r="110" spans="1:47" x14ac:dyDescent="0.2">
      <c r="A110" s="173">
        <v>55022</v>
      </c>
      <c r="B110" s="174" t="s">
        <v>143</v>
      </c>
      <c r="C110" s="172">
        <v>86022</v>
      </c>
      <c r="D110" s="172">
        <v>150022</v>
      </c>
      <c r="E110" s="206" t="s">
        <v>144</v>
      </c>
      <c r="F110" s="207">
        <v>2</v>
      </c>
      <c r="G110" s="172">
        <v>8500</v>
      </c>
      <c r="H110" s="172">
        <v>8500</v>
      </c>
      <c r="I110" s="172">
        <v>10000</v>
      </c>
      <c r="J110" s="172">
        <v>4</v>
      </c>
      <c r="K110" s="190">
        <f>IF($J110=1,INDEX('큐펫&amp;몹 정리(최신)'!P:P,MATCH($E110,'큐펫&amp;몹 정리(최신)'!$B:$B,0))*20,IF($J110=2,INDEX('큐펫&amp;몹 정리(최신)'!P:P,MATCH($E110,'큐펫&amp;몹 정리(최신)'!$B:$B,0))*25,IF($J110=3,INDEX('큐펫&amp;몹 정리(최신)'!P:P,MATCH($E110,'큐펫&amp;몹 정리(최신)'!$B:$B,0))*30,IF($J110=4,INDEX('큐펫&amp;몹 정리(최신)'!P:P,MATCH($E110,'큐펫&amp;몹 정리(최신)'!$B:$B,0))*35,INDEX('큐펫&amp;몹 정리(최신)'!P:P,MATCH($E110,'큐펫&amp;몹 정리(최신)'!$B:$B,0))*40))))</f>
        <v>1260</v>
      </c>
      <c r="L110" s="190">
        <f>IF($J110=1,INDEX('큐펫&amp;몹 정리(최신)'!Q:Q,MATCH($E110,'큐펫&amp;몹 정리(최신)'!$B:$B,0))*20,IF($J110=2,INDEX('큐펫&amp;몹 정리(최신)'!Q:Q,MATCH($E110,'큐펫&amp;몹 정리(최신)'!$B:$B,0))*25,IF($J110=3,INDEX('큐펫&amp;몹 정리(최신)'!Q:Q,MATCH($E110,'큐펫&amp;몹 정리(최신)'!$B:$B,0))*30,IF($J110=4,INDEX('큐펫&amp;몹 정리(최신)'!Q:Q,MATCH($E110,'큐펫&amp;몹 정리(최신)'!$B:$B,0))*35,INDEX('큐펫&amp;몹 정리(최신)'!Q:Q,MATCH($E110,'큐펫&amp;몹 정리(최신)'!$B:$B,0))*40))))</f>
        <v>140</v>
      </c>
      <c r="M110" s="190">
        <f>IF($J110=1,INDEX('큐펫&amp;몹 정리(최신)'!R:R,MATCH($E110,'큐펫&amp;몹 정리(최신)'!$B:$B,0))*20,IF($J110=2,INDEX('큐펫&amp;몹 정리(최신)'!R:R,MATCH($E110,'큐펫&amp;몹 정리(최신)'!$B:$B,0))*25,IF($J110=3,INDEX('큐펫&amp;몹 정리(최신)'!R:R,MATCH($E110,'큐펫&amp;몹 정리(최신)'!$B:$B,0))*30,IF($J110=4,INDEX('큐펫&amp;몹 정리(최신)'!R:R,MATCH($E110,'큐펫&amp;몹 정리(최신)'!$B:$B,0))*35,INDEX('큐펫&amp;몹 정리(최신)'!R:R,MATCH($E110,'큐펫&amp;몹 정리(최신)'!$B:$B,0))*40))))</f>
        <v>630</v>
      </c>
      <c r="N110" s="190">
        <f>IF($J110=1,INDEX('큐펫&amp;몹 정리(최신)'!S:S,MATCH($E110,'큐펫&amp;몹 정리(최신)'!$B:$B,0))*20,IF($J110=2,INDEX('큐펫&amp;몹 정리(최신)'!S:S,MATCH($E110,'큐펫&amp;몹 정리(최신)'!$B:$B,0))*25,IF($J110=3,INDEX('큐펫&amp;몹 정리(최신)'!S:S,MATCH($E110,'큐펫&amp;몹 정리(최신)'!$B:$B,0))*30,IF($J110=4,INDEX('큐펫&amp;몹 정리(최신)'!S:S,MATCH($E110,'큐펫&amp;몹 정리(최신)'!$B:$B,0))*35,INDEX('큐펫&amp;몹 정리(최신)'!S:S,MATCH($E110,'큐펫&amp;몹 정리(최신)'!$B:$B,0))*40))))</f>
        <v>315</v>
      </c>
      <c r="O110" s="190">
        <f>IF($J110=1,INDEX('큐펫&amp;몹 정리(최신)'!T:T,MATCH($E110,'큐펫&amp;몹 정리(최신)'!$B:$B,0))*20,IF($J110=2,INDEX('큐펫&amp;몹 정리(최신)'!T:T,MATCH($E110,'큐펫&amp;몹 정리(최신)'!$B:$B,0))*25,IF($J110=3,INDEX('큐펫&amp;몹 정리(최신)'!T:T,MATCH($E110,'큐펫&amp;몹 정리(최신)'!$B:$B,0))*30,IF($J110=4,INDEX('큐펫&amp;몹 정리(최신)'!T:T,MATCH($E110,'큐펫&amp;몹 정리(최신)'!$B:$B,0))*35,INDEX('큐펫&amp;몹 정리(최신)'!T:T,MATCH($E110,'큐펫&amp;몹 정리(최신)'!$B:$B,0))*40))))</f>
        <v>1155</v>
      </c>
      <c r="P110" s="217">
        <v>80</v>
      </c>
      <c r="Q110" s="217">
        <f t="shared" si="8"/>
        <v>168588</v>
      </c>
      <c r="R110" s="217">
        <f t="shared" si="9"/>
        <v>1949</v>
      </c>
      <c r="S110" s="217">
        <f t="shared" si="10"/>
        <v>3519</v>
      </c>
      <c r="T110" s="217">
        <f t="shared" si="11"/>
        <v>21368</v>
      </c>
      <c r="U110" s="217">
        <f t="shared" si="12"/>
        <v>22220</v>
      </c>
      <c r="V110" s="217">
        <f t="shared" si="13"/>
        <v>40771</v>
      </c>
      <c r="W110" s="217">
        <f>ROUND(AC110+(INDEX(Ref!B$1:B$9,MATCH($AI110,Ref!$A$1:$A$9,0))*P110*0.0001),)</f>
        <v>36</v>
      </c>
      <c r="X110" s="217">
        <f>ROUND(AD110+(INDEX(Ref!C$1:C$9,MATCH($AI110,Ref!$A$1:$A$9,0))*$P110*0.0001),)</f>
        <v>46</v>
      </c>
      <c r="Y110" s="217">
        <f>ROUND(AE110+(INDEX(Ref!D$1:D$9,MATCH($AI110,Ref!$A$1:$A$9,0))*$P110*0.0001),)</f>
        <v>61</v>
      </c>
      <c r="Z110" s="217">
        <f>ROUND(AF110+(INDEX(Ref!E$1:E$9,MATCH($AI110,Ref!$A$1:$A$9,0))*$P110*0.0001),)</f>
        <v>58</v>
      </c>
      <c r="AA110" s="217">
        <f>ROUND(AG110+(INDEX(Ref!F$1:F$9,MATCH($AI110,Ref!$A$1:$A$9,0))*$P110*0.0001),)</f>
        <v>49</v>
      </c>
      <c r="AB110" s="217">
        <f>ROUND(AH110+(INDEX(Ref!G$1:G$9,MATCH($AI110,Ref!$A$1:$A$9,0))*$P110*0.0001),)</f>
        <v>54</v>
      </c>
      <c r="AC110" s="137">
        <v>26</v>
      </c>
      <c r="AD110" s="137">
        <v>33</v>
      </c>
      <c r="AE110" s="137">
        <v>49</v>
      </c>
      <c r="AF110" s="137">
        <v>42</v>
      </c>
      <c r="AG110" s="137">
        <v>35</v>
      </c>
      <c r="AH110" s="137">
        <v>39</v>
      </c>
      <c r="AI110" s="208">
        <v>8</v>
      </c>
      <c r="AJ110" s="172">
        <v>3000</v>
      </c>
      <c r="AK110" s="172">
        <v>30129</v>
      </c>
      <c r="AL110" s="172">
        <v>2000</v>
      </c>
      <c r="AM110" s="172">
        <v>30131</v>
      </c>
      <c r="AN110" s="172">
        <v>0</v>
      </c>
      <c r="AO110" s="172">
        <f t="shared" si="14"/>
        <v>34129</v>
      </c>
      <c r="AP110" s="172">
        <v>0</v>
      </c>
      <c r="AQ110" s="172">
        <f t="shared" si="15"/>
        <v>34131</v>
      </c>
      <c r="AR110" s="172">
        <v>1</v>
      </c>
      <c r="AS110" s="172">
        <v>0</v>
      </c>
      <c r="AT110" s="199">
        <v>78022</v>
      </c>
      <c r="AU110" s="195" t="s">
        <v>145</v>
      </c>
    </row>
    <row r="111" spans="1:47" x14ac:dyDescent="0.2">
      <c r="A111" s="173">
        <v>55022</v>
      </c>
      <c r="B111" s="174" t="s">
        <v>143</v>
      </c>
      <c r="C111" s="172">
        <v>86022</v>
      </c>
      <c r="D111" s="172">
        <v>150022</v>
      </c>
      <c r="E111" s="206" t="s">
        <v>144</v>
      </c>
      <c r="F111" s="207">
        <v>2</v>
      </c>
      <c r="G111" s="172">
        <v>8500</v>
      </c>
      <c r="H111" s="172">
        <v>8500</v>
      </c>
      <c r="I111" s="172">
        <v>10000</v>
      </c>
      <c r="J111" s="172">
        <v>5</v>
      </c>
      <c r="K111" s="190">
        <f>IF($J111=1,INDEX('큐펫&amp;몹 정리(최신)'!P:P,MATCH($E111,'큐펫&amp;몹 정리(최신)'!$B:$B,0))*20,IF($J111=2,INDEX('큐펫&amp;몹 정리(최신)'!P:P,MATCH($E111,'큐펫&amp;몹 정리(최신)'!$B:$B,0))*25,IF($J111=3,INDEX('큐펫&amp;몹 정리(최신)'!P:P,MATCH($E111,'큐펫&amp;몹 정리(최신)'!$B:$B,0))*30,IF($J111=4,INDEX('큐펫&amp;몹 정리(최신)'!P:P,MATCH($E111,'큐펫&amp;몹 정리(최신)'!$B:$B,0))*35,INDEX('큐펫&amp;몹 정리(최신)'!P:P,MATCH($E111,'큐펫&amp;몹 정리(최신)'!$B:$B,0))*40))))</f>
        <v>1440</v>
      </c>
      <c r="L111" s="190">
        <f>IF($J111=1,INDEX('큐펫&amp;몹 정리(최신)'!Q:Q,MATCH($E111,'큐펫&amp;몹 정리(최신)'!$B:$B,0))*20,IF($J111=2,INDEX('큐펫&amp;몹 정리(최신)'!Q:Q,MATCH($E111,'큐펫&amp;몹 정리(최신)'!$B:$B,0))*25,IF($J111=3,INDEX('큐펫&amp;몹 정리(최신)'!Q:Q,MATCH($E111,'큐펫&amp;몹 정리(최신)'!$B:$B,0))*30,IF($J111=4,INDEX('큐펫&amp;몹 정리(최신)'!Q:Q,MATCH($E111,'큐펫&amp;몹 정리(최신)'!$B:$B,0))*35,INDEX('큐펫&amp;몹 정리(최신)'!Q:Q,MATCH($E111,'큐펫&amp;몹 정리(최신)'!$B:$B,0))*40))))</f>
        <v>160</v>
      </c>
      <c r="M111" s="190">
        <f>IF($J111=1,INDEX('큐펫&amp;몹 정리(최신)'!R:R,MATCH($E111,'큐펫&amp;몹 정리(최신)'!$B:$B,0))*20,IF($J111=2,INDEX('큐펫&amp;몹 정리(최신)'!R:R,MATCH($E111,'큐펫&amp;몹 정리(최신)'!$B:$B,0))*25,IF($J111=3,INDEX('큐펫&amp;몹 정리(최신)'!R:R,MATCH($E111,'큐펫&amp;몹 정리(최신)'!$B:$B,0))*30,IF($J111=4,INDEX('큐펫&amp;몹 정리(최신)'!R:R,MATCH($E111,'큐펫&amp;몹 정리(최신)'!$B:$B,0))*35,INDEX('큐펫&amp;몹 정리(최신)'!R:R,MATCH($E111,'큐펫&amp;몹 정리(최신)'!$B:$B,0))*40))))</f>
        <v>720</v>
      </c>
      <c r="N111" s="190">
        <f>IF($J111=1,INDEX('큐펫&amp;몹 정리(최신)'!S:S,MATCH($E111,'큐펫&amp;몹 정리(최신)'!$B:$B,0))*20,IF($J111=2,INDEX('큐펫&amp;몹 정리(최신)'!S:S,MATCH($E111,'큐펫&amp;몹 정리(최신)'!$B:$B,0))*25,IF($J111=3,INDEX('큐펫&amp;몹 정리(최신)'!S:S,MATCH($E111,'큐펫&amp;몹 정리(최신)'!$B:$B,0))*30,IF($J111=4,INDEX('큐펫&amp;몹 정리(최신)'!S:S,MATCH($E111,'큐펫&amp;몹 정리(최신)'!$B:$B,0))*35,INDEX('큐펫&amp;몹 정리(최신)'!S:S,MATCH($E111,'큐펫&amp;몹 정리(최신)'!$B:$B,0))*40))))</f>
        <v>360</v>
      </c>
      <c r="O111" s="190">
        <f>IF($J111=1,INDEX('큐펫&amp;몹 정리(최신)'!T:T,MATCH($E111,'큐펫&amp;몹 정리(최신)'!$B:$B,0))*20,IF($J111=2,INDEX('큐펫&amp;몹 정리(최신)'!T:T,MATCH($E111,'큐펫&amp;몹 정리(최신)'!$B:$B,0))*25,IF($J111=3,INDEX('큐펫&amp;몹 정리(최신)'!T:T,MATCH($E111,'큐펫&amp;몹 정리(최신)'!$B:$B,0))*30,IF($J111=4,INDEX('큐펫&amp;몹 정리(최신)'!T:T,MATCH($E111,'큐펫&amp;몹 정리(최신)'!$B:$B,0))*35,INDEX('큐펫&amp;몹 정리(최신)'!T:T,MATCH($E111,'큐펫&amp;몹 정리(최신)'!$B:$B,0))*40))))</f>
        <v>1320</v>
      </c>
      <c r="P111" s="217">
        <v>100</v>
      </c>
      <c r="Q111" s="217">
        <f t="shared" si="8"/>
        <v>246240</v>
      </c>
      <c r="R111" s="217">
        <f t="shared" si="9"/>
        <v>2982</v>
      </c>
      <c r="S111" s="217">
        <f t="shared" si="10"/>
        <v>5202</v>
      </c>
      <c r="T111" s="217">
        <f t="shared" si="11"/>
        <v>31567</v>
      </c>
      <c r="U111" s="217">
        <f t="shared" si="12"/>
        <v>29895</v>
      </c>
      <c r="V111" s="217">
        <f t="shared" si="13"/>
        <v>54846</v>
      </c>
      <c r="W111" s="217">
        <f>ROUND(AC111+(INDEX(Ref!B$1:B$9,MATCH($AI111,Ref!$A$1:$A$9,0))*P111*0.0001),)</f>
        <v>42</v>
      </c>
      <c r="X111" s="217">
        <f>ROUND(AD111+(INDEX(Ref!C$1:C$9,MATCH($AI111,Ref!$A$1:$A$9,0))*$P111*0.0001),)</f>
        <v>52</v>
      </c>
      <c r="Y111" s="217">
        <f>ROUND(AE111+(INDEX(Ref!D$1:D$9,MATCH($AI111,Ref!$A$1:$A$9,0))*$P111*0.0001),)</f>
        <v>66</v>
      </c>
      <c r="Z111" s="217">
        <f>ROUND(AF111+(INDEX(Ref!E$1:E$9,MATCH($AI111,Ref!$A$1:$A$9,0))*$P111*0.0001),)</f>
        <v>66</v>
      </c>
      <c r="AA111" s="217">
        <f>ROUND(AG111+(INDEX(Ref!F$1:F$9,MATCH($AI111,Ref!$A$1:$A$9,0))*$P111*0.0001),)</f>
        <v>56</v>
      </c>
      <c r="AB111" s="217">
        <f>ROUND(AH111+(INDEX(Ref!G$1:G$9,MATCH($AI111,Ref!$A$1:$A$9,0))*$P111*0.0001),)</f>
        <v>62</v>
      </c>
      <c r="AC111" s="137">
        <v>29</v>
      </c>
      <c r="AD111" s="137">
        <v>36</v>
      </c>
      <c r="AE111" s="137">
        <v>51</v>
      </c>
      <c r="AF111" s="137">
        <v>46</v>
      </c>
      <c r="AG111" s="137">
        <v>39</v>
      </c>
      <c r="AH111" s="137">
        <v>43</v>
      </c>
      <c r="AI111" s="208">
        <v>8</v>
      </c>
      <c r="AJ111" s="172">
        <v>3000</v>
      </c>
      <c r="AK111" s="172">
        <v>30129</v>
      </c>
      <c r="AL111" s="172">
        <v>2000</v>
      </c>
      <c r="AM111" s="172">
        <v>30132</v>
      </c>
      <c r="AN111" s="172">
        <v>0</v>
      </c>
      <c r="AO111" s="172">
        <f t="shared" si="14"/>
        <v>34129</v>
      </c>
      <c r="AP111" s="172">
        <v>0</v>
      </c>
      <c r="AQ111" s="172">
        <f t="shared" si="15"/>
        <v>34132</v>
      </c>
      <c r="AR111" s="172">
        <v>1</v>
      </c>
      <c r="AS111" s="172">
        <v>0</v>
      </c>
      <c r="AT111" s="199">
        <v>78022</v>
      </c>
      <c r="AU111" s="195" t="s">
        <v>145</v>
      </c>
    </row>
    <row r="112" spans="1:47" x14ac:dyDescent="0.2">
      <c r="A112" s="173">
        <v>55023</v>
      </c>
      <c r="B112" s="174" t="s">
        <v>146</v>
      </c>
      <c r="C112" s="172">
        <v>86023</v>
      </c>
      <c r="D112" s="172">
        <v>150023</v>
      </c>
      <c r="E112" s="206" t="s">
        <v>147</v>
      </c>
      <c r="F112" s="207">
        <v>4</v>
      </c>
      <c r="G112" s="173">
        <v>11500</v>
      </c>
      <c r="H112" s="173">
        <v>9500</v>
      </c>
      <c r="I112" s="172">
        <v>10000</v>
      </c>
      <c r="J112" s="172">
        <v>1</v>
      </c>
      <c r="K112" s="190">
        <f>IF($J112=1,INDEX('큐펫&amp;몹 정리(최신)'!P:P,MATCH($E112,'큐펫&amp;몹 정리(최신)'!$B:$B,0))*20,IF($J112=2,INDEX('큐펫&amp;몹 정리(최신)'!P:P,MATCH($E112,'큐펫&amp;몹 정리(최신)'!$B:$B,0))*25,IF($J112=3,INDEX('큐펫&amp;몹 정리(최신)'!P:P,MATCH($E112,'큐펫&amp;몹 정리(최신)'!$B:$B,0))*30,IF($J112=4,INDEX('큐펫&amp;몹 정리(최신)'!P:P,MATCH($E112,'큐펫&amp;몹 정리(최신)'!$B:$B,0))*35,INDEX('큐펫&amp;몹 정리(최신)'!P:P,MATCH($E112,'큐펫&amp;몹 정리(최신)'!$B:$B,0))*40))))</f>
        <v>720</v>
      </c>
      <c r="L112" s="190">
        <f>IF($J112=1,INDEX('큐펫&amp;몹 정리(최신)'!Q:Q,MATCH($E112,'큐펫&amp;몹 정리(최신)'!$B:$B,0))*20,IF($J112=2,INDEX('큐펫&amp;몹 정리(최신)'!Q:Q,MATCH($E112,'큐펫&amp;몹 정리(최신)'!$B:$B,0))*25,IF($J112=3,INDEX('큐펫&amp;몹 정리(최신)'!Q:Q,MATCH($E112,'큐펫&amp;몹 정리(최신)'!$B:$B,0))*30,IF($J112=4,INDEX('큐펫&amp;몹 정리(최신)'!Q:Q,MATCH($E112,'큐펫&amp;몹 정리(최신)'!$B:$B,0))*35,INDEX('큐펫&amp;몹 정리(최신)'!Q:Q,MATCH($E112,'큐펫&amp;몹 정리(최신)'!$B:$B,0))*40))))</f>
        <v>80</v>
      </c>
      <c r="M112" s="190">
        <f>IF($J112=1,INDEX('큐펫&amp;몹 정리(최신)'!R:R,MATCH($E112,'큐펫&amp;몹 정리(최신)'!$B:$B,0))*20,IF($J112=2,INDEX('큐펫&amp;몹 정리(최신)'!R:R,MATCH($E112,'큐펫&amp;몹 정리(최신)'!$B:$B,0))*25,IF($J112=3,INDEX('큐펫&amp;몹 정리(최신)'!R:R,MATCH($E112,'큐펫&amp;몹 정리(최신)'!$B:$B,0))*30,IF($J112=4,INDEX('큐펫&amp;몹 정리(최신)'!R:R,MATCH($E112,'큐펫&amp;몹 정리(최신)'!$B:$B,0))*35,INDEX('큐펫&amp;몹 정리(최신)'!R:R,MATCH($E112,'큐펫&amp;몹 정리(최신)'!$B:$B,0))*40))))</f>
        <v>360</v>
      </c>
      <c r="N112" s="190">
        <f>IF($J112=1,INDEX('큐펫&amp;몹 정리(최신)'!S:S,MATCH($E112,'큐펫&amp;몹 정리(최신)'!$B:$B,0))*20,IF($J112=2,INDEX('큐펫&amp;몹 정리(최신)'!S:S,MATCH($E112,'큐펫&amp;몹 정리(최신)'!$B:$B,0))*25,IF($J112=3,INDEX('큐펫&amp;몹 정리(최신)'!S:S,MATCH($E112,'큐펫&amp;몹 정리(최신)'!$B:$B,0))*30,IF($J112=4,INDEX('큐펫&amp;몹 정리(최신)'!S:S,MATCH($E112,'큐펫&amp;몹 정리(최신)'!$B:$B,0))*35,INDEX('큐펫&amp;몹 정리(최신)'!S:S,MATCH($E112,'큐펫&amp;몹 정리(최신)'!$B:$B,0))*40))))</f>
        <v>400</v>
      </c>
      <c r="O112" s="190">
        <f>IF($J112=1,INDEX('큐펫&amp;몹 정리(최신)'!T:T,MATCH($E112,'큐펫&amp;몹 정리(최신)'!$B:$B,0))*20,IF($J112=2,INDEX('큐펫&amp;몹 정리(최신)'!T:T,MATCH($E112,'큐펫&amp;몹 정리(최신)'!$B:$B,0))*25,IF($J112=3,INDEX('큐펫&amp;몹 정리(최신)'!T:T,MATCH($E112,'큐펫&amp;몹 정리(최신)'!$B:$B,0))*30,IF($J112=4,INDEX('큐펫&amp;몹 정리(최신)'!T:T,MATCH($E112,'큐펫&amp;몹 정리(최신)'!$B:$B,0))*35,INDEX('큐펫&amp;몹 정리(최신)'!T:T,MATCH($E112,'큐펫&amp;몹 정리(최신)'!$B:$B,0))*40))))</f>
        <v>440</v>
      </c>
      <c r="P112" s="217">
        <v>20</v>
      </c>
      <c r="Q112" s="217">
        <f t="shared" si="8"/>
        <v>25488</v>
      </c>
      <c r="R112" s="217">
        <f t="shared" si="9"/>
        <v>346</v>
      </c>
      <c r="S112" s="217">
        <f t="shared" si="10"/>
        <v>488</v>
      </c>
      <c r="T112" s="217">
        <f t="shared" si="11"/>
        <v>6760</v>
      </c>
      <c r="U112" s="217">
        <f t="shared" si="12"/>
        <v>14406</v>
      </c>
      <c r="V112" s="217">
        <f t="shared" si="13"/>
        <v>7963</v>
      </c>
      <c r="W112" s="217">
        <f>ROUND(AC112+(INDEX(Ref!B$1:B$9,MATCH($AI112,Ref!$A$1:$A$9,0))*P112*0.0001),)</f>
        <v>19</v>
      </c>
      <c r="X112" s="217">
        <f>ROUND(AD112+(INDEX(Ref!C$1:C$9,MATCH($AI112,Ref!$A$1:$A$9,0))*$P112*0.0001),)</f>
        <v>26</v>
      </c>
      <c r="Y112" s="217">
        <f>ROUND(AE112+(INDEX(Ref!D$1:D$9,MATCH($AI112,Ref!$A$1:$A$9,0))*$P112*0.0001),)</f>
        <v>52</v>
      </c>
      <c r="Z112" s="217">
        <f>ROUND(AF112+(INDEX(Ref!E$1:E$9,MATCH($AI112,Ref!$A$1:$A$9,0))*$P112*0.0001),)</f>
        <v>43</v>
      </c>
      <c r="AA112" s="217">
        <f>ROUND(AG112+(INDEX(Ref!F$1:F$9,MATCH($AI112,Ref!$A$1:$A$9,0))*$P112*0.0001),)</f>
        <v>23</v>
      </c>
      <c r="AB112" s="217">
        <f>ROUND(AH112+(INDEX(Ref!G$1:G$9,MATCH($AI112,Ref!$A$1:$A$9,0))*$P112*0.0001),)</f>
        <v>21</v>
      </c>
      <c r="AC112" s="137">
        <v>17</v>
      </c>
      <c r="AD112" s="137">
        <v>23</v>
      </c>
      <c r="AE112" s="137">
        <v>48</v>
      </c>
      <c r="AF112" s="137">
        <v>38</v>
      </c>
      <c r="AG112" s="137">
        <v>20</v>
      </c>
      <c r="AH112" s="137">
        <v>18</v>
      </c>
      <c r="AI112" s="208">
        <v>2</v>
      </c>
      <c r="AJ112" s="172">
        <v>3000</v>
      </c>
      <c r="AK112" s="172">
        <v>30133</v>
      </c>
      <c r="AL112" s="172">
        <v>2000</v>
      </c>
      <c r="AM112" s="172">
        <v>30136</v>
      </c>
      <c r="AN112" s="172">
        <v>0</v>
      </c>
      <c r="AO112" s="172">
        <f t="shared" si="14"/>
        <v>34133</v>
      </c>
      <c r="AP112" s="172">
        <v>0</v>
      </c>
      <c r="AQ112" s="172">
        <f t="shared" si="15"/>
        <v>34136</v>
      </c>
      <c r="AR112" s="172">
        <v>1</v>
      </c>
      <c r="AS112" s="172">
        <v>0</v>
      </c>
      <c r="AT112" s="199">
        <v>78023</v>
      </c>
      <c r="AU112" s="195" t="s">
        <v>148</v>
      </c>
    </row>
    <row r="113" spans="1:47" x14ac:dyDescent="0.2">
      <c r="A113" s="173">
        <v>55023</v>
      </c>
      <c r="B113" s="174" t="s">
        <v>146</v>
      </c>
      <c r="C113" s="172">
        <v>86023</v>
      </c>
      <c r="D113" s="172">
        <v>150023</v>
      </c>
      <c r="E113" s="206" t="s">
        <v>147</v>
      </c>
      <c r="F113" s="207">
        <v>4</v>
      </c>
      <c r="G113" s="173">
        <v>11500</v>
      </c>
      <c r="H113" s="173">
        <v>9500</v>
      </c>
      <c r="I113" s="172">
        <v>10000</v>
      </c>
      <c r="J113" s="172">
        <v>2</v>
      </c>
      <c r="K113" s="190">
        <f>IF($J113=1,INDEX('큐펫&amp;몹 정리(최신)'!P:P,MATCH($E113,'큐펫&amp;몹 정리(최신)'!$B:$B,0))*20,IF($J113=2,INDEX('큐펫&amp;몹 정리(최신)'!P:P,MATCH($E113,'큐펫&amp;몹 정리(최신)'!$B:$B,0))*25,IF($J113=3,INDEX('큐펫&amp;몹 정리(최신)'!P:P,MATCH($E113,'큐펫&amp;몹 정리(최신)'!$B:$B,0))*30,IF($J113=4,INDEX('큐펫&amp;몹 정리(최신)'!P:P,MATCH($E113,'큐펫&amp;몹 정리(최신)'!$B:$B,0))*35,INDEX('큐펫&amp;몹 정리(최신)'!P:P,MATCH($E113,'큐펫&amp;몹 정리(최신)'!$B:$B,0))*40))))</f>
        <v>900</v>
      </c>
      <c r="L113" s="190">
        <f>IF($J113=1,INDEX('큐펫&amp;몹 정리(최신)'!Q:Q,MATCH($E113,'큐펫&amp;몹 정리(최신)'!$B:$B,0))*20,IF($J113=2,INDEX('큐펫&amp;몹 정리(최신)'!Q:Q,MATCH($E113,'큐펫&amp;몹 정리(최신)'!$B:$B,0))*25,IF($J113=3,INDEX('큐펫&amp;몹 정리(최신)'!Q:Q,MATCH($E113,'큐펫&amp;몹 정리(최신)'!$B:$B,0))*30,IF($J113=4,INDEX('큐펫&amp;몹 정리(최신)'!Q:Q,MATCH($E113,'큐펫&amp;몹 정리(최신)'!$B:$B,0))*35,INDEX('큐펫&amp;몹 정리(최신)'!Q:Q,MATCH($E113,'큐펫&amp;몹 정리(최신)'!$B:$B,0))*40))))</f>
        <v>100</v>
      </c>
      <c r="M113" s="190">
        <f>IF($J113=1,INDEX('큐펫&amp;몹 정리(최신)'!R:R,MATCH($E113,'큐펫&amp;몹 정리(최신)'!$B:$B,0))*20,IF($J113=2,INDEX('큐펫&amp;몹 정리(최신)'!R:R,MATCH($E113,'큐펫&amp;몹 정리(최신)'!$B:$B,0))*25,IF($J113=3,INDEX('큐펫&amp;몹 정리(최신)'!R:R,MATCH($E113,'큐펫&amp;몹 정리(최신)'!$B:$B,0))*30,IF($J113=4,INDEX('큐펫&amp;몹 정리(최신)'!R:R,MATCH($E113,'큐펫&amp;몹 정리(최신)'!$B:$B,0))*35,INDEX('큐펫&amp;몹 정리(최신)'!R:R,MATCH($E113,'큐펫&amp;몹 정리(최신)'!$B:$B,0))*40))))</f>
        <v>450</v>
      </c>
      <c r="N113" s="190">
        <f>IF($J113=1,INDEX('큐펫&amp;몹 정리(최신)'!S:S,MATCH($E113,'큐펫&amp;몹 정리(최신)'!$B:$B,0))*20,IF($J113=2,INDEX('큐펫&amp;몹 정리(최신)'!S:S,MATCH($E113,'큐펫&amp;몹 정리(최신)'!$B:$B,0))*25,IF($J113=3,INDEX('큐펫&amp;몹 정리(최신)'!S:S,MATCH($E113,'큐펫&amp;몹 정리(최신)'!$B:$B,0))*30,IF($J113=4,INDEX('큐펫&amp;몹 정리(최신)'!S:S,MATCH($E113,'큐펫&amp;몹 정리(최신)'!$B:$B,0))*35,INDEX('큐펫&amp;몹 정리(최신)'!S:S,MATCH($E113,'큐펫&amp;몹 정리(최신)'!$B:$B,0))*40))))</f>
        <v>500</v>
      </c>
      <c r="O113" s="190">
        <f>IF($J113=1,INDEX('큐펫&amp;몹 정리(최신)'!T:T,MATCH($E113,'큐펫&amp;몹 정리(최신)'!$B:$B,0))*20,IF($J113=2,INDEX('큐펫&amp;몹 정리(최신)'!T:T,MATCH($E113,'큐펫&amp;몹 정리(최신)'!$B:$B,0))*25,IF($J113=3,INDEX('큐펫&amp;몹 정리(최신)'!T:T,MATCH($E113,'큐펫&amp;몹 정리(최신)'!$B:$B,0))*30,IF($J113=4,INDEX('큐펫&amp;몹 정리(최신)'!T:T,MATCH($E113,'큐펫&amp;몹 정리(최신)'!$B:$B,0))*35,INDEX('큐펫&amp;몹 정리(최신)'!T:T,MATCH($E113,'큐펫&amp;몹 정리(최신)'!$B:$B,0))*40))))</f>
        <v>550</v>
      </c>
      <c r="P113" s="217">
        <v>40</v>
      </c>
      <c r="Q113" s="217">
        <f t="shared" si="8"/>
        <v>62100</v>
      </c>
      <c r="R113" s="217">
        <f t="shared" si="9"/>
        <v>656</v>
      </c>
      <c r="S113" s="217">
        <f t="shared" si="10"/>
        <v>930</v>
      </c>
      <c r="T113" s="217">
        <f t="shared" si="11"/>
        <v>12776</v>
      </c>
      <c r="U113" s="217">
        <f t="shared" si="12"/>
        <v>25009</v>
      </c>
      <c r="V113" s="217">
        <f t="shared" si="13"/>
        <v>13803</v>
      </c>
      <c r="W113" s="217">
        <f>ROUND(AC113+(INDEX(Ref!B$1:B$9,MATCH($AI113,Ref!$A$1:$A$9,0))*P113*0.0001),)</f>
        <v>24</v>
      </c>
      <c r="X113" s="217">
        <f>ROUND(AD113+(INDEX(Ref!C$1:C$9,MATCH($AI113,Ref!$A$1:$A$9,0))*$P113*0.0001),)</f>
        <v>32</v>
      </c>
      <c r="Y113" s="217">
        <f>ROUND(AE113+(INDEX(Ref!D$1:D$9,MATCH($AI113,Ref!$A$1:$A$9,0))*$P113*0.0001),)</f>
        <v>60</v>
      </c>
      <c r="Z113" s="217">
        <f>ROUND(AF113+(INDEX(Ref!E$1:E$9,MATCH($AI113,Ref!$A$1:$A$9,0))*$P113*0.0001),)</f>
        <v>53</v>
      </c>
      <c r="AA113" s="217">
        <f>ROUND(AG113+(INDEX(Ref!F$1:F$9,MATCH($AI113,Ref!$A$1:$A$9,0))*$P113*0.0001),)</f>
        <v>29</v>
      </c>
      <c r="AB113" s="217">
        <f>ROUND(AH113+(INDEX(Ref!G$1:G$9,MATCH($AI113,Ref!$A$1:$A$9,0))*$P113*0.0001),)</f>
        <v>26</v>
      </c>
      <c r="AC113" s="137">
        <v>19</v>
      </c>
      <c r="AD113" s="137">
        <v>26</v>
      </c>
      <c r="AE113" s="137">
        <v>52</v>
      </c>
      <c r="AF113" s="137">
        <v>43</v>
      </c>
      <c r="AG113" s="137">
        <v>23</v>
      </c>
      <c r="AH113" s="137">
        <v>21</v>
      </c>
      <c r="AI113" s="208">
        <v>2</v>
      </c>
      <c r="AJ113" s="172">
        <v>3000</v>
      </c>
      <c r="AK113" s="172">
        <v>30134</v>
      </c>
      <c r="AL113" s="172">
        <v>2000</v>
      </c>
      <c r="AM113" s="172">
        <v>30136</v>
      </c>
      <c r="AN113" s="172">
        <v>0</v>
      </c>
      <c r="AO113" s="172">
        <f t="shared" si="14"/>
        <v>34134</v>
      </c>
      <c r="AP113" s="172">
        <v>0</v>
      </c>
      <c r="AQ113" s="172">
        <f t="shared" si="15"/>
        <v>34136</v>
      </c>
      <c r="AR113" s="172">
        <v>1</v>
      </c>
      <c r="AS113" s="172">
        <v>0</v>
      </c>
      <c r="AT113" s="199">
        <v>78023</v>
      </c>
      <c r="AU113" s="195" t="s">
        <v>148</v>
      </c>
    </row>
    <row r="114" spans="1:47" x14ac:dyDescent="0.2">
      <c r="A114" s="173">
        <v>55023</v>
      </c>
      <c r="B114" s="174" t="s">
        <v>146</v>
      </c>
      <c r="C114" s="172">
        <v>86023</v>
      </c>
      <c r="D114" s="172">
        <v>150023</v>
      </c>
      <c r="E114" s="206" t="s">
        <v>147</v>
      </c>
      <c r="F114" s="207">
        <v>4</v>
      </c>
      <c r="G114" s="173">
        <v>11500</v>
      </c>
      <c r="H114" s="173">
        <v>9500</v>
      </c>
      <c r="I114" s="172">
        <v>10000</v>
      </c>
      <c r="J114" s="172">
        <v>3</v>
      </c>
      <c r="K114" s="190">
        <f>IF($J114=1,INDEX('큐펫&amp;몹 정리(최신)'!P:P,MATCH($E114,'큐펫&amp;몹 정리(최신)'!$B:$B,0))*20,IF($J114=2,INDEX('큐펫&amp;몹 정리(최신)'!P:P,MATCH($E114,'큐펫&amp;몹 정리(최신)'!$B:$B,0))*25,IF($J114=3,INDEX('큐펫&amp;몹 정리(최신)'!P:P,MATCH($E114,'큐펫&amp;몹 정리(최신)'!$B:$B,0))*30,IF($J114=4,INDEX('큐펫&amp;몹 정리(최신)'!P:P,MATCH($E114,'큐펫&amp;몹 정리(최신)'!$B:$B,0))*35,INDEX('큐펫&amp;몹 정리(최신)'!P:P,MATCH($E114,'큐펫&amp;몹 정리(최신)'!$B:$B,0))*40))))</f>
        <v>1080</v>
      </c>
      <c r="L114" s="190">
        <f>IF($J114=1,INDEX('큐펫&amp;몹 정리(최신)'!Q:Q,MATCH($E114,'큐펫&amp;몹 정리(최신)'!$B:$B,0))*20,IF($J114=2,INDEX('큐펫&amp;몹 정리(최신)'!Q:Q,MATCH($E114,'큐펫&amp;몹 정리(최신)'!$B:$B,0))*25,IF($J114=3,INDEX('큐펫&amp;몹 정리(최신)'!Q:Q,MATCH($E114,'큐펫&amp;몹 정리(최신)'!$B:$B,0))*30,IF($J114=4,INDEX('큐펫&amp;몹 정리(최신)'!Q:Q,MATCH($E114,'큐펫&amp;몹 정리(최신)'!$B:$B,0))*35,INDEX('큐펫&amp;몹 정리(최신)'!Q:Q,MATCH($E114,'큐펫&amp;몹 정리(최신)'!$B:$B,0))*40))))</f>
        <v>120</v>
      </c>
      <c r="M114" s="190">
        <f>IF($J114=1,INDEX('큐펫&amp;몹 정리(최신)'!R:R,MATCH($E114,'큐펫&amp;몹 정리(최신)'!$B:$B,0))*20,IF($J114=2,INDEX('큐펫&amp;몹 정리(최신)'!R:R,MATCH($E114,'큐펫&amp;몹 정리(최신)'!$B:$B,0))*25,IF($J114=3,INDEX('큐펫&amp;몹 정리(최신)'!R:R,MATCH($E114,'큐펫&amp;몹 정리(최신)'!$B:$B,0))*30,IF($J114=4,INDEX('큐펫&amp;몹 정리(최신)'!R:R,MATCH($E114,'큐펫&amp;몹 정리(최신)'!$B:$B,0))*35,INDEX('큐펫&amp;몹 정리(최신)'!R:R,MATCH($E114,'큐펫&amp;몹 정리(최신)'!$B:$B,0))*40))))</f>
        <v>540</v>
      </c>
      <c r="N114" s="190">
        <f>IF($J114=1,INDEX('큐펫&amp;몹 정리(최신)'!S:S,MATCH($E114,'큐펫&amp;몹 정리(최신)'!$B:$B,0))*20,IF($J114=2,INDEX('큐펫&amp;몹 정리(최신)'!S:S,MATCH($E114,'큐펫&amp;몹 정리(최신)'!$B:$B,0))*25,IF($J114=3,INDEX('큐펫&amp;몹 정리(최신)'!S:S,MATCH($E114,'큐펫&amp;몹 정리(최신)'!$B:$B,0))*30,IF($J114=4,INDEX('큐펫&amp;몹 정리(최신)'!S:S,MATCH($E114,'큐펫&amp;몹 정리(최신)'!$B:$B,0))*35,INDEX('큐펫&amp;몹 정리(최신)'!S:S,MATCH($E114,'큐펫&amp;몹 정리(최신)'!$B:$B,0))*40))))</f>
        <v>600</v>
      </c>
      <c r="O114" s="190">
        <f>IF($J114=1,INDEX('큐펫&amp;몹 정리(최신)'!T:T,MATCH($E114,'큐펫&amp;몹 정리(최신)'!$B:$B,0))*20,IF($J114=2,INDEX('큐펫&amp;몹 정리(최신)'!T:T,MATCH($E114,'큐펫&amp;몹 정리(최신)'!$B:$B,0))*25,IF($J114=3,INDEX('큐펫&amp;몹 정리(최신)'!T:T,MATCH($E114,'큐펫&amp;몹 정리(최신)'!$B:$B,0))*30,IF($J114=4,INDEX('큐펫&amp;몹 정리(최신)'!T:T,MATCH($E114,'큐펫&amp;몹 정리(최신)'!$B:$B,0))*35,INDEX('큐펫&amp;몹 정리(최신)'!T:T,MATCH($E114,'큐펫&amp;몹 정리(최신)'!$B:$B,0))*40))))</f>
        <v>660</v>
      </c>
      <c r="P114" s="217">
        <v>60</v>
      </c>
      <c r="Q114" s="217">
        <f t="shared" si="8"/>
        <v>114264</v>
      </c>
      <c r="R114" s="217">
        <f t="shared" si="9"/>
        <v>1041</v>
      </c>
      <c r="S114" s="217">
        <f t="shared" si="10"/>
        <v>1498</v>
      </c>
      <c r="T114" s="217">
        <f t="shared" si="11"/>
        <v>21600</v>
      </c>
      <c r="U114" s="217">
        <f t="shared" si="12"/>
        <v>38411</v>
      </c>
      <c r="V114" s="217">
        <f t="shared" si="13"/>
        <v>21183</v>
      </c>
      <c r="W114" s="217">
        <f>ROUND(AC114+(INDEX(Ref!B$1:B$9,MATCH($AI114,Ref!$A$1:$A$9,0))*P114*0.0001),)</f>
        <v>28</v>
      </c>
      <c r="X114" s="217">
        <f>ROUND(AD114+(INDEX(Ref!C$1:C$9,MATCH($AI114,Ref!$A$1:$A$9,0))*$P114*0.0001),)</f>
        <v>40</v>
      </c>
      <c r="Y114" s="217">
        <f>ROUND(AE114+(INDEX(Ref!D$1:D$9,MATCH($AI114,Ref!$A$1:$A$9,0))*$P114*0.0001),)</f>
        <v>68</v>
      </c>
      <c r="Z114" s="217">
        <f>ROUND(AF114+(INDEX(Ref!E$1:E$9,MATCH($AI114,Ref!$A$1:$A$9,0))*$P114*0.0001),)</f>
        <v>63</v>
      </c>
      <c r="AA114" s="217">
        <f>ROUND(AG114+(INDEX(Ref!F$1:F$9,MATCH($AI114,Ref!$A$1:$A$9,0))*$P114*0.0001),)</f>
        <v>34</v>
      </c>
      <c r="AB114" s="217">
        <f>ROUND(AH114+(INDEX(Ref!G$1:G$9,MATCH($AI114,Ref!$A$1:$A$9,0))*$P114*0.0001),)</f>
        <v>31</v>
      </c>
      <c r="AC114" s="137">
        <v>21</v>
      </c>
      <c r="AD114" s="137">
        <v>30</v>
      </c>
      <c r="AE114" s="137">
        <v>56</v>
      </c>
      <c r="AF114" s="137">
        <v>48.000000000000007</v>
      </c>
      <c r="AG114" s="137">
        <v>26</v>
      </c>
      <c r="AH114" s="137">
        <v>23</v>
      </c>
      <c r="AI114" s="208">
        <v>2</v>
      </c>
      <c r="AJ114" s="172">
        <v>3000</v>
      </c>
      <c r="AK114" s="172">
        <v>30134</v>
      </c>
      <c r="AL114" s="172">
        <v>2000</v>
      </c>
      <c r="AM114" s="172">
        <v>30137</v>
      </c>
      <c r="AN114" s="172">
        <v>0</v>
      </c>
      <c r="AO114" s="172">
        <f t="shared" si="14"/>
        <v>34134</v>
      </c>
      <c r="AP114" s="172">
        <v>0</v>
      </c>
      <c r="AQ114" s="172">
        <f t="shared" si="15"/>
        <v>34137</v>
      </c>
      <c r="AR114" s="172">
        <v>1</v>
      </c>
      <c r="AS114" s="172">
        <v>0</v>
      </c>
      <c r="AT114" s="199">
        <v>78023</v>
      </c>
      <c r="AU114" s="195" t="s">
        <v>148</v>
      </c>
    </row>
    <row r="115" spans="1:47" x14ac:dyDescent="0.2">
      <c r="A115" s="173">
        <v>55023</v>
      </c>
      <c r="B115" s="174" t="s">
        <v>146</v>
      </c>
      <c r="C115" s="172">
        <v>86023</v>
      </c>
      <c r="D115" s="172">
        <v>150023</v>
      </c>
      <c r="E115" s="206" t="s">
        <v>147</v>
      </c>
      <c r="F115" s="207">
        <v>4</v>
      </c>
      <c r="G115" s="173">
        <v>11500</v>
      </c>
      <c r="H115" s="173">
        <v>9500</v>
      </c>
      <c r="I115" s="172">
        <v>10000</v>
      </c>
      <c r="J115" s="172">
        <v>4</v>
      </c>
      <c r="K115" s="190">
        <f>IF($J115=1,INDEX('큐펫&amp;몹 정리(최신)'!P:P,MATCH($E115,'큐펫&amp;몹 정리(최신)'!$B:$B,0))*20,IF($J115=2,INDEX('큐펫&amp;몹 정리(최신)'!P:P,MATCH($E115,'큐펫&amp;몹 정리(최신)'!$B:$B,0))*25,IF($J115=3,INDEX('큐펫&amp;몹 정리(최신)'!P:P,MATCH($E115,'큐펫&amp;몹 정리(최신)'!$B:$B,0))*30,IF($J115=4,INDEX('큐펫&amp;몹 정리(최신)'!P:P,MATCH($E115,'큐펫&amp;몹 정리(최신)'!$B:$B,0))*35,INDEX('큐펫&amp;몹 정리(최신)'!P:P,MATCH($E115,'큐펫&amp;몹 정리(최신)'!$B:$B,0))*40))))</f>
        <v>1260</v>
      </c>
      <c r="L115" s="190">
        <f>IF($J115=1,INDEX('큐펫&amp;몹 정리(최신)'!Q:Q,MATCH($E115,'큐펫&amp;몹 정리(최신)'!$B:$B,0))*20,IF($J115=2,INDEX('큐펫&amp;몹 정리(최신)'!Q:Q,MATCH($E115,'큐펫&amp;몹 정리(최신)'!$B:$B,0))*25,IF($J115=3,INDEX('큐펫&amp;몹 정리(최신)'!Q:Q,MATCH($E115,'큐펫&amp;몹 정리(최신)'!$B:$B,0))*30,IF($J115=4,INDEX('큐펫&amp;몹 정리(최신)'!Q:Q,MATCH($E115,'큐펫&amp;몹 정리(최신)'!$B:$B,0))*35,INDEX('큐펫&amp;몹 정리(최신)'!Q:Q,MATCH($E115,'큐펫&amp;몹 정리(최신)'!$B:$B,0))*40))))</f>
        <v>140</v>
      </c>
      <c r="M115" s="190">
        <f>IF($J115=1,INDEX('큐펫&amp;몹 정리(최신)'!R:R,MATCH($E115,'큐펫&amp;몹 정리(최신)'!$B:$B,0))*20,IF($J115=2,INDEX('큐펫&amp;몹 정리(최신)'!R:R,MATCH($E115,'큐펫&amp;몹 정리(최신)'!$B:$B,0))*25,IF($J115=3,INDEX('큐펫&amp;몹 정리(최신)'!R:R,MATCH($E115,'큐펫&amp;몹 정리(최신)'!$B:$B,0))*30,IF($J115=4,INDEX('큐펫&amp;몹 정리(최신)'!R:R,MATCH($E115,'큐펫&amp;몹 정리(최신)'!$B:$B,0))*35,INDEX('큐펫&amp;몹 정리(최신)'!R:R,MATCH($E115,'큐펫&amp;몹 정리(최신)'!$B:$B,0))*40))))</f>
        <v>630</v>
      </c>
      <c r="N115" s="190">
        <f>IF($J115=1,INDEX('큐펫&amp;몹 정리(최신)'!S:S,MATCH($E115,'큐펫&amp;몹 정리(최신)'!$B:$B,0))*20,IF($J115=2,INDEX('큐펫&amp;몹 정리(최신)'!S:S,MATCH($E115,'큐펫&amp;몹 정리(최신)'!$B:$B,0))*25,IF($J115=3,INDEX('큐펫&amp;몹 정리(최신)'!S:S,MATCH($E115,'큐펫&amp;몹 정리(최신)'!$B:$B,0))*30,IF($J115=4,INDEX('큐펫&amp;몹 정리(최신)'!S:S,MATCH($E115,'큐펫&amp;몹 정리(최신)'!$B:$B,0))*35,INDEX('큐펫&amp;몹 정리(최신)'!S:S,MATCH($E115,'큐펫&amp;몹 정리(최신)'!$B:$B,0))*40))))</f>
        <v>700</v>
      </c>
      <c r="O115" s="190">
        <f>IF($J115=1,INDEX('큐펫&amp;몹 정리(최신)'!T:T,MATCH($E115,'큐펫&amp;몹 정리(최신)'!$B:$B,0))*20,IF($J115=2,INDEX('큐펫&amp;몹 정리(최신)'!T:T,MATCH($E115,'큐펫&amp;몹 정리(최신)'!$B:$B,0))*25,IF($J115=3,INDEX('큐펫&amp;몹 정리(최신)'!T:T,MATCH($E115,'큐펫&amp;몹 정리(최신)'!$B:$B,0))*30,IF($J115=4,INDEX('큐펫&amp;몹 정리(최신)'!T:T,MATCH($E115,'큐펫&amp;몹 정리(최신)'!$B:$B,0))*35,INDEX('큐펫&amp;몹 정리(최신)'!T:T,MATCH($E115,'큐펫&amp;몹 정리(최신)'!$B:$B,0))*40))))</f>
        <v>770</v>
      </c>
      <c r="P115" s="217">
        <v>80</v>
      </c>
      <c r="Q115" s="217">
        <f t="shared" si="8"/>
        <v>183708</v>
      </c>
      <c r="R115" s="217">
        <f t="shared" si="9"/>
        <v>1743</v>
      </c>
      <c r="S115" s="217">
        <f t="shared" si="10"/>
        <v>2263</v>
      </c>
      <c r="T115" s="217">
        <f t="shared" si="11"/>
        <v>33772</v>
      </c>
      <c r="U115" s="217">
        <f t="shared" si="12"/>
        <v>54612</v>
      </c>
      <c r="V115" s="217">
        <f t="shared" si="13"/>
        <v>30103</v>
      </c>
      <c r="W115" s="217">
        <f>ROUND(AC115+(INDEX(Ref!B$1:B$9,MATCH($AI115,Ref!$A$1:$A$9,0))*P115*0.0001),)</f>
        <v>34</v>
      </c>
      <c r="X115" s="217">
        <f>ROUND(AD115+(INDEX(Ref!C$1:C$9,MATCH($AI115,Ref!$A$1:$A$9,0))*$P115*0.0001),)</f>
        <v>46</v>
      </c>
      <c r="Y115" s="217">
        <f>ROUND(AE115+(INDEX(Ref!D$1:D$9,MATCH($AI115,Ref!$A$1:$A$9,0))*$P115*0.0001),)</f>
        <v>76</v>
      </c>
      <c r="Z115" s="217">
        <f>ROUND(AF115+(INDEX(Ref!E$1:E$9,MATCH($AI115,Ref!$A$1:$A$9,0))*$P115*0.0001),)</f>
        <v>73</v>
      </c>
      <c r="AA115" s="217">
        <f>ROUND(AG115+(INDEX(Ref!F$1:F$9,MATCH($AI115,Ref!$A$1:$A$9,0))*$P115*0.0001),)</f>
        <v>39</v>
      </c>
      <c r="AB115" s="217">
        <f>ROUND(AH115+(INDEX(Ref!G$1:G$9,MATCH($AI115,Ref!$A$1:$A$9,0))*$P115*0.0001),)</f>
        <v>36</v>
      </c>
      <c r="AC115" s="137">
        <v>24</v>
      </c>
      <c r="AD115" s="137">
        <v>33</v>
      </c>
      <c r="AE115" s="137">
        <v>60</v>
      </c>
      <c r="AF115" s="137">
        <v>53</v>
      </c>
      <c r="AG115" s="137">
        <v>28</v>
      </c>
      <c r="AH115" s="137">
        <v>26</v>
      </c>
      <c r="AI115" s="208">
        <v>2</v>
      </c>
      <c r="AJ115" s="172">
        <v>3000</v>
      </c>
      <c r="AK115" s="172">
        <v>30135</v>
      </c>
      <c r="AL115" s="172">
        <v>2000</v>
      </c>
      <c r="AM115" s="172">
        <v>30137</v>
      </c>
      <c r="AN115" s="172">
        <v>0</v>
      </c>
      <c r="AO115" s="172">
        <f t="shared" si="14"/>
        <v>34135</v>
      </c>
      <c r="AP115" s="172">
        <v>0</v>
      </c>
      <c r="AQ115" s="172">
        <f t="shared" si="15"/>
        <v>34137</v>
      </c>
      <c r="AR115" s="172">
        <v>1</v>
      </c>
      <c r="AS115" s="172">
        <v>0</v>
      </c>
      <c r="AT115" s="199">
        <v>78023</v>
      </c>
      <c r="AU115" s="195" t="s">
        <v>148</v>
      </c>
    </row>
    <row r="116" spans="1:47" x14ac:dyDescent="0.2">
      <c r="A116" s="173">
        <v>55023</v>
      </c>
      <c r="B116" s="174" t="s">
        <v>146</v>
      </c>
      <c r="C116" s="172">
        <v>86023</v>
      </c>
      <c r="D116" s="172">
        <v>150023</v>
      </c>
      <c r="E116" s="206" t="s">
        <v>147</v>
      </c>
      <c r="F116" s="207">
        <v>4</v>
      </c>
      <c r="G116" s="173">
        <v>11500</v>
      </c>
      <c r="H116" s="173">
        <v>9500</v>
      </c>
      <c r="I116" s="172">
        <v>10000</v>
      </c>
      <c r="J116" s="172">
        <v>5</v>
      </c>
      <c r="K116" s="190">
        <f>IF($J116=1,INDEX('큐펫&amp;몹 정리(최신)'!P:P,MATCH($E116,'큐펫&amp;몹 정리(최신)'!$B:$B,0))*20,IF($J116=2,INDEX('큐펫&amp;몹 정리(최신)'!P:P,MATCH($E116,'큐펫&amp;몹 정리(최신)'!$B:$B,0))*25,IF($J116=3,INDEX('큐펫&amp;몹 정리(최신)'!P:P,MATCH($E116,'큐펫&amp;몹 정리(최신)'!$B:$B,0))*30,IF($J116=4,INDEX('큐펫&amp;몹 정리(최신)'!P:P,MATCH($E116,'큐펫&amp;몹 정리(최신)'!$B:$B,0))*35,INDEX('큐펫&amp;몹 정리(최신)'!P:P,MATCH($E116,'큐펫&amp;몹 정리(최신)'!$B:$B,0))*40))))</f>
        <v>1440</v>
      </c>
      <c r="L116" s="190">
        <f>IF($J116=1,INDEX('큐펫&amp;몹 정리(최신)'!Q:Q,MATCH($E116,'큐펫&amp;몹 정리(최신)'!$B:$B,0))*20,IF($J116=2,INDEX('큐펫&amp;몹 정리(최신)'!Q:Q,MATCH($E116,'큐펫&amp;몹 정리(최신)'!$B:$B,0))*25,IF($J116=3,INDEX('큐펫&amp;몹 정리(최신)'!Q:Q,MATCH($E116,'큐펫&amp;몹 정리(최신)'!$B:$B,0))*30,IF($J116=4,INDEX('큐펫&amp;몹 정리(최신)'!Q:Q,MATCH($E116,'큐펫&amp;몹 정리(최신)'!$B:$B,0))*35,INDEX('큐펫&amp;몹 정리(최신)'!Q:Q,MATCH($E116,'큐펫&amp;몹 정리(최신)'!$B:$B,0))*40))))</f>
        <v>160</v>
      </c>
      <c r="M116" s="190">
        <f>IF($J116=1,INDEX('큐펫&amp;몹 정리(최신)'!R:R,MATCH($E116,'큐펫&amp;몹 정리(최신)'!$B:$B,0))*20,IF($J116=2,INDEX('큐펫&amp;몹 정리(최신)'!R:R,MATCH($E116,'큐펫&amp;몹 정리(최신)'!$B:$B,0))*25,IF($J116=3,INDEX('큐펫&amp;몹 정리(최신)'!R:R,MATCH($E116,'큐펫&amp;몹 정리(최신)'!$B:$B,0))*30,IF($J116=4,INDEX('큐펫&amp;몹 정리(최신)'!R:R,MATCH($E116,'큐펫&amp;몹 정리(최신)'!$B:$B,0))*35,INDEX('큐펫&amp;몹 정리(최신)'!R:R,MATCH($E116,'큐펫&amp;몹 정리(최신)'!$B:$B,0))*40))))</f>
        <v>720</v>
      </c>
      <c r="N116" s="190">
        <f>IF($J116=1,INDEX('큐펫&amp;몹 정리(최신)'!S:S,MATCH($E116,'큐펫&amp;몹 정리(최신)'!$B:$B,0))*20,IF($J116=2,INDEX('큐펫&amp;몹 정리(최신)'!S:S,MATCH($E116,'큐펫&amp;몹 정리(최신)'!$B:$B,0))*25,IF($J116=3,INDEX('큐펫&amp;몹 정리(최신)'!S:S,MATCH($E116,'큐펫&amp;몹 정리(최신)'!$B:$B,0))*30,IF($J116=4,INDEX('큐펫&amp;몹 정리(최신)'!S:S,MATCH($E116,'큐펫&amp;몹 정리(최신)'!$B:$B,0))*35,INDEX('큐펫&amp;몹 정리(최신)'!S:S,MATCH($E116,'큐펫&amp;몹 정리(최신)'!$B:$B,0))*40))))</f>
        <v>800</v>
      </c>
      <c r="O116" s="190">
        <f>IF($J116=1,INDEX('큐펫&amp;몹 정리(최신)'!T:T,MATCH($E116,'큐펫&amp;몹 정리(최신)'!$B:$B,0))*20,IF($J116=2,INDEX('큐펫&amp;몹 정리(최신)'!T:T,MATCH($E116,'큐펫&amp;몹 정리(최신)'!$B:$B,0))*25,IF($J116=3,INDEX('큐펫&amp;몹 정리(최신)'!T:T,MATCH($E116,'큐펫&amp;몹 정리(최신)'!$B:$B,0))*30,IF($J116=4,INDEX('큐펫&amp;몹 정리(최신)'!T:T,MATCH($E116,'큐펫&amp;몹 정리(최신)'!$B:$B,0))*35,INDEX('큐펫&amp;몹 정리(최신)'!T:T,MATCH($E116,'큐펫&amp;몹 정리(최신)'!$B:$B,0))*40))))</f>
        <v>880</v>
      </c>
      <c r="P116" s="217">
        <v>100</v>
      </c>
      <c r="Q116" s="217">
        <f t="shared" si="8"/>
        <v>272160</v>
      </c>
      <c r="R116" s="217">
        <f t="shared" si="9"/>
        <v>2456</v>
      </c>
      <c r="S116" s="217">
        <f t="shared" si="10"/>
        <v>3397</v>
      </c>
      <c r="T116" s="217">
        <f t="shared" si="11"/>
        <v>49832</v>
      </c>
      <c r="U116" s="217">
        <f t="shared" si="12"/>
        <v>73614</v>
      </c>
      <c r="V116" s="217">
        <f t="shared" si="13"/>
        <v>40563</v>
      </c>
      <c r="W116" s="217">
        <f>ROUND(AC116+(INDEX(Ref!B$1:B$9,MATCH($AI116,Ref!$A$1:$A$9,0))*P116*0.0001),)</f>
        <v>38</v>
      </c>
      <c r="X116" s="217">
        <f>ROUND(AD116+(INDEX(Ref!C$1:C$9,MATCH($AI116,Ref!$A$1:$A$9,0))*$P116*0.0001),)</f>
        <v>52</v>
      </c>
      <c r="Y116" s="217">
        <f>ROUND(AE116+(INDEX(Ref!D$1:D$9,MATCH($AI116,Ref!$A$1:$A$9,0))*$P116*0.0001),)</f>
        <v>84</v>
      </c>
      <c r="Z116" s="217">
        <f>ROUND(AF116+(INDEX(Ref!E$1:E$9,MATCH($AI116,Ref!$A$1:$A$9,0))*$P116*0.0001),)</f>
        <v>83</v>
      </c>
      <c r="AA116" s="217">
        <f>ROUND(AG116+(INDEX(Ref!F$1:F$9,MATCH($AI116,Ref!$A$1:$A$9,0))*$P116*0.0001),)</f>
        <v>45</v>
      </c>
      <c r="AB116" s="217">
        <f>ROUND(AH116+(INDEX(Ref!G$1:G$9,MATCH($AI116,Ref!$A$1:$A$9,0))*$P116*0.0001),)</f>
        <v>42</v>
      </c>
      <c r="AC116" s="137">
        <v>26</v>
      </c>
      <c r="AD116" s="137">
        <v>36</v>
      </c>
      <c r="AE116" s="137">
        <v>64</v>
      </c>
      <c r="AF116" s="137">
        <v>58.000000000000007</v>
      </c>
      <c r="AG116" s="137">
        <v>31</v>
      </c>
      <c r="AH116" s="137">
        <v>29</v>
      </c>
      <c r="AI116" s="208">
        <v>2</v>
      </c>
      <c r="AJ116" s="172">
        <v>3000</v>
      </c>
      <c r="AK116" s="172">
        <v>30135</v>
      </c>
      <c r="AL116" s="172">
        <v>2000</v>
      </c>
      <c r="AM116" s="172">
        <v>30138</v>
      </c>
      <c r="AN116" s="172">
        <v>0</v>
      </c>
      <c r="AO116" s="172">
        <f t="shared" si="14"/>
        <v>34135</v>
      </c>
      <c r="AP116" s="172">
        <v>0</v>
      </c>
      <c r="AQ116" s="172">
        <f t="shared" si="15"/>
        <v>34138</v>
      </c>
      <c r="AR116" s="172">
        <v>1</v>
      </c>
      <c r="AS116" s="172">
        <v>0</v>
      </c>
      <c r="AT116" s="199">
        <v>78023</v>
      </c>
      <c r="AU116" s="195" t="s">
        <v>148</v>
      </c>
    </row>
    <row r="117" spans="1:47" x14ac:dyDescent="0.2">
      <c r="A117" s="173">
        <v>55024</v>
      </c>
      <c r="B117" s="174" t="s">
        <v>149</v>
      </c>
      <c r="C117" s="172">
        <v>86024</v>
      </c>
      <c r="D117" s="172">
        <v>150024</v>
      </c>
      <c r="E117" s="206" t="s">
        <v>150</v>
      </c>
      <c r="F117" s="207">
        <v>4</v>
      </c>
      <c r="G117" s="172">
        <v>8500</v>
      </c>
      <c r="H117" s="172">
        <v>8500</v>
      </c>
      <c r="I117" s="172">
        <v>10000</v>
      </c>
      <c r="J117" s="172">
        <v>1</v>
      </c>
      <c r="K117" s="190">
        <f>IF($J117=1,INDEX('큐펫&amp;몹 정리(최신)'!P:P,MATCH($E117,'큐펫&amp;몹 정리(최신)'!$B:$B,0))*20,IF($J117=2,INDEX('큐펫&amp;몹 정리(최신)'!P:P,MATCH($E117,'큐펫&amp;몹 정리(최신)'!$B:$B,0))*25,IF($J117=3,INDEX('큐펫&amp;몹 정리(최신)'!P:P,MATCH($E117,'큐펫&amp;몹 정리(최신)'!$B:$B,0))*30,IF($J117=4,INDEX('큐펫&amp;몹 정리(최신)'!P:P,MATCH($E117,'큐펫&amp;몹 정리(최신)'!$B:$B,0))*35,INDEX('큐펫&amp;몹 정리(최신)'!P:P,MATCH($E117,'큐펫&amp;몹 정리(최신)'!$B:$B,0))*40))))</f>
        <v>720</v>
      </c>
      <c r="L117" s="190">
        <f>IF($J117=1,INDEX('큐펫&amp;몹 정리(최신)'!Q:Q,MATCH($E117,'큐펫&amp;몹 정리(최신)'!$B:$B,0))*20,IF($J117=2,INDEX('큐펫&amp;몹 정리(최신)'!Q:Q,MATCH($E117,'큐펫&amp;몹 정리(최신)'!$B:$B,0))*25,IF($J117=3,INDEX('큐펫&amp;몹 정리(최신)'!Q:Q,MATCH($E117,'큐펫&amp;몹 정리(최신)'!$B:$B,0))*30,IF($J117=4,INDEX('큐펫&amp;몹 정리(최신)'!Q:Q,MATCH($E117,'큐펫&amp;몹 정리(최신)'!$B:$B,0))*35,INDEX('큐펫&amp;몹 정리(최신)'!Q:Q,MATCH($E117,'큐펫&amp;몹 정리(최신)'!$B:$B,0))*40))))</f>
        <v>360</v>
      </c>
      <c r="M117" s="190">
        <f>IF($J117=1,INDEX('큐펫&amp;몹 정리(최신)'!R:R,MATCH($E117,'큐펫&amp;몹 정리(최신)'!$B:$B,0))*20,IF($J117=2,INDEX('큐펫&amp;몹 정리(최신)'!R:R,MATCH($E117,'큐펫&amp;몹 정리(최신)'!$B:$B,0))*25,IF($J117=3,INDEX('큐펫&amp;몹 정리(최신)'!R:R,MATCH($E117,'큐펫&amp;몹 정리(최신)'!$B:$B,0))*30,IF($J117=4,INDEX('큐펫&amp;몹 정리(최신)'!R:R,MATCH($E117,'큐펫&amp;몹 정리(최신)'!$B:$B,0))*35,INDEX('큐펫&amp;몹 정리(최신)'!R:R,MATCH($E117,'큐펫&amp;몹 정리(최신)'!$B:$B,0))*40))))</f>
        <v>80</v>
      </c>
      <c r="N117" s="190">
        <f>IF($J117=1,INDEX('큐펫&amp;몹 정리(최신)'!S:S,MATCH($E117,'큐펫&amp;몹 정리(최신)'!$B:$B,0))*20,IF($J117=2,INDEX('큐펫&amp;몹 정리(최신)'!S:S,MATCH($E117,'큐펫&amp;몹 정리(최신)'!$B:$B,0))*25,IF($J117=3,INDEX('큐펫&amp;몹 정리(최신)'!S:S,MATCH($E117,'큐펫&amp;몹 정리(최신)'!$B:$B,0))*30,IF($J117=4,INDEX('큐펫&amp;몹 정리(최신)'!S:S,MATCH($E117,'큐펫&amp;몹 정리(최신)'!$B:$B,0))*35,INDEX('큐펫&amp;몹 정리(최신)'!S:S,MATCH($E117,'큐펫&amp;몹 정리(최신)'!$B:$B,0))*40))))</f>
        <v>440</v>
      </c>
      <c r="O117" s="190">
        <f>IF($J117=1,INDEX('큐펫&amp;몹 정리(최신)'!T:T,MATCH($E117,'큐펫&amp;몹 정리(최신)'!$B:$B,0))*20,IF($J117=2,INDEX('큐펫&amp;몹 정리(최신)'!T:T,MATCH($E117,'큐펫&amp;몹 정리(최신)'!$B:$B,0))*25,IF($J117=3,INDEX('큐펫&amp;몹 정리(최신)'!T:T,MATCH($E117,'큐펫&amp;몹 정리(최신)'!$B:$B,0))*30,IF($J117=4,INDEX('큐펫&amp;몹 정리(최신)'!T:T,MATCH($E117,'큐펫&amp;몹 정리(최신)'!$B:$B,0))*35,INDEX('큐펫&amp;몹 정리(최신)'!T:T,MATCH($E117,'큐펫&amp;몹 정리(최신)'!$B:$B,0))*40))))</f>
        <v>400</v>
      </c>
      <c r="P117" s="217">
        <v>20</v>
      </c>
      <c r="Q117" s="217">
        <f t="shared" si="8"/>
        <v>24192</v>
      </c>
      <c r="R117" s="217">
        <f t="shared" si="9"/>
        <v>4253</v>
      </c>
      <c r="S117" s="217">
        <f t="shared" si="10"/>
        <v>2903</v>
      </c>
      <c r="T117" s="217">
        <f t="shared" si="11"/>
        <v>416</v>
      </c>
      <c r="U117" s="217">
        <f t="shared" si="12"/>
        <v>13870</v>
      </c>
      <c r="V117" s="217">
        <f t="shared" si="13"/>
        <v>6321</v>
      </c>
      <c r="W117" s="217">
        <f>ROUND(AC117+(INDEX(Ref!B$1:B$9,MATCH($AI117,Ref!$A$1:$A$9,0))*P117*0.0001),)</f>
        <v>34</v>
      </c>
      <c r="X117" s="217">
        <f>ROUND(AD117+(INDEX(Ref!C$1:C$9,MATCH($AI117,Ref!$A$1:$A$9,0))*$P117*0.0001),)</f>
        <v>26</v>
      </c>
      <c r="Y117" s="217">
        <f>ROUND(AE117+(INDEX(Ref!D$1:D$9,MATCH($AI117,Ref!$A$1:$A$9,0))*$P117*0.0001),)</f>
        <v>43</v>
      </c>
      <c r="Z117" s="217">
        <f>ROUND(AF117+(INDEX(Ref!E$1:E$9,MATCH($AI117,Ref!$A$1:$A$9,0))*$P117*0.0001),)</f>
        <v>21</v>
      </c>
      <c r="AA117" s="217">
        <f>ROUND(AG117+(INDEX(Ref!F$1:F$9,MATCH($AI117,Ref!$A$1:$A$9,0))*$P117*0.0001),)</f>
        <v>28</v>
      </c>
      <c r="AB117" s="217">
        <f>ROUND(AH117+(INDEX(Ref!G$1:G$9,MATCH($AI117,Ref!$A$1:$A$9,0))*$P117*0.0001),)</f>
        <v>32</v>
      </c>
      <c r="AC117" s="137">
        <v>30</v>
      </c>
      <c r="AD117" s="137">
        <v>23</v>
      </c>
      <c r="AE117" s="137">
        <v>40</v>
      </c>
      <c r="AF117" s="137">
        <v>18</v>
      </c>
      <c r="AG117" s="137">
        <v>25</v>
      </c>
      <c r="AH117" s="137">
        <v>28</v>
      </c>
      <c r="AI117" s="208">
        <v>7</v>
      </c>
      <c r="AJ117" s="172">
        <v>3000</v>
      </c>
      <c r="AK117" s="172">
        <v>30139</v>
      </c>
      <c r="AL117" s="172">
        <v>2000</v>
      </c>
      <c r="AM117" s="172">
        <v>30142</v>
      </c>
      <c r="AN117" s="172">
        <v>0</v>
      </c>
      <c r="AO117" s="172">
        <f t="shared" si="14"/>
        <v>34139</v>
      </c>
      <c r="AP117" s="172">
        <v>0</v>
      </c>
      <c r="AQ117" s="172">
        <f t="shared" si="15"/>
        <v>34142</v>
      </c>
      <c r="AR117" s="172">
        <v>1</v>
      </c>
      <c r="AS117" s="172">
        <v>0</v>
      </c>
      <c r="AT117" s="199">
        <v>78024</v>
      </c>
      <c r="AU117" s="195" t="s">
        <v>151</v>
      </c>
    </row>
    <row r="118" spans="1:47" x14ac:dyDescent="0.2">
      <c r="A118" s="173">
        <v>55024</v>
      </c>
      <c r="B118" s="174" t="s">
        <v>149</v>
      </c>
      <c r="C118" s="172">
        <v>86024</v>
      </c>
      <c r="D118" s="172">
        <v>150024</v>
      </c>
      <c r="E118" s="206" t="s">
        <v>150</v>
      </c>
      <c r="F118" s="207">
        <v>4</v>
      </c>
      <c r="G118" s="172">
        <v>8500</v>
      </c>
      <c r="H118" s="172">
        <v>8500</v>
      </c>
      <c r="I118" s="172">
        <v>10000</v>
      </c>
      <c r="J118" s="172">
        <v>2</v>
      </c>
      <c r="K118" s="190">
        <f>IF($J118=1,INDEX('큐펫&amp;몹 정리(최신)'!P:P,MATCH($E118,'큐펫&amp;몹 정리(최신)'!$B:$B,0))*20,IF($J118=2,INDEX('큐펫&amp;몹 정리(최신)'!P:P,MATCH($E118,'큐펫&amp;몹 정리(최신)'!$B:$B,0))*25,IF($J118=3,INDEX('큐펫&amp;몹 정리(최신)'!P:P,MATCH($E118,'큐펫&amp;몹 정리(최신)'!$B:$B,0))*30,IF($J118=4,INDEX('큐펫&amp;몹 정리(최신)'!P:P,MATCH($E118,'큐펫&amp;몹 정리(최신)'!$B:$B,0))*35,INDEX('큐펫&amp;몹 정리(최신)'!P:P,MATCH($E118,'큐펫&amp;몹 정리(최신)'!$B:$B,0))*40))))</f>
        <v>900</v>
      </c>
      <c r="L118" s="190">
        <f>IF($J118=1,INDEX('큐펫&amp;몹 정리(최신)'!Q:Q,MATCH($E118,'큐펫&amp;몹 정리(최신)'!$B:$B,0))*20,IF($J118=2,INDEX('큐펫&amp;몹 정리(최신)'!Q:Q,MATCH($E118,'큐펫&amp;몹 정리(최신)'!$B:$B,0))*25,IF($J118=3,INDEX('큐펫&amp;몹 정리(최신)'!Q:Q,MATCH($E118,'큐펫&amp;몹 정리(최신)'!$B:$B,0))*30,IF($J118=4,INDEX('큐펫&amp;몹 정리(최신)'!Q:Q,MATCH($E118,'큐펫&amp;몹 정리(최신)'!$B:$B,0))*35,INDEX('큐펫&amp;몹 정리(최신)'!Q:Q,MATCH($E118,'큐펫&amp;몹 정리(최신)'!$B:$B,0))*40))))</f>
        <v>450</v>
      </c>
      <c r="M118" s="190">
        <f>IF($J118=1,INDEX('큐펫&amp;몹 정리(최신)'!R:R,MATCH($E118,'큐펫&amp;몹 정리(최신)'!$B:$B,0))*20,IF($J118=2,INDEX('큐펫&amp;몹 정리(최신)'!R:R,MATCH($E118,'큐펫&amp;몹 정리(최신)'!$B:$B,0))*25,IF($J118=3,INDEX('큐펫&amp;몹 정리(최신)'!R:R,MATCH($E118,'큐펫&amp;몹 정리(최신)'!$B:$B,0))*30,IF($J118=4,INDEX('큐펫&amp;몹 정리(최신)'!R:R,MATCH($E118,'큐펫&amp;몹 정리(최신)'!$B:$B,0))*35,INDEX('큐펫&amp;몹 정리(최신)'!R:R,MATCH($E118,'큐펫&amp;몹 정리(최신)'!$B:$B,0))*40))))</f>
        <v>100</v>
      </c>
      <c r="N118" s="190">
        <f>IF($J118=1,INDEX('큐펫&amp;몹 정리(최신)'!S:S,MATCH($E118,'큐펫&amp;몹 정리(최신)'!$B:$B,0))*20,IF($J118=2,INDEX('큐펫&amp;몹 정리(최신)'!S:S,MATCH($E118,'큐펫&amp;몹 정리(최신)'!$B:$B,0))*25,IF($J118=3,INDEX('큐펫&amp;몹 정리(최신)'!S:S,MATCH($E118,'큐펫&amp;몹 정리(최신)'!$B:$B,0))*30,IF($J118=4,INDEX('큐펫&amp;몹 정리(최신)'!S:S,MATCH($E118,'큐펫&amp;몹 정리(최신)'!$B:$B,0))*35,INDEX('큐펫&amp;몹 정리(최신)'!S:S,MATCH($E118,'큐펫&amp;몹 정리(최신)'!$B:$B,0))*40))))</f>
        <v>550</v>
      </c>
      <c r="O118" s="190">
        <f>IF($J118=1,INDEX('큐펫&amp;몹 정리(최신)'!T:T,MATCH($E118,'큐펫&amp;몹 정리(최신)'!$B:$B,0))*20,IF($J118=2,INDEX('큐펫&amp;몹 정리(최신)'!T:T,MATCH($E118,'큐펫&amp;몹 정리(최신)'!$B:$B,0))*25,IF($J118=3,INDEX('큐펫&amp;몹 정리(최신)'!T:T,MATCH($E118,'큐펫&amp;몹 정리(최신)'!$B:$B,0))*30,IF($J118=4,INDEX('큐펫&amp;몹 정리(최신)'!T:T,MATCH($E118,'큐펫&amp;몹 정리(최신)'!$B:$B,0))*35,INDEX('큐펫&amp;몹 정리(최신)'!T:T,MATCH($E118,'큐펫&amp;몹 정리(최신)'!$B:$B,0))*40))))</f>
        <v>500</v>
      </c>
      <c r="P118" s="217">
        <v>40</v>
      </c>
      <c r="Q118" s="217">
        <f t="shared" si="8"/>
        <v>58140</v>
      </c>
      <c r="R118" s="217">
        <f t="shared" si="9"/>
        <v>8058</v>
      </c>
      <c r="S118" s="217">
        <f t="shared" si="10"/>
        <v>5621</v>
      </c>
      <c r="T118" s="217">
        <f t="shared" si="11"/>
        <v>762</v>
      </c>
      <c r="U118" s="217">
        <f t="shared" si="12"/>
        <v>24488</v>
      </c>
      <c r="V118" s="217">
        <f t="shared" si="13"/>
        <v>11151</v>
      </c>
      <c r="W118" s="217">
        <f>ROUND(AC118+(INDEX(Ref!B$1:B$9,MATCH($AI118,Ref!$A$1:$A$9,0))*P118*0.0001),)</f>
        <v>42</v>
      </c>
      <c r="X118" s="217">
        <f>ROUND(AD118+(INDEX(Ref!C$1:C$9,MATCH($AI118,Ref!$A$1:$A$9,0))*$P118*0.0001),)</f>
        <v>32</v>
      </c>
      <c r="Y118" s="217">
        <f>ROUND(AE118+(INDEX(Ref!D$1:D$9,MATCH($AI118,Ref!$A$1:$A$9,0))*$P118*0.0001),)</f>
        <v>49</v>
      </c>
      <c r="Z118" s="217">
        <f>ROUND(AF118+(INDEX(Ref!E$1:E$9,MATCH($AI118,Ref!$A$1:$A$9,0))*$P118*0.0001),)</f>
        <v>26</v>
      </c>
      <c r="AA118" s="217">
        <f>ROUND(AG118+(INDEX(Ref!F$1:F$9,MATCH($AI118,Ref!$A$1:$A$9,0))*$P118*0.0001),)</f>
        <v>35</v>
      </c>
      <c r="AB118" s="217">
        <f>ROUND(AH118+(INDEX(Ref!G$1:G$9,MATCH($AI118,Ref!$A$1:$A$9,0))*$P118*0.0001),)</f>
        <v>40</v>
      </c>
      <c r="AC118" s="137">
        <v>34</v>
      </c>
      <c r="AD118" s="137">
        <v>26</v>
      </c>
      <c r="AE118" s="137">
        <v>43</v>
      </c>
      <c r="AF118" s="137">
        <v>21</v>
      </c>
      <c r="AG118" s="137">
        <v>28</v>
      </c>
      <c r="AH118" s="137">
        <v>32</v>
      </c>
      <c r="AI118" s="208">
        <v>7</v>
      </c>
      <c r="AJ118" s="172">
        <v>3000</v>
      </c>
      <c r="AK118" s="172">
        <v>30140</v>
      </c>
      <c r="AL118" s="172">
        <v>2000</v>
      </c>
      <c r="AM118" s="172">
        <v>30142</v>
      </c>
      <c r="AN118" s="172">
        <v>0</v>
      </c>
      <c r="AO118" s="172">
        <f t="shared" si="14"/>
        <v>34140</v>
      </c>
      <c r="AP118" s="172">
        <v>0</v>
      </c>
      <c r="AQ118" s="172">
        <f t="shared" si="15"/>
        <v>34142</v>
      </c>
      <c r="AR118" s="172">
        <v>1</v>
      </c>
      <c r="AS118" s="172">
        <v>0</v>
      </c>
      <c r="AT118" s="199">
        <v>78024</v>
      </c>
      <c r="AU118" s="195" t="s">
        <v>151</v>
      </c>
    </row>
    <row r="119" spans="1:47" x14ac:dyDescent="0.2">
      <c r="A119" s="173">
        <v>55024</v>
      </c>
      <c r="B119" s="174" t="s">
        <v>149</v>
      </c>
      <c r="C119" s="172">
        <v>86024</v>
      </c>
      <c r="D119" s="172">
        <v>150024</v>
      </c>
      <c r="E119" s="206" t="s">
        <v>150</v>
      </c>
      <c r="F119" s="207">
        <v>4</v>
      </c>
      <c r="G119" s="172">
        <v>8500</v>
      </c>
      <c r="H119" s="172">
        <v>8500</v>
      </c>
      <c r="I119" s="172">
        <v>10000</v>
      </c>
      <c r="J119" s="172">
        <v>3</v>
      </c>
      <c r="K119" s="190">
        <f>IF($J119=1,INDEX('큐펫&amp;몹 정리(최신)'!P:P,MATCH($E119,'큐펫&amp;몹 정리(최신)'!$B:$B,0))*20,IF($J119=2,INDEX('큐펫&amp;몹 정리(최신)'!P:P,MATCH($E119,'큐펫&amp;몹 정리(최신)'!$B:$B,0))*25,IF($J119=3,INDEX('큐펫&amp;몹 정리(최신)'!P:P,MATCH($E119,'큐펫&amp;몹 정리(최신)'!$B:$B,0))*30,IF($J119=4,INDEX('큐펫&amp;몹 정리(최신)'!P:P,MATCH($E119,'큐펫&amp;몹 정리(최신)'!$B:$B,0))*35,INDEX('큐펫&amp;몹 정리(최신)'!P:P,MATCH($E119,'큐펫&amp;몹 정리(최신)'!$B:$B,0))*40))))</f>
        <v>1080</v>
      </c>
      <c r="L119" s="190">
        <f>IF($J119=1,INDEX('큐펫&amp;몹 정리(최신)'!Q:Q,MATCH($E119,'큐펫&amp;몹 정리(최신)'!$B:$B,0))*20,IF($J119=2,INDEX('큐펫&amp;몹 정리(최신)'!Q:Q,MATCH($E119,'큐펫&amp;몹 정리(최신)'!$B:$B,0))*25,IF($J119=3,INDEX('큐펫&amp;몹 정리(최신)'!Q:Q,MATCH($E119,'큐펫&amp;몹 정리(최신)'!$B:$B,0))*30,IF($J119=4,INDEX('큐펫&amp;몹 정리(최신)'!Q:Q,MATCH($E119,'큐펫&amp;몹 정리(최신)'!$B:$B,0))*35,INDEX('큐펫&amp;몹 정리(최신)'!Q:Q,MATCH($E119,'큐펫&amp;몹 정리(최신)'!$B:$B,0))*40))))</f>
        <v>540</v>
      </c>
      <c r="M119" s="190">
        <f>IF($J119=1,INDEX('큐펫&amp;몹 정리(최신)'!R:R,MATCH($E119,'큐펫&amp;몹 정리(최신)'!$B:$B,0))*20,IF($J119=2,INDEX('큐펫&amp;몹 정리(최신)'!R:R,MATCH($E119,'큐펫&amp;몹 정리(최신)'!$B:$B,0))*25,IF($J119=3,INDEX('큐펫&amp;몹 정리(최신)'!R:R,MATCH($E119,'큐펫&amp;몹 정리(최신)'!$B:$B,0))*30,IF($J119=4,INDEX('큐펫&amp;몹 정리(최신)'!R:R,MATCH($E119,'큐펫&amp;몹 정리(최신)'!$B:$B,0))*35,INDEX('큐펫&amp;몹 정리(최신)'!R:R,MATCH($E119,'큐펫&amp;몹 정리(최신)'!$B:$B,0))*40))))</f>
        <v>120</v>
      </c>
      <c r="N119" s="190">
        <f>IF($J119=1,INDEX('큐펫&amp;몹 정리(최신)'!S:S,MATCH($E119,'큐펫&amp;몹 정리(최신)'!$B:$B,0))*20,IF($J119=2,INDEX('큐펫&amp;몹 정리(최신)'!S:S,MATCH($E119,'큐펫&amp;몹 정리(최신)'!$B:$B,0))*25,IF($J119=3,INDEX('큐펫&amp;몹 정리(최신)'!S:S,MATCH($E119,'큐펫&amp;몹 정리(최신)'!$B:$B,0))*30,IF($J119=4,INDEX('큐펫&amp;몹 정리(최신)'!S:S,MATCH($E119,'큐펫&amp;몹 정리(최신)'!$B:$B,0))*35,INDEX('큐펫&amp;몹 정리(최신)'!S:S,MATCH($E119,'큐펫&amp;몹 정리(최신)'!$B:$B,0))*40))))</f>
        <v>660</v>
      </c>
      <c r="O119" s="190">
        <f>IF($J119=1,INDEX('큐펫&amp;몹 정리(최신)'!T:T,MATCH($E119,'큐펫&amp;몹 정리(최신)'!$B:$B,0))*20,IF($J119=2,INDEX('큐펫&amp;몹 정리(최신)'!T:T,MATCH($E119,'큐펫&amp;몹 정리(최신)'!$B:$B,0))*25,IF($J119=3,INDEX('큐펫&amp;몹 정리(최신)'!T:T,MATCH($E119,'큐펫&amp;몹 정리(최신)'!$B:$B,0))*30,IF($J119=4,INDEX('큐펫&amp;몹 정리(최신)'!T:T,MATCH($E119,'큐펫&amp;몹 정리(최신)'!$B:$B,0))*35,INDEX('큐펫&amp;몹 정리(최신)'!T:T,MATCH($E119,'큐펫&amp;몹 정리(최신)'!$B:$B,0))*40))))</f>
        <v>600</v>
      </c>
      <c r="P119" s="217">
        <v>60</v>
      </c>
      <c r="Q119" s="217">
        <f t="shared" si="8"/>
        <v>105192</v>
      </c>
      <c r="R119" s="217">
        <f t="shared" si="9"/>
        <v>13649</v>
      </c>
      <c r="S119" s="217">
        <f t="shared" si="10"/>
        <v>9661</v>
      </c>
      <c r="T119" s="217">
        <f t="shared" si="11"/>
        <v>1262</v>
      </c>
      <c r="U119" s="217">
        <f t="shared" si="12"/>
        <v>37636</v>
      </c>
      <c r="V119" s="217">
        <f t="shared" si="13"/>
        <v>17131</v>
      </c>
      <c r="W119" s="217">
        <f>ROUND(AC119+(INDEX(Ref!B$1:B$9,MATCH($AI119,Ref!$A$1:$A$9,0))*P119*0.0001),)</f>
        <v>50</v>
      </c>
      <c r="X119" s="217">
        <f>ROUND(AD119+(INDEX(Ref!C$1:C$9,MATCH($AI119,Ref!$A$1:$A$9,0))*$P119*0.0001),)</f>
        <v>40</v>
      </c>
      <c r="Y119" s="217">
        <f>ROUND(AE119+(INDEX(Ref!D$1:D$9,MATCH($AI119,Ref!$A$1:$A$9,0))*$P119*0.0001),)</f>
        <v>54</v>
      </c>
      <c r="Z119" s="217">
        <f>ROUND(AF119+(INDEX(Ref!E$1:E$9,MATCH($AI119,Ref!$A$1:$A$9,0))*$P119*0.0001),)</f>
        <v>31</v>
      </c>
      <c r="AA119" s="217">
        <f>ROUND(AG119+(INDEX(Ref!F$1:F$9,MATCH($AI119,Ref!$A$1:$A$9,0))*$P119*0.0001),)</f>
        <v>42</v>
      </c>
      <c r="AB119" s="217">
        <f>ROUND(AH119+(INDEX(Ref!G$1:G$9,MATCH($AI119,Ref!$A$1:$A$9,0))*$P119*0.0001),)</f>
        <v>47</v>
      </c>
      <c r="AC119" s="137">
        <v>38</v>
      </c>
      <c r="AD119" s="137">
        <v>30</v>
      </c>
      <c r="AE119" s="137">
        <v>45</v>
      </c>
      <c r="AF119" s="137">
        <v>23</v>
      </c>
      <c r="AG119" s="137">
        <v>32</v>
      </c>
      <c r="AH119" s="137">
        <v>36</v>
      </c>
      <c r="AI119" s="208">
        <v>7</v>
      </c>
      <c r="AJ119" s="172">
        <v>3000</v>
      </c>
      <c r="AK119" s="172">
        <v>30140</v>
      </c>
      <c r="AL119" s="172">
        <v>2000</v>
      </c>
      <c r="AM119" s="172">
        <v>30143</v>
      </c>
      <c r="AN119" s="172">
        <v>0</v>
      </c>
      <c r="AO119" s="172">
        <f t="shared" si="14"/>
        <v>34140</v>
      </c>
      <c r="AP119" s="172">
        <v>0</v>
      </c>
      <c r="AQ119" s="172">
        <f t="shared" si="15"/>
        <v>34143</v>
      </c>
      <c r="AR119" s="172">
        <v>1</v>
      </c>
      <c r="AS119" s="172">
        <v>0</v>
      </c>
      <c r="AT119" s="199">
        <v>78024</v>
      </c>
      <c r="AU119" s="195" t="s">
        <v>151</v>
      </c>
    </row>
    <row r="120" spans="1:47" x14ac:dyDescent="0.2">
      <c r="A120" s="173">
        <v>55024</v>
      </c>
      <c r="B120" s="174" t="s">
        <v>149</v>
      </c>
      <c r="C120" s="172">
        <v>86024</v>
      </c>
      <c r="D120" s="172">
        <v>150024</v>
      </c>
      <c r="E120" s="206" t="s">
        <v>150</v>
      </c>
      <c r="F120" s="207">
        <v>4</v>
      </c>
      <c r="G120" s="172">
        <v>8500</v>
      </c>
      <c r="H120" s="172">
        <v>8500</v>
      </c>
      <c r="I120" s="172">
        <v>10000</v>
      </c>
      <c r="J120" s="172">
        <v>4</v>
      </c>
      <c r="K120" s="190">
        <f>IF($J120=1,INDEX('큐펫&amp;몹 정리(최신)'!P:P,MATCH($E120,'큐펫&amp;몹 정리(최신)'!$B:$B,0))*20,IF($J120=2,INDEX('큐펫&amp;몹 정리(최신)'!P:P,MATCH($E120,'큐펫&amp;몹 정리(최신)'!$B:$B,0))*25,IF($J120=3,INDEX('큐펫&amp;몹 정리(최신)'!P:P,MATCH($E120,'큐펫&amp;몹 정리(최신)'!$B:$B,0))*30,IF($J120=4,INDEX('큐펫&amp;몹 정리(최신)'!P:P,MATCH($E120,'큐펫&amp;몹 정리(최신)'!$B:$B,0))*35,INDEX('큐펫&amp;몹 정리(최신)'!P:P,MATCH($E120,'큐펫&amp;몹 정리(최신)'!$B:$B,0))*40))))</f>
        <v>1260</v>
      </c>
      <c r="L120" s="190">
        <f>IF($J120=1,INDEX('큐펫&amp;몹 정리(최신)'!Q:Q,MATCH($E120,'큐펫&amp;몹 정리(최신)'!$B:$B,0))*20,IF($J120=2,INDEX('큐펫&amp;몹 정리(최신)'!Q:Q,MATCH($E120,'큐펫&amp;몹 정리(최신)'!$B:$B,0))*25,IF($J120=3,INDEX('큐펫&amp;몹 정리(최신)'!Q:Q,MATCH($E120,'큐펫&amp;몹 정리(최신)'!$B:$B,0))*30,IF($J120=4,INDEX('큐펫&amp;몹 정리(최신)'!Q:Q,MATCH($E120,'큐펫&amp;몹 정리(최신)'!$B:$B,0))*35,INDEX('큐펫&amp;몹 정리(최신)'!Q:Q,MATCH($E120,'큐펫&amp;몹 정리(최신)'!$B:$B,0))*40))))</f>
        <v>630</v>
      </c>
      <c r="M120" s="190">
        <f>IF($J120=1,INDEX('큐펫&amp;몹 정리(최신)'!R:R,MATCH($E120,'큐펫&amp;몹 정리(최신)'!$B:$B,0))*20,IF($J120=2,INDEX('큐펫&amp;몹 정리(최신)'!R:R,MATCH($E120,'큐펫&amp;몹 정리(최신)'!$B:$B,0))*25,IF($J120=3,INDEX('큐펫&amp;몹 정리(최신)'!R:R,MATCH($E120,'큐펫&amp;몹 정리(최신)'!$B:$B,0))*30,IF($J120=4,INDEX('큐펫&amp;몹 정리(최신)'!R:R,MATCH($E120,'큐펫&amp;몹 정리(최신)'!$B:$B,0))*35,INDEX('큐펫&amp;몹 정리(최신)'!R:R,MATCH($E120,'큐펫&amp;몹 정리(최신)'!$B:$B,0))*40))))</f>
        <v>140</v>
      </c>
      <c r="N120" s="190">
        <f>IF($J120=1,INDEX('큐펫&amp;몹 정리(최신)'!S:S,MATCH($E120,'큐펫&amp;몹 정리(최신)'!$B:$B,0))*20,IF($J120=2,INDEX('큐펫&amp;몹 정리(최신)'!S:S,MATCH($E120,'큐펫&amp;몹 정리(최신)'!$B:$B,0))*25,IF($J120=3,INDEX('큐펫&amp;몹 정리(최신)'!S:S,MATCH($E120,'큐펫&amp;몹 정리(최신)'!$B:$B,0))*30,IF($J120=4,INDEX('큐펫&amp;몹 정리(최신)'!S:S,MATCH($E120,'큐펫&amp;몹 정리(최신)'!$B:$B,0))*35,INDEX('큐펫&amp;몹 정리(최신)'!S:S,MATCH($E120,'큐펫&amp;몹 정리(최신)'!$B:$B,0))*40))))</f>
        <v>770</v>
      </c>
      <c r="O120" s="190">
        <f>IF($J120=1,INDEX('큐펫&amp;몹 정리(최신)'!T:T,MATCH($E120,'큐펫&amp;몹 정리(최신)'!$B:$B,0))*20,IF($J120=2,INDEX('큐펫&amp;몹 정리(최신)'!T:T,MATCH($E120,'큐펫&amp;몹 정리(최신)'!$B:$B,0))*25,IF($J120=3,INDEX('큐펫&amp;몹 정리(최신)'!T:T,MATCH($E120,'큐펫&amp;몹 정리(최신)'!$B:$B,0))*30,IF($J120=4,INDEX('큐펫&amp;몹 정리(최신)'!T:T,MATCH($E120,'큐펫&amp;몹 정리(최신)'!$B:$B,0))*35,INDEX('큐펫&amp;몹 정리(최신)'!T:T,MATCH($E120,'큐펫&amp;몹 정리(최신)'!$B:$B,0))*40))))</f>
        <v>700</v>
      </c>
      <c r="P120" s="217">
        <v>80</v>
      </c>
      <c r="Q120" s="217">
        <f t="shared" si="8"/>
        <v>168588</v>
      </c>
      <c r="R120" s="217">
        <f t="shared" si="9"/>
        <v>21372</v>
      </c>
      <c r="S120" s="217">
        <f t="shared" si="10"/>
        <v>15289</v>
      </c>
      <c r="T120" s="217">
        <f t="shared" si="11"/>
        <v>1946</v>
      </c>
      <c r="U120" s="217">
        <f t="shared" si="12"/>
        <v>54303</v>
      </c>
      <c r="V120" s="217">
        <f t="shared" si="13"/>
        <v>24711</v>
      </c>
      <c r="W120" s="217">
        <f>ROUND(AC120+(INDEX(Ref!B$1:B$9,MATCH($AI120,Ref!$A$1:$A$9,0))*P120*0.0001),)</f>
        <v>58</v>
      </c>
      <c r="X120" s="217">
        <f>ROUND(AD120+(INDEX(Ref!C$1:C$9,MATCH($AI120,Ref!$A$1:$A$9,0))*$P120*0.0001),)</f>
        <v>46</v>
      </c>
      <c r="Y120" s="217">
        <f>ROUND(AE120+(INDEX(Ref!D$1:D$9,MATCH($AI120,Ref!$A$1:$A$9,0))*$P120*0.0001),)</f>
        <v>61</v>
      </c>
      <c r="Z120" s="217">
        <f>ROUND(AF120+(INDEX(Ref!E$1:E$9,MATCH($AI120,Ref!$A$1:$A$9,0))*$P120*0.0001),)</f>
        <v>36</v>
      </c>
      <c r="AA120" s="217">
        <f>ROUND(AG120+(INDEX(Ref!F$1:F$9,MATCH($AI120,Ref!$A$1:$A$9,0))*$P120*0.0001),)</f>
        <v>49</v>
      </c>
      <c r="AB120" s="217">
        <f>ROUND(AH120+(INDEX(Ref!G$1:G$9,MATCH($AI120,Ref!$A$1:$A$9,0))*$P120*0.0001),)</f>
        <v>54</v>
      </c>
      <c r="AC120" s="137">
        <v>42</v>
      </c>
      <c r="AD120" s="137">
        <v>33</v>
      </c>
      <c r="AE120" s="137">
        <v>49</v>
      </c>
      <c r="AF120" s="137">
        <v>26</v>
      </c>
      <c r="AG120" s="137">
        <v>35</v>
      </c>
      <c r="AH120" s="137">
        <v>39</v>
      </c>
      <c r="AI120" s="208">
        <v>7</v>
      </c>
      <c r="AJ120" s="172">
        <v>3000</v>
      </c>
      <c r="AK120" s="172">
        <v>30141</v>
      </c>
      <c r="AL120" s="172">
        <v>2000</v>
      </c>
      <c r="AM120" s="172">
        <v>30143</v>
      </c>
      <c r="AN120" s="172">
        <v>0</v>
      </c>
      <c r="AO120" s="172">
        <f t="shared" si="14"/>
        <v>34141</v>
      </c>
      <c r="AP120" s="172">
        <v>0</v>
      </c>
      <c r="AQ120" s="172">
        <f t="shared" si="15"/>
        <v>34143</v>
      </c>
      <c r="AR120" s="172">
        <v>1</v>
      </c>
      <c r="AS120" s="172">
        <v>0</v>
      </c>
      <c r="AT120" s="199">
        <v>78024</v>
      </c>
      <c r="AU120" s="195" t="s">
        <v>151</v>
      </c>
    </row>
    <row r="121" spans="1:47" x14ac:dyDescent="0.2">
      <c r="A121" s="173">
        <v>55024</v>
      </c>
      <c r="B121" s="174" t="s">
        <v>149</v>
      </c>
      <c r="C121" s="172">
        <v>86024</v>
      </c>
      <c r="D121" s="172">
        <v>150024</v>
      </c>
      <c r="E121" s="206" t="s">
        <v>150</v>
      </c>
      <c r="F121" s="207">
        <v>4</v>
      </c>
      <c r="G121" s="172">
        <v>8500</v>
      </c>
      <c r="H121" s="172">
        <v>8500</v>
      </c>
      <c r="I121" s="172">
        <v>10000</v>
      </c>
      <c r="J121" s="172">
        <v>5</v>
      </c>
      <c r="K121" s="190">
        <f>IF($J121=1,INDEX('큐펫&amp;몹 정리(최신)'!P:P,MATCH($E121,'큐펫&amp;몹 정리(최신)'!$B:$B,0))*20,IF($J121=2,INDEX('큐펫&amp;몹 정리(최신)'!P:P,MATCH($E121,'큐펫&amp;몹 정리(최신)'!$B:$B,0))*25,IF($J121=3,INDEX('큐펫&amp;몹 정리(최신)'!P:P,MATCH($E121,'큐펫&amp;몹 정리(최신)'!$B:$B,0))*30,IF($J121=4,INDEX('큐펫&amp;몹 정리(최신)'!P:P,MATCH($E121,'큐펫&amp;몹 정리(최신)'!$B:$B,0))*35,INDEX('큐펫&amp;몹 정리(최신)'!P:P,MATCH($E121,'큐펫&amp;몹 정리(최신)'!$B:$B,0))*40))))</f>
        <v>1440</v>
      </c>
      <c r="L121" s="190">
        <f>IF($J121=1,INDEX('큐펫&amp;몹 정리(최신)'!Q:Q,MATCH($E121,'큐펫&amp;몹 정리(최신)'!$B:$B,0))*20,IF($J121=2,INDEX('큐펫&amp;몹 정리(최신)'!Q:Q,MATCH($E121,'큐펫&amp;몹 정리(최신)'!$B:$B,0))*25,IF($J121=3,INDEX('큐펫&amp;몹 정리(최신)'!Q:Q,MATCH($E121,'큐펫&amp;몹 정리(최신)'!$B:$B,0))*30,IF($J121=4,INDEX('큐펫&amp;몹 정리(최신)'!Q:Q,MATCH($E121,'큐펫&amp;몹 정리(최신)'!$B:$B,0))*35,INDEX('큐펫&amp;몹 정리(최신)'!Q:Q,MATCH($E121,'큐펫&amp;몹 정리(최신)'!$B:$B,0))*40))))</f>
        <v>720</v>
      </c>
      <c r="M121" s="190">
        <f>IF($J121=1,INDEX('큐펫&amp;몹 정리(최신)'!R:R,MATCH($E121,'큐펫&amp;몹 정리(최신)'!$B:$B,0))*20,IF($J121=2,INDEX('큐펫&amp;몹 정리(최신)'!R:R,MATCH($E121,'큐펫&amp;몹 정리(최신)'!$B:$B,0))*25,IF($J121=3,INDEX('큐펫&amp;몹 정리(최신)'!R:R,MATCH($E121,'큐펫&amp;몹 정리(최신)'!$B:$B,0))*30,IF($J121=4,INDEX('큐펫&amp;몹 정리(최신)'!R:R,MATCH($E121,'큐펫&amp;몹 정리(최신)'!$B:$B,0))*35,INDEX('큐펫&amp;몹 정리(최신)'!R:R,MATCH($E121,'큐펫&amp;몹 정리(최신)'!$B:$B,0))*40))))</f>
        <v>160</v>
      </c>
      <c r="N121" s="190">
        <f>IF($J121=1,INDEX('큐펫&amp;몹 정리(최신)'!S:S,MATCH($E121,'큐펫&amp;몹 정리(최신)'!$B:$B,0))*20,IF($J121=2,INDEX('큐펫&amp;몹 정리(최신)'!S:S,MATCH($E121,'큐펫&amp;몹 정리(최신)'!$B:$B,0))*25,IF($J121=3,INDEX('큐펫&amp;몹 정리(최신)'!S:S,MATCH($E121,'큐펫&amp;몹 정리(최신)'!$B:$B,0))*30,IF($J121=4,INDEX('큐펫&amp;몹 정리(최신)'!S:S,MATCH($E121,'큐펫&amp;몹 정리(최신)'!$B:$B,0))*35,INDEX('큐펫&amp;몹 정리(최신)'!S:S,MATCH($E121,'큐펫&amp;몹 정리(최신)'!$B:$B,0))*40))))</f>
        <v>880</v>
      </c>
      <c r="O121" s="190">
        <f>IF($J121=1,INDEX('큐펫&amp;몹 정리(최신)'!T:T,MATCH($E121,'큐펫&amp;몹 정리(최신)'!$B:$B,0))*20,IF($J121=2,INDEX('큐펫&amp;몹 정리(최신)'!T:T,MATCH($E121,'큐펫&amp;몹 정리(최신)'!$B:$B,0))*25,IF($J121=3,INDEX('큐펫&amp;몹 정리(최신)'!T:T,MATCH($E121,'큐펫&amp;몹 정리(최신)'!$B:$B,0))*30,IF($J121=4,INDEX('큐펫&amp;몹 정리(최신)'!T:T,MATCH($E121,'큐펫&amp;몹 정리(최신)'!$B:$B,0))*35,INDEX('큐펫&amp;몹 정리(최신)'!T:T,MATCH($E121,'큐펫&amp;몹 정리(최신)'!$B:$B,0))*40))))</f>
        <v>800</v>
      </c>
      <c r="P121" s="217">
        <v>100</v>
      </c>
      <c r="Q121" s="217">
        <f t="shared" si="8"/>
        <v>247680</v>
      </c>
      <c r="R121" s="217">
        <f t="shared" si="9"/>
        <v>31571</v>
      </c>
      <c r="S121" s="217">
        <f t="shared" si="10"/>
        <v>21968</v>
      </c>
      <c r="T121" s="217">
        <f t="shared" si="11"/>
        <v>2978</v>
      </c>
      <c r="U121" s="217">
        <f t="shared" si="12"/>
        <v>73501</v>
      </c>
      <c r="V121" s="217">
        <f t="shared" si="13"/>
        <v>33442</v>
      </c>
      <c r="W121" s="217">
        <f>ROUND(AC121+(INDEX(Ref!B$1:B$9,MATCH($AI121,Ref!$A$1:$A$9,0))*P121*0.0001),)</f>
        <v>66</v>
      </c>
      <c r="X121" s="217">
        <f>ROUND(AD121+(INDEX(Ref!C$1:C$9,MATCH($AI121,Ref!$A$1:$A$9,0))*$P121*0.0001),)</f>
        <v>52</v>
      </c>
      <c r="Y121" s="217">
        <f>ROUND(AE121+(INDEX(Ref!D$1:D$9,MATCH($AI121,Ref!$A$1:$A$9,0))*$P121*0.0001),)</f>
        <v>67</v>
      </c>
      <c r="Z121" s="217">
        <f>ROUND(AF121+(INDEX(Ref!E$1:E$9,MATCH($AI121,Ref!$A$1:$A$9,0))*$P121*0.0001),)</f>
        <v>42</v>
      </c>
      <c r="AA121" s="217">
        <f>ROUND(AG121+(INDEX(Ref!F$1:F$9,MATCH($AI121,Ref!$A$1:$A$9,0))*$P121*0.0001),)</f>
        <v>55</v>
      </c>
      <c r="AB121" s="217">
        <f>ROUND(AH121+(INDEX(Ref!G$1:G$9,MATCH($AI121,Ref!$A$1:$A$9,0))*$P121*0.0001),)</f>
        <v>62</v>
      </c>
      <c r="AC121" s="137">
        <v>46</v>
      </c>
      <c r="AD121" s="137">
        <v>36</v>
      </c>
      <c r="AE121" s="137">
        <v>52</v>
      </c>
      <c r="AF121" s="137">
        <v>29</v>
      </c>
      <c r="AG121" s="137">
        <v>38</v>
      </c>
      <c r="AH121" s="137">
        <v>43</v>
      </c>
      <c r="AI121" s="208">
        <v>7</v>
      </c>
      <c r="AJ121" s="172">
        <v>3000</v>
      </c>
      <c r="AK121" s="172">
        <v>30141</v>
      </c>
      <c r="AL121" s="172">
        <v>2000</v>
      </c>
      <c r="AM121" s="172">
        <v>30144</v>
      </c>
      <c r="AN121" s="172">
        <v>0</v>
      </c>
      <c r="AO121" s="172">
        <f t="shared" si="14"/>
        <v>34141</v>
      </c>
      <c r="AP121" s="172">
        <v>0</v>
      </c>
      <c r="AQ121" s="172">
        <f t="shared" si="15"/>
        <v>34144</v>
      </c>
      <c r="AR121" s="172">
        <v>1</v>
      </c>
      <c r="AS121" s="172">
        <v>0</v>
      </c>
      <c r="AT121" s="199">
        <v>78024</v>
      </c>
      <c r="AU121" s="195" t="s">
        <v>151</v>
      </c>
    </row>
    <row r="122" spans="1:47" x14ac:dyDescent="0.2">
      <c r="A122" s="173">
        <v>55025</v>
      </c>
      <c r="B122" s="174" t="s">
        <v>152</v>
      </c>
      <c r="C122" s="172">
        <v>86025</v>
      </c>
      <c r="D122" s="172">
        <v>150025</v>
      </c>
      <c r="E122" s="206" t="s">
        <v>153</v>
      </c>
      <c r="F122" s="207">
        <v>4</v>
      </c>
      <c r="G122" s="173">
        <v>11500</v>
      </c>
      <c r="H122" s="173">
        <v>9500</v>
      </c>
      <c r="I122" s="172">
        <v>10000</v>
      </c>
      <c r="J122" s="172">
        <v>1</v>
      </c>
      <c r="K122" s="190">
        <f>IF($J122=1,INDEX('큐펫&amp;몹 정리(최신)'!P:P,MATCH($E122,'큐펫&amp;몹 정리(최신)'!$B:$B,0))*20,IF($J122=2,INDEX('큐펫&amp;몹 정리(최신)'!P:P,MATCH($E122,'큐펫&amp;몹 정리(최신)'!$B:$B,0))*25,IF($J122=3,INDEX('큐펫&amp;몹 정리(최신)'!P:P,MATCH($E122,'큐펫&amp;몹 정리(최신)'!$B:$B,0))*30,IF($J122=4,INDEX('큐펫&amp;몹 정리(최신)'!P:P,MATCH($E122,'큐펫&amp;몹 정리(최신)'!$B:$B,0))*35,INDEX('큐펫&amp;몹 정리(최신)'!P:P,MATCH($E122,'큐펫&amp;몹 정리(최신)'!$B:$B,0))*40))))</f>
        <v>720</v>
      </c>
      <c r="L122" s="190">
        <f>IF($J122=1,INDEX('큐펫&amp;몹 정리(최신)'!Q:Q,MATCH($E122,'큐펫&amp;몹 정리(최신)'!$B:$B,0))*20,IF($J122=2,INDEX('큐펫&amp;몹 정리(최신)'!Q:Q,MATCH($E122,'큐펫&amp;몹 정리(최신)'!$B:$B,0))*25,IF($J122=3,INDEX('큐펫&amp;몹 정리(최신)'!Q:Q,MATCH($E122,'큐펫&amp;몹 정리(최신)'!$B:$B,0))*30,IF($J122=4,INDEX('큐펫&amp;몹 정리(최신)'!Q:Q,MATCH($E122,'큐펫&amp;몹 정리(최신)'!$B:$B,0))*35,INDEX('큐펫&amp;몹 정리(최신)'!Q:Q,MATCH($E122,'큐펫&amp;몹 정리(최신)'!$B:$B,0))*40))))</f>
        <v>80</v>
      </c>
      <c r="M122" s="190">
        <f>IF($J122=1,INDEX('큐펫&amp;몹 정리(최신)'!R:R,MATCH($E122,'큐펫&amp;몹 정리(최신)'!$B:$B,0))*20,IF($J122=2,INDEX('큐펫&amp;몹 정리(최신)'!R:R,MATCH($E122,'큐펫&amp;몹 정리(최신)'!$B:$B,0))*25,IF($J122=3,INDEX('큐펫&amp;몹 정리(최신)'!R:R,MATCH($E122,'큐펫&amp;몹 정리(최신)'!$B:$B,0))*30,IF($J122=4,INDEX('큐펫&amp;몹 정리(최신)'!R:R,MATCH($E122,'큐펫&amp;몹 정리(최신)'!$B:$B,0))*35,INDEX('큐펫&amp;몹 정리(최신)'!R:R,MATCH($E122,'큐펫&amp;몹 정리(최신)'!$B:$B,0))*40))))</f>
        <v>480</v>
      </c>
      <c r="N122" s="190">
        <f>IF($J122=1,INDEX('큐펫&amp;몹 정리(최신)'!S:S,MATCH($E122,'큐펫&amp;몹 정리(최신)'!$B:$B,0))*20,IF($J122=2,INDEX('큐펫&amp;몹 정리(최신)'!S:S,MATCH($E122,'큐펫&amp;몹 정리(최신)'!$B:$B,0))*25,IF($J122=3,INDEX('큐펫&amp;몹 정리(최신)'!S:S,MATCH($E122,'큐펫&amp;몹 정리(최신)'!$B:$B,0))*30,IF($J122=4,INDEX('큐펫&amp;몹 정리(최신)'!S:S,MATCH($E122,'큐펫&amp;몹 정리(최신)'!$B:$B,0))*35,INDEX('큐펫&amp;몹 정리(최신)'!S:S,MATCH($E122,'큐펫&amp;몹 정리(최신)'!$B:$B,0))*40))))</f>
        <v>280</v>
      </c>
      <c r="O122" s="190">
        <f>IF($J122=1,INDEX('큐펫&amp;몹 정리(최신)'!T:T,MATCH($E122,'큐펫&amp;몹 정리(최신)'!$B:$B,0))*20,IF($J122=2,INDEX('큐펫&amp;몹 정리(최신)'!T:T,MATCH($E122,'큐펫&amp;몹 정리(최신)'!$B:$B,0))*25,IF($J122=3,INDEX('큐펫&amp;몹 정리(최신)'!T:T,MATCH($E122,'큐펫&amp;몹 정리(최신)'!$B:$B,0))*30,IF($J122=4,INDEX('큐펫&amp;몹 정리(최신)'!T:T,MATCH($E122,'큐펫&amp;몹 정리(최신)'!$B:$B,0))*35,INDEX('큐펫&amp;몹 정리(최신)'!T:T,MATCH($E122,'큐펫&amp;몹 정리(최신)'!$B:$B,0))*40))))</f>
        <v>440</v>
      </c>
      <c r="P122" s="217">
        <v>20</v>
      </c>
      <c r="Q122" s="217">
        <f t="shared" si="8"/>
        <v>25488</v>
      </c>
      <c r="R122" s="217">
        <f t="shared" si="9"/>
        <v>346</v>
      </c>
      <c r="S122" s="217">
        <f t="shared" si="10"/>
        <v>488</v>
      </c>
      <c r="T122" s="217">
        <f t="shared" si="11"/>
        <v>8979</v>
      </c>
      <c r="U122" s="217">
        <f t="shared" si="12"/>
        <v>10086</v>
      </c>
      <c r="V122" s="217">
        <f t="shared" si="13"/>
        <v>7963</v>
      </c>
      <c r="W122" s="217">
        <f>ROUND(AC122+(INDEX(Ref!B$1:B$9,MATCH($AI122,Ref!$A$1:$A$9,0))*P122*0.0001),)</f>
        <v>19</v>
      </c>
      <c r="X122" s="217">
        <f>ROUND(AD122+(INDEX(Ref!C$1:C$9,MATCH($AI122,Ref!$A$1:$A$9,0))*$P122*0.0001),)</f>
        <v>26</v>
      </c>
      <c r="Y122" s="217">
        <f>ROUND(AE122+(INDEX(Ref!D$1:D$9,MATCH($AI122,Ref!$A$1:$A$9,0))*$P122*0.0001),)</f>
        <v>52</v>
      </c>
      <c r="Z122" s="217">
        <f>ROUND(AF122+(INDEX(Ref!E$1:E$9,MATCH($AI122,Ref!$A$1:$A$9,0))*$P122*0.0001),)</f>
        <v>43</v>
      </c>
      <c r="AA122" s="217">
        <f>ROUND(AG122+(INDEX(Ref!F$1:F$9,MATCH($AI122,Ref!$A$1:$A$9,0))*$P122*0.0001),)</f>
        <v>23</v>
      </c>
      <c r="AB122" s="217">
        <f>ROUND(AH122+(INDEX(Ref!G$1:G$9,MATCH($AI122,Ref!$A$1:$A$9,0))*$P122*0.0001),)</f>
        <v>21</v>
      </c>
      <c r="AC122" s="137">
        <v>17</v>
      </c>
      <c r="AD122" s="137">
        <v>23</v>
      </c>
      <c r="AE122" s="137">
        <v>48</v>
      </c>
      <c r="AF122" s="137">
        <v>38</v>
      </c>
      <c r="AG122" s="137">
        <v>20</v>
      </c>
      <c r="AH122" s="137">
        <v>18</v>
      </c>
      <c r="AI122" s="208">
        <v>2</v>
      </c>
      <c r="AJ122" s="172">
        <v>3000</v>
      </c>
      <c r="AK122" s="172">
        <v>30145</v>
      </c>
      <c r="AL122" s="172">
        <v>2000</v>
      </c>
      <c r="AM122" s="172">
        <v>30148</v>
      </c>
      <c r="AN122" s="172">
        <v>0</v>
      </c>
      <c r="AO122" s="172">
        <f t="shared" si="14"/>
        <v>34145</v>
      </c>
      <c r="AP122" s="172">
        <v>0</v>
      </c>
      <c r="AQ122" s="172">
        <f t="shared" si="15"/>
        <v>34148</v>
      </c>
      <c r="AR122" s="172">
        <v>1</v>
      </c>
      <c r="AS122" s="172">
        <v>0</v>
      </c>
      <c r="AT122" s="199">
        <v>78025</v>
      </c>
      <c r="AU122" s="195" t="s">
        <v>154</v>
      </c>
    </row>
    <row r="123" spans="1:47" x14ac:dyDescent="0.2">
      <c r="A123" s="173">
        <v>55025</v>
      </c>
      <c r="B123" s="174" t="s">
        <v>152</v>
      </c>
      <c r="C123" s="172">
        <v>86025</v>
      </c>
      <c r="D123" s="172">
        <v>150025</v>
      </c>
      <c r="E123" s="206" t="s">
        <v>153</v>
      </c>
      <c r="F123" s="207">
        <v>4</v>
      </c>
      <c r="G123" s="173">
        <v>11500</v>
      </c>
      <c r="H123" s="173">
        <v>9500</v>
      </c>
      <c r="I123" s="172">
        <v>10000</v>
      </c>
      <c r="J123" s="172">
        <v>2</v>
      </c>
      <c r="K123" s="190">
        <f>IF($J123=1,INDEX('큐펫&amp;몹 정리(최신)'!P:P,MATCH($E123,'큐펫&amp;몹 정리(최신)'!$B:$B,0))*20,IF($J123=2,INDEX('큐펫&amp;몹 정리(최신)'!P:P,MATCH($E123,'큐펫&amp;몹 정리(최신)'!$B:$B,0))*25,IF($J123=3,INDEX('큐펫&amp;몹 정리(최신)'!P:P,MATCH($E123,'큐펫&amp;몹 정리(최신)'!$B:$B,0))*30,IF($J123=4,INDEX('큐펫&amp;몹 정리(최신)'!P:P,MATCH($E123,'큐펫&amp;몹 정리(최신)'!$B:$B,0))*35,INDEX('큐펫&amp;몹 정리(최신)'!P:P,MATCH($E123,'큐펫&amp;몹 정리(최신)'!$B:$B,0))*40))))</f>
        <v>900</v>
      </c>
      <c r="L123" s="190">
        <f>IF($J123=1,INDEX('큐펫&amp;몹 정리(최신)'!Q:Q,MATCH($E123,'큐펫&amp;몹 정리(최신)'!$B:$B,0))*20,IF($J123=2,INDEX('큐펫&amp;몹 정리(최신)'!Q:Q,MATCH($E123,'큐펫&amp;몹 정리(최신)'!$B:$B,0))*25,IF($J123=3,INDEX('큐펫&amp;몹 정리(최신)'!Q:Q,MATCH($E123,'큐펫&amp;몹 정리(최신)'!$B:$B,0))*30,IF($J123=4,INDEX('큐펫&amp;몹 정리(최신)'!Q:Q,MATCH($E123,'큐펫&amp;몹 정리(최신)'!$B:$B,0))*35,INDEX('큐펫&amp;몹 정리(최신)'!Q:Q,MATCH($E123,'큐펫&amp;몹 정리(최신)'!$B:$B,0))*40))))</f>
        <v>100</v>
      </c>
      <c r="M123" s="190">
        <f>IF($J123=1,INDEX('큐펫&amp;몹 정리(최신)'!R:R,MATCH($E123,'큐펫&amp;몹 정리(최신)'!$B:$B,0))*20,IF($J123=2,INDEX('큐펫&amp;몹 정리(최신)'!R:R,MATCH($E123,'큐펫&amp;몹 정리(최신)'!$B:$B,0))*25,IF($J123=3,INDEX('큐펫&amp;몹 정리(최신)'!R:R,MATCH($E123,'큐펫&amp;몹 정리(최신)'!$B:$B,0))*30,IF($J123=4,INDEX('큐펫&amp;몹 정리(최신)'!R:R,MATCH($E123,'큐펫&amp;몹 정리(최신)'!$B:$B,0))*35,INDEX('큐펫&amp;몹 정리(최신)'!R:R,MATCH($E123,'큐펫&amp;몹 정리(최신)'!$B:$B,0))*40))))</f>
        <v>600</v>
      </c>
      <c r="N123" s="190">
        <f>IF($J123=1,INDEX('큐펫&amp;몹 정리(최신)'!S:S,MATCH($E123,'큐펫&amp;몹 정리(최신)'!$B:$B,0))*20,IF($J123=2,INDEX('큐펫&amp;몹 정리(최신)'!S:S,MATCH($E123,'큐펫&amp;몹 정리(최신)'!$B:$B,0))*25,IF($J123=3,INDEX('큐펫&amp;몹 정리(최신)'!S:S,MATCH($E123,'큐펫&amp;몹 정리(최신)'!$B:$B,0))*30,IF($J123=4,INDEX('큐펫&amp;몹 정리(최신)'!S:S,MATCH($E123,'큐펫&amp;몹 정리(최신)'!$B:$B,0))*35,INDEX('큐펫&amp;몹 정리(최신)'!S:S,MATCH($E123,'큐펫&amp;몹 정리(최신)'!$B:$B,0))*40))))</f>
        <v>350</v>
      </c>
      <c r="O123" s="190">
        <f>IF($J123=1,INDEX('큐펫&amp;몹 정리(최신)'!T:T,MATCH($E123,'큐펫&amp;몹 정리(최신)'!$B:$B,0))*20,IF($J123=2,INDEX('큐펫&amp;몹 정리(최신)'!T:T,MATCH($E123,'큐펫&amp;몹 정리(최신)'!$B:$B,0))*25,IF($J123=3,INDEX('큐펫&amp;몹 정리(최신)'!T:T,MATCH($E123,'큐펫&amp;몹 정리(최신)'!$B:$B,0))*30,IF($J123=4,INDEX('큐펫&amp;몹 정리(최신)'!T:T,MATCH($E123,'큐펫&amp;몹 정리(최신)'!$B:$B,0))*35,INDEX('큐펫&amp;몹 정리(최신)'!T:T,MATCH($E123,'큐펫&amp;몹 정리(최신)'!$B:$B,0))*40))))</f>
        <v>550</v>
      </c>
      <c r="P123" s="217">
        <v>40</v>
      </c>
      <c r="Q123" s="217">
        <f t="shared" si="8"/>
        <v>62100</v>
      </c>
      <c r="R123" s="217">
        <f t="shared" si="9"/>
        <v>656</v>
      </c>
      <c r="S123" s="217">
        <f t="shared" si="10"/>
        <v>930</v>
      </c>
      <c r="T123" s="217">
        <f t="shared" si="11"/>
        <v>16990</v>
      </c>
      <c r="U123" s="217">
        <f t="shared" si="12"/>
        <v>17509</v>
      </c>
      <c r="V123" s="217">
        <f t="shared" si="13"/>
        <v>13803</v>
      </c>
      <c r="W123" s="217">
        <f>ROUND(AC123+(INDEX(Ref!B$1:B$9,MATCH($AI123,Ref!$A$1:$A$9,0))*P123*0.0001),)</f>
        <v>24</v>
      </c>
      <c r="X123" s="217">
        <f>ROUND(AD123+(INDEX(Ref!C$1:C$9,MATCH($AI123,Ref!$A$1:$A$9,0))*$P123*0.0001),)</f>
        <v>32</v>
      </c>
      <c r="Y123" s="217">
        <f>ROUND(AE123+(INDEX(Ref!D$1:D$9,MATCH($AI123,Ref!$A$1:$A$9,0))*$P123*0.0001),)</f>
        <v>60</v>
      </c>
      <c r="Z123" s="217">
        <f>ROUND(AF123+(INDEX(Ref!E$1:E$9,MATCH($AI123,Ref!$A$1:$A$9,0))*$P123*0.0001),)</f>
        <v>53</v>
      </c>
      <c r="AA123" s="217">
        <f>ROUND(AG123+(INDEX(Ref!F$1:F$9,MATCH($AI123,Ref!$A$1:$A$9,0))*$P123*0.0001),)</f>
        <v>29</v>
      </c>
      <c r="AB123" s="217">
        <f>ROUND(AH123+(INDEX(Ref!G$1:G$9,MATCH($AI123,Ref!$A$1:$A$9,0))*$P123*0.0001),)</f>
        <v>26</v>
      </c>
      <c r="AC123" s="137">
        <v>19</v>
      </c>
      <c r="AD123" s="137">
        <v>26</v>
      </c>
      <c r="AE123" s="137">
        <v>52</v>
      </c>
      <c r="AF123" s="137">
        <v>43</v>
      </c>
      <c r="AG123" s="137">
        <v>23</v>
      </c>
      <c r="AH123" s="137">
        <v>21</v>
      </c>
      <c r="AI123" s="208">
        <v>2</v>
      </c>
      <c r="AJ123" s="172">
        <v>3000</v>
      </c>
      <c r="AK123" s="172">
        <v>30146</v>
      </c>
      <c r="AL123" s="172">
        <v>2000</v>
      </c>
      <c r="AM123" s="172">
        <v>30148</v>
      </c>
      <c r="AN123" s="172">
        <v>0</v>
      </c>
      <c r="AO123" s="172">
        <f t="shared" si="14"/>
        <v>34146</v>
      </c>
      <c r="AP123" s="172">
        <v>0</v>
      </c>
      <c r="AQ123" s="172">
        <f t="shared" si="15"/>
        <v>34148</v>
      </c>
      <c r="AR123" s="172">
        <v>1</v>
      </c>
      <c r="AS123" s="172">
        <v>0</v>
      </c>
      <c r="AT123" s="199">
        <v>78025</v>
      </c>
      <c r="AU123" s="195" t="s">
        <v>154</v>
      </c>
    </row>
    <row r="124" spans="1:47" x14ac:dyDescent="0.2">
      <c r="A124" s="173">
        <v>55025</v>
      </c>
      <c r="B124" s="174" t="s">
        <v>152</v>
      </c>
      <c r="C124" s="172">
        <v>86025</v>
      </c>
      <c r="D124" s="172">
        <v>150025</v>
      </c>
      <c r="E124" s="206" t="s">
        <v>153</v>
      </c>
      <c r="F124" s="207">
        <v>4</v>
      </c>
      <c r="G124" s="173">
        <v>11500</v>
      </c>
      <c r="H124" s="173">
        <v>9500</v>
      </c>
      <c r="I124" s="172">
        <v>10000</v>
      </c>
      <c r="J124" s="172">
        <v>3</v>
      </c>
      <c r="K124" s="190">
        <f>IF($J124=1,INDEX('큐펫&amp;몹 정리(최신)'!P:P,MATCH($E124,'큐펫&amp;몹 정리(최신)'!$B:$B,0))*20,IF($J124=2,INDEX('큐펫&amp;몹 정리(최신)'!P:P,MATCH($E124,'큐펫&amp;몹 정리(최신)'!$B:$B,0))*25,IF($J124=3,INDEX('큐펫&amp;몹 정리(최신)'!P:P,MATCH($E124,'큐펫&amp;몹 정리(최신)'!$B:$B,0))*30,IF($J124=4,INDEX('큐펫&amp;몹 정리(최신)'!P:P,MATCH($E124,'큐펫&amp;몹 정리(최신)'!$B:$B,0))*35,INDEX('큐펫&amp;몹 정리(최신)'!P:P,MATCH($E124,'큐펫&amp;몹 정리(최신)'!$B:$B,0))*40))))</f>
        <v>1080</v>
      </c>
      <c r="L124" s="190">
        <f>IF($J124=1,INDEX('큐펫&amp;몹 정리(최신)'!Q:Q,MATCH($E124,'큐펫&amp;몹 정리(최신)'!$B:$B,0))*20,IF($J124=2,INDEX('큐펫&amp;몹 정리(최신)'!Q:Q,MATCH($E124,'큐펫&amp;몹 정리(최신)'!$B:$B,0))*25,IF($J124=3,INDEX('큐펫&amp;몹 정리(최신)'!Q:Q,MATCH($E124,'큐펫&amp;몹 정리(최신)'!$B:$B,0))*30,IF($J124=4,INDEX('큐펫&amp;몹 정리(최신)'!Q:Q,MATCH($E124,'큐펫&amp;몹 정리(최신)'!$B:$B,0))*35,INDEX('큐펫&amp;몹 정리(최신)'!Q:Q,MATCH($E124,'큐펫&amp;몹 정리(최신)'!$B:$B,0))*40))))</f>
        <v>120</v>
      </c>
      <c r="M124" s="190">
        <f>IF($J124=1,INDEX('큐펫&amp;몹 정리(최신)'!R:R,MATCH($E124,'큐펫&amp;몹 정리(최신)'!$B:$B,0))*20,IF($J124=2,INDEX('큐펫&amp;몹 정리(최신)'!R:R,MATCH($E124,'큐펫&amp;몹 정리(최신)'!$B:$B,0))*25,IF($J124=3,INDEX('큐펫&amp;몹 정리(최신)'!R:R,MATCH($E124,'큐펫&amp;몹 정리(최신)'!$B:$B,0))*30,IF($J124=4,INDEX('큐펫&amp;몹 정리(최신)'!R:R,MATCH($E124,'큐펫&amp;몹 정리(최신)'!$B:$B,0))*35,INDEX('큐펫&amp;몹 정리(최신)'!R:R,MATCH($E124,'큐펫&amp;몹 정리(최신)'!$B:$B,0))*40))))</f>
        <v>720</v>
      </c>
      <c r="N124" s="190">
        <f>IF($J124=1,INDEX('큐펫&amp;몹 정리(최신)'!S:S,MATCH($E124,'큐펫&amp;몹 정리(최신)'!$B:$B,0))*20,IF($J124=2,INDEX('큐펫&amp;몹 정리(최신)'!S:S,MATCH($E124,'큐펫&amp;몹 정리(최신)'!$B:$B,0))*25,IF($J124=3,INDEX('큐펫&amp;몹 정리(최신)'!S:S,MATCH($E124,'큐펫&amp;몹 정리(최신)'!$B:$B,0))*30,IF($J124=4,INDEX('큐펫&amp;몹 정리(최신)'!S:S,MATCH($E124,'큐펫&amp;몹 정리(최신)'!$B:$B,0))*35,INDEX('큐펫&amp;몹 정리(최신)'!S:S,MATCH($E124,'큐펫&amp;몹 정리(최신)'!$B:$B,0))*40))))</f>
        <v>420</v>
      </c>
      <c r="O124" s="190">
        <f>IF($J124=1,INDEX('큐펫&amp;몹 정리(최신)'!T:T,MATCH($E124,'큐펫&amp;몹 정리(최신)'!$B:$B,0))*20,IF($J124=2,INDEX('큐펫&amp;몹 정리(최신)'!T:T,MATCH($E124,'큐펫&amp;몹 정리(최신)'!$B:$B,0))*25,IF($J124=3,INDEX('큐펫&amp;몹 정리(최신)'!T:T,MATCH($E124,'큐펫&amp;몹 정리(최신)'!$B:$B,0))*30,IF($J124=4,INDEX('큐펫&amp;몹 정리(최신)'!T:T,MATCH($E124,'큐펫&amp;몹 정리(최신)'!$B:$B,0))*35,INDEX('큐펫&amp;몹 정리(최신)'!T:T,MATCH($E124,'큐펫&amp;몹 정리(최신)'!$B:$B,0))*40))))</f>
        <v>660</v>
      </c>
      <c r="P124" s="217">
        <v>60</v>
      </c>
      <c r="Q124" s="217">
        <f t="shared" si="8"/>
        <v>114264</v>
      </c>
      <c r="R124" s="217">
        <f t="shared" si="9"/>
        <v>1041</v>
      </c>
      <c r="S124" s="217">
        <f t="shared" si="10"/>
        <v>1498</v>
      </c>
      <c r="T124" s="217">
        <f t="shared" si="11"/>
        <v>28744</v>
      </c>
      <c r="U124" s="217">
        <f t="shared" si="12"/>
        <v>26891</v>
      </c>
      <c r="V124" s="217">
        <f t="shared" si="13"/>
        <v>21183</v>
      </c>
      <c r="W124" s="217">
        <f>ROUND(AC124+(INDEX(Ref!B$1:B$9,MATCH($AI124,Ref!$A$1:$A$9,0))*P124*0.0001),)</f>
        <v>28</v>
      </c>
      <c r="X124" s="217">
        <f>ROUND(AD124+(INDEX(Ref!C$1:C$9,MATCH($AI124,Ref!$A$1:$A$9,0))*$P124*0.0001),)</f>
        <v>40</v>
      </c>
      <c r="Y124" s="217">
        <f>ROUND(AE124+(INDEX(Ref!D$1:D$9,MATCH($AI124,Ref!$A$1:$A$9,0))*$P124*0.0001),)</f>
        <v>68</v>
      </c>
      <c r="Z124" s="217">
        <f>ROUND(AF124+(INDEX(Ref!E$1:E$9,MATCH($AI124,Ref!$A$1:$A$9,0))*$P124*0.0001),)</f>
        <v>63</v>
      </c>
      <c r="AA124" s="217">
        <f>ROUND(AG124+(INDEX(Ref!F$1:F$9,MATCH($AI124,Ref!$A$1:$A$9,0))*$P124*0.0001),)</f>
        <v>34</v>
      </c>
      <c r="AB124" s="217">
        <f>ROUND(AH124+(INDEX(Ref!G$1:G$9,MATCH($AI124,Ref!$A$1:$A$9,0))*$P124*0.0001),)</f>
        <v>31</v>
      </c>
      <c r="AC124" s="137">
        <v>21</v>
      </c>
      <c r="AD124" s="137">
        <v>30</v>
      </c>
      <c r="AE124" s="137">
        <v>56</v>
      </c>
      <c r="AF124" s="137">
        <v>48.000000000000007</v>
      </c>
      <c r="AG124" s="137">
        <v>26</v>
      </c>
      <c r="AH124" s="137">
        <v>23</v>
      </c>
      <c r="AI124" s="208">
        <v>2</v>
      </c>
      <c r="AJ124" s="172">
        <v>3000</v>
      </c>
      <c r="AK124" s="172">
        <v>30146</v>
      </c>
      <c r="AL124" s="172">
        <v>2000</v>
      </c>
      <c r="AM124" s="172">
        <v>30149</v>
      </c>
      <c r="AN124" s="172">
        <v>0</v>
      </c>
      <c r="AO124" s="172">
        <f t="shared" si="14"/>
        <v>34146</v>
      </c>
      <c r="AP124" s="172">
        <v>0</v>
      </c>
      <c r="AQ124" s="172">
        <f t="shared" si="15"/>
        <v>34149</v>
      </c>
      <c r="AR124" s="172">
        <v>1</v>
      </c>
      <c r="AS124" s="172">
        <v>0</v>
      </c>
      <c r="AT124" s="199">
        <v>78025</v>
      </c>
      <c r="AU124" s="195" t="s">
        <v>154</v>
      </c>
    </row>
    <row r="125" spans="1:47" x14ac:dyDescent="0.2">
      <c r="A125" s="173">
        <v>55025</v>
      </c>
      <c r="B125" s="174" t="s">
        <v>152</v>
      </c>
      <c r="C125" s="172">
        <v>86025</v>
      </c>
      <c r="D125" s="172">
        <v>150025</v>
      </c>
      <c r="E125" s="206" t="s">
        <v>153</v>
      </c>
      <c r="F125" s="207">
        <v>4</v>
      </c>
      <c r="G125" s="173">
        <v>11500</v>
      </c>
      <c r="H125" s="173">
        <v>9500</v>
      </c>
      <c r="I125" s="172">
        <v>10000</v>
      </c>
      <c r="J125" s="172">
        <v>4</v>
      </c>
      <c r="K125" s="190">
        <f>IF($J125=1,INDEX('큐펫&amp;몹 정리(최신)'!P:P,MATCH($E125,'큐펫&amp;몹 정리(최신)'!$B:$B,0))*20,IF($J125=2,INDEX('큐펫&amp;몹 정리(최신)'!P:P,MATCH($E125,'큐펫&amp;몹 정리(최신)'!$B:$B,0))*25,IF($J125=3,INDEX('큐펫&amp;몹 정리(최신)'!P:P,MATCH($E125,'큐펫&amp;몹 정리(최신)'!$B:$B,0))*30,IF($J125=4,INDEX('큐펫&amp;몹 정리(최신)'!P:P,MATCH($E125,'큐펫&amp;몹 정리(최신)'!$B:$B,0))*35,INDEX('큐펫&amp;몹 정리(최신)'!P:P,MATCH($E125,'큐펫&amp;몹 정리(최신)'!$B:$B,0))*40))))</f>
        <v>1260</v>
      </c>
      <c r="L125" s="190">
        <f>IF($J125=1,INDEX('큐펫&amp;몹 정리(최신)'!Q:Q,MATCH($E125,'큐펫&amp;몹 정리(최신)'!$B:$B,0))*20,IF($J125=2,INDEX('큐펫&amp;몹 정리(최신)'!Q:Q,MATCH($E125,'큐펫&amp;몹 정리(최신)'!$B:$B,0))*25,IF($J125=3,INDEX('큐펫&amp;몹 정리(최신)'!Q:Q,MATCH($E125,'큐펫&amp;몹 정리(최신)'!$B:$B,0))*30,IF($J125=4,INDEX('큐펫&amp;몹 정리(최신)'!Q:Q,MATCH($E125,'큐펫&amp;몹 정리(최신)'!$B:$B,0))*35,INDEX('큐펫&amp;몹 정리(최신)'!Q:Q,MATCH($E125,'큐펫&amp;몹 정리(최신)'!$B:$B,0))*40))))</f>
        <v>140</v>
      </c>
      <c r="M125" s="190">
        <f>IF($J125=1,INDEX('큐펫&amp;몹 정리(최신)'!R:R,MATCH($E125,'큐펫&amp;몹 정리(최신)'!$B:$B,0))*20,IF($J125=2,INDEX('큐펫&amp;몹 정리(최신)'!R:R,MATCH($E125,'큐펫&amp;몹 정리(최신)'!$B:$B,0))*25,IF($J125=3,INDEX('큐펫&amp;몹 정리(최신)'!R:R,MATCH($E125,'큐펫&amp;몹 정리(최신)'!$B:$B,0))*30,IF($J125=4,INDEX('큐펫&amp;몹 정리(최신)'!R:R,MATCH($E125,'큐펫&amp;몹 정리(최신)'!$B:$B,0))*35,INDEX('큐펫&amp;몹 정리(최신)'!R:R,MATCH($E125,'큐펫&amp;몹 정리(최신)'!$B:$B,0))*40))))</f>
        <v>840</v>
      </c>
      <c r="N125" s="190">
        <f>IF($J125=1,INDEX('큐펫&amp;몹 정리(최신)'!S:S,MATCH($E125,'큐펫&amp;몹 정리(최신)'!$B:$B,0))*20,IF($J125=2,INDEX('큐펫&amp;몹 정리(최신)'!S:S,MATCH($E125,'큐펫&amp;몹 정리(최신)'!$B:$B,0))*25,IF($J125=3,INDEX('큐펫&amp;몹 정리(최신)'!S:S,MATCH($E125,'큐펫&amp;몹 정리(최신)'!$B:$B,0))*30,IF($J125=4,INDEX('큐펫&amp;몹 정리(최신)'!S:S,MATCH($E125,'큐펫&amp;몹 정리(최신)'!$B:$B,0))*35,INDEX('큐펫&amp;몹 정리(최신)'!S:S,MATCH($E125,'큐펫&amp;몹 정리(최신)'!$B:$B,0))*40))))</f>
        <v>490</v>
      </c>
      <c r="O125" s="190">
        <f>IF($J125=1,INDEX('큐펫&amp;몹 정리(최신)'!T:T,MATCH($E125,'큐펫&amp;몹 정리(최신)'!$B:$B,0))*20,IF($J125=2,INDEX('큐펫&amp;몹 정리(최신)'!T:T,MATCH($E125,'큐펫&amp;몹 정리(최신)'!$B:$B,0))*25,IF($J125=3,INDEX('큐펫&amp;몹 정리(최신)'!T:T,MATCH($E125,'큐펫&amp;몹 정리(최신)'!$B:$B,0))*30,IF($J125=4,INDEX('큐펫&amp;몹 정리(최신)'!T:T,MATCH($E125,'큐펫&amp;몹 정리(최신)'!$B:$B,0))*35,INDEX('큐펫&amp;몹 정리(최신)'!T:T,MATCH($E125,'큐펫&amp;몹 정리(최신)'!$B:$B,0))*40))))</f>
        <v>770</v>
      </c>
      <c r="P125" s="217">
        <v>80</v>
      </c>
      <c r="Q125" s="217">
        <f t="shared" si="8"/>
        <v>183708</v>
      </c>
      <c r="R125" s="217">
        <f t="shared" si="9"/>
        <v>1743</v>
      </c>
      <c r="S125" s="217">
        <f t="shared" si="10"/>
        <v>2263</v>
      </c>
      <c r="T125" s="217">
        <f t="shared" si="11"/>
        <v>44963</v>
      </c>
      <c r="U125" s="217">
        <f t="shared" si="12"/>
        <v>38232</v>
      </c>
      <c r="V125" s="217">
        <f t="shared" si="13"/>
        <v>30103</v>
      </c>
      <c r="W125" s="217">
        <f>ROUND(AC125+(INDEX(Ref!B$1:B$9,MATCH($AI125,Ref!$A$1:$A$9,0))*P125*0.0001),)</f>
        <v>34</v>
      </c>
      <c r="X125" s="217">
        <f>ROUND(AD125+(INDEX(Ref!C$1:C$9,MATCH($AI125,Ref!$A$1:$A$9,0))*$P125*0.0001),)</f>
        <v>46</v>
      </c>
      <c r="Y125" s="217">
        <f>ROUND(AE125+(INDEX(Ref!D$1:D$9,MATCH($AI125,Ref!$A$1:$A$9,0))*$P125*0.0001),)</f>
        <v>76</v>
      </c>
      <c r="Z125" s="217">
        <f>ROUND(AF125+(INDEX(Ref!E$1:E$9,MATCH($AI125,Ref!$A$1:$A$9,0))*$P125*0.0001),)</f>
        <v>73</v>
      </c>
      <c r="AA125" s="217">
        <f>ROUND(AG125+(INDEX(Ref!F$1:F$9,MATCH($AI125,Ref!$A$1:$A$9,0))*$P125*0.0001),)</f>
        <v>39</v>
      </c>
      <c r="AB125" s="217">
        <f>ROUND(AH125+(INDEX(Ref!G$1:G$9,MATCH($AI125,Ref!$A$1:$A$9,0))*$P125*0.0001),)</f>
        <v>36</v>
      </c>
      <c r="AC125" s="137">
        <v>24</v>
      </c>
      <c r="AD125" s="137">
        <v>33</v>
      </c>
      <c r="AE125" s="137">
        <v>60</v>
      </c>
      <c r="AF125" s="137">
        <v>53</v>
      </c>
      <c r="AG125" s="137">
        <v>28</v>
      </c>
      <c r="AH125" s="137">
        <v>26</v>
      </c>
      <c r="AI125" s="208">
        <v>2</v>
      </c>
      <c r="AJ125" s="172">
        <v>3000</v>
      </c>
      <c r="AK125" s="172">
        <v>30147</v>
      </c>
      <c r="AL125" s="172">
        <v>2000</v>
      </c>
      <c r="AM125" s="172">
        <v>30149</v>
      </c>
      <c r="AN125" s="172">
        <v>0</v>
      </c>
      <c r="AO125" s="172">
        <f t="shared" si="14"/>
        <v>34147</v>
      </c>
      <c r="AP125" s="172">
        <v>0</v>
      </c>
      <c r="AQ125" s="172">
        <f t="shared" si="15"/>
        <v>34149</v>
      </c>
      <c r="AR125" s="172">
        <v>1</v>
      </c>
      <c r="AS125" s="172">
        <v>0</v>
      </c>
      <c r="AT125" s="199">
        <v>78025</v>
      </c>
      <c r="AU125" s="195" t="s">
        <v>154</v>
      </c>
    </row>
    <row r="126" spans="1:47" x14ac:dyDescent="0.2">
      <c r="A126" s="173">
        <v>55025</v>
      </c>
      <c r="B126" s="174" t="s">
        <v>152</v>
      </c>
      <c r="C126" s="172">
        <v>86025</v>
      </c>
      <c r="D126" s="172">
        <v>150025</v>
      </c>
      <c r="E126" s="206" t="s">
        <v>153</v>
      </c>
      <c r="F126" s="207">
        <v>4</v>
      </c>
      <c r="G126" s="173">
        <v>11500</v>
      </c>
      <c r="H126" s="173">
        <v>9500</v>
      </c>
      <c r="I126" s="172">
        <v>10000</v>
      </c>
      <c r="J126" s="172">
        <v>5</v>
      </c>
      <c r="K126" s="190">
        <f>IF($J126=1,INDEX('큐펫&amp;몹 정리(최신)'!P:P,MATCH($E126,'큐펫&amp;몹 정리(최신)'!$B:$B,0))*20,IF($J126=2,INDEX('큐펫&amp;몹 정리(최신)'!P:P,MATCH($E126,'큐펫&amp;몹 정리(최신)'!$B:$B,0))*25,IF($J126=3,INDEX('큐펫&amp;몹 정리(최신)'!P:P,MATCH($E126,'큐펫&amp;몹 정리(최신)'!$B:$B,0))*30,IF($J126=4,INDEX('큐펫&amp;몹 정리(최신)'!P:P,MATCH($E126,'큐펫&amp;몹 정리(최신)'!$B:$B,0))*35,INDEX('큐펫&amp;몹 정리(최신)'!P:P,MATCH($E126,'큐펫&amp;몹 정리(최신)'!$B:$B,0))*40))))</f>
        <v>1440</v>
      </c>
      <c r="L126" s="190">
        <f>IF($J126=1,INDEX('큐펫&amp;몹 정리(최신)'!Q:Q,MATCH($E126,'큐펫&amp;몹 정리(최신)'!$B:$B,0))*20,IF($J126=2,INDEX('큐펫&amp;몹 정리(최신)'!Q:Q,MATCH($E126,'큐펫&amp;몹 정리(최신)'!$B:$B,0))*25,IF($J126=3,INDEX('큐펫&amp;몹 정리(최신)'!Q:Q,MATCH($E126,'큐펫&amp;몹 정리(최신)'!$B:$B,0))*30,IF($J126=4,INDEX('큐펫&amp;몹 정리(최신)'!Q:Q,MATCH($E126,'큐펫&amp;몹 정리(최신)'!$B:$B,0))*35,INDEX('큐펫&amp;몹 정리(최신)'!Q:Q,MATCH($E126,'큐펫&amp;몹 정리(최신)'!$B:$B,0))*40))))</f>
        <v>160</v>
      </c>
      <c r="M126" s="190">
        <f>IF($J126=1,INDEX('큐펫&amp;몹 정리(최신)'!R:R,MATCH($E126,'큐펫&amp;몹 정리(최신)'!$B:$B,0))*20,IF($J126=2,INDEX('큐펫&amp;몹 정리(최신)'!R:R,MATCH($E126,'큐펫&amp;몹 정리(최신)'!$B:$B,0))*25,IF($J126=3,INDEX('큐펫&amp;몹 정리(최신)'!R:R,MATCH($E126,'큐펫&amp;몹 정리(최신)'!$B:$B,0))*30,IF($J126=4,INDEX('큐펫&amp;몹 정리(최신)'!R:R,MATCH($E126,'큐펫&amp;몹 정리(최신)'!$B:$B,0))*35,INDEX('큐펫&amp;몹 정리(최신)'!R:R,MATCH($E126,'큐펫&amp;몹 정리(최신)'!$B:$B,0))*40))))</f>
        <v>960</v>
      </c>
      <c r="N126" s="190">
        <f>IF($J126=1,INDEX('큐펫&amp;몹 정리(최신)'!S:S,MATCH($E126,'큐펫&amp;몹 정리(최신)'!$B:$B,0))*20,IF($J126=2,INDEX('큐펫&amp;몹 정리(최신)'!S:S,MATCH($E126,'큐펫&amp;몹 정리(최신)'!$B:$B,0))*25,IF($J126=3,INDEX('큐펫&amp;몹 정리(최신)'!S:S,MATCH($E126,'큐펫&amp;몹 정리(최신)'!$B:$B,0))*30,IF($J126=4,INDEX('큐펫&amp;몹 정리(최신)'!S:S,MATCH($E126,'큐펫&amp;몹 정리(최신)'!$B:$B,0))*35,INDEX('큐펫&amp;몹 정리(최신)'!S:S,MATCH($E126,'큐펫&amp;몹 정리(최신)'!$B:$B,0))*40))))</f>
        <v>560</v>
      </c>
      <c r="O126" s="190">
        <f>IF($J126=1,INDEX('큐펫&amp;몹 정리(최신)'!T:T,MATCH($E126,'큐펫&amp;몹 정리(최신)'!$B:$B,0))*20,IF($J126=2,INDEX('큐펫&amp;몹 정리(최신)'!T:T,MATCH($E126,'큐펫&amp;몹 정리(최신)'!$B:$B,0))*25,IF($J126=3,INDEX('큐펫&amp;몹 정리(최신)'!T:T,MATCH($E126,'큐펫&amp;몹 정리(최신)'!$B:$B,0))*30,IF($J126=4,INDEX('큐펫&amp;몹 정리(최신)'!T:T,MATCH($E126,'큐펫&amp;몹 정리(최신)'!$B:$B,0))*35,INDEX('큐펫&amp;몹 정리(최신)'!T:T,MATCH($E126,'큐펫&amp;몹 정리(최신)'!$B:$B,0))*40))))</f>
        <v>880</v>
      </c>
      <c r="P126" s="217">
        <v>100</v>
      </c>
      <c r="Q126" s="217">
        <f t="shared" si="8"/>
        <v>272160</v>
      </c>
      <c r="R126" s="217">
        <f t="shared" si="9"/>
        <v>2456</v>
      </c>
      <c r="S126" s="217">
        <f t="shared" si="10"/>
        <v>3397</v>
      </c>
      <c r="T126" s="217">
        <f t="shared" si="11"/>
        <v>66366</v>
      </c>
      <c r="U126" s="217">
        <f t="shared" si="12"/>
        <v>51534</v>
      </c>
      <c r="V126" s="217">
        <f t="shared" si="13"/>
        <v>40563</v>
      </c>
      <c r="W126" s="217">
        <f>ROUND(AC126+(INDEX(Ref!B$1:B$9,MATCH($AI126,Ref!$A$1:$A$9,0))*P126*0.0001),)</f>
        <v>38</v>
      </c>
      <c r="X126" s="217">
        <f>ROUND(AD126+(INDEX(Ref!C$1:C$9,MATCH($AI126,Ref!$A$1:$A$9,0))*$P126*0.0001),)</f>
        <v>52</v>
      </c>
      <c r="Y126" s="217">
        <f>ROUND(AE126+(INDEX(Ref!D$1:D$9,MATCH($AI126,Ref!$A$1:$A$9,0))*$P126*0.0001),)</f>
        <v>84</v>
      </c>
      <c r="Z126" s="217">
        <f>ROUND(AF126+(INDEX(Ref!E$1:E$9,MATCH($AI126,Ref!$A$1:$A$9,0))*$P126*0.0001),)</f>
        <v>83</v>
      </c>
      <c r="AA126" s="217">
        <f>ROUND(AG126+(INDEX(Ref!F$1:F$9,MATCH($AI126,Ref!$A$1:$A$9,0))*$P126*0.0001),)</f>
        <v>45</v>
      </c>
      <c r="AB126" s="217">
        <f>ROUND(AH126+(INDEX(Ref!G$1:G$9,MATCH($AI126,Ref!$A$1:$A$9,0))*$P126*0.0001),)</f>
        <v>42</v>
      </c>
      <c r="AC126" s="137">
        <v>26</v>
      </c>
      <c r="AD126" s="137">
        <v>36</v>
      </c>
      <c r="AE126" s="137">
        <v>64</v>
      </c>
      <c r="AF126" s="137">
        <v>58.000000000000007</v>
      </c>
      <c r="AG126" s="137">
        <v>31</v>
      </c>
      <c r="AH126" s="137">
        <v>29</v>
      </c>
      <c r="AI126" s="208">
        <v>2</v>
      </c>
      <c r="AJ126" s="172">
        <v>3000</v>
      </c>
      <c r="AK126" s="172">
        <v>30147</v>
      </c>
      <c r="AL126" s="172">
        <v>2000</v>
      </c>
      <c r="AM126" s="172">
        <v>30150</v>
      </c>
      <c r="AN126" s="172">
        <v>0</v>
      </c>
      <c r="AO126" s="172">
        <f t="shared" si="14"/>
        <v>34147</v>
      </c>
      <c r="AP126" s="172">
        <v>0</v>
      </c>
      <c r="AQ126" s="172">
        <f t="shared" si="15"/>
        <v>34150</v>
      </c>
      <c r="AR126" s="172">
        <v>1</v>
      </c>
      <c r="AS126" s="172">
        <v>0</v>
      </c>
      <c r="AT126" s="199">
        <v>78025</v>
      </c>
      <c r="AU126" s="195" t="s">
        <v>154</v>
      </c>
    </row>
    <row r="127" spans="1:47" x14ac:dyDescent="0.2">
      <c r="A127" s="173">
        <v>55026</v>
      </c>
      <c r="B127" s="174" t="s">
        <v>155</v>
      </c>
      <c r="C127" s="172">
        <v>86026</v>
      </c>
      <c r="D127" s="172">
        <v>150026</v>
      </c>
      <c r="E127" s="206" t="s">
        <v>156</v>
      </c>
      <c r="F127" s="207">
        <v>5</v>
      </c>
      <c r="G127" s="173">
        <v>11500</v>
      </c>
      <c r="H127" s="173">
        <v>9500</v>
      </c>
      <c r="I127" s="172">
        <v>10000</v>
      </c>
      <c r="J127" s="172">
        <v>1</v>
      </c>
      <c r="K127" s="190">
        <f>IF($J127=1,INDEX('큐펫&amp;몹 정리(최신)'!P:P,MATCH($E127,'큐펫&amp;몹 정리(최신)'!$B:$B,0))*20,IF($J127=2,INDEX('큐펫&amp;몹 정리(최신)'!P:P,MATCH($E127,'큐펫&amp;몹 정리(최신)'!$B:$B,0))*25,IF($J127=3,INDEX('큐펫&amp;몹 정리(최신)'!P:P,MATCH($E127,'큐펫&amp;몹 정리(최신)'!$B:$B,0))*30,IF($J127=4,INDEX('큐펫&amp;몹 정리(최신)'!P:P,MATCH($E127,'큐펫&amp;몹 정리(최신)'!$B:$B,0))*35,INDEX('큐펫&amp;몹 정리(최신)'!P:P,MATCH($E127,'큐펫&amp;몹 정리(최신)'!$B:$B,0))*40))))</f>
        <v>760</v>
      </c>
      <c r="L127" s="190">
        <f>IF($J127=1,INDEX('큐펫&amp;몹 정리(최신)'!Q:Q,MATCH($E127,'큐펫&amp;몹 정리(최신)'!$B:$B,0))*20,IF($J127=2,INDEX('큐펫&amp;몹 정리(최신)'!Q:Q,MATCH($E127,'큐펫&amp;몹 정리(최신)'!$B:$B,0))*25,IF($J127=3,INDEX('큐펫&amp;몹 정리(최신)'!Q:Q,MATCH($E127,'큐펫&amp;몹 정리(최신)'!$B:$B,0))*30,IF($J127=4,INDEX('큐펫&amp;몹 정리(최신)'!Q:Q,MATCH($E127,'큐펫&amp;몹 정리(최신)'!$B:$B,0))*35,INDEX('큐펫&amp;몹 정리(최신)'!Q:Q,MATCH($E127,'큐펫&amp;몹 정리(최신)'!$B:$B,0))*40))))</f>
        <v>420</v>
      </c>
      <c r="M127" s="190">
        <f>IF($J127=1,INDEX('큐펫&amp;몹 정리(최신)'!R:R,MATCH($E127,'큐펫&amp;몹 정리(최신)'!$B:$B,0))*20,IF($J127=2,INDEX('큐펫&amp;몹 정리(최신)'!R:R,MATCH($E127,'큐펫&amp;몹 정리(최신)'!$B:$B,0))*25,IF($J127=3,INDEX('큐펫&amp;몹 정리(최신)'!R:R,MATCH($E127,'큐펫&amp;몹 정리(최신)'!$B:$B,0))*30,IF($J127=4,INDEX('큐펫&amp;몹 정리(최신)'!R:R,MATCH($E127,'큐펫&amp;몹 정리(최신)'!$B:$B,0))*35,INDEX('큐펫&amp;몹 정리(최신)'!R:R,MATCH($E127,'큐펫&amp;몹 정리(최신)'!$B:$B,0))*40))))</f>
        <v>80</v>
      </c>
      <c r="N127" s="190">
        <f>IF($J127=1,INDEX('큐펫&amp;몹 정리(최신)'!S:S,MATCH($E127,'큐펫&amp;몹 정리(최신)'!$B:$B,0))*20,IF($J127=2,INDEX('큐펫&amp;몹 정리(최신)'!S:S,MATCH($E127,'큐펫&amp;몹 정리(최신)'!$B:$B,0))*25,IF($J127=3,INDEX('큐펫&amp;몹 정리(최신)'!S:S,MATCH($E127,'큐펫&amp;몹 정리(최신)'!$B:$B,0))*30,IF($J127=4,INDEX('큐펫&amp;몹 정리(최신)'!S:S,MATCH($E127,'큐펫&amp;몹 정리(최신)'!$B:$B,0))*35,INDEX('큐펫&amp;몹 정리(최신)'!S:S,MATCH($E127,'큐펫&amp;몹 정리(최신)'!$B:$B,0))*40))))</f>
        <v>340</v>
      </c>
      <c r="O127" s="190">
        <f>IF($J127=1,INDEX('큐펫&amp;몹 정리(최신)'!T:T,MATCH($E127,'큐펫&amp;몹 정리(최신)'!$B:$B,0))*20,IF($J127=2,INDEX('큐펫&amp;몹 정리(최신)'!T:T,MATCH($E127,'큐펫&amp;몹 정리(최신)'!$B:$B,0))*25,IF($J127=3,INDEX('큐펫&amp;몹 정리(최신)'!T:T,MATCH($E127,'큐펫&amp;몹 정리(최신)'!$B:$B,0))*30,IF($J127=4,INDEX('큐펫&amp;몹 정리(최신)'!T:T,MATCH($E127,'큐펫&amp;몹 정리(최신)'!$B:$B,0))*35,INDEX('큐펫&amp;몹 정리(최신)'!T:T,MATCH($E127,'큐펫&amp;몹 정리(최신)'!$B:$B,0))*40))))</f>
        <v>400</v>
      </c>
      <c r="P127" s="217">
        <v>20</v>
      </c>
      <c r="Q127" s="217">
        <f t="shared" si="8"/>
        <v>26904</v>
      </c>
      <c r="R127" s="217">
        <f t="shared" si="9"/>
        <v>7871</v>
      </c>
      <c r="S127" s="217">
        <f t="shared" si="10"/>
        <v>2292</v>
      </c>
      <c r="T127" s="217">
        <f t="shared" si="11"/>
        <v>344</v>
      </c>
      <c r="U127" s="217">
        <f t="shared" si="12"/>
        <v>12252</v>
      </c>
      <c r="V127" s="217">
        <f t="shared" si="13"/>
        <v>7219</v>
      </c>
      <c r="W127" s="217">
        <f>ROUND(AC127+(INDEX(Ref!B$1:B$9,MATCH($AI127,Ref!$A$1:$A$9,0))*P127*0.0001),)</f>
        <v>43</v>
      </c>
      <c r="X127" s="217">
        <f>ROUND(AD127+(INDEX(Ref!C$1:C$9,MATCH($AI127,Ref!$A$1:$A$9,0))*$P127*0.0001),)</f>
        <v>26</v>
      </c>
      <c r="Y127" s="217">
        <f>ROUND(AE127+(INDEX(Ref!D$1:D$9,MATCH($AI127,Ref!$A$1:$A$9,0))*$P127*0.0001),)</f>
        <v>52</v>
      </c>
      <c r="Z127" s="217">
        <f>ROUND(AF127+(INDEX(Ref!E$1:E$9,MATCH($AI127,Ref!$A$1:$A$9,0))*$P127*0.0001),)</f>
        <v>19</v>
      </c>
      <c r="AA127" s="217">
        <f>ROUND(AG127+(INDEX(Ref!F$1:F$9,MATCH($AI127,Ref!$A$1:$A$9,0))*$P127*0.0001),)</f>
        <v>23</v>
      </c>
      <c r="AB127" s="217">
        <f>ROUND(AH127+(INDEX(Ref!G$1:G$9,MATCH($AI127,Ref!$A$1:$A$9,0))*$P127*0.0001),)</f>
        <v>21</v>
      </c>
      <c r="AC127" s="137">
        <v>38</v>
      </c>
      <c r="AD127" s="137">
        <v>23</v>
      </c>
      <c r="AE127" s="137">
        <v>48</v>
      </c>
      <c r="AF127" s="137">
        <v>17</v>
      </c>
      <c r="AG127" s="137">
        <v>20</v>
      </c>
      <c r="AH127" s="137">
        <v>18</v>
      </c>
      <c r="AI127" s="208">
        <v>1</v>
      </c>
      <c r="AJ127" s="172">
        <v>3000</v>
      </c>
      <c r="AK127" s="172">
        <v>30151</v>
      </c>
      <c r="AL127" s="172">
        <v>2000</v>
      </c>
      <c r="AM127" s="172">
        <v>30154</v>
      </c>
      <c r="AN127" s="172">
        <v>0</v>
      </c>
      <c r="AO127" s="172">
        <f t="shared" si="14"/>
        <v>34151</v>
      </c>
      <c r="AP127" s="172">
        <v>0</v>
      </c>
      <c r="AQ127" s="172">
        <f t="shared" si="15"/>
        <v>34154</v>
      </c>
      <c r="AR127" s="172">
        <v>1</v>
      </c>
      <c r="AS127" s="172">
        <v>0</v>
      </c>
      <c r="AT127" s="199">
        <v>78026</v>
      </c>
      <c r="AU127" s="195" t="s">
        <v>157</v>
      </c>
    </row>
    <row r="128" spans="1:47" x14ac:dyDescent="0.2">
      <c r="A128" s="173">
        <v>55026</v>
      </c>
      <c r="B128" s="174" t="s">
        <v>155</v>
      </c>
      <c r="C128" s="172">
        <v>86026</v>
      </c>
      <c r="D128" s="172">
        <v>150026</v>
      </c>
      <c r="E128" s="206" t="s">
        <v>156</v>
      </c>
      <c r="F128" s="207">
        <v>5</v>
      </c>
      <c r="G128" s="173">
        <v>11500</v>
      </c>
      <c r="H128" s="173">
        <v>9500</v>
      </c>
      <c r="I128" s="172">
        <v>10000</v>
      </c>
      <c r="J128" s="172">
        <v>2</v>
      </c>
      <c r="K128" s="190">
        <f>IF($J128=1,INDEX('큐펫&amp;몹 정리(최신)'!P:P,MATCH($E128,'큐펫&amp;몹 정리(최신)'!$B:$B,0))*20,IF($J128=2,INDEX('큐펫&amp;몹 정리(최신)'!P:P,MATCH($E128,'큐펫&amp;몹 정리(최신)'!$B:$B,0))*25,IF($J128=3,INDEX('큐펫&amp;몹 정리(최신)'!P:P,MATCH($E128,'큐펫&amp;몹 정리(최신)'!$B:$B,0))*30,IF($J128=4,INDEX('큐펫&amp;몹 정리(최신)'!P:P,MATCH($E128,'큐펫&amp;몹 정리(최신)'!$B:$B,0))*35,INDEX('큐펫&amp;몹 정리(최신)'!P:P,MATCH($E128,'큐펫&amp;몹 정리(최신)'!$B:$B,0))*40))))</f>
        <v>950</v>
      </c>
      <c r="L128" s="190">
        <f>IF($J128=1,INDEX('큐펫&amp;몹 정리(최신)'!Q:Q,MATCH($E128,'큐펫&amp;몹 정리(최신)'!$B:$B,0))*20,IF($J128=2,INDEX('큐펫&amp;몹 정리(최신)'!Q:Q,MATCH($E128,'큐펫&amp;몹 정리(최신)'!$B:$B,0))*25,IF($J128=3,INDEX('큐펫&amp;몹 정리(최신)'!Q:Q,MATCH($E128,'큐펫&amp;몹 정리(최신)'!$B:$B,0))*30,IF($J128=4,INDEX('큐펫&amp;몹 정리(최신)'!Q:Q,MATCH($E128,'큐펫&amp;몹 정리(최신)'!$B:$B,0))*35,INDEX('큐펫&amp;몹 정리(최신)'!Q:Q,MATCH($E128,'큐펫&amp;몹 정리(최신)'!$B:$B,0))*40))))</f>
        <v>525</v>
      </c>
      <c r="M128" s="190">
        <f>IF($J128=1,INDEX('큐펫&amp;몹 정리(최신)'!R:R,MATCH($E128,'큐펫&amp;몹 정리(최신)'!$B:$B,0))*20,IF($J128=2,INDEX('큐펫&amp;몹 정리(최신)'!R:R,MATCH($E128,'큐펫&amp;몹 정리(최신)'!$B:$B,0))*25,IF($J128=3,INDEX('큐펫&amp;몹 정리(최신)'!R:R,MATCH($E128,'큐펫&amp;몹 정리(최신)'!$B:$B,0))*30,IF($J128=4,INDEX('큐펫&amp;몹 정리(최신)'!R:R,MATCH($E128,'큐펫&amp;몹 정리(최신)'!$B:$B,0))*35,INDEX('큐펫&amp;몹 정리(최신)'!R:R,MATCH($E128,'큐펫&amp;몹 정리(최신)'!$B:$B,0))*40))))</f>
        <v>100</v>
      </c>
      <c r="N128" s="190">
        <f>IF($J128=1,INDEX('큐펫&amp;몹 정리(최신)'!S:S,MATCH($E128,'큐펫&amp;몹 정리(최신)'!$B:$B,0))*20,IF($J128=2,INDEX('큐펫&amp;몹 정리(최신)'!S:S,MATCH($E128,'큐펫&amp;몹 정리(최신)'!$B:$B,0))*25,IF($J128=3,INDEX('큐펫&amp;몹 정리(최신)'!S:S,MATCH($E128,'큐펫&amp;몹 정리(최신)'!$B:$B,0))*30,IF($J128=4,INDEX('큐펫&amp;몹 정리(최신)'!S:S,MATCH($E128,'큐펫&amp;몹 정리(최신)'!$B:$B,0))*35,INDEX('큐펫&amp;몹 정리(최신)'!S:S,MATCH($E128,'큐펫&amp;몹 정리(최신)'!$B:$B,0))*40))))</f>
        <v>425</v>
      </c>
      <c r="O128" s="190">
        <f>IF($J128=1,INDEX('큐펫&amp;몹 정리(최신)'!T:T,MATCH($E128,'큐펫&amp;몹 정리(최신)'!$B:$B,0))*20,IF($J128=2,INDEX('큐펫&amp;몹 정리(최신)'!T:T,MATCH($E128,'큐펫&amp;몹 정리(최신)'!$B:$B,0))*25,IF($J128=3,INDEX('큐펫&amp;몹 정리(최신)'!T:T,MATCH($E128,'큐펫&amp;몹 정리(최신)'!$B:$B,0))*30,IF($J128=4,INDEX('큐펫&amp;몹 정리(최신)'!T:T,MATCH($E128,'큐펫&amp;몹 정리(최신)'!$B:$B,0))*35,INDEX('큐펫&amp;몹 정리(최신)'!T:T,MATCH($E128,'큐펫&amp;몹 정리(최신)'!$B:$B,0))*40))))</f>
        <v>500</v>
      </c>
      <c r="P128" s="217">
        <v>40</v>
      </c>
      <c r="Q128" s="217">
        <f t="shared" si="8"/>
        <v>65500</v>
      </c>
      <c r="R128" s="217">
        <f t="shared" si="9"/>
        <v>14885</v>
      </c>
      <c r="S128" s="217">
        <f t="shared" si="10"/>
        <v>4511</v>
      </c>
      <c r="T128" s="217">
        <f t="shared" si="11"/>
        <v>654</v>
      </c>
      <c r="U128" s="217">
        <f t="shared" si="12"/>
        <v>21266</v>
      </c>
      <c r="V128" s="217">
        <f t="shared" si="13"/>
        <v>12524</v>
      </c>
      <c r="W128" s="217">
        <f>ROUND(AC128+(INDEX(Ref!B$1:B$9,MATCH($AI128,Ref!$A$1:$A$9,0))*P128*0.0001),)</f>
        <v>53</v>
      </c>
      <c r="X128" s="217">
        <f>ROUND(AD128+(INDEX(Ref!C$1:C$9,MATCH($AI128,Ref!$A$1:$A$9,0))*$P128*0.0001),)</f>
        <v>32</v>
      </c>
      <c r="Y128" s="217">
        <f>ROUND(AE128+(INDEX(Ref!D$1:D$9,MATCH($AI128,Ref!$A$1:$A$9,0))*$P128*0.0001),)</f>
        <v>60</v>
      </c>
      <c r="Z128" s="217">
        <f>ROUND(AF128+(INDEX(Ref!E$1:E$9,MATCH($AI128,Ref!$A$1:$A$9,0))*$P128*0.0001),)</f>
        <v>24</v>
      </c>
      <c r="AA128" s="217">
        <f>ROUND(AG128+(INDEX(Ref!F$1:F$9,MATCH($AI128,Ref!$A$1:$A$9,0))*$P128*0.0001),)</f>
        <v>29</v>
      </c>
      <c r="AB128" s="217">
        <f>ROUND(AH128+(INDEX(Ref!G$1:G$9,MATCH($AI128,Ref!$A$1:$A$9,0))*$P128*0.0001),)</f>
        <v>26</v>
      </c>
      <c r="AC128" s="137">
        <v>43</v>
      </c>
      <c r="AD128" s="137">
        <v>26</v>
      </c>
      <c r="AE128" s="137">
        <v>52</v>
      </c>
      <c r="AF128" s="137">
        <v>19</v>
      </c>
      <c r="AG128" s="137">
        <v>23</v>
      </c>
      <c r="AH128" s="137">
        <v>21</v>
      </c>
      <c r="AI128" s="208">
        <v>1</v>
      </c>
      <c r="AJ128" s="172">
        <v>3000</v>
      </c>
      <c r="AK128" s="172">
        <v>30152</v>
      </c>
      <c r="AL128" s="172">
        <v>2000</v>
      </c>
      <c r="AM128" s="172">
        <v>30154</v>
      </c>
      <c r="AN128" s="172">
        <v>0</v>
      </c>
      <c r="AO128" s="172">
        <f t="shared" si="14"/>
        <v>34152</v>
      </c>
      <c r="AP128" s="172">
        <v>0</v>
      </c>
      <c r="AQ128" s="172">
        <f t="shared" si="15"/>
        <v>34154</v>
      </c>
      <c r="AR128" s="172">
        <v>1</v>
      </c>
      <c r="AS128" s="172">
        <v>0</v>
      </c>
      <c r="AT128" s="199">
        <v>78026</v>
      </c>
      <c r="AU128" s="195" t="s">
        <v>157</v>
      </c>
    </row>
    <row r="129" spans="1:47" x14ac:dyDescent="0.2">
      <c r="A129" s="173">
        <v>55026</v>
      </c>
      <c r="B129" s="174" t="s">
        <v>155</v>
      </c>
      <c r="C129" s="172">
        <v>86026</v>
      </c>
      <c r="D129" s="172">
        <v>150026</v>
      </c>
      <c r="E129" s="206" t="s">
        <v>156</v>
      </c>
      <c r="F129" s="207">
        <v>5</v>
      </c>
      <c r="G129" s="173">
        <v>11500</v>
      </c>
      <c r="H129" s="173">
        <v>9500</v>
      </c>
      <c r="I129" s="172">
        <v>10000</v>
      </c>
      <c r="J129" s="172">
        <v>3</v>
      </c>
      <c r="K129" s="190">
        <f>IF($J129=1,INDEX('큐펫&amp;몹 정리(최신)'!P:P,MATCH($E129,'큐펫&amp;몹 정리(최신)'!$B:$B,0))*20,IF($J129=2,INDEX('큐펫&amp;몹 정리(최신)'!P:P,MATCH($E129,'큐펫&amp;몹 정리(최신)'!$B:$B,0))*25,IF($J129=3,INDEX('큐펫&amp;몹 정리(최신)'!P:P,MATCH($E129,'큐펫&amp;몹 정리(최신)'!$B:$B,0))*30,IF($J129=4,INDEX('큐펫&amp;몹 정리(최신)'!P:P,MATCH($E129,'큐펫&amp;몹 정리(최신)'!$B:$B,0))*35,INDEX('큐펫&amp;몹 정리(최신)'!P:P,MATCH($E129,'큐펫&amp;몹 정리(최신)'!$B:$B,0))*40))))</f>
        <v>1140</v>
      </c>
      <c r="L129" s="190">
        <f>IF($J129=1,INDEX('큐펫&amp;몹 정리(최신)'!Q:Q,MATCH($E129,'큐펫&amp;몹 정리(최신)'!$B:$B,0))*20,IF($J129=2,INDEX('큐펫&amp;몹 정리(최신)'!Q:Q,MATCH($E129,'큐펫&amp;몹 정리(최신)'!$B:$B,0))*25,IF($J129=3,INDEX('큐펫&amp;몹 정리(최신)'!Q:Q,MATCH($E129,'큐펫&amp;몹 정리(최신)'!$B:$B,0))*30,IF($J129=4,INDEX('큐펫&amp;몹 정리(최신)'!Q:Q,MATCH($E129,'큐펫&amp;몹 정리(최신)'!$B:$B,0))*35,INDEX('큐펫&amp;몹 정리(최신)'!Q:Q,MATCH($E129,'큐펫&amp;몹 정리(최신)'!$B:$B,0))*40))))</f>
        <v>630</v>
      </c>
      <c r="M129" s="190">
        <f>IF($J129=1,INDEX('큐펫&amp;몹 정리(최신)'!R:R,MATCH($E129,'큐펫&amp;몹 정리(최신)'!$B:$B,0))*20,IF($J129=2,INDEX('큐펫&amp;몹 정리(최신)'!R:R,MATCH($E129,'큐펫&amp;몹 정리(최신)'!$B:$B,0))*25,IF($J129=3,INDEX('큐펫&amp;몹 정리(최신)'!R:R,MATCH($E129,'큐펫&amp;몹 정리(최신)'!$B:$B,0))*30,IF($J129=4,INDEX('큐펫&amp;몹 정리(최신)'!R:R,MATCH($E129,'큐펫&amp;몹 정리(최신)'!$B:$B,0))*35,INDEX('큐펫&amp;몹 정리(최신)'!R:R,MATCH($E129,'큐펫&amp;몹 정리(최신)'!$B:$B,0))*40))))</f>
        <v>120</v>
      </c>
      <c r="N129" s="190">
        <f>IF($J129=1,INDEX('큐펫&amp;몹 정리(최신)'!S:S,MATCH($E129,'큐펫&amp;몹 정리(최신)'!$B:$B,0))*20,IF($J129=2,INDEX('큐펫&amp;몹 정리(최신)'!S:S,MATCH($E129,'큐펫&amp;몹 정리(최신)'!$B:$B,0))*25,IF($J129=3,INDEX('큐펫&amp;몹 정리(최신)'!S:S,MATCH($E129,'큐펫&amp;몹 정리(최신)'!$B:$B,0))*30,IF($J129=4,INDEX('큐펫&amp;몹 정리(최신)'!S:S,MATCH($E129,'큐펫&amp;몹 정리(최신)'!$B:$B,0))*35,INDEX('큐펫&amp;몹 정리(최신)'!S:S,MATCH($E129,'큐펫&amp;몹 정리(최신)'!$B:$B,0))*40))))</f>
        <v>510</v>
      </c>
      <c r="O129" s="190">
        <f>IF($J129=1,INDEX('큐펫&amp;몹 정리(최신)'!T:T,MATCH($E129,'큐펫&amp;몹 정리(최신)'!$B:$B,0))*20,IF($J129=2,INDEX('큐펫&amp;몹 정리(최신)'!T:T,MATCH($E129,'큐펫&amp;몹 정리(최신)'!$B:$B,0))*25,IF($J129=3,INDEX('큐펫&amp;몹 정리(최신)'!T:T,MATCH($E129,'큐펫&amp;몹 정리(최신)'!$B:$B,0))*30,IF($J129=4,INDEX('큐펫&amp;몹 정리(최신)'!T:T,MATCH($E129,'큐펫&amp;몹 정리(최신)'!$B:$B,0))*35,INDEX('큐펫&amp;몹 정리(최신)'!T:T,MATCH($E129,'큐펫&amp;몹 정리(최신)'!$B:$B,0))*40))))</f>
        <v>600</v>
      </c>
      <c r="P129" s="217">
        <v>60</v>
      </c>
      <c r="Q129" s="217">
        <f t="shared" si="8"/>
        <v>120612</v>
      </c>
      <c r="R129" s="217">
        <f t="shared" si="9"/>
        <v>25175</v>
      </c>
      <c r="S129" s="217">
        <f t="shared" si="10"/>
        <v>7402</v>
      </c>
      <c r="T129" s="217">
        <f t="shared" si="11"/>
        <v>1038</v>
      </c>
      <c r="U129" s="217">
        <f t="shared" si="12"/>
        <v>32659</v>
      </c>
      <c r="V129" s="217">
        <f t="shared" si="13"/>
        <v>19228</v>
      </c>
      <c r="W129" s="217">
        <f>ROUND(AC129+(INDEX(Ref!B$1:B$9,MATCH($AI129,Ref!$A$1:$A$9,0))*P129*0.0001),)</f>
        <v>63</v>
      </c>
      <c r="X129" s="217">
        <f>ROUND(AD129+(INDEX(Ref!C$1:C$9,MATCH($AI129,Ref!$A$1:$A$9,0))*$P129*0.0001),)</f>
        <v>40</v>
      </c>
      <c r="Y129" s="217">
        <f>ROUND(AE129+(INDEX(Ref!D$1:D$9,MATCH($AI129,Ref!$A$1:$A$9,0))*$P129*0.0001),)</f>
        <v>68</v>
      </c>
      <c r="Z129" s="217">
        <f>ROUND(AF129+(INDEX(Ref!E$1:E$9,MATCH($AI129,Ref!$A$1:$A$9,0))*$P129*0.0001),)</f>
        <v>28</v>
      </c>
      <c r="AA129" s="217">
        <f>ROUND(AG129+(INDEX(Ref!F$1:F$9,MATCH($AI129,Ref!$A$1:$A$9,0))*$P129*0.0001),)</f>
        <v>34</v>
      </c>
      <c r="AB129" s="217">
        <f>ROUND(AH129+(INDEX(Ref!G$1:G$9,MATCH($AI129,Ref!$A$1:$A$9,0))*$P129*0.0001),)</f>
        <v>31</v>
      </c>
      <c r="AC129" s="137">
        <v>48.000000000000007</v>
      </c>
      <c r="AD129" s="137">
        <v>30</v>
      </c>
      <c r="AE129" s="137">
        <v>56</v>
      </c>
      <c r="AF129" s="137">
        <v>21</v>
      </c>
      <c r="AG129" s="137">
        <v>26</v>
      </c>
      <c r="AH129" s="137">
        <v>23</v>
      </c>
      <c r="AI129" s="208">
        <v>1</v>
      </c>
      <c r="AJ129" s="172">
        <v>3000</v>
      </c>
      <c r="AK129" s="172">
        <v>30152</v>
      </c>
      <c r="AL129" s="172">
        <v>2000</v>
      </c>
      <c r="AM129" s="172">
        <v>30155</v>
      </c>
      <c r="AN129" s="172">
        <v>0</v>
      </c>
      <c r="AO129" s="172">
        <f t="shared" si="14"/>
        <v>34152</v>
      </c>
      <c r="AP129" s="172">
        <v>0</v>
      </c>
      <c r="AQ129" s="172">
        <f t="shared" si="15"/>
        <v>34155</v>
      </c>
      <c r="AR129" s="172">
        <v>1</v>
      </c>
      <c r="AS129" s="172">
        <v>0</v>
      </c>
      <c r="AT129" s="199">
        <v>78026</v>
      </c>
      <c r="AU129" s="195" t="s">
        <v>157</v>
      </c>
    </row>
    <row r="130" spans="1:47" x14ac:dyDescent="0.2">
      <c r="A130" s="173">
        <v>55026</v>
      </c>
      <c r="B130" s="174" t="s">
        <v>155</v>
      </c>
      <c r="C130" s="172">
        <v>86026</v>
      </c>
      <c r="D130" s="172">
        <v>150026</v>
      </c>
      <c r="E130" s="206" t="s">
        <v>156</v>
      </c>
      <c r="F130" s="207">
        <v>5</v>
      </c>
      <c r="G130" s="173">
        <v>11500</v>
      </c>
      <c r="H130" s="173">
        <v>9500</v>
      </c>
      <c r="I130" s="172">
        <v>10000</v>
      </c>
      <c r="J130" s="172">
        <v>4</v>
      </c>
      <c r="K130" s="190">
        <f>IF($J130=1,INDEX('큐펫&amp;몹 정리(최신)'!P:P,MATCH($E130,'큐펫&amp;몹 정리(최신)'!$B:$B,0))*20,IF($J130=2,INDEX('큐펫&amp;몹 정리(최신)'!P:P,MATCH($E130,'큐펫&amp;몹 정리(최신)'!$B:$B,0))*25,IF($J130=3,INDEX('큐펫&amp;몹 정리(최신)'!P:P,MATCH($E130,'큐펫&amp;몹 정리(최신)'!$B:$B,0))*30,IF($J130=4,INDEX('큐펫&amp;몹 정리(최신)'!P:P,MATCH($E130,'큐펫&amp;몹 정리(최신)'!$B:$B,0))*35,INDEX('큐펫&amp;몹 정리(최신)'!P:P,MATCH($E130,'큐펫&amp;몹 정리(최신)'!$B:$B,0))*40))))</f>
        <v>1330</v>
      </c>
      <c r="L130" s="190">
        <f>IF($J130=1,INDEX('큐펫&amp;몹 정리(최신)'!Q:Q,MATCH($E130,'큐펫&amp;몹 정리(최신)'!$B:$B,0))*20,IF($J130=2,INDEX('큐펫&amp;몹 정리(최신)'!Q:Q,MATCH($E130,'큐펫&amp;몹 정리(최신)'!$B:$B,0))*25,IF($J130=3,INDEX('큐펫&amp;몹 정리(최신)'!Q:Q,MATCH($E130,'큐펫&amp;몹 정리(최신)'!$B:$B,0))*30,IF($J130=4,INDEX('큐펫&amp;몹 정리(최신)'!Q:Q,MATCH($E130,'큐펫&amp;몹 정리(최신)'!$B:$B,0))*35,INDEX('큐펫&amp;몹 정리(최신)'!Q:Q,MATCH($E130,'큐펫&amp;몹 정리(최신)'!$B:$B,0))*40))))</f>
        <v>735</v>
      </c>
      <c r="M130" s="190">
        <f>IF($J130=1,INDEX('큐펫&amp;몹 정리(최신)'!R:R,MATCH($E130,'큐펫&amp;몹 정리(최신)'!$B:$B,0))*20,IF($J130=2,INDEX('큐펫&amp;몹 정리(최신)'!R:R,MATCH($E130,'큐펫&amp;몹 정리(최신)'!$B:$B,0))*25,IF($J130=3,INDEX('큐펫&amp;몹 정리(최신)'!R:R,MATCH($E130,'큐펫&amp;몹 정리(최신)'!$B:$B,0))*30,IF($J130=4,INDEX('큐펫&amp;몹 정리(최신)'!R:R,MATCH($E130,'큐펫&amp;몹 정리(최신)'!$B:$B,0))*35,INDEX('큐펫&amp;몹 정리(최신)'!R:R,MATCH($E130,'큐펫&amp;몹 정리(최신)'!$B:$B,0))*40))))</f>
        <v>140</v>
      </c>
      <c r="N130" s="190">
        <f>IF($J130=1,INDEX('큐펫&amp;몹 정리(최신)'!S:S,MATCH($E130,'큐펫&amp;몹 정리(최신)'!$B:$B,0))*20,IF($J130=2,INDEX('큐펫&amp;몹 정리(최신)'!S:S,MATCH($E130,'큐펫&amp;몹 정리(최신)'!$B:$B,0))*25,IF($J130=3,INDEX('큐펫&amp;몹 정리(최신)'!S:S,MATCH($E130,'큐펫&amp;몹 정리(최신)'!$B:$B,0))*30,IF($J130=4,INDEX('큐펫&amp;몹 정리(최신)'!S:S,MATCH($E130,'큐펫&amp;몹 정리(최신)'!$B:$B,0))*35,INDEX('큐펫&amp;몹 정리(최신)'!S:S,MATCH($E130,'큐펫&amp;몹 정리(최신)'!$B:$B,0))*40))))</f>
        <v>595</v>
      </c>
      <c r="O130" s="190">
        <f>IF($J130=1,INDEX('큐펫&amp;몹 정리(최신)'!T:T,MATCH($E130,'큐펫&amp;몹 정리(최신)'!$B:$B,0))*20,IF($J130=2,INDEX('큐펫&amp;몹 정리(최신)'!T:T,MATCH($E130,'큐펫&amp;몹 정리(최신)'!$B:$B,0))*25,IF($J130=3,INDEX('큐펫&amp;몹 정리(최신)'!T:T,MATCH($E130,'큐펫&amp;몹 정리(최신)'!$B:$B,0))*30,IF($J130=4,INDEX('큐펫&amp;몹 정리(최신)'!T:T,MATCH($E130,'큐펫&amp;몹 정리(최신)'!$B:$B,0))*35,INDEX('큐펫&amp;몹 정리(최신)'!T:T,MATCH($E130,'큐펫&amp;몹 정리(최신)'!$B:$B,0))*40))))</f>
        <v>700</v>
      </c>
      <c r="P130" s="217">
        <v>80</v>
      </c>
      <c r="Q130" s="217">
        <f t="shared" si="8"/>
        <v>193864</v>
      </c>
      <c r="R130" s="217">
        <f t="shared" si="9"/>
        <v>39371</v>
      </c>
      <c r="S130" s="217">
        <f t="shared" si="10"/>
        <v>11322</v>
      </c>
      <c r="T130" s="217">
        <f t="shared" si="11"/>
        <v>1740</v>
      </c>
      <c r="U130" s="217">
        <f t="shared" si="12"/>
        <v>46432</v>
      </c>
      <c r="V130" s="217">
        <f t="shared" si="13"/>
        <v>27334</v>
      </c>
      <c r="W130" s="217">
        <f>ROUND(AC130+(INDEX(Ref!B$1:B$9,MATCH($AI130,Ref!$A$1:$A$9,0))*P130*0.0001),)</f>
        <v>73</v>
      </c>
      <c r="X130" s="217">
        <f>ROUND(AD130+(INDEX(Ref!C$1:C$9,MATCH($AI130,Ref!$A$1:$A$9,0))*$P130*0.0001),)</f>
        <v>46</v>
      </c>
      <c r="Y130" s="217">
        <f>ROUND(AE130+(INDEX(Ref!D$1:D$9,MATCH($AI130,Ref!$A$1:$A$9,0))*$P130*0.0001),)</f>
        <v>76</v>
      </c>
      <c r="Z130" s="217">
        <f>ROUND(AF130+(INDEX(Ref!E$1:E$9,MATCH($AI130,Ref!$A$1:$A$9,0))*$P130*0.0001),)</f>
        <v>34</v>
      </c>
      <c r="AA130" s="217">
        <f>ROUND(AG130+(INDEX(Ref!F$1:F$9,MATCH($AI130,Ref!$A$1:$A$9,0))*$P130*0.0001),)</f>
        <v>39</v>
      </c>
      <c r="AB130" s="217">
        <f>ROUND(AH130+(INDEX(Ref!G$1:G$9,MATCH($AI130,Ref!$A$1:$A$9,0))*$P130*0.0001),)</f>
        <v>36</v>
      </c>
      <c r="AC130" s="137">
        <v>53</v>
      </c>
      <c r="AD130" s="137">
        <v>33</v>
      </c>
      <c r="AE130" s="137">
        <v>60</v>
      </c>
      <c r="AF130" s="137">
        <v>24</v>
      </c>
      <c r="AG130" s="137">
        <v>28</v>
      </c>
      <c r="AH130" s="137">
        <v>26</v>
      </c>
      <c r="AI130" s="208">
        <v>1</v>
      </c>
      <c r="AJ130" s="172">
        <v>3000</v>
      </c>
      <c r="AK130" s="172">
        <v>30153</v>
      </c>
      <c r="AL130" s="172">
        <v>2000</v>
      </c>
      <c r="AM130" s="172">
        <v>30155</v>
      </c>
      <c r="AN130" s="172">
        <v>0</v>
      </c>
      <c r="AO130" s="172">
        <f t="shared" si="14"/>
        <v>34153</v>
      </c>
      <c r="AP130" s="172">
        <v>0</v>
      </c>
      <c r="AQ130" s="172">
        <f t="shared" si="15"/>
        <v>34155</v>
      </c>
      <c r="AR130" s="172">
        <v>1</v>
      </c>
      <c r="AS130" s="172">
        <v>0</v>
      </c>
      <c r="AT130" s="199">
        <v>78026</v>
      </c>
      <c r="AU130" s="195" t="s">
        <v>157</v>
      </c>
    </row>
    <row r="131" spans="1:47" x14ac:dyDescent="0.2">
      <c r="A131" s="173">
        <v>55026</v>
      </c>
      <c r="B131" s="174" t="s">
        <v>155</v>
      </c>
      <c r="C131" s="172">
        <v>86026</v>
      </c>
      <c r="D131" s="172">
        <v>150026</v>
      </c>
      <c r="E131" s="206" t="s">
        <v>156</v>
      </c>
      <c r="F131" s="207">
        <v>5</v>
      </c>
      <c r="G131" s="173">
        <v>11500</v>
      </c>
      <c r="H131" s="173">
        <v>9500</v>
      </c>
      <c r="I131" s="172">
        <v>10000</v>
      </c>
      <c r="J131" s="172">
        <v>5</v>
      </c>
      <c r="K131" s="190">
        <f>IF($J131=1,INDEX('큐펫&amp;몹 정리(최신)'!P:P,MATCH($E131,'큐펫&amp;몹 정리(최신)'!$B:$B,0))*20,IF($J131=2,INDEX('큐펫&amp;몹 정리(최신)'!P:P,MATCH($E131,'큐펫&amp;몹 정리(최신)'!$B:$B,0))*25,IF($J131=3,INDEX('큐펫&amp;몹 정리(최신)'!P:P,MATCH($E131,'큐펫&amp;몹 정리(최신)'!$B:$B,0))*30,IF($J131=4,INDEX('큐펫&amp;몹 정리(최신)'!P:P,MATCH($E131,'큐펫&amp;몹 정리(최신)'!$B:$B,0))*35,INDEX('큐펫&amp;몹 정리(최신)'!P:P,MATCH($E131,'큐펫&amp;몹 정리(최신)'!$B:$B,0))*40))))</f>
        <v>1520</v>
      </c>
      <c r="L131" s="190">
        <f>IF($J131=1,INDEX('큐펫&amp;몹 정리(최신)'!Q:Q,MATCH($E131,'큐펫&amp;몹 정리(최신)'!$B:$B,0))*20,IF($J131=2,INDEX('큐펫&amp;몹 정리(최신)'!Q:Q,MATCH($E131,'큐펫&amp;몹 정리(최신)'!$B:$B,0))*25,IF($J131=3,INDEX('큐펫&amp;몹 정리(최신)'!Q:Q,MATCH($E131,'큐펫&amp;몹 정리(최신)'!$B:$B,0))*30,IF($J131=4,INDEX('큐펫&amp;몹 정리(최신)'!Q:Q,MATCH($E131,'큐펫&amp;몹 정리(최신)'!$B:$B,0))*35,INDEX('큐펫&amp;몹 정리(최신)'!Q:Q,MATCH($E131,'큐펫&amp;몹 정리(최신)'!$B:$B,0))*40))))</f>
        <v>840</v>
      </c>
      <c r="M131" s="190">
        <f>IF($J131=1,INDEX('큐펫&amp;몹 정리(최신)'!R:R,MATCH($E131,'큐펫&amp;몹 정리(최신)'!$B:$B,0))*20,IF($J131=2,INDEX('큐펫&amp;몹 정리(최신)'!R:R,MATCH($E131,'큐펫&amp;몹 정리(최신)'!$B:$B,0))*25,IF($J131=3,INDEX('큐펫&amp;몹 정리(최신)'!R:R,MATCH($E131,'큐펫&amp;몹 정리(최신)'!$B:$B,0))*30,IF($J131=4,INDEX('큐펫&amp;몹 정리(최신)'!R:R,MATCH($E131,'큐펫&amp;몹 정리(최신)'!$B:$B,0))*35,INDEX('큐펫&amp;몹 정리(최신)'!R:R,MATCH($E131,'큐펫&amp;몹 정리(최신)'!$B:$B,0))*40))))</f>
        <v>160</v>
      </c>
      <c r="N131" s="190">
        <f>IF($J131=1,INDEX('큐펫&amp;몹 정리(최신)'!S:S,MATCH($E131,'큐펫&amp;몹 정리(최신)'!$B:$B,0))*20,IF($J131=2,INDEX('큐펫&amp;몹 정리(최신)'!S:S,MATCH($E131,'큐펫&amp;몹 정리(최신)'!$B:$B,0))*25,IF($J131=3,INDEX('큐펫&amp;몹 정리(최신)'!S:S,MATCH($E131,'큐펫&amp;몹 정리(최신)'!$B:$B,0))*30,IF($J131=4,INDEX('큐펫&amp;몹 정리(최신)'!S:S,MATCH($E131,'큐펫&amp;몹 정리(최신)'!$B:$B,0))*35,INDEX('큐펫&amp;몹 정리(최신)'!S:S,MATCH($E131,'큐펫&amp;몹 정리(최신)'!$B:$B,0))*40))))</f>
        <v>680</v>
      </c>
      <c r="O131" s="190">
        <f>IF($J131=1,INDEX('큐펫&amp;몹 정리(최신)'!T:T,MATCH($E131,'큐펫&amp;몹 정리(최신)'!$B:$B,0))*20,IF($J131=2,INDEX('큐펫&amp;몹 정리(최신)'!T:T,MATCH($E131,'큐펫&amp;몹 정리(최신)'!$B:$B,0))*25,IF($J131=3,INDEX('큐펫&amp;몹 정리(최신)'!T:T,MATCH($E131,'큐펫&amp;몹 정리(최신)'!$B:$B,0))*30,IF($J131=4,INDEX('큐펫&amp;몹 정리(최신)'!T:T,MATCH($E131,'큐펫&amp;몹 정리(최신)'!$B:$B,0))*35,INDEX('큐펫&amp;몹 정리(최신)'!T:T,MATCH($E131,'큐펫&amp;몹 정리(최신)'!$B:$B,0))*40))))</f>
        <v>800</v>
      </c>
      <c r="P131" s="217">
        <v>100</v>
      </c>
      <c r="Q131" s="217">
        <f t="shared" ref="Q131:Q194" si="16">ROUNDDOWN((100*QUOTIENT(K131,20))+((P131*K131)*(1+(Y131/100))),)</f>
        <v>287280</v>
      </c>
      <c r="R131" s="217">
        <f t="shared" ref="R131:R194" si="17">ROUNDDOWN((((W131*W131)*L131)/100)+(W131*2)+(AA131/4)+(AB131/5)+(P131/2),)</f>
        <v>58103</v>
      </c>
      <c r="S131" s="217">
        <f t="shared" ref="S131:S194" si="18">ROUNDDOWN((((AA131*AA131)*L131)/100)+(AA131*2)+(W131/4)+(AB131/5)+(P131/2),)</f>
        <v>17179</v>
      </c>
      <c r="T131" s="217">
        <f t="shared" ref="T131:T194" si="19">ROUNDDOWN((((((Z131*Z131)*M131)/100+(Z131*2))+(AB131/4))+(AA131/8))+(P131/2),)</f>
        <v>2452</v>
      </c>
      <c r="U131" s="217">
        <f t="shared" ref="U131:U194" si="20">ROUNDDOWN(((Y131+P131)*N131)/2,)+ROUNDDOWN(W131/4,)+ROUNDDOWN(X131/10,)</f>
        <v>62585</v>
      </c>
      <c r="V131" s="217">
        <f t="shared" ref="V131:V194" si="21">ROUNDDOWN(((Y131+P131)*O131)/4,)+Z131</f>
        <v>36838</v>
      </c>
      <c r="W131" s="217">
        <f>ROUND(AC131+(INDEX(Ref!B$1:B$9,MATCH($AI131,Ref!$A$1:$A$9,0))*P131*0.0001),)</f>
        <v>83</v>
      </c>
      <c r="X131" s="217">
        <f>ROUND(AD131+(INDEX(Ref!C$1:C$9,MATCH($AI131,Ref!$A$1:$A$9,0))*$P131*0.0001),)</f>
        <v>52</v>
      </c>
      <c r="Y131" s="217">
        <f>ROUND(AE131+(INDEX(Ref!D$1:D$9,MATCH($AI131,Ref!$A$1:$A$9,0))*$P131*0.0001),)</f>
        <v>84</v>
      </c>
      <c r="Z131" s="217">
        <f>ROUND(AF131+(INDEX(Ref!E$1:E$9,MATCH($AI131,Ref!$A$1:$A$9,0))*$P131*0.0001),)</f>
        <v>38</v>
      </c>
      <c r="AA131" s="217">
        <f>ROUND(AG131+(INDEX(Ref!F$1:F$9,MATCH($AI131,Ref!$A$1:$A$9,0))*$P131*0.0001),)</f>
        <v>45</v>
      </c>
      <c r="AB131" s="217">
        <f>ROUND(AH131+(INDEX(Ref!G$1:G$9,MATCH($AI131,Ref!$A$1:$A$9,0))*$P131*0.0001),)</f>
        <v>42</v>
      </c>
      <c r="AC131" s="137">
        <v>58.000000000000007</v>
      </c>
      <c r="AD131" s="137">
        <v>36</v>
      </c>
      <c r="AE131" s="137">
        <v>64</v>
      </c>
      <c r="AF131" s="137">
        <v>26</v>
      </c>
      <c r="AG131" s="137">
        <v>31</v>
      </c>
      <c r="AH131" s="137">
        <v>29</v>
      </c>
      <c r="AI131" s="208">
        <v>1</v>
      </c>
      <c r="AJ131" s="172">
        <v>3000</v>
      </c>
      <c r="AK131" s="172">
        <v>30153</v>
      </c>
      <c r="AL131" s="172">
        <v>2000</v>
      </c>
      <c r="AM131" s="172">
        <v>30156</v>
      </c>
      <c r="AN131" s="172">
        <v>0</v>
      </c>
      <c r="AO131" s="172">
        <f t="shared" si="14"/>
        <v>34153</v>
      </c>
      <c r="AP131" s="172">
        <v>0</v>
      </c>
      <c r="AQ131" s="172">
        <f t="shared" si="15"/>
        <v>34156</v>
      </c>
      <c r="AR131" s="172">
        <v>1</v>
      </c>
      <c r="AS131" s="172">
        <v>0</v>
      </c>
      <c r="AT131" s="199">
        <v>78026</v>
      </c>
      <c r="AU131" s="195" t="s">
        <v>157</v>
      </c>
    </row>
    <row r="132" spans="1:47" x14ac:dyDescent="0.2">
      <c r="A132" s="173">
        <v>55027</v>
      </c>
      <c r="B132" s="174" t="s">
        <v>158</v>
      </c>
      <c r="C132" s="172">
        <v>86027</v>
      </c>
      <c r="D132" s="172">
        <v>150027</v>
      </c>
      <c r="E132" s="206" t="s">
        <v>159</v>
      </c>
      <c r="F132" s="207">
        <v>2</v>
      </c>
      <c r="G132" s="172">
        <v>13000</v>
      </c>
      <c r="H132" s="172">
        <v>9000</v>
      </c>
      <c r="I132" s="172">
        <v>10000</v>
      </c>
      <c r="J132" s="172">
        <v>1</v>
      </c>
      <c r="K132" s="190">
        <f>IF($J132=1,INDEX('큐펫&amp;몹 정리(최신)'!P:P,MATCH($E132,'큐펫&amp;몹 정리(최신)'!$B:$B,0))*20,IF($J132=2,INDEX('큐펫&amp;몹 정리(최신)'!P:P,MATCH($E132,'큐펫&amp;몹 정리(최신)'!$B:$B,0))*25,IF($J132=3,INDEX('큐펫&amp;몹 정리(최신)'!P:P,MATCH($E132,'큐펫&amp;몹 정리(최신)'!$B:$B,0))*30,IF($J132=4,INDEX('큐펫&amp;몹 정리(최신)'!P:P,MATCH($E132,'큐펫&amp;몹 정리(최신)'!$B:$B,0))*35,INDEX('큐펫&amp;몹 정리(최신)'!P:P,MATCH($E132,'큐펫&amp;몹 정리(최신)'!$B:$B,0))*40))))</f>
        <v>1000</v>
      </c>
      <c r="L132" s="190">
        <f>IF($J132=1,INDEX('큐펫&amp;몹 정리(최신)'!Q:Q,MATCH($E132,'큐펫&amp;몹 정리(최신)'!$B:$B,0))*20,IF($J132=2,INDEX('큐펫&amp;몹 정리(최신)'!Q:Q,MATCH($E132,'큐펫&amp;몹 정리(최신)'!$B:$B,0))*25,IF($J132=3,INDEX('큐펫&amp;몹 정리(최신)'!Q:Q,MATCH($E132,'큐펫&amp;몹 정리(최신)'!$B:$B,0))*30,IF($J132=4,INDEX('큐펫&amp;몹 정리(최신)'!Q:Q,MATCH($E132,'큐펫&amp;몹 정리(최신)'!$B:$B,0))*35,INDEX('큐펫&amp;몹 정리(최신)'!Q:Q,MATCH($E132,'큐펫&amp;몹 정리(최신)'!$B:$B,0))*40))))</f>
        <v>80</v>
      </c>
      <c r="M132" s="190">
        <f>IF($J132=1,INDEX('큐펫&amp;몹 정리(최신)'!R:R,MATCH($E132,'큐펫&amp;몹 정리(최신)'!$B:$B,0))*20,IF($J132=2,INDEX('큐펫&amp;몹 정리(최신)'!R:R,MATCH($E132,'큐펫&amp;몹 정리(최신)'!$B:$B,0))*25,IF($J132=3,INDEX('큐펫&amp;몹 정리(최신)'!R:R,MATCH($E132,'큐펫&amp;몹 정리(최신)'!$B:$B,0))*30,IF($J132=4,INDEX('큐펫&amp;몹 정리(최신)'!R:R,MATCH($E132,'큐펫&amp;몹 정리(최신)'!$B:$B,0))*35,INDEX('큐펫&amp;몹 정리(최신)'!R:R,MATCH($E132,'큐펫&amp;몹 정리(최신)'!$B:$B,0))*40))))</f>
        <v>100</v>
      </c>
      <c r="N132" s="190">
        <f>IF($J132=1,INDEX('큐펫&amp;몹 정리(최신)'!S:S,MATCH($E132,'큐펫&amp;몹 정리(최신)'!$B:$B,0))*20,IF($J132=2,INDEX('큐펫&amp;몹 정리(최신)'!S:S,MATCH($E132,'큐펫&amp;몹 정리(최신)'!$B:$B,0))*25,IF($J132=3,INDEX('큐펫&amp;몹 정리(최신)'!S:S,MATCH($E132,'큐펫&amp;몹 정리(최신)'!$B:$B,0))*30,IF($J132=4,INDEX('큐펫&amp;몹 정리(최신)'!S:S,MATCH($E132,'큐펫&amp;몹 정리(최신)'!$B:$B,0))*35,INDEX('큐펫&amp;몹 정리(최신)'!S:S,MATCH($E132,'큐펫&amp;몹 정리(최신)'!$B:$B,0))*40))))</f>
        <v>420</v>
      </c>
      <c r="O132" s="190">
        <f>IF($J132=1,INDEX('큐펫&amp;몹 정리(최신)'!T:T,MATCH($E132,'큐펫&amp;몹 정리(최신)'!$B:$B,0))*20,IF($J132=2,INDEX('큐펫&amp;몹 정리(최신)'!T:T,MATCH($E132,'큐펫&amp;몹 정리(최신)'!$B:$B,0))*25,IF($J132=3,INDEX('큐펫&amp;몹 정리(최신)'!T:T,MATCH($E132,'큐펫&amp;몹 정리(최신)'!$B:$B,0))*30,IF($J132=4,INDEX('큐펫&amp;몹 정리(최신)'!T:T,MATCH($E132,'큐펫&amp;몹 정리(최신)'!$B:$B,0))*35,INDEX('큐펫&amp;몹 정리(최신)'!T:T,MATCH($E132,'큐펫&amp;몹 정리(최신)'!$B:$B,0))*40))))</f>
        <v>400</v>
      </c>
      <c r="P132" s="217">
        <v>20</v>
      </c>
      <c r="Q132" s="217">
        <f t="shared" si="16"/>
        <v>32800</v>
      </c>
      <c r="R132" s="217">
        <f t="shared" si="17"/>
        <v>287</v>
      </c>
      <c r="S132" s="217">
        <f t="shared" si="18"/>
        <v>348</v>
      </c>
      <c r="T132" s="217">
        <f t="shared" si="19"/>
        <v>1784</v>
      </c>
      <c r="U132" s="217">
        <f t="shared" si="20"/>
        <v>12397</v>
      </c>
      <c r="V132" s="217">
        <f t="shared" si="21"/>
        <v>5941</v>
      </c>
      <c r="W132" s="217">
        <f>ROUND(AC132+(INDEX(Ref!B$1:B$9,MATCH($AI132,Ref!$A$1:$A$9,0))*P132*0.0001),)</f>
        <v>17</v>
      </c>
      <c r="X132" s="217">
        <f>ROUND(AD132+(INDEX(Ref!C$1:C$9,MATCH($AI132,Ref!$A$1:$A$9,0))*$P132*0.0001),)</f>
        <v>32</v>
      </c>
      <c r="Y132" s="217">
        <f>ROUND(AE132+(INDEX(Ref!D$1:D$9,MATCH($AI132,Ref!$A$1:$A$9,0))*$P132*0.0001),)</f>
        <v>39</v>
      </c>
      <c r="Z132" s="217">
        <f>ROUND(AF132+(INDEX(Ref!E$1:E$9,MATCH($AI132,Ref!$A$1:$A$9,0))*$P132*0.0001),)</f>
        <v>41</v>
      </c>
      <c r="AA132" s="217">
        <f>ROUND(AG132+(INDEX(Ref!F$1:F$9,MATCH($AI132,Ref!$A$1:$A$9,0))*$P132*0.0001),)</f>
        <v>19</v>
      </c>
      <c r="AB132" s="217">
        <f>ROUND(AH132+(INDEX(Ref!G$1:G$9,MATCH($AI132,Ref!$A$1:$A$9,0))*$P132*0.0001),)</f>
        <v>36</v>
      </c>
      <c r="AC132" s="137">
        <v>15</v>
      </c>
      <c r="AD132" s="137">
        <v>28</v>
      </c>
      <c r="AE132" s="137">
        <v>36</v>
      </c>
      <c r="AF132" s="137">
        <v>36</v>
      </c>
      <c r="AG132" s="137">
        <v>17</v>
      </c>
      <c r="AH132" s="137">
        <v>32</v>
      </c>
      <c r="AI132" s="208">
        <v>6</v>
      </c>
      <c r="AJ132" s="172">
        <v>3000</v>
      </c>
      <c r="AK132" s="172">
        <v>30157</v>
      </c>
      <c r="AL132" s="172">
        <v>2000</v>
      </c>
      <c r="AM132" s="172">
        <v>30160</v>
      </c>
      <c r="AN132" s="172">
        <v>0</v>
      </c>
      <c r="AO132" s="172">
        <f t="shared" si="14"/>
        <v>34157</v>
      </c>
      <c r="AP132" s="172">
        <v>0</v>
      </c>
      <c r="AQ132" s="172">
        <f t="shared" si="15"/>
        <v>34160</v>
      </c>
      <c r="AR132" s="172">
        <v>1</v>
      </c>
      <c r="AS132" s="172">
        <v>0</v>
      </c>
      <c r="AT132" s="199">
        <v>78027</v>
      </c>
      <c r="AU132" s="195" t="s">
        <v>160</v>
      </c>
    </row>
    <row r="133" spans="1:47" x14ac:dyDescent="0.2">
      <c r="A133" s="173">
        <v>55027</v>
      </c>
      <c r="B133" s="174" t="s">
        <v>158</v>
      </c>
      <c r="C133" s="172">
        <v>86027</v>
      </c>
      <c r="D133" s="172">
        <v>150027</v>
      </c>
      <c r="E133" s="206" t="s">
        <v>159</v>
      </c>
      <c r="F133" s="207">
        <v>2</v>
      </c>
      <c r="G133" s="172">
        <v>13000</v>
      </c>
      <c r="H133" s="172">
        <v>9000</v>
      </c>
      <c r="I133" s="172">
        <v>10000</v>
      </c>
      <c r="J133" s="172">
        <v>2</v>
      </c>
      <c r="K133" s="190">
        <f>IF($J133=1,INDEX('큐펫&amp;몹 정리(최신)'!P:P,MATCH($E133,'큐펫&amp;몹 정리(최신)'!$B:$B,0))*20,IF($J133=2,INDEX('큐펫&amp;몹 정리(최신)'!P:P,MATCH($E133,'큐펫&amp;몹 정리(최신)'!$B:$B,0))*25,IF($J133=3,INDEX('큐펫&amp;몹 정리(최신)'!P:P,MATCH($E133,'큐펫&amp;몹 정리(최신)'!$B:$B,0))*30,IF($J133=4,INDEX('큐펫&amp;몹 정리(최신)'!P:P,MATCH($E133,'큐펫&amp;몹 정리(최신)'!$B:$B,0))*35,INDEX('큐펫&amp;몹 정리(최신)'!P:P,MATCH($E133,'큐펫&amp;몹 정리(최신)'!$B:$B,0))*40))))</f>
        <v>1250</v>
      </c>
      <c r="L133" s="190">
        <f>IF($J133=1,INDEX('큐펫&amp;몹 정리(최신)'!Q:Q,MATCH($E133,'큐펫&amp;몹 정리(최신)'!$B:$B,0))*20,IF($J133=2,INDEX('큐펫&amp;몹 정리(최신)'!Q:Q,MATCH($E133,'큐펫&amp;몹 정리(최신)'!$B:$B,0))*25,IF($J133=3,INDEX('큐펫&amp;몹 정리(최신)'!Q:Q,MATCH($E133,'큐펫&amp;몹 정리(최신)'!$B:$B,0))*30,IF($J133=4,INDEX('큐펫&amp;몹 정리(최신)'!Q:Q,MATCH($E133,'큐펫&amp;몹 정리(최신)'!$B:$B,0))*35,INDEX('큐펫&amp;몹 정리(최신)'!Q:Q,MATCH($E133,'큐펫&amp;몹 정리(최신)'!$B:$B,0))*40))))</f>
        <v>100</v>
      </c>
      <c r="M133" s="190">
        <f>IF($J133=1,INDEX('큐펫&amp;몹 정리(최신)'!R:R,MATCH($E133,'큐펫&amp;몹 정리(최신)'!$B:$B,0))*20,IF($J133=2,INDEX('큐펫&amp;몹 정리(최신)'!R:R,MATCH($E133,'큐펫&amp;몹 정리(최신)'!$B:$B,0))*25,IF($J133=3,INDEX('큐펫&amp;몹 정리(최신)'!R:R,MATCH($E133,'큐펫&amp;몹 정리(최신)'!$B:$B,0))*30,IF($J133=4,INDEX('큐펫&amp;몹 정리(최신)'!R:R,MATCH($E133,'큐펫&amp;몹 정리(최신)'!$B:$B,0))*35,INDEX('큐펫&amp;몹 정리(최신)'!R:R,MATCH($E133,'큐펫&amp;몹 정리(최신)'!$B:$B,0))*40))))</f>
        <v>125</v>
      </c>
      <c r="N133" s="190">
        <f>IF($J133=1,INDEX('큐펫&amp;몹 정리(최신)'!S:S,MATCH($E133,'큐펫&amp;몹 정리(최신)'!$B:$B,0))*20,IF($J133=2,INDEX('큐펫&amp;몹 정리(최신)'!S:S,MATCH($E133,'큐펫&amp;몹 정리(최신)'!$B:$B,0))*25,IF($J133=3,INDEX('큐펫&amp;몹 정리(최신)'!S:S,MATCH($E133,'큐펫&amp;몹 정리(최신)'!$B:$B,0))*30,IF($J133=4,INDEX('큐펫&amp;몹 정리(최신)'!S:S,MATCH($E133,'큐펫&amp;몹 정리(최신)'!$B:$B,0))*35,INDEX('큐펫&amp;몹 정리(최신)'!S:S,MATCH($E133,'큐펫&amp;몹 정리(최신)'!$B:$B,0))*40))))</f>
        <v>525</v>
      </c>
      <c r="O133" s="190">
        <f>IF($J133=1,INDEX('큐펫&amp;몹 정리(최신)'!T:T,MATCH($E133,'큐펫&amp;몹 정리(최신)'!$B:$B,0))*20,IF($J133=2,INDEX('큐펫&amp;몹 정리(최신)'!T:T,MATCH($E133,'큐펫&amp;몹 정리(최신)'!$B:$B,0))*25,IF($J133=3,INDEX('큐펫&amp;몹 정리(최신)'!T:T,MATCH($E133,'큐펫&amp;몹 정리(최신)'!$B:$B,0))*30,IF($J133=4,INDEX('큐펫&amp;몹 정리(최신)'!T:T,MATCH($E133,'큐펫&amp;몹 정리(최신)'!$B:$B,0))*35,INDEX('큐펫&amp;몹 정리(최신)'!T:T,MATCH($E133,'큐펫&amp;몹 정리(최신)'!$B:$B,0))*40))))</f>
        <v>500</v>
      </c>
      <c r="P133" s="217">
        <v>40</v>
      </c>
      <c r="Q133" s="217">
        <f t="shared" si="16"/>
        <v>78200</v>
      </c>
      <c r="R133" s="217">
        <f t="shared" si="17"/>
        <v>517</v>
      </c>
      <c r="S133" s="217">
        <f t="shared" si="18"/>
        <v>658</v>
      </c>
      <c r="T133" s="217">
        <f t="shared" si="19"/>
        <v>3387</v>
      </c>
      <c r="U133" s="217">
        <f t="shared" si="20"/>
        <v>22059</v>
      </c>
      <c r="V133" s="217">
        <f t="shared" si="21"/>
        <v>10551</v>
      </c>
      <c r="W133" s="217">
        <f>ROUND(AC133+(INDEX(Ref!B$1:B$9,MATCH($AI133,Ref!$A$1:$A$9,0))*P133*0.0001),)</f>
        <v>21</v>
      </c>
      <c r="X133" s="217">
        <f>ROUND(AD133+(INDEX(Ref!C$1:C$9,MATCH($AI133,Ref!$A$1:$A$9,0))*$P133*0.0001),)</f>
        <v>40</v>
      </c>
      <c r="Y133" s="217">
        <f>ROUND(AE133+(INDEX(Ref!D$1:D$9,MATCH($AI133,Ref!$A$1:$A$9,0))*$P133*0.0001),)</f>
        <v>44</v>
      </c>
      <c r="Z133" s="217">
        <f>ROUND(AF133+(INDEX(Ref!E$1:E$9,MATCH($AI133,Ref!$A$1:$A$9,0))*$P133*0.0001),)</f>
        <v>51</v>
      </c>
      <c r="AA133" s="217">
        <f>ROUND(AG133+(INDEX(Ref!F$1:F$9,MATCH($AI133,Ref!$A$1:$A$9,0))*$P133*0.0001),)</f>
        <v>24</v>
      </c>
      <c r="AB133" s="217">
        <f>ROUND(AH133+(INDEX(Ref!G$1:G$9,MATCH($AI133,Ref!$A$1:$A$9,0))*$P133*0.0001),)</f>
        <v>44</v>
      </c>
      <c r="AC133" s="137">
        <v>17</v>
      </c>
      <c r="AD133" s="137">
        <v>32</v>
      </c>
      <c r="AE133" s="137">
        <v>39</v>
      </c>
      <c r="AF133" s="137">
        <v>41</v>
      </c>
      <c r="AG133" s="137">
        <v>19</v>
      </c>
      <c r="AH133" s="137">
        <v>36</v>
      </c>
      <c r="AI133" s="208">
        <v>6</v>
      </c>
      <c r="AJ133" s="172">
        <v>3000</v>
      </c>
      <c r="AK133" s="172">
        <v>30158</v>
      </c>
      <c r="AL133" s="172">
        <v>2000</v>
      </c>
      <c r="AM133" s="172">
        <v>30160</v>
      </c>
      <c r="AN133" s="172">
        <v>0</v>
      </c>
      <c r="AO133" s="172">
        <f t="shared" si="14"/>
        <v>34158</v>
      </c>
      <c r="AP133" s="172">
        <v>0</v>
      </c>
      <c r="AQ133" s="172">
        <f t="shared" si="15"/>
        <v>34160</v>
      </c>
      <c r="AR133" s="172">
        <v>1</v>
      </c>
      <c r="AS133" s="172">
        <v>0</v>
      </c>
      <c r="AT133" s="199">
        <v>78027</v>
      </c>
      <c r="AU133" s="195" t="s">
        <v>160</v>
      </c>
    </row>
    <row r="134" spans="1:47" x14ac:dyDescent="0.2">
      <c r="A134" s="173">
        <v>55027</v>
      </c>
      <c r="B134" s="174" t="s">
        <v>158</v>
      </c>
      <c r="C134" s="172">
        <v>86027</v>
      </c>
      <c r="D134" s="172">
        <v>150027</v>
      </c>
      <c r="E134" s="206" t="s">
        <v>159</v>
      </c>
      <c r="F134" s="207">
        <v>2</v>
      </c>
      <c r="G134" s="172">
        <v>13000</v>
      </c>
      <c r="H134" s="172">
        <v>9000</v>
      </c>
      <c r="I134" s="172">
        <v>10000</v>
      </c>
      <c r="J134" s="172">
        <v>3</v>
      </c>
      <c r="K134" s="190">
        <f>IF($J134=1,INDEX('큐펫&amp;몹 정리(최신)'!P:P,MATCH($E134,'큐펫&amp;몹 정리(최신)'!$B:$B,0))*20,IF($J134=2,INDEX('큐펫&amp;몹 정리(최신)'!P:P,MATCH($E134,'큐펫&amp;몹 정리(최신)'!$B:$B,0))*25,IF($J134=3,INDEX('큐펫&amp;몹 정리(최신)'!P:P,MATCH($E134,'큐펫&amp;몹 정리(최신)'!$B:$B,0))*30,IF($J134=4,INDEX('큐펫&amp;몹 정리(최신)'!P:P,MATCH($E134,'큐펫&amp;몹 정리(최신)'!$B:$B,0))*35,INDEX('큐펫&amp;몹 정리(최신)'!P:P,MATCH($E134,'큐펫&amp;몹 정리(최신)'!$B:$B,0))*40))))</f>
        <v>1500</v>
      </c>
      <c r="L134" s="190">
        <f>IF($J134=1,INDEX('큐펫&amp;몹 정리(최신)'!Q:Q,MATCH($E134,'큐펫&amp;몹 정리(최신)'!$B:$B,0))*20,IF($J134=2,INDEX('큐펫&amp;몹 정리(최신)'!Q:Q,MATCH($E134,'큐펫&amp;몹 정리(최신)'!$B:$B,0))*25,IF($J134=3,INDEX('큐펫&amp;몹 정리(최신)'!Q:Q,MATCH($E134,'큐펫&amp;몹 정리(최신)'!$B:$B,0))*30,IF($J134=4,INDEX('큐펫&amp;몹 정리(최신)'!Q:Q,MATCH($E134,'큐펫&amp;몹 정리(최신)'!$B:$B,0))*35,INDEX('큐펫&amp;몹 정리(최신)'!Q:Q,MATCH($E134,'큐펫&amp;몹 정리(최신)'!$B:$B,0))*40))))</f>
        <v>120</v>
      </c>
      <c r="M134" s="190">
        <f>IF($J134=1,INDEX('큐펫&amp;몹 정리(최신)'!R:R,MATCH($E134,'큐펫&amp;몹 정리(최신)'!$B:$B,0))*20,IF($J134=2,INDEX('큐펫&amp;몹 정리(최신)'!R:R,MATCH($E134,'큐펫&amp;몹 정리(최신)'!$B:$B,0))*25,IF($J134=3,INDEX('큐펫&amp;몹 정리(최신)'!R:R,MATCH($E134,'큐펫&amp;몹 정리(최신)'!$B:$B,0))*30,IF($J134=4,INDEX('큐펫&amp;몹 정리(최신)'!R:R,MATCH($E134,'큐펫&amp;몹 정리(최신)'!$B:$B,0))*35,INDEX('큐펫&amp;몹 정리(최신)'!R:R,MATCH($E134,'큐펫&amp;몹 정리(최신)'!$B:$B,0))*40))))</f>
        <v>150</v>
      </c>
      <c r="N134" s="190">
        <f>IF($J134=1,INDEX('큐펫&amp;몹 정리(최신)'!S:S,MATCH($E134,'큐펫&amp;몹 정리(최신)'!$B:$B,0))*20,IF($J134=2,INDEX('큐펫&amp;몹 정리(최신)'!S:S,MATCH($E134,'큐펫&amp;몹 정리(최신)'!$B:$B,0))*25,IF($J134=3,INDEX('큐펫&amp;몹 정리(최신)'!S:S,MATCH($E134,'큐펫&amp;몹 정리(최신)'!$B:$B,0))*30,IF($J134=4,INDEX('큐펫&amp;몹 정리(최신)'!S:S,MATCH($E134,'큐펫&amp;몹 정리(최신)'!$B:$B,0))*35,INDEX('큐펫&amp;몹 정리(최신)'!S:S,MATCH($E134,'큐펫&amp;몹 정리(최신)'!$B:$B,0))*40))))</f>
        <v>630</v>
      </c>
      <c r="O134" s="190">
        <f>IF($J134=1,INDEX('큐펫&amp;몹 정리(최신)'!T:T,MATCH($E134,'큐펫&amp;몹 정리(최신)'!$B:$B,0))*20,IF($J134=2,INDEX('큐펫&amp;몹 정리(최신)'!T:T,MATCH($E134,'큐펫&amp;몹 정리(최신)'!$B:$B,0))*25,IF($J134=3,INDEX('큐펫&amp;몹 정리(최신)'!T:T,MATCH($E134,'큐펫&amp;몹 정리(최신)'!$B:$B,0))*30,IF($J134=4,INDEX('큐펫&amp;몹 정리(최신)'!T:T,MATCH($E134,'큐펫&amp;몹 정리(최신)'!$B:$B,0))*35,INDEX('큐펫&amp;몹 정리(최신)'!T:T,MATCH($E134,'큐펫&amp;몹 정리(최신)'!$B:$B,0))*40))))</f>
        <v>600</v>
      </c>
      <c r="P134" s="217">
        <v>60</v>
      </c>
      <c r="Q134" s="217">
        <f t="shared" si="16"/>
        <v>142500</v>
      </c>
      <c r="R134" s="217">
        <f t="shared" si="17"/>
        <v>910</v>
      </c>
      <c r="S134" s="217">
        <f t="shared" si="18"/>
        <v>1043</v>
      </c>
      <c r="T134" s="217">
        <f t="shared" si="19"/>
        <v>5566</v>
      </c>
      <c r="U134" s="217">
        <f t="shared" si="20"/>
        <v>34660</v>
      </c>
      <c r="V134" s="217">
        <f t="shared" si="21"/>
        <v>16560</v>
      </c>
      <c r="W134" s="217">
        <f>ROUND(AC134+(INDEX(Ref!B$1:B$9,MATCH($AI134,Ref!$A$1:$A$9,0))*P134*0.0001),)</f>
        <v>26</v>
      </c>
      <c r="X134" s="217">
        <f>ROUND(AD134+(INDEX(Ref!C$1:C$9,MATCH($AI134,Ref!$A$1:$A$9,0))*$P134*0.0001),)</f>
        <v>47</v>
      </c>
      <c r="Y134" s="217">
        <f>ROUND(AE134+(INDEX(Ref!D$1:D$9,MATCH($AI134,Ref!$A$1:$A$9,0))*$P134*0.0001),)</f>
        <v>50</v>
      </c>
      <c r="Z134" s="217">
        <f>ROUND(AF134+(INDEX(Ref!E$1:E$9,MATCH($AI134,Ref!$A$1:$A$9,0))*$P134*0.0001),)</f>
        <v>60</v>
      </c>
      <c r="AA134" s="217">
        <f>ROUND(AG134+(INDEX(Ref!F$1:F$9,MATCH($AI134,Ref!$A$1:$A$9,0))*$P134*0.0001),)</f>
        <v>28</v>
      </c>
      <c r="AB134" s="217">
        <f>ROUND(AH134+(INDEX(Ref!G$1:G$9,MATCH($AI134,Ref!$A$1:$A$9,0))*$P134*0.0001),)</f>
        <v>53</v>
      </c>
      <c r="AC134" s="137">
        <v>19</v>
      </c>
      <c r="AD134" s="137">
        <v>36</v>
      </c>
      <c r="AE134" s="137">
        <v>42</v>
      </c>
      <c r="AF134" s="137">
        <v>46</v>
      </c>
      <c r="AG134" s="137">
        <v>21</v>
      </c>
      <c r="AH134" s="137">
        <v>40</v>
      </c>
      <c r="AI134" s="208">
        <v>6</v>
      </c>
      <c r="AJ134" s="172">
        <v>3000</v>
      </c>
      <c r="AK134" s="172">
        <v>30158</v>
      </c>
      <c r="AL134" s="172">
        <v>2000</v>
      </c>
      <c r="AM134" s="172">
        <v>30161</v>
      </c>
      <c r="AN134" s="172">
        <v>0</v>
      </c>
      <c r="AO134" s="172">
        <f t="shared" si="14"/>
        <v>34158</v>
      </c>
      <c r="AP134" s="172">
        <v>0</v>
      </c>
      <c r="AQ134" s="172">
        <f t="shared" si="15"/>
        <v>34161</v>
      </c>
      <c r="AR134" s="172">
        <v>1</v>
      </c>
      <c r="AS134" s="172">
        <v>0</v>
      </c>
      <c r="AT134" s="199">
        <v>78027</v>
      </c>
      <c r="AU134" s="195" t="s">
        <v>160</v>
      </c>
    </row>
    <row r="135" spans="1:47" x14ac:dyDescent="0.2">
      <c r="A135" s="173">
        <v>55027</v>
      </c>
      <c r="B135" s="174" t="s">
        <v>158</v>
      </c>
      <c r="C135" s="172">
        <v>86027</v>
      </c>
      <c r="D135" s="172">
        <v>150027</v>
      </c>
      <c r="E135" s="206" t="s">
        <v>159</v>
      </c>
      <c r="F135" s="207">
        <v>2</v>
      </c>
      <c r="G135" s="172">
        <v>13000</v>
      </c>
      <c r="H135" s="172">
        <v>9000</v>
      </c>
      <c r="I135" s="172">
        <v>10000</v>
      </c>
      <c r="J135" s="172">
        <v>4</v>
      </c>
      <c r="K135" s="190">
        <f>IF($J135=1,INDEX('큐펫&amp;몹 정리(최신)'!P:P,MATCH($E135,'큐펫&amp;몹 정리(최신)'!$B:$B,0))*20,IF($J135=2,INDEX('큐펫&amp;몹 정리(최신)'!P:P,MATCH($E135,'큐펫&amp;몹 정리(최신)'!$B:$B,0))*25,IF($J135=3,INDEX('큐펫&amp;몹 정리(최신)'!P:P,MATCH($E135,'큐펫&amp;몹 정리(최신)'!$B:$B,0))*30,IF($J135=4,INDEX('큐펫&amp;몹 정리(최신)'!P:P,MATCH($E135,'큐펫&amp;몹 정리(최신)'!$B:$B,0))*35,INDEX('큐펫&amp;몹 정리(최신)'!P:P,MATCH($E135,'큐펫&amp;몹 정리(최신)'!$B:$B,0))*40))))</f>
        <v>1750</v>
      </c>
      <c r="L135" s="190">
        <f>IF($J135=1,INDEX('큐펫&amp;몹 정리(최신)'!Q:Q,MATCH($E135,'큐펫&amp;몹 정리(최신)'!$B:$B,0))*20,IF($J135=2,INDEX('큐펫&amp;몹 정리(최신)'!Q:Q,MATCH($E135,'큐펫&amp;몹 정리(최신)'!$B:$B,0))*25,IF($J135=3,INDEX('큐펫&amp;몹 정리(최신)'!Q:Q,MATCH($E135,'큐펫&amp;몹 정리(최신)'!$B:$B,0))*30,IF($J135=4,INDEX('큐펫&amp;몹 정리(최신)'!Q:Q,MATCH($E135,'큐펫&amp;몹 정리(최신)'!$B:$B,0))*35,INDEX('큐펫&amp;몹 정리(최신)'!Q:Q,MATCH($E135,'큐펫&amp;몹 정리(최신)'!$B:$B,0))*40))))</f>
        <v>140</v>
      </c>
      <c r="M135" s="190">
        <f>IF($J135=1,INDEX('큐펫&amp;몹 정리(최신)'!R:R,MATCH($E135,'큐펫&amp;몹 정리(최신)'!$B:$B,0))*20,IF($J135=2,INDEX('큐펫&amp;몹 정리(최신)'!R:R,MATCH($E135,'큐펫&amp;몹 정리(최신)'!$B:$B,0))*25,IF($J135=3,INDEX('큐펫&amp;몹 정리(최신)'!R:R,MATCH($E135,'큐펫&amp;몹 정리(최신)'!$B:$B,0))*30,IF($J135=4,INDEX('큐펫&amp;몹 정리(최신)'!R:R,MATCH($E135,'큐펫&amp;몹 정리(최신)'!$B:$B,0))*35,INDEX('큐펫&amp;몹 정리(최신)'!R:R,MATCH($E135,'큐펫&amp;몹 정리(최신)'!$B:$B,0))*40))))</f>
        <v>175</v>
      </c>
      <c r="N135" s="190">
        <f>IF($J135=1,INDEX('큐펫&amp;몹 정리(최신)'!S:S,MATCH($E135,'큐펫&amp;몹 정리(최신)'!$B:$B,0))*20,IF($J135=2,INDEX('큐펫&amp;몹 정리(최신)'!S:S,MATCH($E135,'큐펫&amp;몹 정리(최신)'!$B:$B,0))*25,IF($J135=3,INDEX('큐펫&amp;몹 정리(최신)'!S:S,MATCH($E135,'큐펫&amp;몹 정리(최신)'!$B:$B,0))*30,IF($J135=4,INDEX('큐펫&amp;몹 정리(최신)'!S:S,MATCH($E135,'큐펫&amp;몹 정리(최신)'!$B:$B,0))*35,INDEX('큐펫&amp;몹 정리(최신)'!S:S,MATCH($E135,'큐펫&amp;몹 정리(최신)'!$B:$B,0))*40))))</f>
        <v>735</v>
      </c>
      <c r="O135" s="190">
        <f>IF($J135=1,INDEX('큐펫&amp;몹 정리(최신)'!T:T,MATCH($E135,'큐펫&amp;몹 정리(최신)'!$B:$B,0))*20,IF($J135=2,INDEX('큐펫&amp;몹 정리(최신)'!T:T,MATCH($E135,'큐펫&amp;몹 정리(최신)'!$B:$B,0))*25,IF($J135=3,INDEX('큐펫&amp;몹 정리(최신)'!T:T,MATCH($E135,'큐펫&amp;몹 정리(최신)'!$B:$B,0))*30,IF($J135=4,INDEX('큐펫&amp;몹 정리(최신)'!T:T,MATCH($E135,'큐펫&amp;몹 정리(최신)'!$B:$B,0))*35,INDEX('큐펫&amp;몹 정리(최신)'!T:T,MATCH($E135,'큐펫&amp;몹 정리(최신)'!$B:$B,0))*40))))</f>
        <v>700</v>
      </c>
      <c r="P135" s="217">
        <v>80</v>
      </c>
      <c r="Q135" s="217">
        <f t="shared" si="16"/>
        <v>224300</v>
      </c>
      <c r="R135" s="217">
        <f t="shared" si="17"/>
        <v>1468</v>
      </c>
      <c r="S135" s="217">
        <f t="shared" si="18"/>
        <v>1746</v>
      </c>
      <c r="T135" s="217">
        <f t="shared" si="19"/>
        <v>8774</v>
      </c>
      <c r="U135" s="217">
        <f t="shared" si="20"/>
        <v>49257</v>
      </c>
      <c r="V135" s="217">
        <f t="shared" si="21"/>
        <v>23520</v>
      </c>
      <c r="W135" s="217">
        <f>ROUND(AC135+(INDEX(Ref!B$1:B$9,MATCH($AI135,Ref!$A$1:$A$9,0))*P135*0.0001),)</f>
        <v>31</v>
      </c>
      <c r="X135" s="217">
        <f>ROUND(AD135+(INDEX(Ref!C$1:C$9,MATCH($AI135,Ref!$A$1:$A$9,0))*$P135*0.0001),)</f>
        <v>54</v>
      </c>
      <c r="Y135" s="217">
        <f>ROUND(AE135+(INDEX(Ref!D$1:D$9,MATCH($AI135,Ref!$A$1:$A$9,0))*$P135*0.0001),)</f>
        <v>54</v>
      </c>
      <c r="Z135" s="217">
        <f>ROUND(AF135+(INDEX(Ref!E$1:E$9,MATCH($AI135,Ref!$A$1:$A$9,0))*$P135*0.0001),)</f>
        <v>70</v>
      </c>
      <c r="AA135" s="217">
        <f>ROUND(AG135+(INDEX(Ref!F$1:F$9,MATCH($AI135,Ref!$A$1:$A$9,0))*$P135*0.0001),)</f>
        <v>34</v>
      </c>
      <c r="AB135" s="217">
        <f>ROUND(AH135+(INDEX(Ref!G$1:G$9,MATCH($AI135,Ref!$A$1:$A$9,0))*$P135*0.0001),)</f>
        <v>61</v>
      </c>
      <c r="AC135" s="137">
        <v>22</v>
      </c>
      <c r="AD135" s="137">
        <v>39</v>
      </c>
      <c r="AE135" s="137">
        <v>44</v>
      </c>
      <c r="AF135" s="137">
        <v>51</v>
      </c>
      <c r="AG135" s="137">
        <v>24</v>
      </c>
      <c r="AH135" s="137">
        <v>44</v>
      </c>
      <c r="AI135" s="208">
        <v>6</v>
      </c>
      <c r="AJ135" s="172">
        <v>3000</v>
      </c>
      <c r="AK135" s="172">
        <v>30159</v>
      </c>
      <c r="AL135" s="172">
        <v>2000</v>
      </c>
      <c r="AM135" s="172">
        <v>30161</v>
      </c>
      <c r="AN135" s="172">
        <v>0</v>
      </c>
      <c r="AO135" s="172">
        <f t="shared" si="14"/>
        <v>34159</v>
      </c>
      <c r="AP135" s="172">
        <v>0</v>
      </c>
      <c r="AQ135" s="172">
        <f t="shared" si="15"/>
        <v>34161</v>
      </c>
      <c r="AR135" s="172">
        <v>1</v>
      </c>
      <c r="AS135" s="172">
        <v>0</v>
      </c>
      <c r="AT135" s="199">
        <v>78027</v>
      </c>
      <c r="AU135" s="195" t="s">
        <v>160</v>
      </c>
    </row>
    <row r="136" spans="1:47" x14ac:dyDescent="0.2">
      <c r="A136" s="173">
        <v>55027</v>
      </c>
      <c r="B136" s="174" t="s">
        <v>158</v>
      </c>
      <c r="C136" s="172">
        <v>86027</v>
      </c>
      <c r="D136" s="172">
        <v>150027</v>
      </c>
      <c r="E136" s="206" t="s">
        <v>159</v>
      </c>
      <c r="F136" s="207">
        <v>2</v>
      </c>
      <c r="G136" s="172">
        <v>13000</v>
      </c>
      <c r="H136" s="172">
        <v>9000</v>
      </c>
      <c r="I136" s="172">
        <v>10000</v>
      </c>
      <c r="J136" s="172">
        <v>5</v>
      </c>
      <c r="K136" s="190">
        <f>IF($J136=1,INDEX('큐펫&amp;몹 정리(최신)'!P:P,MATCH($E136,'큐펫&amp;몹 정리(최신)'!$B:$B,0))*20,IF($J136=2,INDEX('큐펫&amp;몹 정리(최신)'!P:P,MATCH($E136,'큐펫&amp;몹 정리(최신)'!$B:$B,0))*25,IF($J136=3,INDEX('큐펫&amp;몹 정리(최신)'!P:P,MATCH($E136,'큐펫&amp;몹 정리(최신)'!$B:$B,0))*30,IF($J136=4,INDEX('큐펫&amp;몹 정리(최신)'!P:P,MATCH($E136,'큐펫&amp;몹 정리(최신)'!$B:$B,0))*35,INDEX('큐펫&amp;몹 정리(최신)'!P:P,MATCH($E136,'큐펫&amp;몹 정리(최신)'!$B:$B,0))*40))))</f>
        <v>2000</v>
      </c>
      <c r="L136" s="190">
        <f>IF($J136=1,INDEX('큐펫&amp;몹 정리(최신)'!Q:Q,MATCH($E136,'큐펫&amp;몹 정리(최신)'!$B:$B,0))*20,IF($J136=2,INDEX('큐펫&amp;몹 정리(최신)'!Q:Q,MATCH($E136,'큐펫&amp;몹 정리(최신)'!$B:$B,0))*25,IF($J136=3,INDEX('큐펫&amp;몹 정리(최신)'!Q:Q,MATCH($E136,'큐펫&amp;몹 정리(최신)'!$B:$B,0))*30,IF($J136=4,INDEX('큐펫&amp;몹 정리(최신)'!Q:Q,MATCH($E136,'큐펫&amp;몹 정리(최신)'!$B:$B,0))*35,INDEX('큐펫&amp;몹 정리(최신)'!Q:Q,MATCH($E136,'큐펫&amp;몹 정리(최신)'!$B:$B,0))*40))))</f>
        <v>160</v>
      </c>
      <c r="M136" s="190">
        <f>IF($J136=1,INDEX('큐펫&amp;몹 정리(최신)'!R:R,MATCH($E136,'큐펫&amp;몹 정리(최신)'!$B:$B,0))*20,IF($J136=2,INDEX('큐펫&amp;몹 정리(최신)'!R:R,MATCH($E136,'큐펫&amp;몹 정리(최신)'!$B:$B,0))*25,IF($J136=3,INDEX('큐펫&amp;몹 정리(최신)'!R:R,MATCH($E136,'큐펫&amp;몹 정리(최신)'!$B:$B,0))*30,IF($J136=4,INDEX('큐펫&amp;몹 정리(최신)'!R:R,MATCH($E136,'큐펫&amp;몹 정리(최신)'!$B:$B,0))*35,INDEX('큐펫&amp;몹 정리(최신)'!R:R,MATCH($E136,'큐펫&amp;몹 정리(최신)'!$B:$B,0))*40))))</f>
        <v>200</v>
      </c>
      <c r="N136" s="190">
        <f>IF($J136=1,INDEX('큐펫&amp;몹 정리(최신)'!S:S,MATCH($E136,'큐펫&amp;몹 정리(최신)'!$B:$B,0))*20,IF($J136=2,INDEX('큐펫&amp;몹 정리(최신)'!S:S,MATCH($E136,'큐펫&amp;몹 정리(최신)'!$B:$B,0))*25,IF($J136=3,INDEX('큐펫&amp;몹 정리(최신)'!S:S,MATCH($E136,'큐펫&amp;몹 정리(최신)'!$B:$B,0))*30,IF($J136=4,INDEX('큐펫&amp;몹 정리(최신)'!S:S,MATCH($E136,'큐펫&amp;몹 정리(최신)'!$B:$B,0))*35,INDEX('큐펫&amp;몹 정리(최신)'!S:S,MATCH($E136,'큐펫&amp;몹 정리(최신)'!$B:$B,0))*40))))</f>
        <v>840</v>
      </c>
      <c r="O136" s="190">
        <f>IF($J136=1,INDEX('큐펫&amp;몹 정리(최신)'!T:T,MATCH($E136,'큐펫&amp;몹 정리(최신)'!$B:$B,0))*20,IF($J136=2,INDEX('큐펫&amp;몹 정리(최신)'!T:T,MATCH($E136,'큐펫&amp;몹 정리(최신)'!$B:$B,0))*25,IF($J136=3,INDEX('큐펫&amp;몹 정리(최신)'!T:T,MATCH($E136,'큐펫&amp;몹 정리(최신)'!$B:$B,0))*30,IF($J136=4,INDEX('큐펫&amp;몹 정리(최신)'!T:T,MATCH($E136,'큐펫&amp;몹 정리(최신)'!$B:$B,0))*35,INDEX('큐펫&amp;몹 정리(최신)'!T:T,MATCH($E136,'큐펫&amp;몹 정리(최신)'!$B:$B,0))*40))))</f>
        <v>800</v>
      </c>
      <c r="P136" s="217">
        <v>100</v>
      </c>
      <c r="Q136" s="217">
        <f t="shared" si="16"/>
        <v>330000</v>
      </c>
      <c r="R136" s="217">
        <f t="shared" si="17"/>
        <v>2103</v>
      </c>
      <c r="S136" s="217">
        <f t="shared" si="18"/>
        <v>2458</v>
      </c>
      <c r="T136" s="217">
        <f t="shared" si="19"/>
        <v>13032</v>
      </c>
      <c r="U136" s="217">
        <f t="shared" si="20"/>
        <v>67214</v>
      </c>
      <c r="V136" s="217">
        <f t="shared" si="21"/>
        <v>32080</v>
      </c>
      <c r="W136" s="217">
        <f>ROUND(AC136+(INDEX(Ref!B$1:B$9,MATCH($AI136,Ref!$A$1:$A$9,0))*P136*0.0001),)</f>
        <v>35</v>
      </c>
      <c r="X136" s="217">
        <f>ROUND(AD136+(INDEX(Ref!C$1:C$9,MATCH($AI136,Ref!$A$1:$A$9,0))*$P136*0.0001),)</f>
        <v>62</v>
      </c>
      <c r="Y136" s="217">
        <f>ROUND(AE136+(INDEX(Ref!D$1:D$9,MATCH($AI136,Ref!$A$1:$A$9,0))*$P136*0.0001),)</f>
        <v>60</v>
      </c>
      <c r="Z136" s="217">
        <f>ROUND(AF136+(INDEX(Ref!E$1:E$9,MATCH($AI136,Ref!$A$1:$A$9,0))*$P136*0.0001),)</f>
        <v>80</v>
      </c>
      <c r="AA136" s="217">
        <f>ROUND(AG136+(INDEX(Ref!F$1:F$9,MATCH($AI136,Ref!$A$1:$A$9,0))*$P136*0.0001),)</f>
        <v>38</v>
      </c>
      <c r="AB136" s="217">
        <f>ROUND(AH136+(INDEX(Ref!G$1:G$9,MATCH($AI136,Ref!$A$1:$A$9,0))*$P136*0.0001),)</f>
        <v>69</v>
      </c>
      <c r="AC136" s="137">
        <v>24</v>
      </c>
      <c r="AD136" s="137">
        <v>43</v>
      </c>
      <c r="AE136" s="137">
        <v>47</v>
      </c>
      <c r="AF136" s="137">
        <v>56</v>
      </c>
      <c r="AG136" s="137">
        <v>26</v>
      </c>
      <c r="AH136" s="137">
        <v>48</v>
      </c>
      <c r="AI136" s="208">
        <v>6</v>
      </c>
      <c r="AJ136" s="172">
        <v>3000</v>
      </c>
      <c r="AK136" s="172">
        <v>30159</v>
      </c>
      <c r="AL136" s="172">
        <v>2000</v>
      </c>
      <c r="AM136" s="172">
        <v>30162</v>
      </c>
      <c r="AN136" s="172">
        <v>0</v>
      </c>
      <c r="AO136" s="172">
        <f t="shared" si="14"/>
        <v>34159</v>
      </c>
      <c r="AP136" s="172">
        <v>0</v>
      </c>
      <c r="AQ136" s="172">
        <f t="shared" si="15"/>
        <v>34162</v>
      </c>
      <c r="AR136" s="172">
        <v>1</v>
      </c>
      <c r="AS136" s="172">
        <v>0</v>
      </c>
      <c r="AT136" s="199">
        <v>78027</v>
      </c>
      <c r="AU136" s="195" t="s">
        <v>160</v>
      </c>
    </row>
    <row r="137" spans="1:47" x14ac:dyDescent="0.2">
      <c r="A137" s="173">
        <v>55028</v>
      </c>
      <c r="B137" s="174" t="s">
        <v>161</v>
      </c>
      <c r="C137" s="172">
        <v>86028</v>
      </c>
      <c r="D137" s="172">
        <v>150028</v>
      </c>
      <c r="E137" s="206" t="s">
        <v>162</v>
      </c>
      <c r="F137" s="207">
        <v>2</v>
      </c>
      <c r="G137" s="173">
        <v>11500</v>
      </c>
      <c r="H137" s="173">
        <v>9500</v>
      </c>
      <c r="I137" s="172">
        <v>10000</v>
      </c>
      <c r="J137" s="172">
        <v>1</v>
      </c>
      <c r="K137" s="190">
        <f>IF($J137=1,INDEX('큐펫&amp;몹 정리(최신)'!P:P,MATCH($E137,'큐펫&amp;몹 정리(최신)'!$B:$B,0))*20,IF($J137=2,INDEX('큐펫&amp;몹 정리(최신)'!P:P,MATCH($E137,'큐펫&amp;몹 정리(최신)'!$B:$B,0))*25,IF($J137=3,INDEX('큐펫&amp;몹 정리(최신)'!P:P,MATCH($E137,'큐펫&amp;몹 정리(최신)'!$B:$B,0))*30,IF($J137=4,INDEX('큐펫&amp;몹 정리(최신)'!P:P,MATCH($E137,'큐펫&amp;몹 정리(최신)'!$B:$B,0))*35,INDEX('큐펫&amp;몹 정리(최신)'!P:P,MATCH($E137,'큐펫&amp;몹 정리(최신)'!$B:$B,0))*40))))</f>
        <v>760</v>
      </c>
      <c r="L137" s="190">
        <f>IF($J137=1,INDEX('큐펫&amp;몹 정리(최신)'!Q:Q,MATCH($E137,'큐펫&amp;몹 정리(최신)'!$B:$B,0))*20,IF($J137=2,INDEX('큐펫&amp;몹 정리(최신)'!Q:Q,MATCH($E137,'큐펫&amp;몹 정리(최신)'!$B:$B,0))*25,IF($J137=3,INDEX('큐펫&amp;몹 정리(최신)'!Q:Q,MATCH($E137,'큐펫&amp;몹 정리(최신)'!$B:$B,0))*30,IF($J137=4,INDEX('큐펫&amp;몹 정리(최신)'!Q:Q,MATCH($E137,'큐펫&amp;몹 정리(최신)'!$B:$B,0))*35,INDEX('큐펫&amp;몹 정리(최신)'!Q:Q,MATCH($E137,'큐펫&amp;몹 정리(최신)'!$B:$B,0))*40))))</f>
        <v>420</v>
      </c>
      <c r="M137" s="190">
        <f>IF($J137=1,INDEX('큐펫&amp;몹 정리(최신)'!R:R,MATCH($E137,'큐펫&amp;몹 정리(최신)'!$B:$B,0))*20,IF($J137=2,INDEX('큐펫&amp;몹 정리(최신)'!R:R,MATCH($E137,'큐펫&amp;몹 정리(최신)'!$B:$B,0))*25,IF($J137=3,INDEX('큐펫&amp;몹 정리(최신)'!R:R,MATCH($E137,'큐펫&amp;몹 정리(최신)'!$B:$B,0))*30,IF($J137=4,INDEX('큐펫&amp;몹 정리(최신)'!R:R,MATCH($E137,'큐펫&amp;몹 정리(최신)'!$B:$B,0))*35,INDEX('큐펫&amp;몹 정리(최신)'!R:R,MATCH($E137,'큐펫&amp;몹 정리(최신)'!$B:$B,0))*40))))</f>
        <v>80</v>
      </c>
      <c r="N137" s="190">
        <f>IF($J137=1,INDEX('큐펫&amp;몹 정리(최신)'!S:S,MATCH($E137,'큐펫&amp;몹 정리(최신)'!$B:$B,0))*20,IF($J137=2,INDEX('큐펫&amp;몹 정리(최신)'!S:S,MATCH($E137,'큐펫&amp;몹 정리(최신)'!$B:$B,0))*25,IF($J137=3,INDEX('큐펫&amp;몹 정리(최신)'!S:S,MATCH($E137,'큐펫&amp;몹 정리(최신)'!$B:$B,0))*30,IF($J137=4,INDEX('큐펫&amp;몹 정리(최신)'!S:S,MATCH($E137,'큐펫&amp;몹 정리(최신)'!$B:$B,0))*35,INDEX('큐펫&amp;몹 정리(최신)'!S:S,MATCH($E137,'큐펫&amp;몹 정리(최신)'!$B:$B,0))*40))))</f>
        <v>340</v>
      </c>
      <c r="O137" s="190">
        <f>IF($J137=1,INDEX('큐펫&amp;몹 정리(최신)'!T:T,MATCH($E137,'큐펫&amp;몹 정리(최신)'!$B:$B,0))*20,IF($J137=2,INDEX('큐펫&amp;몹 정리(최신)'!T:T,MATCH($E137,'큐펫&amp;몹 정리(최신)'!$B:$B,0))*25,IF($J137=3,INDEX('큐펫&amp;몹 정리(최신)'!T:T,MATCH($E137,'큐펫&amp;몹 정리(최신)'!$B:$B,0))*30,IF($J137=4,INDEX('큐펫&amp;몹 정리(최신)'!T:T,MATCH($E137,'큐펫&amp;몹 정리(최신)'!$B:$B,0))*35,INDEX('큐펫&amp;몹 정리(최신)'!T:T,MATCH($E137,'큐펫&amp;몹 정리(최신)'!$B:$B,0))*40))))</f>
        <v>400</v>
      </c>
      <c r="P137" s="217">
        <v>20</v>
      </c>
      <c r="Q137" s="217">
        <f t="shared" si="16"/>
        <v>26904</v>
      </c>
      <c r="R137" s="217">
        <f t="shared" si="17"/>
        <v>7871</v>
      </c>
      <c r="S137" s="217">
        <f t="shared" si="18"/>
        <v>2292</v>
      </c>
      <c r="T137" s="217">
        <f t="shared" si="19"/>
        <v>344</v>
      </c>
      <c r="U137" s="217">
        <f t="shared" si="20"/>
        <v>12252</v>
      </c>
      <c r="V137" s="217">
        <f t="shared" si="21"/>
        <v>7219</v>
      </c>
      <c r="W137" s="217">
        <f>ROUND(AC137+(INDEX(Ref!B$1:B$9,MATCH($AI137,Ref!$A$1:$A$9,0))*P137*0.0001),)</f>
        <v>43</v>
      </c>
      <c r="X137" s="217">
        <f>ROUND(AD137+(INDEX(Ref!C$1:C$9,MATCH($AI137,Ref!$A$1:$A$9,0))*$P137*0.0001),)</f>
        <v>26</v>
      </c>
      <c r="Y137" s="217">
        <f>ROUND(AE137+(INDEX(Ref!D$1:D$9,MATCH($AI137,Ref!$A$1:$A$9,0))*$P137*0.0001),)</f>
        <v>52</v>
      </c>
      <c r="Z137" s="217">
        <f>ROUND(AF137+(INDEX(Ref!E$1:E$9,MATCH($AI137,Ref!$A$1:$A$9,0))*$P137*0.0001),)</f>
        <v>19</v>
      </c>
      <c r="AA137" s="217">
        <f>ROUND(AG137+(INDEX(Ref!F$1:F$9,MATCH($AI137,Ref!$A$1:$A$9,0))*$P137*0.0001),)</f>
        <v>23</v>
      </c>
      <c r="AB137" s="217">
        <f>ROUND(AH137+(INDEX(Ref!G$1:G$9,MATCH($AI137,Ref!$A$1:$A$9,0))*$P137*0.0001),)</f>
        <v>21</v>
      </c>
      <c r="AC137" s="137">
        <v>38</v>
      </c>
      <c r="AD137" s="137">
        <v>23</v>
      </c>
      <c r="AE137" s="137">
        <v>48</v>
      </c>
      <c r="AF137" s="137">
        <v>17</v>
      </c>
      <c r="AG137" s="137">
        <v>20</v>
      </c>
      <c r="AH137" s="137">
        <v>18</v>
      </c>
      <c r="AI137" s="208">
        <v>1</v>
      </c>
      <c r="AJ137" s="172">
        <v>3000</v>
      </c>
      <c r="AK137" s="172">
        <v>30163</v>
      </c>
      <c r="AL137" s="172">
        <v>2000</v>
      </c>
      <c r="AM137" s="172">
        <v>30166</v>
      </c>
      <c r="AN137" s="172">
        <v>0</v>
      </c>
      <c r="AO137" s="172">
        <f t="shared" si="14"/>
        <v>34163</v>
      </c>
      <c r="AP137" s="172">
        <v>0</v>
      </c>
      <c r="AQ137" s="172">
        <f t="shared" si="15"/>
        <v>34166</v>
      </c>
      <c r="AR137" s="172">
        <v>1</v>
      </c>
      <c r="AS137" s="172">
        <v>0</v>
      </c>
      <c r="AT137" s="199">
        <v>78028</v>
      </c>
      <c r="AU137" s="195" t="s">
        <v>163</v>
      </c>
    </row>
    <row r="138" spans="1:47" x14ac:dyDescent="0.2">
      <c r="A138" s="173">
        <v>55028</v>
      </c>
      <c r="B138" s="174" t="s">
        <v>161</v>
      </c>
      <c r="C138" s="172">
        <v>86028</v>
      </c>
      <c r="D138" s="172">
        <v>150028</v>
      </c>
      <c r="E138" s="206" t="s">
        <v>162</v>
      </c>
      <c r="F138" s="207">
        <v>2</v>
      </c>
      <c r="G138" s="173">
        <v>11500</v>
      </c>
      <c r="H138" s="173">
        <v>9500</v>
      </c>
      <c r="I138" s="172">
        <v>10000</v>
      </c>
      <c r="J138" s="172">
        <v>2</v>
      </c>
      <c r="K138" s="190">
        <f>IF($J138=1,INDEX('큐펫&amp;몹 정리(최신)'!P:P,MATCH($E138,'큐펫&amp;몹 정리(최신)'!$B:$B,0))*20,IF($J138=2,INDEX('큐펫&amp;몹 정리(최신)'!P:P,MATCH($E138,'큐펫&amp;몹 정리(최신)'!$B:$B,0))*25,IF($J138=3,INDEX('큐펫&amp;몹 정리(최신)'!P:P,MATCH($E138,'큐펫&amp;몹 정리(최신)'!$B:$B,0))*30,IF($J138=4,INDEX('큐펫&amp;몹 정리(최신)'!P:P,MATCH($E138,'큐펫&amp;몹 정리(최신)'!$B:$B,0))*35,INDEX('큐펫&amp;몹 정리(최신)'!P:P,MATCH($E138,'큐펫&amp;몹 정리(최신)'!$B:$B,0))*40))))</f>
        <v>950</v>
      </c>
      <c r="L138" s="190">
        <f>IF($J138=1,INDEX('큐펫&amp;몹 정리(최신)'!Q:Q,MATCH($E138,'큐펫&amp;몹 정리(최신)'!$B:$B,0))*20,IF($J138=2,INDEX('큐펫&amp;몹 정리(최신)'!Q:Q,MATCH($E138,'큐펫&amp;몹 정리(최신)'!$B:$B,0))*25,IF($J138=3,INDEX('큐펫&amp;몹 정리(최신)'!Q:Q,MATCH($E138,'큐펫&amp;몹 정리(최신)'!$B:$B,0))*30,IF($J138=4,INDEX('큐펫&amp;몹 정리(최신)'!Q:Q,MATCH($E138,'큐펫&amp;몹 정리(최신)'!$B:$B,0))*35,INDEX('큐펫&amp;몹 정리(최신)'!Q:Q,MATCH($E138,'큐펫&amp;몹 정리(최신)'!$B:$B,0))*40))))</f>
        <v>525</v>
      </c>
      <c r="M138" s="190">
        <f>IF($J138=1,INDEX('큐펫&amp;몹 정리(최신)'!R:R,MATCH($E138,'큐펫&amp;몹 정리(최신)'!$B:$B,0))*20,IF($J138=2,INDEX('큐펫&amp;몹 정리(최신)'!R:R,MATCH($E138,'큐펫&amp;몹 정리(최신)'!$B:$B,0))*25,IF($J138=3,INDEX('큐펫&amp;몹 정리(최신)'!R:R,MATCH($E138,'큐펫&amp;몹 정리(최신)'!$B:$B,0))*30,IF($J138=4,INDEX('큐펫&amp;몹 정리(최신)'!R:R,MATCH($E138,'큐펫&amp;몹 정리(최신)'!$B:$B,0))*35,INDEX('큐펫&amp;몹 정리(최신)'!R:R,MATCH($E138,'큐펫&amp;몹 정리(최신)'!$B:$B,0))*40))))</f>
        <v>100</v>
      </c>
      <c r="N138" s="190">
        <f>IF($J138=1,INDEX('큐펫&amp;몹 정리(최신)'!S:S,MATCH($E138,'큐펫&amp;몹 정리(최신)'!$B:$B,0))*20,IF($J138=2,INDEX('큐펫&amp;몹 정리(최신)'!S:S,MATCH($E138,'큐펫&amp;몹 정리(최신)'!$B:$B,0))*25,IF($J138=3,INDEX('큐펫&amp;몹 정리(최신)'!S:S,MATCH($E138,'큐펫&amp;몹 정리(최신)'!$B:$B,0))*30,IF($J138=4,INDEX('큐펫&amp;몹 정리(최신)'!S:S,MATCH($E138,'큐펫&amp;몹 정리(최신)'!$B:$B,0))*35,INDEX('큐펫&amp;몹 정리(최신)'!S:S,MATCH($E138,'큐펫&amp;몹 정리(최신)'!$B:$B,0))*40))))</f>
        <v>425</v>
      </c>
      <c r="O138" s="190">
        <f>IF($J138=1,INDEX('큐펫&amp;몹 정리(최신)'!T:T,MATCH($E138,'큐펫&amp;몹 정리(최신)'!$B:$B,0))*20,IF($J138=2,INDEX('큐펫&amp;몹 정리(최신)'!T:T,MATCH($E138,'큐펫&amp;몹 정리(최신)'!$B:$B,0))*25,IF($J138=3,INDEX('큐펫&amp;몹 정리(최신)'!T:T,MATCH($E138,'큐펫&amp;몹 정리(최신)'!$B:$B,0))*30,IF($J138=4,INDEX('큐펫&amp;몹 정리(최신)'!T:T,MATCH($E138,'큐펫&amp;몹 정리(최신)'!$B:$B,0))*35,INDEX('큐펫&amp;몹 정리(최신)'!T:T,MATCH($E138,'큐펫&amp;몹 정리(최신)'!$B:$B,0))*40))))</f>
        <v>500</v>
      </c>
      <c r="P138" s="217">
        <v>40</v>
      </c>
      <c r="Q138" s="217">
        <f t="shared" si="16"/>
        <v>65500</v>
      </c>
      <c r="R138" s="217">
        <f t="shared" si="17"/>
        <v>14885</v>
      </c>
      <c r="S138" s="217">
        <f t="shared" si="18"/>
        <v>4511</v>
      </c>
      <c r="T138" s="217">
        <f t="shared" si="19"/>
        <v>654</v>
      </c>
      <c r="U138" s="217">
        <f t="shared" si="20"/>
        <v>21266</v>
      </c>
      <c r="V138" s="217">
        <f t="shared" si="21"/>
        <v>12524</v>
      </c>
      <c r="W138" s="217">
        <f>ROUND(AC138+(INDEX(Ref!B$1:B$9,MATCH($AI138,Ref!$A$1:$A$9,0))*P138*0.0001),)</f>
        <v>53</v>
      </c>
      <c r="X138" s="217">
        <f>ROUND(AD138+(INDEX(Ref!C$1:C$9,MATCH($AI138,Ref!$A$1:$A$9,0))*$P138*0.0001),)</f>
        <v>32</v>
      </c>
      <c r="Y138" s="217">
        <f>ROUND(AE138+(INDEX(Ref!D$1:D$9,MATCH($AI138,Ref!$A$1:$A$9,0))*$P138*0.0001),)</f>
        <v>60</v>
      </c>
      <c r="Z138" s="217">
        <f>ROUND(AF138+(INDEX(Ref!E$1:E$9,MATCH($AI138,Ref!$A$1:$A$9,0))*$P138*0.0001),)</f>
        <v>24</v>
      </c>
      <c r="AA138" s="217">
        <f>ROUND(AG138+(INDEX(Ref!F$1:F$9,MATCH($AI138,Ref!$A$1:$A$9,0))*$P138*0.0001),)</f>
        <v>29</v>
      </c>
      <c r="AB138" s="217">
        <f>ROUND(AH138+(INDEX(Ref!G$1:G$9,MATCH($AI138,Ref!$A$1:$A$9,0))*$P138*0.0001),)</f>
        <v>26</v>
      </c>
      <c r="AC138" s="137">
        <v>43</v>
      </c>
      <c r="AD138" s="137">
        <v>26</v>
      </c>
      <c r="AE138" s="137">
        <v>52</v>
      </c>
      <c r="AF138" s="137">
        <v>19</v>
      </c>
      <c r="AG138" s="137">
        <v>23</v>
      </c>
      <c r="AH138" s="137">
        <v>21</v>
      </c>
      <c r="AI138" s="208">
        <v>1</v>
      </c>
      <c r="AJ138" s="172">
        <v>3000</v>
      </c>
      <c r="AK138" s="172">
        <v>30164</v>
      </c>
      <c r="AL138" s="172">
        <v>2000</v>
      </c>
      <c r="AM138" s="172">
        <v>30166</v>
      </c>
      <c r="AN138" s="172">
        <v>0</v>
      </c>
      <c r="AO138" s="172">
        <f t="shared" si="14"/>
        <v>34164</v>
      </c>
      <c r="AP138" s="172">
        <v>0</v>
      </c>
      <c r="AQ138" s="172">
        <f t="shared" si="15"/>
        <v>34166</v>
      </c>
      <c r="AR138" s="172">
        <v>1</v>
      </c>
      <c r="AS138" s="172">
        <v>0</v>
      </c>
      <c r="AT138" s="199">
        <v>78028</v>
      </c>
      <c r="AU138" s="195" t="s">
        <v>163</v>
      </c>
    </row>
    <row r="139" spans="1:47" x14ac:dyDescent="0.2">
      <c r="A139" s="173">
        <v>55028</v>
      </c>
      <c r="B139" s="174" t="s">
        <v>161</v>
      </c>
      <c r="C139" s="172">
        <v>86028</v>
      </c>
      <c r="D139" s="172">
        <v>150028</v>
      </c>
      <c r="E139" s="206" t="s">
        <v>162</v>
      </c>
      <c r="F139" s="207">
        <v>2</v>
      </c>
      <c r="G139" s="173">
        <v>11500</v>
      </c>
      <c r="H139" s="173">
        <v>9500</v>
      </c>
      <c r="I139" s="172">
        <v>10000</v>
      </c>
      <c r="J139" s="172">
        <v>3</v>
      </c>
      <c r="K139" s="190">
        <f>IF($J139=1,INDEX('큐펫&amp;몹 정리(최신)'!P:P,MATCH($E139,'큐펫&amp;몹 정리(최신)'!$B:$B,0))*20,IF($J139=2,INDEX('큐펫&amp;몹 정리(최신)'!P:P,MATCH($E139,'큐펫&amp;몹 정리(최신)'!$B:$B,0))*25,IF($J139=3,INDEX('큐펫&amp;몹 정리(최신)'!P:P,MATCH($E139,'큐펫&amp;몹 정리(최신)'!$B:$B,0))*30,IF($J139=4,INDEX('큐펫&amp;몹 정리(최신)'!P:P,MATCH($E139,'큐펫&amp;몹 정리(최신)'!$B:$B,0))*35,INDEX('큐펫&amp;몹 정리(최신)'!P:P,MATCH($E139,'큐펫&amp;몹 정리(최신)'!$B:$B,0))*40))))</f>
        <v>1140</v>
      </c>
      <c r="L139" s="190">
        <f>IF($J139=1,INDEX('큐펫&amp;몹 정리(최신)'!Q:Q,MATCH($E139,'큐펫&amp;몹 정리(최신)'!$B:$B,0))*20,IF($J139=2,INDEX('큐펫&amp;몹 정리(최신)'!Q:Q,MATCH($E139,'큐펫&amp;몹 정리(최신)'!$B:$B,0))*25,IF($J139=3,INDEX('큐펫&amp;몹 정리(최신)'!Q:Q,MATCH($E139,'큐펫&amp;몹 정리(최신)'!$B:$B,0))*30,IF($J139=4,INDEX('큐펫&amp;몹 정리(최신)'!Q:Q,MATCH($E139,'큐펫&amp;몹 정리(최신)'!$B:$B,0))*35,INDEX('큐펫&amp;몹 정리(최신)'!Q:Q,MATCH($E139,'큐펫&amp;몹 정리(최신)'!$B:$B,0))*40))))</f>
        <v>630</v>
      </c>
      <c r="M139" s="190">
        <f>IF($J139=1,INDEX('큐펫&amp;몹 정리(최신)'!R:R,MATCH($E139,'큐펫&amp;몹 정리(최신)'!$B:$B,0))*20,IF($J139=2,INDEX('큐펫&amp;몹 정리(최신)'!R:R,MATCH($E139,'큐펫&amp;몹 정리(최신)'!$B:$B,0))*25,IF($J139=3,INDEX('큐펫&amp;몹 정리(최신)'!R:R,MATCH($E139,'큐펫&amp;몹 정리(최신)'!$B:$B,0))*30,IF($J139=4,INDEX('큐펫&amp;몹 정리(최신)'!R:R,MATCH($E139,'큐펫&amp;몹 정리(최신)'!$B:$B,0))*35,INDEX('큐펫&amp;몹 정리(최신)'!R:R,MATCH($E139,'큐펫&amp;몹 정리(최신)'!$B:$B,0))*40))))</f>
        <v>120</v>
      </c>
      <c r="N139" s="190">
        <f>IF($J139=1,INDEX('큐펫&amp;몹 정리(최신)'!S:S,MATCH($E139,'큐펫&amp;몹 정리(최신)'!$B:$B,0))*20,IF($J139=2,INDEX('큐펫&amp;몹 정리(최신)'!S:S,MATCH($E139,'큐펫&amp;몹 정리(최신)'!$B:$B,0))*25,IF($J139=3,INDEX('큐펫&amp;몹 정리(최신)'!S:S,MATCH($E139,'큐펫&amp;몹 정리(최신)'!$B:$B,0))*30,IF($J139=4,INDEX('큐펫&amp;몹 정리(최신)'!S:S,MATCH($E139,'큐펫&amp;몹 정리(최신)'!$B:$B,0))*35,INDEX('큐펫&amp;몹 정리(최신)'!S:S,MATCH($E139,'큐펫&amp;몹 정리(최신)'!$B:$B,0))*40))))</f>
        <v>510</v>
      </c>
      <c r="O139" s="190">
        <f>IF($J139=1,INDEX('큐펫&amp;몹 정리(최신)'!T:T,MATCH($E139,'큐펫&amp;몹 정리(최신)'!$B:$B,0))*20,IF($J139=2,INDEX('큐펫&amp;몹 정리(최신)'!T:T,MATCH($E139,'큐펫&amp;몹 정리(최신)'!$B:$B,0))*25,IF($J139=3,INDEX('큐펫&amp;몹 정리(최신)'!T:T,MATCH($E139,'큐펫&amp;몹 정리(최신)'!$B:$B,0))*30,IF($J139=4,INDEX('큐펫&amp;몹 정리(최신)'!T:T,MATCH($E139,'큐펫&amp;몹 정리(최신)'!$B:$B,0))*35,INDEX('큐펫&amp;몹 정리(최신)'!T:T,MATCH($E139,'큐펫&amp;몹 정리(최신)'!$B:$B,0))*40))))</f>
        <v>600</v>
      </c>
      <c r="P139" s="217">
        <v>60</v>
      </c>
      <c r="Q139" s="217">
        <f t="shared" si="16"/>
        <v>120612</v>
      </c>
      <c r="R139" s="217">
        <f t="shared" si="17"/>
        <v>25175</v>
      </c>
      <c r="S139" s="217">
        <f t="shared" si="18"/>
        <v>7402</v>
      </c>
      <c r="T139" s="217">
        <f t="shared" si="19"/>
        <v>1038</v>
      </c>
      <c r="U139" s="217">
        <f t="shared" si="20"/>
        <v>32659</v>
      </c>
      <c r="V139" s="217">
        <f t="shared" si="21"/>
        <v>19228</v>
      </c>
      <c r="W139" s="217">
        <f>ROUND(AC139+(INDEX(Ref!B$1:B$9,MATCH($AI139,Ref!$A$1:$A$9,0))*P139*0.0001),)</f>
        <v>63</v>
      </c>
      <c r="X139" s="217">
        <f>ROUND(AD139+(INDEX(Ref!C$1:C$9,MATCH($AI139,Ref!$A$1:$A$9,0))*$P139*0.0001),)</f>
        <v>40</v>
      </c>
      <c r="Y139" s="217">
        <f>ROUND(AE139+(INDEX(Ref!D$1:D$9,MATCH($AI139,Ref!$A$1:$A$9,0))*$P139*0.0001),)</f>
        <v>68</v>
      </c>
      <c r="Z139" s="217">
        <f>ROUND(AF139+(INDEX(Ref!E$1:E$9,MATCH($AI139,Ref!$A$1:$A$9,0))*$P139*0.0001),)</f>
        <v>28</v>
      </c>
      <c r="AA139" s="217">
        <f>ROUND(AG139+(INDEX(Ref!F$1:F$9,MATCH($AI139,Ref!$A$1:$A$9,0))*$P139*0.0001),)</f>
        <v>34</v>
      </c>
      <c r="AB139" s="217">
        <f>ROUND(AH139+(INDEX(Ref!G$1:G$9,MATCH($AI139,Ref!$A$1:$A$9,0))*$P139*0.0001),)</f>
        <v>31</v>
      </c>
      <c r="AC139" s="137">
        <v>48.000000000000007</v>
      </c>
      <c r="AD139" s="137">
        <v>30</v>
      </c>
      <c r="AE139" s="137">
        <v>56</v>
      </c>
      <c r="AF139" s="137">
        <v>21</v>
      </c>
      <c r="AG139" s="137">
        <v>26</v>
      </c>
      <c r="AH139" s="137">
        <v>23</v>
      </c>
      <c r="AI139" s="208">
        <v>1</v>
      </c>
      <c r="AJ139" s="172">
        <v>3000</v>
      </c>
      <c r="AK139" s="172">
        <v>30164</v>
      </c>
      <c r="AL139" s="172">
        <v>2000</v>
      </c>
      <c r="AM139" s="172">
        <v>30167</v>
      </c>
      <c r="AN139" s="172">
        <v>0</v>
      </c>
      <c r="AO139" s="172">
        <f t="shared" si="14"/>
        <v>34164</v>
      </c>
      <c r="AP139" s="172">
        <v>0</v>
      </c>
      <c r="AQ139" s="172">
        <f t="shared" si="15"/>
        <v>34167</v>
      </c>
      <c r="AR139" s="172">
        <v>1</v>
      </c>
      <c r="AS139" s="172">
        <v>0</v>
      </c>
      <c r="AT139" s="199">
        <v>78028</v>
      </c>
      <c r="AU139" s="195" t="s">
        <v>163</v>
      </c>
    </row>
    <row r="140" spans="1:47" x14ac:dyDescent="0.2">
      <c r="A140" s="173">
        <v>55028</v>
      </c>
      <c r="B140" s="174" t="s">
        <v>161</v>
      </c>
      <c r="C140" s="172">
        <v>86028</v>
      </c>
      <c r="D140" s="172">
        <v>150028</v>
      </c>
      <c r="E140" s="206" t="s">
        <v>162</v>
      </c>
      <c r="F140" s="207">
        <v>2</v>
      </c>
      <c r="G140" s="173">
        <v>11500</v>
      </c>
      <c r="H140" s="173">
        <v>9500</v>
      </c>
      <c r="I140" s="172">
        <v>10000</v>
      </c>
      <c r="J140" s="172">
        <v>4</v>
      </c>
      <c r="K140" s="190">
        <f>IF($J140=1,INDEX('큐펫&amp;몹 정리(최신)'!P:P,MATCH($E140,'큐펫&amp;몹 정리(최신)'!$B:$B,0))*20,IF($J140=2,INDEX('큐펫&amp;몹 정리(최신)'!P:P,MATCH($E140,'큐펫&amp;몹 정리(최신)'!$B:$B,0))*25,IF($J140=3,INDEX('큐펫&amp;몹 정리(최신)'!P:P,MATCH($E140,'큐펫&amp;몹 정리(최신)'!$B:$B,0))*30,IF($J140=4,INDEX('큐펫&amp;몹 정리(최신)'!P:P,MATCH($E140,'큐펫&amp;몹 정리(최신)'!$B:$B,0))*35,INDEX('큐펫&amp;몹 정리(최신)'!P:P,MATCH($E140,'큐펫&amp;몹 정리(최신)'!$B:$B,0))*40))))</f>
        <v>1330</v>
      </c>
      <c r="L140" s="190">
        <f>IF($J140=1,INDEX('큐펫&amp;몹 정리(최신)'!Q:Q,MATCH($E140,'큐펫&amp;몹 정리(최신)'!$B:$B,0))*20,IF($J140=2,INDEX('큐펫&amp;몹 정리(최신)'!Q:Q,MATCH($E140,'큐펫&amp;몹 정리(최신)'!$B:$B,0))*25,IF($J140=3,INDEX('큐펫&amp;몹 정리(최신)'!Q:Q,MATCH($E140,'큐펫&amp;몹 정리(최신)'!$B:$B,0))*30,IF($J140=4,INDEX('큐펫&amp;몹 정리(최신)'!Q:Q,MATCH($E140,'큐펫&amp;몹 정리(최신)'!$B:$B,0))*35,INDEX('큐펫&amp;몹 정리(최신)'!Q:Q,MATCH($E140,'큐펫&amp;몹 정리(최신)'!$B:$B,0))*40))))</f>
        <v>735</v>
      </c>
      <c r="M140" s="190">
        <f>IF($J140=1,INDEX('큐펫&amp;몹 정리(최신)'!R:R,MATCH($E140,'큐펫&amp;몹 정리(최신)'!$B:$B,0))*20,IF($J140=2,INDEX('큐펫&amp;몹 정리(최신)'!R:R,MATCH($E140,'큐펫&amp;몹 정리(최신)'!$B:$B,0))*25,IF($J140=3,INDEX('큐펫&amp;몹 정리(최신)'!R:R,MATCH($E140,'큐펫&amp;몹 정리(최신)'!$B:$B,0))*30,IF($J140=4,INDEX('큐펫&amp;몹 정리(최신)'!R:R,MATCH($E140,'큐펫&amp;몹 정리(최신)'!$B:$B,0))*35,INDEX('큐펫&amp;몹 정리(최신)'!R:R,MATCH($E140,'큐펫&amp;몹 정리(최신)'!$B:$B,0))*40))))</f>
        <v>140</v>
      </c>
      <c r="N140" s="190">
        <f>IF($J140=1,INDEX('큐펫&amp;몹 정리(최신)'!S:S,MATCH($E140,'큐펫&amp;몹 정리(최신)'!$B:$B,0))*20,IF($J140=2,INDEX('큐펫&amp;몹 정리(최신)'!S:S,MATCH($E140,'큐펫&amp;몹 정리(최신)'!$B:$B,0))*25,IF($J140=3,INDEX('큐펫&amp;몹 정리(최신)'!S:S,MATCH($E140,'큐펫&amp;몹 정리(최신)'!$B:$B,0))*30,IF($J140=4,INDEX('큐펫&amp;몹 정리(최신)'!S:S,MATCH($E140,'큐펫&amp;몹 정리(최신)'!$B:$B,0))*35,INDEX('큐펫&amp;몹 정리(최신)'!S:S,MATCH($E140,'큐펫&amp;몹 정리(최신)'!$B:$B,0))*40))))</f>
        <v>595</v>
      </c>
      <c r="O140" s="190">
        <f>IF($J140=1,INDEX('큐펫&amp;몹 정리(최신)'!T:T,MATCH($E140,'큐펫&amp;몹 정리(최신)'!$B:$B,0))*20,IF($J140=2,INDEX('큐펫&amp;몹 정리(최신)'!T:T,MATCH($E140,'큐펫&amp;몹 정리(최신)'!$B:$B,0))*25,IF($J140=3,INDEX('큐펫&amp;몹 정리(최신)'!T:T,MATCH($E140,'큐펫&amp;몹 정리(최신)'!$B:$B,0))*30,IF($J140=4,INDEX('큐펫&amp;몹 정리(최신)'!T:T,MATCH($E140,'큐펫&amp;몹 정리(최신)'!$B:$B,0))*35,INDEX('큐펫&amp;몹 정리(최신)'!T:T,MATCH($E140,'큐펫&amp;몹 정리(최신)'!$B:$B,0))*40))))</f>
        <v>700</v>
      </c>
      <c r="P140" s="217">
        <v>80</v>
      </c>
      <c r="Q140" s="217">
        <f t="shared" si="16"/>
        <v>193864</v>
      </c>
      <c r="R140" s="217">
        <f t="shared" si="17"/>
        <v>39371</v>
      </c>
      <c r="S140" s="217">
        <f t="shared" si="18"/>
        <v>11322</v>
      </c>
      <c r="T140" s="217">
        <f t="shared" si="19"/>
        <v>1740</v>
      </c>
      <c r="U140" s="217">
        <f t="shared" si="20"/>
        <v>46432</v>
      </c>
      <c r="V140" s="217">
        <f t="shared" si="21"/>
        <v>27334</v>
      </c>
      <c r="W140" s="217">
        <f>ROUND(AC140+(INDEX(Ref!B$1:B$9,MATCH($AI140,Ref!$A$1:$A$9,0))*P140*0.0001),)</f>
        <v>73</v>
      </c>
      <c r="X140" s="217">
        <f>ROUND(AD140+(INDEX(Ref!C$1:C$9,MATCH($AI140,Ref!$A$1:$A$9,0))*$P140*0.0001),)</f>
        <v>46</v>
      </c>
      <c r="Y140" s="217">
        <f>ROUND(AE140+(INDEX(Ref!D$1:D$9,MATCH($AI140,Ref!$A$1:$A$9,0))*$P140*0.0001),)</f>
        <v>76</v>
      </c>
      <c r="Z140" s="217">
        <f>ROUND(AF140+(INDEX(Ref!E$1:E$9,MATCH($AI140,Ref!$A$1:$A$9,0))*$P140*0.0001),)</f>
        <v>34</v>
      </c>
      <c r="AA140" s="217">
        <f>ROUND(AG140+(INDEX(Ref!F$1:F$9,MATCH($AI140,Ref!$A$1:$A$9,0))*$P140*0.0001),)</f>
        <v>39</v>
      </c>
      <c r="AB140" s="217">
        <f>ROUND(AH140+(INDEX(Ref!G$1:G$9,MATCH($AI140,Ref!$A$1:$A$9,0))*$P140*0.0001),)</f>
        <v>36</v>
      </c>
      <c r="AC140" s="137">
        <v>53</v>
      </c>
      <c r="AD140" s="137">
        <v>33</v>
      </c>
      <c r="AE140" s="137">
        <v>60</v>
      </c>
      <c r="AF140" s="137">
        <v>24</v>
      </c>
      <c r="AG140" s="137">
        <v>28</v>
      </c>
      <c r="AH140" s="137">
        <v>26</v>
      </c>
      <c r="AI140" s="208">
        <v>1</v>
      </c>
      <c r="AJ140" s="172">
        <v>3000</v>
      </c>
      <c r="AK140" s="172">
        <v>30165</v>
      </c>
      <c r="AL140" s="172">
        <v>2000</v>
      </c>
      <c r="AM140" s="172">
        <v>30167</v>
      </c>
      <c r="AN140" s="172">
        <v>0</v>
      </c>
      <c r="AO140" s="172">
        <f t="shared" si="14"/>
        <v>34165</v>
      </c>
      <c r="AP140" s="172">
        <v>0</v>
      </c>
      <c r="AQ140" s="172">
        <f t="shared" si="15"/>
        <v>34167</v>
      </c>
      <c r="AR140" s="172">
        <v>1</v>
      </c>
      <c r="AS140" s="172">
        <v>0</v>
      </c>
      <c r="AT140" s="199">
        <v>78028</v>
      </c>
      <c r="AU140" s="195" t="s">
        <v>163</v>
      </c>
    </row>
    <row r="141" spans="1:47" x14ac:dyDescent="0.2">
      <c r="A141" s="173">
        <v>55028</v>
      </c>
      <c r="B141" s="174" t="s">
        <v>161</v>
      </c>
      <c r="C141" s="172">
        <v>86028</v>
      </c>
      <c r="D141" s="172">
        <v>150028</v>
      </c>
      <c r="E141" s="206" t="s">
        <v>162</v>
      </c>
      <c r="F141" s="207">
        <v>2</v>
      </c>
      <c r="G141" s="173">
        <v>11500</v>
      </c>
      <c r="H141" s="173">
        <v>9500</v>
      </c>
      <c r="I141" s="172">
        <v>10000</v>
      </c>
      <c r="J141" s="172">
        <v>5</v>
      </c>
      <c r="K141" s="190">
        <f>IF($J141=1,INDEX('큐펫&amp;몹 정리(최신)'!P:P,MATCH($E141,'큐펫&amp;몹 정리(최신)'!$B:$B,0))*20,IF($J141=2,INDEX('큐펫&amp;몹 정리(최신)'!P:P,MATCH($E141,'큐펫&amp;몹 정리(최신)'!$B:$B,0))*25,IF($J141=3,INDEX('큐펫&amp;몹 정리(최신)'!P:P,MATCH($E141,'큐펫&amp;몹 정리(최신)'!$B:$B,0))*30,IF($J141=4,INDEX('큐펫&amp;몹 정리(최신)'!P:P,MATCH($E141,'큐펫&amp;몹 정리(최신)'!$B:$B,0))*35,INDEX('큐펫&amp;몹 정리(최신)'!P:P,MATCH($E141,'큐펫&amp;몹 정리(최신)'!$B:$B,0))*40))))</f>
        <v>1520</v>
      </c>
      <c r="L141" s="190">
        <f>IF($J141=1,INDEX('큐펫&amp;몹 정리(최신)'!Q:Q,MATCH($E141,'큐펫&amp;몹 정리(최신)'!$B:$B,0))*20,IF($J141=2,INDEX('큐펫&amp;몹 정리(최신)'!Q:Q,MATCH($E141,'큐펫&amp;몹 정리(최신)'!$B:$B,0))*25,IF($J141=3,INDEX('큐펫&amp;몹 정리(최신)'!Q:Q,MATCH($E141,'큐펫&amp;몹 정리(최신)'!$B:$B,0))*30,IF($J141=4,INDEX('큐펫&amp;몹 정리(최신)'!Q:Q,MATCH($E141,'큐펫&amp;몹 정리(최신)'!$B:$B,0))*35,INDEX('큐펫&amp;몹 정리(최신)'!Q:Q,MATCH($E141,'큐펫&amp;몹 정리(최신)'!$B:$B,0))*40))))</f>
        <v>840</v>
      </c>
      <c r="M141" s="190">
        <f>IF($J141=1,INDEX('큐펫&amp;몹 정리(최신)'!R:R,MATCH($E141,'큐펫&amp;몹 정리(최신)'!$B:$B,0))*20,IF($J141=2,INDEX('큐펫&amp;몹 정리(최신)'!R:R,MATCH($E141,'큐펫&amp;몹 정리(최신)'!$B:$B,0))*25,IF($J141=3,INDEX('큐펫&amp;몹 정리(최신)'!R:R,MATCH($E141,'큐펫&amp;몹 정리(최신)'!$B:$B,0))*30,IF($J141=4,INDEX('큐펫&amp;몹 정리(최신)'!R:R,MATCH($E141,'큐펫&amp;몹 정리(최신)'!$B:$B,0))*35,INDEX('큐펫&amp;몹 정리(최신)'!R:R,MATCH($E141,'큐펫&amp;몹 정리(최신)'!$B:$B,0))*40))))</f>
        <v>160</v>
      </c>
      <c r="N141" s="190">
        <f>IF($J141=1,INDEX('큐펫&amp;몹 정리(최신)'!S:S,MATCH($E141,'큐펫&amp;몹 정리(최신)'!$B:$B,0))*20,IF($J141=2,INDEX('큐펫&amp;몹 정리(최신)'!S:S,MATCH($E141,'큐펫&amp;몹 정리(최신)'!$B:$B,0))*25,IF($J141=3,INDEX('큐펫&amp;몹 정리(최신)'!S:S,MATCH($E141,'큐펫&amp;몹 정리(최신)'!$B:$B,0))*30,IF($J141=4,INDEX('큐펫&amp;몹 정리(최신)'!S:S,MATCH($E141,'큐펫&amp;몹 정리(최신)'!$B:$B,0))*35,INDEX('큐펫&amp;몹 정리(최신)'!S:S,MATCH($E141,'큐펫&amp;몹 정리(최신)'!$B:$B,0))*40))))</f>
        <v>680</v>
      </c>
      <c r="O141" s="190">
        <f>IF($J141=1,INDEX('큐펫&amp;몹 정리(최신)'!T:T,MATCH($E141,'큐펫&amp;몹 정리(최신)'!$B:$B,0))*20,IF($J141=2,INDEX('큐펫&amp;몹 정리(최신)'!T:T,MATCH($E141,'큐펫&amp;몹 정리(최신)'!$B:$B,0))*25,IF($J141=3,INDEX('큐펫&amp;몹 정리(최신)'!T:T,MATCH($E141,'큐펫&amp;몹 정리(최신)'!$B:$B,0))*30,IF($J141=4,INDEX('큐펫&amp;몹 정리(최신)'!T:T,MATCH($E141,'큐펫&amp;몹 정리(최신)'!$B:$B,0))*35,INDEX('큐펫&amp;몹 정리(최신)'!T:T,MATCH($E141,'큐펫&amp;몹 정리(최신)'!$B:$B,0))*40))))</f>
        <v>800</v>
      </c>
      <c r="P141" s="217">
        <v>100</v>
      </c>
      <c r="Q141" s="217">
        <f t="shared" si="16"/>
        <v>287280</v>
      </c>
      <c r="R141" s="217">
        <f t="shared" si="17"/>
        <v>58103</v>
      </c>
      <c r="S141" s="217">
        <f t="shared" si="18"/>
        <v>17179</v>
      </c>
      <c r="T141" s="217">
        <f t="shared" si="19"/>
        <v>2452</v>
      </c>
      <c r="U141" s="217">
        <f t="shared" si="20"/>
        <v>62585</v>
      </c>
      <c r="V141" s="217">
        <f t="shared" si="21"/>
        <v>36838</v>
      </c>
      <c r="W141" s="217">
        <f>ROUND(AC141+(INDEX(Ref!B$1:B$9,MATCH($AI141,Ref!$A$1:$A$9,0))*P141*0.0001),)</f>
        <v>83</v>
      </c>
      <c r="X141" s="217">
        <f>ROUND(AD141+(INDEX(Ref!C$1:C$9,MATCH($AI141,Ref!$A$1:$A$9,0))*$P141*0.0001),)</f>
        <v>52</v>
      </c>
      <c r="Y141" s="217">
        <f>ROUND(AE141+(INDEX(Ref!D$1:D$9,MATCH($AI141,Ref!$A$1:$A$9,0))*$P141*0.0001),)</f>
        <v>84</v>
      </c>
      <c r="Z141" s="217">
        <f>ROUND(AF141+(INDEX(Ref!E$1:E$9,MATCH($AI141,Ref!$A$1:$A$9,0))*$P141*0.0001),)</f>
        <v>38</v>
      </c>
      <c r="AA141" s="217">
        <f>ROUND(AG141+(INDEX(Ref!F$1:F$9,MATCH($AI141,Ref!$A$1:$A$9,0))*$P141*0.0001),)</f>
        <v>45</v>
      </c>
      <c r="AB141" s="217">
        <f>ROUND(AH141+(INDEX(Ref!G$1:G$9,MATCH($AI141,Ref!$A$1:$A$9,0))*$P141*0.0001),)</f>
        <v>42</v>
      </c>
      <c r="AC141" s="137">
        <v>58.000000000000007</v>
      </c>
      <c r="AD141" s="137">
        <v>36</v>
      </c>
      <c r="AE141" s="137">
        <v>64</v>
      </c>
      <c r="AF141" s="137">
        <v>26</v>
      </c>
      <c r="AG141" s="137">
        <v>31</v>
      </c>
      <c r="AH141" s="137">
        <v>29</v>
      </c>
      <c r="AI141" s="208">
        <v>1</v>
      </c>
      <c r="AJ141" s="172">
        <v>3000</v>
      </c>
      <c r="AK141" s="172">
        <v>30165</v>
      </c>
      <c r="AL141" s="172">
        <v>2000</v>
      </c>
      <c r="AM141" s="172">
        <v>30168</v>
      </c>
      <c r="AN141" s="172">
        <v>0</v>
      </c>
      <c r="AO141" s="172">
        <f t="shared" ref="AO141:AO204" si="22">AK141+4000</f>
        <v>34165</v>
      </c>
      <c r="AP141" s="172">
        <v>0</v>
      </c>
      <c r="AQ141" s="172">
        <f t="shared" ref="AQ141:AQ204" si="23">AM141+4000</f>
        <v>34168</v>
      </c>
      <c r="AR141" s="172">
        <v>1</v>
      </c>
      <c r="AS141" s="172">
        <v>0</v>
      </c>
      <c r="AT141" s="199">
        <v>78028</v>
      </c>
      <c r="AU141" s="195" t="s">
        <v>163</v>
      </c>
    </row>
    <row r="142" spans="1:47" x14ac:dyDescent="0.2">
      <c r="A142" s="173">
        <v>55029</v>
      </c>
      <c r="B142" s="174" t="s">
        <v>164</v>
      </c>
      <c r="C142" s="172">
        <v>86029</v>
      </c>
      <c r="D142" s="172">
        <v>150029</v>
      </c>
      <c r="E142" s="206" t="s">
        <v>165</v>
      </c>
      <c r="F142" s="207">
        <v>5</v>
      </c>
      <c r="G142" s="173">
        <v>11500</v>
      </c>
      <c r="H142" s="173">
        <v>9500</v>
      </c>
      <c r="I142" s="172">
        <v>10000</v>
      </c>
      <c r="J142" s="172">
        <v>1</v>
      </c>
      <c r="K142" s="190">
        <f>IF($J142=1,INDEX('큐펫&amp;몹 정리(최신)'!P:P,MATCH($E142,'큐펫&amp;몹 정리(최신)'!$B:$B,0))*20,IF($J142=2,INDEX('큐펫&amp;몹 정리(최신)'!P:P,MATCH($E142,'큐펫&amp;몹 정리(최신)'!$B:$B,0))*25,IF($J142=3,INDEX('큐펫&amp;몹 정리(최신)'!P:P,MATCH($E142,'큐펫&amp;몹 정리(최신)'!$B:$B,0))*30,IF($J142=4,INDEX('큐펫&amp;몹 정리(최신)'!P:P,MATCH($E142,'큐펫&amp;몹 정리(최신)'!$B:$B,0))*35,INDEX('큐펫&amp;몹 정리(최신)'!P:P,MATCH($E142,'큐펫&amp;몹 정리(최신)'!$B:$B,0))*40))))</f>
        <v>800</v>
      </c>
      <c r="L142" s="190">
        <f>IF($J142=1,INDEX('큐펫&amp;몹 정리(최신)'!Q:Q,MATCH($E142,'큐펫&amp;몹 정리(최신)'!$B:$B,0))*20,IF($J142=2,INDEX('큐펫&amp;몹 정리(최신)'!Q:Q,MATCH($E142,'큐펫&amp;몹 정리(최신)'!$B:$B,0))*25,IF($J142=3,INDEX('큐펫&amp;몹 정리(최신)'!Q:Q,MATCH($E142,'큐펫&amp;몹 정리(최신)'!$B:$B,0))*30,IF($J142=4,INDEX('큐펫&amp;몹 정리(최신)'!Q:Q,MATCH($E142,'큐펫&amp;몹 정리(최신)'!$B:$B,0))*35,INDEX('큐펫&amp;몹 정리(최신)'!Q:Q,MATCH($E142,'큐펫&amp;몹 정리(최신)'!$B:$B,0))*40))))</f>
        <v>260</v>
      </c>
      <c r="M142" s="190">
        <f>IF($J142=1,INDEX('큐펫&amp;몹 정리(최신)'!R:R,MATCH($E142,'큐펫&amp;몹 정리(최신)'!$B:$B,0))*20,IF($J142=2,INDEX('큐펫&amp;몹 정리(최신)'!R:R,MATCH($E142,'큐펫&amp;몹 정리(최신)'!$B:$B,0))*25,IF($J142=3,INDEX('큐펫&amp;몹 정리(최신)'!R:R,MATCH($E142,'큐펫&amp;몹 정리(최신)'!$B:$B,0))*30,IF($J142=4,INDEX('큐펫&amp;몹 정리(최신)'!R:R,MATCH($E142,'큐펫&amp;몹 정리(최신)'!$B:$B,0))*35,INDEX('큐펫&amp;몹 정리(최신)'!R:R,MATCH($E142,'큐펫&amp;몹 정리(최신)'!$B:$B,0))*40))))</f>
        <v>360</v>
      </c>
      <c r="N142" s="190">
        <f>IF($J142=1,INDEX('큐펫&amp;몹 정리(최신)'!S:S,MATCH($E142,'큐펫&amp;몹 정리(최신)'!$B:$B,0))*20,IF($J142=2,INDEX('큐펫&amp;몹 정리(최신)'!S:S,MATCH($E142,'큐펫&amp;몹 정리(최신)'!$B:$B,0))*25,IF($J142=3,INDEX('큐펫&amp;몹 정리(최신)'!S:S,MATCH($E142,'큐펫&amp;몹 정리(최신)'!$B:$B,0))*30,IF($J142=4,INDEX('큐펫&amp;몹 정리(최신)'!S:S,MATCH($E142,'큐펫&amp;몹 정리(최신)'!$B:$B,0))*35,INDEX('큐펫&amp;몹 정리(최신)'!S:S,MATCH($E142,'큐펫&amp;몹 정리(최신)'!$B:$B,0))*40))))</f>
        <v>200</v>
      </c>
      <c r="O142" s="190">
        <f>IF($J142=1,INDEX('큐펫&amp;몹 정리(최신)'!T:T,MATCH($E142,'큐펫&amp;몹 정리(최신)'!$B:$B,0))*20,IF($J142=2,INDEX('큐펫&amp;몹 정리(최신)'!T:T,MATCH($E142,'큐펫&amp;몹 정리(최신)'!$B:$B,0))*25,IF($J142=3,INDEX('큐펫&amp;몹 정리(최신)'!T:T,MATCH($E142,'큐펫&amp;몹 정리(최신)'!$B:$B,0))*30,IF($J142=4,INDEX('큐펫&amp;몹 정리(최신)'!T:T,MATCH($E142,'큐펫&amp;몹 정리(최신)'!$B:$B,0))*35,INDEX('큐펫&amp;몹 정리(최신)'!T:T,MATCH($E142,'큐펫&amp;몹 정리(최신)'!$B:$B,0))*40))))</f>
        <v>380</v>
      </c>
      <c r="P142" s="217">
        <v>20</v>
      </c>
      <c r="Q142" s="217">
        <f t="shared" si="16"/>
        <v>28320</v>
      </c>
      <c r="R142" s="217">
        <f t="shared" si="17"/>
        <v>996</v>
      </c>
      <c r="S142" s="217">
        <f t="shared" si="18"/>
        <v>1440</v>
      </c>
      <c r="T142" s="217">
        <f t="shared" si="19"/>
        <v>6760</v>
      </c>
      <c r="U142" s="217">
        <f t="shared" si="20"/>
        <v>7206</v>
      </c>
      <c r="V142" s="217">
        <f t="shared" si="21"/>
        <v>6883</v>
      </c>
      <c r="W142" s="217">
        <f>ROUND(AC142+(INDEX(Ref!B$1:B$9,MATCH($AI142,Ref!$A$1:$A$9,0))*P142*0.0001),)</f>
        <v>19</v>
      </c>
      <c r="X142" s="217">
        <f>ROUND(AD142+(INDEX(Ref!C$1:C$9,MATCH($AI142,Ref!$A$1:$A$9,0))*$P142*0.0001),)</f>
        <v>26</v>
      </c>
      <c r="Y142" s="217">
        <f>ROUND(AE142+(INDEX(Ref!D$1:D$9,MATCH($AI142,Ref!$A$1:$A$9,0))*$P142*0.0001),)</f>
        <v>52</v>
      </c>
      <c r="Z142" s="217">
        <f>ROUND(AF142+(INDEX(Ref!E$1:E$9,MATCH($AI142,Ref!$A$1:$A$9,0))*$P142*0.0001),)</f>
        <v>43</v>
      </c>
      <c r="AA142" s="217">
        <f>ROUND(AG142+(INDEX(Ref!F$1:F$9,MATCH($AI142,Ref!$A$1:$A$9,0))*$P142*0.0001),)</f>
        <v>23</v>
      </c>
      <c r="AB142" s="217">
        <f>ROUND(AH142+(INDEX(Ref!G$1:G$9,MATCH($AI142,Ref!$A$1:$A$9,0))*$P142*0.0001),)</f>
        <v>21</v>
      </c>
      <c r="AC142" s="137">
        <v>17</v>
      </c>
      <c r="AD142" s="137">
        <v>23</v>
      </c>
      <c r="AE142" s="137">
        <v>48</v>
      </c>
      <c r="AF142" s="137">
        <v>38</v>
      </c>
      <c r="AG142" s="137">
        <v>20</v>
      </c>
      <c r="AH142" s="137">
        <v>18</v>
      </c>
      <c r="AI142" s="208">
        <v>2</v>
      </c>
      <c r="AJ142" s="172">
        <v>3000</v>
      </c>
      <c r="AK142" s="172">
        <v>30169</v>
      </c>
      <c r="AL142" s="172">
        <v>2000</v>
      </c>
      <c r="AM142" s="172">
        <v>30172</v>
      </c>
      <c r="AN142" s="172">
        <v>0</v>
      </c>
      <c r="AO142" s="172">
        <f t="shared" si="22"/>
        <v>34169</v>
      </c>
      <c r="AP142" s="172">
        <v>0</v>
      </c>
      <c r="AQ142" s="172">
        <f t="shared" si="23"/>
        <v>34172</v>
      </c>
      <c r="AR142" s="172">
        <v>1</v>
      </c>
      <c r="AS142" s="172">
        <v>0</v>
      </c>
      <c r="AT142" s="199">
        <v>78029</v>
      </c>
      <c r="AU142" s="195" t="s">
        <v>166</v>
      </c>
    </row>
    <row r="143" spans="1:47" x14ac:dyDescent="0.2">
      <c r="A143" s="173">
        <v>55029</v>
      </c>
      <c r="B143" s="174" t="s">
        <v>164</v>
      </c>
      <c r="C143" s="172">
        <v>86029</v>
      </c>
      <c r="D143" s="172">
        <v>150029</v>
      </c>
      <c r="E143" s="206" t="s">
        <v>165</v>
      </c>
      <c r="F143" s="207">
        <v>5</v>
      </c>
      <c r="G143" s="173">
        <v>11500</v>
      </c>
      <c r="H143" s="173">
        <v>9500</v>
      </c>
      <c r="I143" s="172">
        <v>10000</v>
      </c>
      <c r="J143" s="172">
        <v>2</v>
      </c>
      <c r="K143" s="190">
        <f>IF($J143=1,INDEX('큐펫&amp;몹 정리(최신)'!P:P,MATCH($E143,'큐펫&amp;몹 정리(최신)'!$B:$B,0))*20,IF($J143=2,INDEX('큐펫&amp;몹 정리(최신)'!P:P,MATCH($E143,'큐펫&amp;몹 정리(최신)'!$B:$B,0))*25,IF($J143=3,INDEX('큐펫&amp;몹 정리(최신)'!P:P,MATCH($E143,'큐펫&amp;몹 정리(최신)'!$B:$B,0))*30,IF($J143=4,INDEX('큐펫&amp;몹 정리(최신)'!P:P,MATCH($E143,'큐펫&amp;몹 정리(최신)'!$B:$B,0))*35,INDEX('큐펫&amp;몹 정리(최신)'!P:P,MATCH($E143,'큐펫&amp;몹 정리(최신)'!$B:$B,0))*40))))</f>
        <v>1000</v>
      </c>
      <c r="L143" s="190">
        <f>IF($J143=1,INDEX('큐펫&amp;몹 정리(최신)'!Q:Q,MATCH($E143,'큐펫&amp;몹 정리(최신)'!$B:$B,0))*20,IF($J143=2,INDEX('큐펫&amp;몹 정리(최신)'!Q:Q,MATCH($E143,'큐펫&amp;몹 정리(최신)'!$B:$B,0))*25,IF($J143=3,INDEX('큐펫&amp;몹 정리(최신)'!Q:Q,MATCH($E143,'큐펫&amp;몹 정리(최신)'!$B:$B,0))*30,IF($J143=4,INDEX('큐펫&amp;몹 정리(최신)'!Q:Q,MATCH($E143,'큐펫&amp;몹 정리(최신)'!$B:$B,0))*35,INDEX('큐펫&amp;몹 정리(최신)'!Q:Q,MATCH($E143,'큐펫&amp;몹 정리(최신)'!$B:$B,0))*40))))</f>
        <v>325</v>
      </c>
      <c r="M143" s="190">
        <f>IF($J143=1,INDEX('큐펫&amp;몹 정리(최신)'!R:R,MATCH($E143,'큐펫&amp;몹 정리(최신)'!$B:$B,0))*20,IF($J143=2,INDEX('큐펫&amp;몹 정리(최신)'!R:R,MATCH($E143,'큐펫&amp;몹 정리(최신)'!$B:$B,0))*25,IF($J143=3,INDEX('큐펫&amp;몹 정리(최신)'!R:R,MATCH($E143,'큐펫&amp;몹 정리(최신)'!$B:$B,0))*30,IF($J143=4,INDEX('큐펫&amp;몹 정리(최신)'!R:R,MATCH($E143,'큐펫&amp;몹 정리(최신)'!$B:$B,0))*35,INDEX('큐펫&amp;몹 정리(최신)'!R:R,MATCH($E143,'큐펫&amp;몹 정리(최신)'!$B:$B,0))*40))))</f>
        <v>450</v>
      </c>
      <c r="N143" s="190">
        <f>IF($J143=1,INDEX('큐펫&amp;몹 정리(최신)'!S:S,MATCH($E143,'큐펫&amp;몹 정리(최신)'!$B:$B,0))*20,IF($J143=2,INDEX('큐펫&amp;몹 정리(최신)'!S:S,MATCH($E143,'큐펫&amp;몹 정리(최신)'!$B:$B,0))*25,IF($J143=3,INDEX('큐펫&amp;몹 정리(최신)'!S:S,MATCH($E143,'큐펫&amp;몹 정리(최신)'!$B:$B,0))*30,IF($J143=4,INDEX('큐펫&amp;몹 정리(최신)'!S:S,MATCH($E143,'큐펫&amp;몹 정리(최신)'!$B:$B,0))*35,INDEX('큐펫&amp;몹 정리(최신)'!S:S,MATCH($E143,'큐펫&amp;몹 정리(최신)'!$B:$B,0))*40))))</f>
        <v>250</v>
      </c>
      <c r="O143" s="190">
        <f>IF($J143=1,INDEX('큐펫&amp;몹 정리(최신)'!T:T,MATCH($E143,'큐펫&amp;몹 정리(최신)'!$B:$B,0))*20,IF($J143=2,INDEX('큐펫&amp;몹 정리(최신)'!T:T,MATCH($E143,'큐펫&amp;몹 정리(최신)'!$B:$B,0))*25,IF($J143=3,INDEX('큐펫&amp;몹 정리(최신)'!T:T,MATCH($E143,'큐펫&amp;몹 정리(최신)'!$B:$B,0))*30,IF($J143=4,INDEX('큐펫&amp;몹 정리(최신)'!T:T,MATCH($E143,'큐펫&amp;몹 정리(최신)'!$B:$B,0))*35,INDEX('큐펫&amp;몹 정리(최신)'!T:T,MATCH($E143,'큐펫&amp;몹 정리(최신)'!$B:$B,0))*40))))</f>
        <v>475</v>
      </c>
      <c r="P143" s="217">
        <v>40</v>
      </c>
      <c r="Q143" s="217">
        <f t="shared" si="16"/>
        <v>69000</v>
      </c>
      <c r="R143" s="217">
        <f t="shared" si="17"/>
        <v>1952</v>
      </c>
      <c r="S143" s="217">
        <f t="shared" si="18"/>
        <v>2822</v>
      </c>
      <c r="T143" s="217">
        <f t="shared" si="19"/>
        <v>12776</v>
      </c>
      <c r="U143" s="217">
        <f t="shared" si="20"/>
        <v>12509</v>
      </c>
      <c r="V143" s="217">
        <f t="shared" si="21"/>
        <v>11928</v>
      </c>
      <c r="W143" s="217">
        <f>ROUND(AC143+(INDEX(Ref!B$1:B$9,MATCH($AI143,Ref!$A$1:$A$9,0))*P143*0.0001),)</f>
        <v>24</v>
      </c>
      <c r="X143" s="217">
        <f>ROUND(AD143+(INDEX(Ref!C$1:C$9,MATCH($AI143,Ref!$A$1:$A$9,0))*$P143*0.0001),)</f>
        <v>32</v>
      </c>
      <c r="Y143" s="217">
        <f>ROUND(AE143+(INDEX(Ref!D$1:D$9,MATCH($AI143,Ref!$A$1:$A$9,0))*$P143*0.0001),)</f>
        <v>60</v>
      </c>
      <c r="Z143" s="217">
        <f>ROUND(AF143+(INDEX(Ref!E$1:E$9,MATCH($AI143,Ref!$A$1:$A$9,0))*$P143*0.0001),)</f>
        <v>53</v>
      </c>
      <c r="AA143" s="217">
        <f>ROUND(AG143+(INDEX(Ref!F$1:F$9,MATCH($AI143,Ref!$A$1:$A$9,0))*$P143*0.0001),)</f>
        <v>29</v>
      </c>
      <c r="AB143" s="217">
        <f>ROUND(AH143+(INDEX(Ref!G$1:G$9,MATCH($AI143,Ref!$A$1:$A$9,0))*$P143*0.0001),)</f>
        <v>26</v>
      </c>
      <c r="AC143" s="137">
        <v>19</v>
      </c>
      <c r="AD143" s="137">
        <v>26</v>
      </c>
      <c r="AE143" s="137">
        <v>52</v>
      </c>
      <c r="AF143" s="137">
        <v>43</v>
      </c>
      <c r="AG143" s="137">
        <v>23</v>
      </c>
      <c r="AH143" s="137">
        <v>21</v>
      </c>
      <c r="AI143" s="208">
        <v>2</v>
      </c>
      <c r="AJ143" s="172">
        <v>3000</v>
      </c>
      <c r="AK143" s="172">
        <v>30170</v>
      </c>
      <c r="AL143" s="172">
        <v>2000</v>
      </c>
      <c r="AM143" s="172">
        <v>30172</v>
      </c>
      <c r="AN143" s="172">
        <v>0</v>
      </c>
      <c r="AO143" s="172">
        <f t="shared" si="22"/>
        <v>34170</v>
      </c>
      <c r="AP143" s="172">
        <v>0</v>
      </c>
      <c r="AQ143" s="172">
        <f t="shared" si="23"/>
        <v>34172</v>
      </c>
      <c r="AR143" s="172">
        <v>1</v>
      </c>
      <c r="AS143" s="172">
        <v>0</v>
      </c>
      <c r="AT143" s="199">
        <v>78029</v>
      </c>
      <c r="AU143" s="195" t="s">
        <v>166</v>
      </c>
    </row>
    <row r="144" spans="1:47" x14ac:dyDescent="0.2">
      <c r="A144" s="173">
        <v>55029</v>
      </c>
      <c r="B144" s="174" t="s">
        <v>164</v>
      </c>
      <c r="C144" s="172">
        <v>86029</v>
      </c>
      <c r="D144" s="172">
        <v>150029</v>
      </c>
      <c r="E144" s="206" t="s">
        <v>165</v>
      </c>
      <c r="F144" s="207">
        <v>5</v>
      </c>
      <c r="G144" s="173">
        <v>11500</v>
      </c>
      <c r="H144" s="173">
        <v>9500</v>
      </c>
      <c r="I144" s="172">
        <v>10000</v>
      </c>
      <c r="J144" s="172">
        <v>3</v>
      </c>
      <c r="K144" s="190">
        <f>IF($J144=1,INDEX('큐펫&amp;몹 정리(최신)'!P:P,MATCH($E144,'큐펫&amp;몹 정리(최신)'!$B:$B,0))*20,IF($J144=2,INDEX('큐펫&amp;몹 정리(최신)'!P:P,MATCH($E144,'큐펫&amp;몹 정리(최신)'!$B:$B,0))*25,IF($J144=3,INDEX('큐펫&amp;몹 정리(최신)'!P:P,MATCH($E144,'큐펫&amp;몹 정리(최신)'!$B:$B,0))*30,IF($J144=4,INDEX('큐펫&amp;몹 정리(최신)'!P:P,MATCH($E144,'큐펫&amp;몹 정리(최신)'!$B:$B,0))*35,INDEX('큐펫&amp;몹 정리(최신)'!P:P,MATCH($E144,'큐펫&amp;몹 정리(최신)'!$B:$B,0))*40))))</f>
        <v>1200</v>
      </c>
      <c r="L144" s="190">
        <f>IF($J144=1,INDEX('큐펫&amp;몹 정리(최신)'!Q:Q,MATCH($E144,'큐펫&amp;몹 정리(최신)'!$B:$B,0))*20,IF($J144=2,INDEX('큐펫&amp;몹 정리(최신)'!Q:Q,MATCH($E144,'큐펫&amp;몹 정리(최신)'!$B:$B,0))*25,IF($J144=3,INDEX('큐펫&amp;몹 정리(최신)'!Q:Q,MATCH($E144,'큐펫&amp;몹 정리(최신)'!$B:$B,0))*30,IF($J144=4,INDEX('큐펫&amp;몹 정리(최신)'!Q:Q,MATCH($E144,'큐펫&amp;몹 정리(최신)'!$B:$B,0))*35,INDEX('큐펫&amp;몹 정리(최신)'!Q:Q,MATCH($E144,'큐펫&amp;몹 정리(최신)'!$B:$B,0))*40))))</f>
        <v>390</v>
      </c>
      <c r="M144" s="190">
        <f>IF($J144=1,INDEX('큐펫&amp;몹 정리(최신)'!R:R,MATCH($E144,'큐펫&amp;몹 정리(최신)'!$B:$B,0))*20,IF($J144=2,INDEX('큐펫&amp;몹 정리(최신)'!R:R,MATCH($E144,'큐펫&amp;몹 정리(최신)'!$B:$B,0))*25,IF($J144=3,INDEX('큐펫&amp;몹 정리(최신)'!R:R,MATCH($E144,'큐펫&amp;몹 정리(최신)'!$B:$B,0))*30,IF($J144=4,INDEX('큐펫&amp;몹 정리(최신)'!R:R,MATCH($E144,'큐펫&amp;몹 정리(최신)'!$B:$B,0))*35,INDEX('큐펫&amp;몹 정리(최신)'!R:R,MATCH($E144,'큐펫&amp;몹 정리(최신)'!$B:$B,0))*40))))</f>
        <v>540</v>
      </c>
      <c r="N144" s="190">
        <f>IF($J144=1,INDEX('큐펫&amp;몹 정리(최신)'!S:S,MATCH($E144,'큐펫&amp;몹 정리(최신)'!$B:$B,0))*20,IF($J144=2,INDEX('큐펫&amp;몹 정리(최신)'!S:S,MATCH($E144,'큐펫&amp;몹 정리(최신)'!$B:$B,0))*25,IF($J144=3,INDEX('큐펫&amp;몹 정리(최신)'!S:S,MATCH($E144,'큐펫&amp;몹 정리(최신)'!$B:$B,0))*30,IF($J144=4,INDEX('큐펫&amp;몹 정리(최신)'!S:S,MATCH($E144,'큐펫&amp;몹 정리(최신)'!$B:$B,0))*35,INDEX('큐펫&amp;몹 정리(최신)'!S:S,MATCH($E144,'큐펫&amp;몹 정리(최신)'!$B:$B,0))*40))))</f>
        <v>300</v>
      </c>
      <c r="O144" s="190">
        <f>IF($J144=1,INDEX('큐펫&amp;몹 정리(최신)'!T:T,MATCH($E144,'큐펫&amp;몹 정리(최신)'!$B:$B,0))*20,IF($J144=2,INDEX('큐펫&amp;몹 정리(최신)'!T:T,MATCH($E144,'큐펫&amp;몹 정리(최신)'!$B:$B,0))*25,IF($J144=3,INDEX('큐펫&amp;몹 정리(최신)'!T:T,MATCH($E144,'큐펫&amp;몹 정리(최신)'!$B:$B,0))*30,IF($J144=4,INDEX('큐펫&amp;몹 정리(최신)'!T:T,MATCH($E144,'큐펫&amp;몹 정리(최신)'!$B:$B,0))*35,INDEX('큐펫&amp;몹 정리(최신)'!T:T,MATCH($E144,'큐펫&amp;몹 정리(최신)'!$B:$B,0))*40))))</f>
        <v>570</v>
      </c>
      <c r="P144" s="217">
        <v>60</v>
      </c>
      <c r="Q144" s="217">
        <f t="shared" si="16"/>
        <v>126960</v>
      </c>
      <c r="R144" s="217">
        <f t="shared" si="17"/>
        <v>3158</v>
      </c>
      <c r="S144" s="217">
        <f t="shared" si="18"/>
        <v>4619</v>
      </c>
      <c r="T144" s="217">
        <f t="shared" si="19"/>
        <v>21600</v>
      </c>
      <c r="U144" s="217">
        <f t="shared" si="20"/>
        <v>19211</v>
      </c>
      <c r="V144" s="217">
        <f t="shared" si="21"/>
        <v>18303</v>
      </c>
      <c r="W144" s="217">
        <f>ROUND(AC144+(INDEX(Ref!B$1:B$9,MATCH($AI144,Ref!$A$1:$A$9,0))*P144*0.0001),)</f>
        <v>28</v>
      </c>
      <c r="X144" s="217">
        <f>ROUND(AD144+(INDEX(Ref!C$1:C$9,MATCH($AI144,Ref!$A$1:$A$9,0))*$P144*0.0001),)</f>
        <v>40</v>
      </c>
      <c r="Y144" s="217">
        <f>ROUND(AE144+(INDEX(Ref!D$1:D$9,MATCH($AI144,Ref!$A$1:$A$9,0))*$P144*0.0001),)</f>
        <v>68</v>
      </c>
      <c r="Z144" s="217">
        <f>ROUND(AF144+(INDEX(Ref!E$1:E$9,MATCH($AI144,Ref!$A$1:$A$9,0))*$P144*0.0001),)</f>
        <v>63</v>
      </c>
      <c r="AA144" s="217">
        <f>ROUND(AG144+(INDEX(Ref!F$1:F$9,MATCH($AI144,Ref!$A$1:$A$9,0))*$P144*0.0001),)</f>
        <v>34</v>
      </c>
      <c r="AB144" s="217">
        <f>ROUND(AH144+(INDEX(Ref!G$1:G$9,MATCH($AI144,Ref!$A$1:$A$9,0))*$P144*0.0001),)</f>
        <v>31</v>
      </c>
      <c r="AC144" s="137">
        <v>21</v>
      </c>
      <c r="AD144" s="137">
        <v>30</v>
      </c>
      <c r="AE144" s="137">
        <v>56</v>
      </c>
      <c r="AF144" s="137">
        <v>48.000000000000007</v>
      </c>
      <c r="AG144" s="137">
        <v>26</v>
      </c>
      <c r="AH144" s="137">
        <v>23</v>
      </c>
      <c r="AI144" s="208">
        <v>2</v>
      </c>
      <c r="AJ144" s="172">
        <v>3000</v>
      </c>
      <c r="AK144" s="172">
        <v>30170</v>
      </c>
      <c r="AL144" s="172">
        <v>2000</v>
      </c>
      <c r="AM144" s="172">
        <v>30173</v>
      </c>
      <c r="AN144" s="172">
        <v>0</v>
      </c>
      <c r="AO144" s="172">
        <f t="shared" si="22"/>
        <v>34170</v>
      </c>
      <c r="AP144" s="172">
        <v>0</v>
      </c>
      <c r="AQ144" s="172">
        <f t="shared" si="23"/>
        <v>34173</v>
      </c>
      <c r="AR144" s="172">
        <v>1</v>
      </c>
      <c r="AS144" s="172">
        <v>0</v>
      </c>
      <c r="AT144" s="199">
        <v>78029</v>
      </c>
      <c r="AU144" s="195" t="s">
        <v>166</v>
      </c>
    </row>
    <row r="145" spans="1:47" x14ac:dyDescent="0.2">
      <c r="A145" s="173">
        <v>55029</v>
      </c>
      <c r="B145" s="174" t="s">
        <v>164</v>
      </c>
      <c r="C145" s="172">
        <v>86029</v>
      </c>
      <c r="D145" s="172">
        <v>150029</v>
      </c>
      <c r="E145" s="206" t="s">
        <v>165</v>
      </c>
      <c r="F145" s="207">
        <v>5</v>
      </c>
      <c r="G145" s="173">
        <v>11500</v>
      </c>
      <c r="H145" s="173">
        <v>9500</v>
      </c>
      <c r="I145" s="172">
        <v>10000</v>
      </c>
      <c r="J145" s="172">
        <v>4</v>
      </c>
      <c r="K145" s="190">
        <f>IF($J145=1,INDEX('큐펫&amp;몹 정리(최신)'!P:P,MATCH($E145,'큐펫&amp;몹 정리(최신)'!$B:$B,0))*20,IF($J145=2,INDEX('큐펫&amp;몹 정리(최신)'!P:P,MATCH($E145,'큐펫&amp;몹 정리(최신)'!$B:$B,0))*25,IF($J145=3,INDEX('큐펫&amp;몹 정리(최신)'!P:P,MATCH($E145,'큐펫&amp;몹 정리(최신)'!$B:$B,0))*30,IF($J145=4,INDEX('큐펫&amp;몹 정리(최신)'!P:P,MATCH($E145,'큐펫&amp;몹 정리(최신)'!$B:$B,0))*35,INDEX('큐펫&amp;몹 정리(최신)'!P:P,MATCH($E145,'큐펫&amp;몹 정리(최신)'!$B:$B,0))*40))))</f>
        <v>1400</v>
      </c>
      <c r="L145" s="190">
        <f>IF($J145=1,INDEX('큐펫&amp;몹 정리(최신)'!Q:Q,MATCH($E145,'큐펫&amp;몹 정리(최신)'!$B:$B,0))*20,IF($J145=2,INDEX('큐펫&amp;몹 정리(최신)'!Q:Q,MATCH($E145,'큐펫&amp;몹 정리(최신)'!$B:$B,0))*25,IF($J145=3,INDEX('큐펫&amp;몹 정리(최신)'!Q:Q,MATCH($E145,'큐펫&amp;몹 정리(최신)'!$B:$B,0))*30,IF($J145=4,INDEX('큐펫&amp;몹 정리(최신)'!Q:Q,MATCH($E145,'큐펫&amp;몹 정리(최신)'!$B:$B,0))*35,INDEX('큐펫&amp;몹 정리(최신)'!Q:Q,MATCH($E145,'큐펫&amp;몹 정리(최신)'!$B:$B,0))*40))))</f>
        <v>455</v>
      </c>
      <c r="M145" s="190">
        <f>IF($J145=1,INDEX('큐펫&amp;몹 정리(최신)'!R:R,MATCH($E145,'큐펫&amp;몹 정리(최신)'!$B:$B,0))*20,IF($J145=2,INDEX('큐펫&amp;몹 정리(최신)'!R:R,MATCH($E145,'큐펫&amp;몹 정리(최신)'!$B:$B,0))*25,IF($J145=3,INDEX('큐펫&amp;몹 정리(최신)'!R:R,MATCH($E145,'큐펫&amp;몹 정리(최신)'!$B:$B,0))*30,IF($J145=4,INDEX('큐펫&amp;몹 정리(최신)'!R:R,MATCH($E145,'큐펫&amp;몹 정리(최신)'!$B:$B,0))*35,INDEX('큐펫&amp;몹 정리(최신)'!R:R,MATCH($E145,'큐펫&amp;몹 정리(최신)'!$B:$B,0))*40))))</f>
        <v>630</v>
      </c>
      <c r="N145" s="190">
        <f>IF($J145=1,INDEX('큐펫&amp;몹 정리(최신)'!S:S,MATCH($E145,'큐펫&amp;몹 정리(최신)'!$B:$B,0))*20,IF($J145=2,INDEX('큐펫&amp;몹 정리(최신)'!S:S,MATCH($E145,'큐펫&amp;몹 정리(최신)'!$B:$B,0))*25,IF($J145=3,INDEX('큐펫&amp;몹 정리(최신)'!S:S,MATCH($E145,'큐펫&amp;몹 정리(최신)'!$B:$B,0))*30,IF($J145=4,INDEX('큐펫&amp;몹 정리(최신)'!S:S,MATCH($E145,'큐펫&amp;몹 정리(최신)'!$B:$B,0))*35,INDEX('큐펫&amp;몹 정리(최신)'!S:S,MATCH($E145,'큐펫&amp;몹 정리(최신)'!$B:$B,0))*40))))</f>
        <v>350</v>
      </c>
      <c r="O145" s="190">
        <f>IF($J145=1,INDEX('큐펫&amp;몹 정리(최신)'!T:T,MATCH($E145,'큐펫&amp;몹 정리(최신)'!$B:$B,0))*20,IF($J145=2,INDEX('큐펫&amp;몹 정리(최신)'!T:T,MATCH($E145,'큐펫&amp;몹 정리(최신)'!$B:$B,0))*25,IF($J145=3,INDEX('큐펫&amp;몹 정리(최신)'!T:T,MATCH($E145,'큐펫&amp;몹 정리(최신)'!$B:$B,0))*30,IF($J145=4,INDEX('큐펫&amp;몹 정리(최신)'!T:T,MATCH($E145,'큐펫&amp;몹 정리(최신)'!$B:$B,0))*35,INDEX('큐펫&amp;몹 정리(최신)'!T:T,MATCH($E145,'큐펫&amp;몹 정리(최신)'!$B:$B,0))*40))))</f>
        <v>665</v>
      </c>
      <c r="P145" s="217">
        <v>80</v>
      </c>
      <c r="Q145" s="217">
        <f t="shared" si="16"/>
        <v>204120</v>
      </c>
      <c r="R145" s="217">
        <f t="shared" si="17"/>
        <v>5384</v>
      </c>
      <c r="S145" s="217">
        <f t="shared" si="18"/>
        <v>7054</v>
      </c>
      <c r="T145" s="217">
        <f t="shared" si="19"/>
        <v>33772</v>
      </c>
      <c r="U145" s="217">
        <f t="shared" si="20"/>
        <v>27312</v>
      </c>
      <c r="V145" s="217">
        <f t="shared" si="21"/>
        <v>26008</v>
      </c>
      <c r="W145" s="217">
        <f>ROUND(AC145+(INDEX(Ref!B$1:B$9,MATCH($AI145,Ref!$A$1:$A$9,0))*P145*0.0001),)</f>
        <v>34</v>
      </c>
      <c r="X145" s="217">
        <f>ROUND(AD145+(INDEX(Ref!C$1:C$9,MATCH($AI145,Ref!$A$1:$A$9,0))*$P145*0.0001),)</f>
        <v>46</v>
      </c>
      <c r="Y145" s="217">
        <f>ROUND(AE145+(INDEX(Ref!D$1:D$9,MATCH($AI145,Ref!$A$1:$A$9,0))*$P145*0.0001),)</f>
        <v>76</v>
      </c>
      <c r="Z145" s="217">
        <f>ROUND(AF145+(INDEX(Ref!E$1:E$9,MATCH($AI145,Ref!$A$1:$A$9,0))*$P145*0.0001),)</f>
        <v>73</v>
      </c>
      <c r="AA145" s="217">
        <f>ROUND(AG145+(INDEX(Ref!F$1:F$9,MATCH($AI145,Ref!$A$1:$A$9,0))*$P145*0.0001),)</f>
        <v>39</v>
      </c>
      <c r="AB145" s="217">
        <f>ROUND(AH145+(INDEX(Ref!G$1:G$9,MATCH($AI145,Ref!$A$1:$A$9,0))*$P145*0.0001),)</f>
        <v>36</v>
      </c>
      <c r="AC145" s="137">
        <v>24</v>
      </c>
      <c r="AD145" s="137">
        <v>33</v>
      </c>
      <c r="AE145" s="137">
        <v>60</v>
      </c>
      <c r="AF145" s="137">
        <v>53</v>
      </c>
      <c r="AG145" s="137">
        <v>28</v>
      </c>
      <c r="AH145" s="137">
        <v>26</v>
      </c>
      <c r="AI145" s="208">
        <v>2</v>
      </c>
      <c r="AJ145" s="172">
        <v>3000</v>
      </c>
      <c r="AK145" s="172">
        <v>30171</v>
      </c>
      <c r="AL145" s="172">
        <v>2000</v>
      </c>
      <c r="AM145" s="172">
        <v>30173</v>
      </c>
      <c r="AN145" s="172">
        <v>0</v>
      </c>
      <c r="AO145" s="172">
        <f t="shared" si="22"/>
        <v>34171</v>
      </c>
      <c r="AP145" s="172">
        <v>0</v>
      </c>
      <c r="AQ145" s="172">
        <f t="shared" si="23"/>
        <v>34173</v>
      </c>
      <c r="AR145" s="172">
        <v>1</v>
      </c>
      <c r="AS145" s="172">
        <v>0</v>
      </c>
      <c r="AT145" s="199">
        <v>78029</v>
      </c>
      <c r="AU145" s="195" t="s">
        <v>166</v>
      </c>
    </row>
    <row r="146" spans="1:47" x14ac:dyDescent="0.2">
      <c r="A146" s="173">
        <v>55029</v>
      </c>
      <c r="B146" s="174" t="s">
        <v>164</v>
      </c>
      <c r="C146" s="172">
        <v>86029</v>
      </c>
      <c r="D146" s="172">
        <v>150029</v>
      </c>
      <c r="E146" s="206" t="s">
        <v>165</v>
      </c>
      <c r="F146" s="207">
        <v>5</v>
      </c>
      <c r="G146" s="173">
        <v>11500</v>
      </c>
      <c r="H146" s="173">
        <v>9500</v>
      </c>
      <c r="I146" s="172">
        <v>10000</v>
      </c>
      <c r="J146" s="172">
        <v>5</v>
      </c>
      <c r="K146" s="190">
        <f>IF($J146=1,INDEX('큐펫&amp;몹 정리(최신)'!P:P,MATCH($E146,'큐펫&amp;몹 정리(최신)'!$B:$B,0))*20,IF($J146=2,INDEX('큐펫&amp;몹 정리(최신)'!P:P,MATCH($E146,'큐펫&amp;몹 정리(최신)'!$B:$B,0))*25,IF($J146=3,INDEX('큐펫&amp;몹 정리(최신)'!P:P,MATCH($E146,'큐펫&amp;몹 정리(최신)'!$B:$B,0))*30,IF($J146=4,INDEX('큐펫&amp;몹 정리(최신)'!P:P,MATCH($E146,'큐펫&amp;몹 정리(최신)'!$B:$B,0))*35,INDEX('큐펫&amp;몹 정리(최신)'!P:P,MATCH($E146,'큐펫&amp;몹 정리(최신)'!$B:$B,0))*40))))</f>
        <v>1600</v>
      </c>
      <c r="L146" s="190">
        <f>IF($J146=1,INDEX('큐펫&amp;몹 정리(최신)'!Q:Q,MATCH($E146,'큐펫&amp;몹 정리(최신)'!$B:$B,0))*20,IF($J146=2,INDEX('큐펫&amp;몹 정리(최신)'!Q:Q,MATCH($E146,'큐펫&amp;몹 정리(최신)'!$B:$B,0))*25,IF($J146=3,INDEX('큐펫&amp;몹 정리(최신)'!Q:Q,MATCH($E146,'큐펫&amp;몹 정리(최신)'!$B:$B,0))*30,IF($J146=4,INDEX('큐펫&amp;몹 정리(최신)'!Q:Q,MATCH($E146,'큐펫&amp;몹 정리(최신)'!$B:$B,0))*35,INDEX('큐펫&amp;몹 정리(최신)'!Q:Q,MATCH($E146,'큐펫&amp;몹 정리(최신)'!$B:$B,0))*40))))</f>
        <v>520</v>
      </c>
      <c r="M146" s="190">
        <f>IF($J146=1,INDEX('큐펫&amp;몹 정리(최신)'!R:R,MATCH($E146,'큐펫&amp;몹 정리(최신)'!$B:$B,0))*20,IF($J146=2,INDEX('큐펫&amp;몹 정리(최신)'!R:R,MATCH($E146,'큐펫&amp;몹 정리(최신)'!$B:$B,0))*25,IF($J146=3,INDEX('큐펫&amp;몹 정리(최신)'!R:R,MATCH($E146,'큐펫&amp;몹 정리(최신)'!$B:$B,0))*30,IF($J146=4,INDEX('큐펫&amp;몹 정리(최신)'!R:R,MATCH($E146,'큐펫&amp;몹 정리(최신)'!$B:$B,0))*35,INDEX('큐펫&amp;몹 정리(최신)'!R:R,MATCH($E146,'큐펫&amp;몹 정리(최신)'!$B:$B,0))*40))))</f>
        <v>720</v>
      </c>
      <c r="N146" s="190">
        <f>IF($J146=1,INDEX('큐펫&amp;몹 정리(최신)'!S:S,MATCH($E146,'큐펫&amp;몹 정리(최신)'!$B:$B,0))*20,IF($J146=2,INDEX('큐펫&amp;몹 정리(최신)'!S:S,MATCH($E146,'큐펫&amp;몹 정리(최신)'!$B:$B,0))*25,IF($J146=3,INDEX('큐펫&amp;몹 정리(최신)'!S:S,MATCH($E146,'큐펫&amp;몹 정리(최신)'!$B:$B,0))*30,IF($J146=4,INDEX('큐펫&amp;몹 정리(최신)'!S:S,MATCH($E146,'큐펫&amp;몹 정리(최신)'!$B:$B,0))*35,INDEX('큐펫&amp;몹 정리(최신)'!S:S,MATCH($E146,'큐펫&amp;몹 정리(최신)'!$B:$B,0))*40))))</f>
        <v>400</v>
      </c>
      <c r="O146" s="190">
        <f>IF($J146=1,INDEX('큐펫&amp;몹 정리(최신)'!T:T,MATCH($E146,'큐펫&amp;몹 정리(최신)'!$B:$B,0))*20,IF($J146=2,INDEX('큐펫&amp;몹 정리(최신)'!T:T,MATCH($E146,'큐펫&amp;몹 정리(최신)'!$B:$B,0))*25,IF($J146=3,INDEX('큐펫&amp;몹 정리(최신)'!T:T,MATCH($E146,'큐펫&amp;몹 정리(최신)'!$B:$B,0))*30,IF($J146=4,INDEX('큐펫&amp;몹 정리(최신)'!T:T,MATCH($E146,'큐펫&amp;몹 정리(최신)'!$B:$B,0))*35,INDEX('큐펫&amp;몹 정리(최신)'!T:T,MATCH($E146,'큐펫&amp;몹 정리(최신)'!$B:$B,0))*40))))</f>
        <v>760</v>
      </c>
      <c r="P146" s="217">
        <v>100</v>
      </c>
      <c r="Q146" s="217">
        <f t="shared" si="16"/>
        <v>302400</v>
      </c>
      <c r="R146" s="217">
        <f t="shared" si="17"/>
        <v>7654</v>
      </c>
      <c r="S146" s="217">
        <f t="shared" si="18"/>
        <v>10687</v>
      </c>
      <c r="T146" s="217">
        <f t="shared" si="19"/>
        <v>49832</v>
      </c>
      <c r="U146" s="217">
        <f t="shared" si="20"/>
        <v>36814</v>
      </c>
      <c r="V146" s="217">
        <f t="shared" si="21"/>
        <v>35043</v>
      </c>
      <c r="W146" s="217">
        <f>ROUND(AC146+(INDEX(Ref!B$1:B$9,MATCH($AI146,Ref!$A$1:$A$9,0))*P146*0.0001),)</f>
        <v>38</v>
      </c>
      <c r="X146" s="217">
        <f>ROUND(AD146+(INDEX(Ref!C$1:C$9,MATCH($AI146,Ref!$A$1:$A$9,0))*$P146*0.0001),)</f>
        <v>52</v>
      </c>
      <c r="Y146" s="217">
        <f>ROUND(AE146+(INDEX(Ref!D$1:D$9,MATCH($AI146,Ref!$A$1:$A$9,0))*$P146*0.0001),)</f>
        <v>84</v>
      </c>
      <c r="Z146" s="217">
        <f>ROUND(AF146+(INDEX(Ref!E$1:E$9,MATCH($AI146,Ref!$A$1:$A$9,0))*$P146*0.0001),)</f>
        <v>83</v>
      </c>
      <c r="AA146" s="217">
        <f>ROUND(AG146+(INDEX(Ref!F$1:F$9,MATCH($AI146,Ref!$A$1:$A$9,0))*$P146*0.0001),)</f>
        <v>45</v>
      </c>
      <c r="AB146" s="217">
        <f>ROUND(AH146+(INDEX(Ref!G$1:G$9,MATCH($AI146,Ref!$A$1:$A$9,0))*$P146*0.0001),)</f>
        <v>42</v>
      </c>
      <c r="AC146" s="137">
        <v>26</v>
      </c>
      <c r="AD146" s="137">
        <v>36</v>
      </c>
      <c r="AE146" s="137">
        <v>64</v>
      </c>
      <c r="AF146" s="137">
        <v>58.000000000000007</v>
      </c>
      <c r="AG146" s="137">
        <v>31</v>
      </c>
      <c r="AH146" s="137">
        <v>29</v>
      </c>
      <c r="AI146" s="208">
        <v>2</v>
      </c>
      <c r="AJ146" s="172">
        <v>3000</v>
      </c>
      <c r="AK146" s="172">
        <v>30171</v>
      </c>
      <c r="AL146" s="172">
        <v>2000</v>
      </c>
      <c r="AM146" s="172">
        <v>30174</v>
      </c>
      <c r="AN146" s="172">
        <v>0</v>
      </c>
      <c r="AO146" s="172">
        <f t="shared" si="22"/>
        <v>34171</v>
      </c>
      <c r="AP146" s="172">
        <v>0</v>
      </c>
      <c r="AQ146" s="172">
        <f t="shared" si="23"/>
        <v>34174</v>
      </c>
      <c r="AR146" s="172">
        <v>1</v>
      </c>
      <c r="AS146" s="172">
        <v>0</v>
      </c>
      <c r="AT146" s="199">
        <v>78029</v>
      </c>
      <c r="AU146" s="195" t="s">
        <v>166</v>
      </c>
    </row>
    <row r="147" spans="1:47" x14ac:dyDescent="0.2">
      <c r="A147" s="173">
        <v>55030</v>
      </c>
      <c r="B147" s="175" t="s">
        <v>1037</v>
      </c>
      <c r="C147" s="172">
        <v>86030</v>
      </c>
      <c r="D147" s="172">
        <v>150030</v>
      </c>
      <c r="E147" s="206" t="s">
        <v>167</v>
      </c>
      <c r="F147" s="207">
        <v>10</v>
      </c>
      <c r="G147" s="173">
        <v>11500</v>
      </c>
      <c r="H147" s="173">
        <v>9500</v>
      </c>
      <c r="I147" s="172">
        <v>10000</v>
      </c>
      <c r="J147" s="172">
        <v>1</v>
      </c>
      <c r="K147" s="190">
        <f>IF($J147=1,INDEX('큐펫&amp;몹 정리(최신)'!P:P,MATCH($E147,'큐펫&amp;몹 정리(최신)'!$B:$B,0))*20,IF($J147=2,INDEX('큐펫&amp;몹 정리(최신)'!P:P,MATCH($E147,'큐펫&amp;몹 정리(최신)'!$B:$B,0))*25,IF($J147=3,INDEX('큐펫&amp;몹 정리(최신)'!P:P,MATCH($E147,'큐펫&amp;몹 정리(최신)'!$B:$B,0))*30,IF($J147=4,INDEX('큐펫&amp;몹 정리(최신)'!P:P,MATCH($E147,'큐펫&amp;몹 정리(최신)'!$B:$B,0))*35,INDEX('큐펫&amp;몹 정리(최신)'!P:P,MATCH($E147,'큐펫&amp;몹 정리(최신)'!$B:$B,0))*40))))</f>
        <v>880</v>
      </c>
      <c r="L147" s="190">
        <f>IF($J147=1,INDEX('큐펫&amp;몹 정리(최신)'!Q:Q,MATCH($E147,'큐펫&amp;몹 정리(최신)'!$B:$B,0))*20,IF($J147=2,INDEX('큐펫&amp;몹 정리(최신)'!Q:Q,MATCH($E147,'큐펫&amp;몹 정리(최신)'!$B:$B,0))*25,IF($J147=3,INDEX('큐펫&amp;몹 정리(최신)'!Q:Q,MATCH($E147,'큐펫&amp;몹 정리(최신)'!$B:$B,0))*30,IF($J147=4,INDEX('큐펫&amp;몹 정리(최신)'!Q:Q,MATCH($E147,'큐펫&amp;몹 정리(최신)'!$B:$B,0))*35,INDEX('큐펫&amp;몹 정리(최신)'!Q:Q,MATCH($E147,'큐펫&amp;몹 정리(최신)'!$B:$B,0))*40))))</f>
        <v>80</v>
      </c>
      <c r="M147" s="190">
        <f>IF($J147=1,INDEX('큐펫&amp;몹 정리(최신)'!R:R,MATCH($E147,'큐펫&amp;몹 정리(최신)'!$B:$B,0))*20,IF($J147=2,INDEX('큐펫&amp;몹 정리(최신)'!R:R,MATCH($E147,'큐펫&amp;몹 정리(최신)'!$B:$B,0))*25,IF($J147=3,INDEX('큐펫&amp;몹 정리(최신)'!R:R,MATCH($E147,'큐펫&amp;몹 정리(최신)'!$B:$B,0))*30,IF($J147=4,INDEX('큐펫&amp;몹 정리(최신)'!R:R,MATCH($E147,'큐펫&amp;몹 정리(최신)'!$B:$B,0))*35,INDEX('큐펫&amp;몹 정리(최신)'!R:R,MATCH($E147,'큐펫&amp;몹 정리(최신)'!$B:$B,0))*40))))</f>
        <v>440</v>
      </c>
      <c r="N147" s="190">
        <f>IF($J147=1,INDEX('큐펫&amp;몹 정리(최신)'!S:S,MATCH($E147,'큐펫&amp;몹 정리(최신)'!$B:$B,0))*20,IF($J147=2,INDEX('큐펫&amp;몹 정리(최신)'!S:S,MATCH($E147,'큐펫&amp;몹 정리(최신)'!$B:$B,0))*25,IF($J147=3,INDEX('큐펫&amp;몹 정리(최신)'!S:S,MATCH($E147,'큐펫&amp;몹 정리(최신)'!$B:$B,0))*30,IF($J147=4,INDEX('큐펫&amp;몹 정리(최신)'!S:S,MATCH($E147,'큐펫&amp;몹 정리(최신)'!$B:$B,0))*35,INDEX('큐펫&amp;몹 정리(최신)'!S:S,MATCH($E147,'큐펫&amp;몹 정리(최신)'!$B:$B,0))*40))))</f>
        <v>220</v>
      </c>
      <c r="O147" s="190">
        <f>IF($J147=1,INDEX('큐펫&amp;몹 정리(최신)'!T:T,MATCH($E147,'큐펫&amp;몹 정리(최신)'!$B:$B,0))*20,IF($J147=2,INDEX('큐펫&amp;몹 정리(최신)'!T:T,MATCH($E147,'큐펫&amp;몹 정리(최신)'!$B:$B,0))*25,IF($J147=3,INDEX('큐펫&amp;몹 정리(최신)'!T:T,MATCH($E147,'큐펫&amp;몹 정리(최신)'!$B:$B,0))*30,IF($J147=4,INDEX('큐펫&amp;몹 정리(최신)'!T:T,MATCH($E147,'큐펫&amp;몹 정리(최신)'!$B:$B,0))*35,INDEX('큐펫&amp;몹 정리(최신)'!T:T,MATCH($E147,'큐펫&amp;몹 정리(최신)'!$B:$B,0))*40))))</f>
        <v>380</v>
      </c>
      <c r="P147" s="217">
        <v>20</v>
      </c>
      <c r="Q147" s="217">
        <f t="shared" si="16"/>
        <v>31152</v>
      </c>
      <c r="R147" s="217">
        <f t="shared" si="17"/>
        <v>346</v>
      </c>
      <c r="S147" s="217">
        <f t="shared" si="18"/>
        <v>488</v>
      </c>
      <c r="T147" s="217">
        <f t="shared" si="19"/>
        <v>8239</v>
      </c>
      <c r="U147" s="217">
        <f t="shared" si="20"/>
        <v>7926</v>
      </c>
      <c r="V147" s="217">
        <f t="shared" si="21"/>
        <v>6883</v>
      </c>
      <c r="W147" s="217">
        <f>ROUND(AC147+(INDEX(Ref!B$1:B$9,MATCH($AI147,Ref!$A$1:$A$9,0))*P147*0.0001),)</f>
        <v>19</v>
      </c>
      <c r="X147" s="217">
        <f>ROUND(AD147+(INDEX(Ref!C$1:C$9,MATCH($AI147,Ref!$A$1:$A$9,0))*$P147*0.0001),)</f>
        <v>26</v>
      </c>
      <c r="Y147" s="217">
        <f>ROUND(AE147+(INDEX(Ref!D$1:D$9,MATCH($AI147,Ref!$A$1:$A$9,0))*$P147*0.0001),)</f>
        <v>52</v>
      </c>
      <c r="Z147" s="217">
        <f>ROUND(AF147+(INDEX(Ref!E$1:E$9,MATCH($AI147,Ref!$A$1:$A$9,0))*$P147*0.0001),)</f>
        <v>43</v>
      </c>
      <c r="AA147" s="217">
        <f>ROUND(AG147+(INDEX(Ref!F$1:F$9,MATCH($AI147,Ref!$A$1:$A$9,0))*$P147*0.0001),)</f>
        <v>23</v>
      </c>
      <c r="AB147" s="217">
        <f>ROUND(AH147+(INDEX(Ref!G$1:G$9,MATCH($AI147,Ref!$A$1:$A$9,0))*$P147*0.0001),)</f>
        <v>21</v>
      </c>
      <c r="AC147" s="137">
        <v>17</v>
      </c>
      <c r="AD147" s="137">
        <v>23</v>
      </c>
      <c r="AE147" s="137">
        <v>48</v>
      </c>
      <c r="AF147" s="137">
        <v>38</v>
      </c>
      <c r="AG147" s="137">
        <v>20</v>
      </c>
      <c r="AH147" s="137">
        <v>18</v>
      </c>
      <c r="AI147" s="208">
        <v>2</v>
      </c>
      <c r="AJ147" s="172">
        <v>3000</v>
      </c>
      <c r="AK147" s="172">
        <v>30175</v>
      </c>
      <c r="AL147" s="172">
        <v>2000</v>
      </c>
      <c r="AM147" s="172">
        <v>30178</v>
      </c>
      <c r="AN147" s="172">
        <v>0</v>
      </c>
      <c r="AO147" s="172">
        <f t="shared" si="22"/>
        <v>34175</v>
      </c>
      <c r="AP147" s="172">
        <v>0</v>
      </c>
      <c r="AQ147" s="172">
        <f t="shared" si="23"/>
        <v>34178</v>
      </c>
      <c r="AR147" s="172">
        <v>1</v>
      </c>
      <c r="AS147" s="172">
        <v>0</v>
      </c>
      <c r="AT147" s="199">
        <v>78030</v>
      </c>
      <c r="AU147" s="195" t="s">
        <v>168</v>
      </c>
    </row>
    <row r="148" spans="1:47" x14ac:dyDescent="0.2">
      <c r="A148" s="173">
        <v>55030</v>
      </c>
      <c r="B148" s="175" t="s">
        <v>1037</v>
      </c>
      <c r="C148" s="172">
        <v>86030</v>
      </c>
      <c r="D148" s="172">
        <v>150030</v>
      </c>
      <c r="E148" s="206" t="s">
        <v>167</v>
      </c>
      <c r="F148" s="207">
        <v>10</v>
      </c>
      <c r="G148" s="173">
        <v>11500</v>
      </c>
      <c r="H148" s="173">
        <v>9500</v>
      </c>
      <c r="I148" s="172">
        <v>10000</v>
      </c>
      <c r="J148" s="172">
        <v>2</v>
      </c>
      <c r="K148" s="190">
        <f>IF($J148=1,INDEX('큐펫&amp;몹 정리(최신)'!P:P,MATCH($E148,'큐펫&amp;몹 정리(최신)'!$B:$B,0))*20,IF($J148=2,INDEX('큐펫&amp;몹 정리(최신)'!P:P,MATCH($E148,'큐펫&amp;몹 정리(최신)'!$B:$B,0))*25,IF($J148=3,INDEX('큐펫&amp;몹 정리(최신)'!P:P,MATCH($E148,'큐펫&amp;몹 정리(최신)'!$B:$B,0))*30,IF($J148=4,INDEX('큐펫&amp;몹 정리(최신)'!P:P,MATCH($E148,'큐펫&amp;몹 정리(최신)'!$B:$B,0))*35,INDEX('큐펫&amp;몹 정리(최신)'!P:P,MATCH($E148,'큐펫&amp;몹 정리(최신)'!$B:$B,0))*40))))</f>
        <v>1100</v>
      </c>
      <c r="L148" s="190">
        <f>IF($J148=1,INDEX('큐펫&amp;몹 정리(최신)'!Q:Q,MATCH($E148,'큐펫&amp;몹 정리(최신)'!$B:$B,0))*20,IF($J148=2,INDEX('큐펫&amp;몹 정리(최신)'!Q:Q,MATCH($E148,'큐펫&amp;몹 정리(최신)'!$B:$B,0))*25,IF($J148=3,INDEX('큐펫&amp;몹 정리(최신)'!Q:Q,MATCH($E148,'큐펫&amp;몹 정리(최신)'!$B:$B,0))*30,IF($J148=4,INDEX('큐펫&amp;몹 정리(최신)'!Q:Q,MATCH($E148,'큐펫&amp;몹 정리(최신)'!$B:$B,0))*35,INDEX('큐펫&amp;몹 정리(최신)'!Q:Q,MATCH($E148,'큐펫&amp;몹 정리(최신)'!$B:$B,0))*40))))</f>
        <v>100</v>
      </c>
      <c r="M148" s="190">
        <f>IF($J148=1,INDEX('큐펫&amp;몹 정리(최신)'!R:R,MATCH($E148,'큐펫&amp;몹 정리(최신)'!$B:$B,0))*20,IF($J148=2,INDEX('큐펫&amp;몹 정리(최신)'!R:R,MATCH($E148,'큐펫&amp;몹 정리(최신)'!$B:$B,0))*25,IF($J148=3,INDEX('큐펫&amp;몹 정리(최신)'!R:R,MATCH($E148,'큐펫&amp;몹 정리(최신)'!$B:$B,0))*30,IF($J148=4,INDEX('큐펫&amp;몹 정리(최신)'!R:R,MATCH($E148,'큐펫&amp;몹 정리(최신)'!$B:$B,0))*35,INDEX('큐펫&amp;몹 정리(최신)'!R:R,MATCH($E148,'큐펫&amp;몹 정리(최신)'!$B:$B,0))*40))))</f>
        <v>550</v>
      </c>
      <c r="N148" s="190">
        <f>IF($J148=1,INDEX('큐펫&amp;몹 정리(최신)'!S:S,MATCH($E148,'큐펫&amp;몹 정리(최신)'!$B:$B,0))*20,IF($J148=2,INDEX('큐펫&amp;몹 정리(최신)'!S:S,MATCH($E148,'큐펫&amp;몹 정리(최신)'!$B:$B,0))*25,IF($J148=3,INDEX('큐펫&amp;몹 정리(최신)'!S:S,MATCH($E148,'큐펫&amp;몹 정리(최신)'!$B:$B,0))*30,IF($J148=4,INDEX('큐펫&amp;몹 정리(최신)'!S:S,MATCH($E148,'큐펫&amp;몹 정리(최신)'!$B:$B,0))*35,INDEX('큐펫&amp;몹 정리(최신)'!S:S,MATCH($E148,'큐펫&amp;몹 정리(최신)'!$B:$B,0))*40))))</f>
        <v>275</v>
      </c>
      <c r="O148" s="190">
        <f>IF($J148=1,INDEX('큐펫&amp;몹 정리(최신)'!T:T,MATCH($E148,'큐펫&amp;몹 정리(최신)'!$B:$B,0))*20,IF($J148=2,INDEX('큐펫&amp;몹 정리(최신)'!T:T,MATCH($E148,'큐펫&amp;몹 정리(최신)'!$B:$B,0))*25,IF($J148=3,INDEX('큐펫&amp;몹 정리(최신)'!T:T,MATCH($E148,'큐펫&amp;몹 정리(최신)'!$B:$B,0))*30,IF($J148=4,INDEX('큐펫&amp;몹 정리(최신)'!T:T,MATCH($E148,'큐펫&amp;몹 정리(최신)'!$B:$B,0))*35,INDEX('큐펫&amp;몹 정리(최신)'!T:T,MATCH($E148,'큐펫&amp;몹 정리(최신)'!$B:$B,0))*40))))</f>
        <v>475</v>
      </c>
      <c r="P148" s="217">
        <v>40</v>
      </c>
      <c r="Q148" s="217">
        <f t="shared" si="16"/>
        <v>75900</v>
      </c>
      <c r="R148" s="217">
        <f t="shared" si="17"/>
        <v>656</v>
      </c>
      <c r="S148" s="217">
        <f t="shared" si="18"/>
        <v>930</v>
      </c>
      <c r="T148" s="217">
        <f t="shared" si="19"/>
        <v>15585</v>
      </c>
      <c r="U148" s="217">
        <f t="shared" si="20"/>
        <v>13759</v>
      </c>
      <c r="V148" s="217">
        <f t="shared" si="21"/>
        <v>11928</v>
      </c>
      <c r="W148" s="217">
        <f>ROUND(AC148+(INDEX(Ref!B$1:B$9,MATCH($AI148,Ref!$A$1:$A$9,0))*P148*0.0001),)</f>
        <v>24</v>
      </c>
      <c r="X148" s="217">
        <f>ROUND(AD148+(INDEX(Ref!C$1:C$9,MATCH($AI148,Ref!$A$1:$A$9,0))*$P148*0.0001),)</f>
        <v>32</v>
      </c>
      <c r="Y148" s="217">
        <f>ROUND(AE148+(INDEX(Ref!D$1:D$9,MATCH($AI148,Ref!$A$1:$A$9,0))*$P148*0.0001),)</f>
        <v>60</v>
      </c>
      <c r="Z148" s="217">
        <f>ROUND(AF148+(INDEX(Ref!E$1:E$9,MATCH($AI148,Ref!$A$1:$A$9,0))*$P148*0.0001),)</f>
        <v>53</v>
      </c>
      <c r="AA148" s="217">
        <f>ROUND(AG148+(INDEX(Ref!F$1:F$9,MATCH($AI148,Ref!$A$1:$A$9,0))*$P148*0.0001),)</f>
        <v>29</v>
      </c>
      <c r="AB148" s="217">
        <f>ROUND(AH148+(INDEX(Ref!G$1:G$9,MATCH($AI148,Ref!$A$1:$A$9,0))*$P148*0.0001),)</f>
        <v>26</v>
      </c>
      <c r="AC148" s="137">
        <v>19</v>
      </c>
      <c r="AD148" s="137">
        <v>26</v>
      </c>
      <c r="AE148" s="137">
        <v>52</v>
      </c>
      <c r="AF148" s="137">
        <v>43</v>
      </c>
      <c r="AG148" s="137">
        <v>23</v>
      </c>
      <c r="AH148" s="137">
        <v>21</v>
      </c>
      <c r="AI148" s="208">
        <v>2</v>
      </c>
      <c r="AJ148" s="172">
        <v>3000</v>
      </c>
      <c r="AK148" s="172">
        <v>30176</v>
      </c>
      <c r="AL148" s="172">
        <v>2000</v>
      </c>
      <c r="AM148" s="172">
        <v>30178</v>
      </c>
      <c r="AN148" s="172">
        <v>0</v>
      </c>
      <c r="AO148" s="172">
        <f t="shared" si="22"/>
        <v>34176</v>
      </c>
      <c r="AP148" s="172">
        <v>0</v>
      </c>
      <c r="AQ148" s="172">
        <f t="shared" si="23"/>
        <v>34178</v>
      </c>
      <c r="AR148" s="172">
        <v>1</v>
      </c>
      <c r="AS148" s="172">
        <v>0</v>
      </c>
      <c r="AT148" s="199">
        <v>78030</v>
      </c>
      <c r="AU148" s="195" t="s">
        <v>168</v>
      </c>
    </row>
    <row r="149" spans="1:47" x14ac:dyDescent="0.2">
      <c r="A149" s="173">
        <v>55030</v>
      </c>
      <c r="B149" s="175" t="s">
        <v>1037</v>
      </c>
      <c r="C149" s="172">
        <v>86030</v>
      </c>
      <c r="D149" s="172">
        <v>150030</v>
      </c>
      <c r="E149" s="206" t="s">
        <v>167</v>
      </c>
      <c r="F149" s="207">
        <v>10</v>
      </c>
      <c r="G149" s="173">
        <v>11500</v>
      </c>
      <c r="H149" s="173">
        <v>9500</v>
      </c>
      <c r="I149" s="172">
        <v>10000</v>
      </c>
      <c r="J149" s="172">
        <v>3</v>
      </c>
      <c r="K149" s="190">
        <f>IF($J149=1,INDEX('큐펫&amp;몹 정리(최신)'!P:P,MATCH($E149,'큐펫&amp;몹 정리(최신)'!$B:$B,0))*20,IF($J149=2,INDEX('큐펫&amp;몹 정리(최신)'!P:P,MATCH($E149,'큐펫&amp;몹 정리(최신)'!$B:$B,0))*25,IF($J149=3,INDEX('큐펫&amp;몹 정리(최신)'!P:P,MATCH($E149,'큐펫&amp;몹 정리(최신)'!$B:$B,0))*30,IF($J149=4,INDEX('큐펫&amp;몹 정리(최신)'!P:P,MATCH($E149,'큐펫&amp;몹 정리(최신)'!$B:$B,0))*35,INDEX('큐펫&amp;몹 정리(최신)'!P:P,MATCH($E149,'큐펫&amp;몹 정리(최신)'!$B:$B,0))*40))))</f>
        <v>1320</v>
      </c>
      <c r="L149" s="190">
        <f>IF($J149=1,INDEX('큐펫&amp;몹 정리(최신)'!Q:Q,MATCH($E149,'큐펫&amp;몹 정리(최신)'!$B:$B,0))*20,IF($J149=2,INDEX('큐펫&amp;몹 정리(최신)'!Q:Q,MATCH($E149,'큐펫&amp;몹 정리(최신)'!$B:$B,0))*25,IF($J149=3,INDEX('큐펫&amp;몹 정리(최신)'!Q:Q,MATCH($E149,'큐펫&amp;몹 정리(최신)'!$B:$B,0))*30,IF($J149=4,INDEX('큐펫&amp;몹 정리(최신)'!Q:Q,MATCH($E149,'큐펫&amp;몹 정리(최신)'!$B:$B,0))*35,INDEX('큐펫&amp;몹 정리(최신)'!Q:Q,MATCH($E149,'큐펫&amp;몹 정리(최신)'!$B:$B,0))*40))))</f>
        <v>120</v>
      </c>
      <c r="M149" s="190">
        <f>IF($J149=1,INDEX('큐펫&amp;몹 정리(최신)'!R:R,MATCH($E149,'큐펫&amp;몹 정리(최신)'!$B:$B,0))*20,IF($J149=2,INDEX('큐펫&amp;몹 정리(최신)'!R:R,MATCH($E149,'큐펫&amp;몹 정리(최신)'!$B:$B,0))*25,IF($J149=3,INDEX('큐펫&amp;몹 정리(최신)'!R:R,MATCH($E149,'큐펫&amp;몹 정리(최신)'!$B:$B,0))*30,IF($J149=4,INDEX('큐펫&amp;몹 정리(최신)'!R:R,MATCH($E149,'큐펫&amp;몹 정리(최신)'!$B:$B,0))*35,INDEX('큐펫&amp;몹 정리(최신)'!R:R,MATCH($E149,'큐펫&amp;몹 정리(최신)'!$B:$B,0))*40))))</f>
        <v>660</v>
      </c>
      <c r="N149" s="190">
        <f>IF($J149=1,INDEX('큐펫&amp;몹 정리(최신)'!S:S,MATCH($E149,'큐펫&amp;몹 정리(최신)'!$B:$B,0))*20,IF($J149=2,INDEX('큐펫&amp;몹 정리(최신)'!S:S,MATCH($E149,'큐펫&amp;몹 정리(최신)'!$B:$B,0))*25,IF($J149=3,INDEX('큐펫&amp;몹 정리(최신)'!S:S,MATCH($E149,'큐펫&amp;몹 정리(최신)'!$B:$B,0))*30,IF($J149=4,INDEX('큐펫&amp;몹 정리(최신)'!S:S,MATCH($E149,'큐펫&amp;몹 정리(최신)'!$B:$B,0))*35,INDEX('큐펫&amp;몹 정리(최신)'!S:S,MATCH($E149,'큐펫&amp;몹 정리(최신)'!$B:$B,0))*40))))</f>
        <v>330</v>
      </c>
      <c r="O149" s="190">
        <f>IF($J149=1,INDEX('큐펫&amp;몹 정리(최신)'!T:T,MATCH($E149,'큐펫&amp;몹 정리(최신)'!$B:$B,0))*20,IF($J149=2,INDEX('큐펫&amp;몹 정리(최신)'!T:T,MATCH($E149,'큐펫&amp;몹 정리(최신)'!$B:$B,0))*25,IF($J149=3,INDEX('큐펫&amp;몹 정리(최신)'!T:T,MATCH($E149,'큐펫&amp;몹 정리(최신)'!$B:$B,0))*30,IF($J149=4,INDEX('큐펫&amp;몹 정리(최신)'!T:T,MATCH($E149,'큐펫&amp;몹 정리(최신)'!$B:$B,0))*35,INDEX('큐펫&amp;몹 정리(최신)'!T:T,MATCH($E149,'큐펫&amp;몹 정리(최신)'!$B:$B,0))*40))))</f>
        <v>570</v>
      </c>
      <c r="P149" s="217">
        <v>60</v>
      </c>
      <c r="Q149" s="217">
        <f t="shared" si="16"/>
        <v>139656</v>
      </c>
      <c r="R149" s="217">
        <f t="shared" si="17"/>
        <v>1041</v>
      </c>
      <c r="S149" s="217">
        <f t="shared" si="18"/>
        <v>1498</v>
      </c>
      <c r="T149" s="217">
        <f t="shared" si="19"/>
        <v>26363</v>
      </c>
      <c r="U149" s="217">
        <f t="shared" si="20"/>
        <v>21131</v>
      </c>
      <c r="V149" s="217">
        <f t="shared" si="21"/>
        <v>18303</v>
      </c>
      <c r="W149" s="217">
        <f>ROUND(AC149+(INDEX(Ref!B$1:B$9,MATCH($AI149,Ref!$A$1:$A$9,0))*P149*0.0001),)</f>
        <v>28</v>
      </c>
      <c r="X149" s="217">
        <f>ROUND(AD149+(INDEX(Ref!C$1:C$9,MATCH($AI149,Ref!$A$1:$A$9,0))*$P149*0.0001),)</f>
        <v>40</v>
      </c>
      <c r="Y149" s="217">
        <f>ROUND(AE149+(INDEX(Ref!D$1:D$9,MATCH($AI149,Ref!$A$1:$A$9,0))*$P149*0.0001),)</f>
        <v>68</v>
      </c>
      <c r="Z149" s="217">
        <f>ROUND(AF149+(INDEX(Ref!E$1:E$9,MATCH($AI149,Ref!$A$1:$A$9,0))*$P149*0.0001),)</f>
        <v>63</v>
      </c>
      <c r="AA149" s="217">
        <f>ROUND(AG149+(INDEX(Ref!F$1:F$9,MATCH($AI149,Ref!$A$1:$A$9,0))*$P149*0.0001),)</f>
        <v>34</v>
      </c>
      <c r="AB149" s="217">
        <f>ROUND(AH149+(INDEX(Ref!G$1:G$9,MATCH($AI149,Ref!$A$1:$A$9,0))*$P149*0.0001),)</f>
        <v>31</v>
      </c>
      <c r="AC149" s="137">
        <v>21</v>
      </c>
      <c r="AD149" s="137">
        <v>30</v>
      </c>
      <c r="AE149" s="137">
        <v>56</v>
      </c>
      <c r="AF149" s="137">
        <v>48.000000000000007</v>
      </c>
      <c r="AG149" s="137">
        <v>26</v>
      </c>
      <c r="AH149" s="137">
        <v>23</v>
      </c>
      <c r="AI149" s="208">
        <v>2</v>
      </c>
      <c r="AJ149" s="172">
        <v>3000</v>
      </c>
      <c r="AK149" s="172">
        <v>30176</v>
      </c>
      <c r="AL149" s="172">
        <v>2000</v>
      </c>
      <c r="AM149" s="172">
        <v>30179</v>
      </c>
      <c r="AN149" s="172">
        <v>0</v>
      </c>
      <c r="AO149" s="172">
        <f t="shared" si="22"/>
        <v>34176</v>
      </c>
      <c r="AP149" s="172">
        <v>0</v>
      </c>
      <c r="AQ149" s="172">
        <f t="shared" si="23"/>
        <v>34179</v>
      </c>
      <c r="AR149" s="172">
        <v>1</v>
      </c>
      <c r="AS149" s="172">
        <v>0</v>
      </c>
      <c r="AT149" s="199">
        <v>78030</v>
      </c>
      <c r="AU149" s="195" t="s">
        <v>168</v>
      </c>
    </row>
    <row r="150" spans="1:47" x14ac:dyDescent="0.2">
      <c r="A150" s="173">
        <v>55030</v>
      </c>
      <c r="B150" s="175" t="s">
        <v>1037</v>
      </c>
      <c r="C150" s="172">
        <v>86030</v>
      </c>
      <c r="D150" s="172">
        <v>150030</v>
      </c>
      <c r="E150" s="206" t="s">
        <v>167</v>
      </c>
      <c r="F150" s="207">
        <v>10</v>
      </c>
      <c r="G150" s="173">
        <v>11500</v>
      </c>
      <c r="H150" s="173">
        <v>9500</v>
      </c>
      <c r="I150" s="172">
        <v>10000</v>
      </c>
      <c r="J150" s="172">
        <v>4</v>
      </c>
      <c r="K150" s="190">
        <f>IF($J150=1,INDEX('큐펫&amp;몹 정리(최신)'!P:P,MATCH($E150,'큐펫&amp;몹 정리(최신)'!$B:$B,0))*20,IF($J150=2,INDEX('큐펫&amp;몹 정리(최신)'!P:P,MATCH($E150,'큐펫&amp;몹 정리(최신)'!$B:$B,0))*25,IF($J150=3,INDEX('큐펫&amp;몹 정리(최신)'!P:P,MATCH($E150,'큐펫&amp;몹 정리(최신)'!$B:$B,0))*30,IF($J150=4,INDEX('큐펫&amp;몹 정리(최신)'!P:P,MATCH($E150,'큐펫&amp;몹 정리(최신)'!$B:$B,0))*35,INDEX('큐펫&amp;몹 정리(최신)'!P:P,MATCH($E150,'큐펫&amp;몹 정리(최신)'!$B:$B,0))*40))))</f>
        <v>1540</v>
      </c>
      <c r="L150" s="190">
        <f>IF($J150=1,INDEX('큐펫&amp;몹 정리(최신)'!Q:Q,MATCH($E150,'큐펫&amp;몹 정리(최신)'!$B:$B,0))*20,IF($J150=2,INDEX('큐펫&amp;몹 정리(최신)'!Q:Q,MATCH($E150,'큐펫&amp;몹 정리(최신)'!$B:$B,0))*25,IF($J150=3,INDEX('큐펫&amp;몹 정리(최신)'!Q:Q,MATCH($E150,'큐펫&amp;몹 정리(최신)'!$B:$B,0))*30,IF($J150=4,INDEX('큐펫&amp;몹 정리(최신)'!Q:Q,MATCH($E150,'큐펫&amp;몹 정리(최신)'!$B:$B,0))*35,INDEX('큐펫&amp;몹 정리(최신)'!Q:Q,MATCH($E150,'큐펫&amp;몹 정리(최신)'!$B:$B,0))*40))))</f>
        <v>140</v>
      </c>
      <c r="M150" s="190">
        <f>IF($J150=1,INDEX('큐펫&amp;몹 정리(최신)'!R:R,MATCH($E150,'큐펫&amp;몹 정리(최신)'!$B:$B,0))*20,IF($J150=2,INDEX('큐펫&amp;몹 정리(최신)'!R:R,MATCH($E150,'큐펫&amp;몹 정리(최신)'!$B:$B,0))*25,IF($J150=3,INDEX('큐펫&amp;몹 정리(최신)'!R:R,MATCH($E150,'큐펫&amp;몹 정리(최신)'!$B:$B,0))*30,IF($J150=4,INDEX('큐펫&amp;몹 정리(최신)'!R:R,MATCH($E150,'큐펫&amp;몹 정리(최신)'!$B:$B,0))*35,INDEX('큐펫&amp;몹 정리(최신)'!R:R,MATCH($E150,'큐펫&amp;몹 정리(최신)'!$B:$B,0))*40))))</f>
        <v>770</v>
      </c>
      <c r="N150" s="190">
        <f>IF($J150=1,INDEX('큐펫&amp;몹 정리(최신)'!S:S,MATCH($E150,'큐펫&amp;몹 정리(최신)'!$B:$B,0))*20,IF($J150=2,INDEX('큐펫&amp;몹 정리(최신)'!S:S,MATCH($E150,'큐펫&amp;몹 정리(최신)'!$B:$B,0))*25,IF($J150=3,INDEX('큐펫&amp;몹 정리(최신)'!S:S,MATCH($E150,'큐펫&amp;몹 정리(최신)'!$B:$B,0))*30,IF($J150=4,INDEX('큐펫&amp;몹 정리(최신)'!S:S,MATCH($E150,'큐펫&amp;몹 정리(최신)'!$B:$B,0))*35,INDEX('큐펫&amp;몹 정리(최신)'!S:S,MATCH($E150,'큐펫&amp;몹 정리(최신)'!$B:$B,0))*40))))</f>
        <v>385</v>
      </c>
      <c r="O150" s="190">
        <f>IF($J150=1,INDEX('큐펫&amp;몹 정리(최신)'!T:T,MATCH($E150,'큐펫&amp;몹 정리(최신)'!$B:$B,0))*20,IF($J150=2,INDEX('큐펫&amp;몹 정리(최신)'!T:T,MATCH($E150,'큐펫&amp;몹 정리(최신)'!$B:$B,0))*25,IF($J150=3,INDEX('큐펫&amp;몹 정리(최신)'!T:T,MATCH($E150,'큐펫&amp;몹 정리(최신)'!$B:$B,0))*30,IF($J150=4,INDEX('큐펫&amp;몹 정리(최신)'!T:T,MATCH($E150,'큐펫&amp;몹 정리(최신)'!$B:$B,0))*35,INDEX('큐펫&amp;몹 정리(최신)'!T:T,MATCH($E150,'큐펫&amp;몹 정리(최신)'!$B:$B,0))*40))))</f>
        <v>665</v>
      </c>
      <c r="P150" s="217">
        <v>80</v>
      </c>
      <c r="Q150" s="217">
        <f t="shared" si="16"/>
        <v>224532</v>
      </c>
      <c r="R150" s="217">
        <f t="shared" si="17"/>
        <v>1743</v>
      </c>
      <c r="S150" s="217">
        <f t="shared" si="18"/>
        <v>2263</v>
      </c>
      <c r="T150" s="217">
        <f t="shared" si="19"/>
        <v>41233</v>
      </c>
      <c r="U150" s="217">
        <f t="shared" si="20"/>
        <v>30042</v>
      </c>
      <c r="V150" s="217">
        <f t="shared" si="21"/>
        <v>26008</v>
      </c>
      <c r="W150" s="217">
        <f>ROUND(AC150+(INDEX(Ref!B$1:B$9,MATCH($AI150,Ref!$A$1:$A$9,0))*P150*0.0001),)</f>
        <v>34</v>
      </c>
      <c r="X150" s="217">
        <f>ROUND(AD150+(INDEX(Ref!C$1:C$9,MATCH($AI150,Ref!$A$1:$A$9,0))*$P150*0.0001),)</f>
        <v>46</v>
      </c>
      <c r="Y150" s="217">
        <f>ROUND(AE150+(INDEX(Ref!D$1:D$9,MATCH($AI150,Ref!$A$1:$A$9,0))*$P150*0.0001),)</f>
        <v>76</v>
      </c>
      <c r="Z150" s="217">
        <f>ROUND(AF150+(INDEX(Ref!E$1:E$9,MATCH($AI150,Ref!$A$1:$A$9,0))*$P150*0.0001),)</f>
        <v>73</v>
      </c>
      <c r="AA150" s="217">
        <f>ROUND(AG150+(INDEX(Ref!F$1:F$9,MATCH($AI150,Ref!$A$1:$A$9,0))*$P150*0.0001),)</f>
        <v>39</v>
      </c>
      <c r="AB150" s="217">
        <f>ROUND(AH150+(INDEX(Ref!G$1:G$9,MATCH($AI150,Ref!$A$1:$A$9,0))*$P150*0.0001),)</f>
        <v>36</v>
      </c>
      <c r="AC150" s="137">
        <v>24</v>
      </c>
      <c r="AD150" s="137">
        <v>33</v>
      </c>
      <c r="AE150" s="137">
        <v>60</v>
      </c>
      <c r="AF150" s="137">
        <v>53</v>
      </c>
      <c r="AG150" s="137">
        <v>28</v>
      </c>
      <c r="AH150" s="137">
        <v>26</v>
      </c>
      <c r="AI150" s="208">
        <v>2</v>
      </c>
      <c r="AJ150" s="172">
        <v>3000</v>
      </c>
      <c r="AK150" s="172">
        <v>30177</v>
      </c>
      <c r="AL150" s="172">
        <v>2000</v>
      </c>
      <c r="AM150" s="172">
        <v>30179</v>
      </c>
      <c r="AN150" s="172">
        <v>0</v>
      </c>
      <c r="AO150" s="172">
        <f t="shared" si="22"/>
        <v>34177</v>
      </c>
      <c r="AP150" s="172">
        <v>0</v>
      </c>
      <c r="AQ150" s="172">
        <f t="shared" si="23"/>
        <v>34179</v>
      </c>
      <c r="AR150" s="172">
        <v>1</v>
      </c>
      <c r="AS150" s="172">
        <v>0</v>
      </c>
      <c r="AT150" s="199">
        <v>78030</v>
      </c>
      <c r="AU150" s="195" t="s">
        <v>168</v>
      </c>
    </row>
    <row r="151" spans="1:47" x14ac:dyDescent="0.2">
      <c r="A151" s="173">
        <v>55030</v>
      </c>
      <c r="B151" s="175" t="s">
        <v>1037</v>
      </c>
      <c r="C151" s="172">
        <v>86030</v>
      </c>
      <c r="D151" s="172">
        <v>150030</v>
      </c>
      <c r="E151" s="206" t="s">
        <v>167</v>
      </c>
      <c r="F151" s="207">
        <v>10</v>
      </c>
      <c r="G151" s="173">
        <v>11500</v>
      </c>
      <c r="H151" s="173">
        <v>9500</v>
      </c>
      <c r="I151" s="172">
        <v>10000</v>
      </c>
      <c r="J151" s="172">
        <v>5</v>
      </c>
      <c r="K151" s="190">
        <f>IF($J151=1,INDEX('큐펫&amp;몹 정리(최신)'!P:P,MATCH($E151,'큐펫&amp;몹 정리(최신)'!$B:$B,0))*20,IF($J151=2,INDEX('큐펫&amp;몹 정리(최신)'!P:P,MATCH($E151,'큐펫&amp;몹 정리(최신)'!$B:$B,0))*25,IF($J151=3,INDEX('큐펫&amp;몹 정리(최신)'!P:P,MATCH($E151,'큐펫&amp;몹 정리(최신)'!$B:$B,0))*30,IF($J151=4,INDEX('큐펫&amp;몹 정리(최신)'!P:P,MATCH($E151,'큐펫&amp;몹 정리(최신)'!$B:$B,0))*35,INDEX('큐펫&amp;몹 정리(최신)'!P:P,MATCH($E151,'큐펫&amp;몹 정리(최신)'!$B:$B,0))*40))))</f>
        <v>1760</v>
      </c>
      <c r="L151" s="190">
        <f>IF($J151=1,INDEX('큐펫&amp;몹 정리(최신)'!Q:Q,MATCH($E151,'큐펫&amp;몹 정리(최신)'!$B:$B,0))*20,IF($J151=2,INDEX('큐펫&amp;몹 정리(최신)'!Q:Q,MATCH($E151,'큐펫&amp;몹 정리(최신)'!$B:$B,0))*25,IF($J151=3,INDEX('큐펫&amp;몹 정리(최신)'!Q:Q,MATCH($E151,'큐펫&amp;몹 정리(최신)'!$B:$B,0))*30,IF($J151=4,INDEX('큐펫&amp;몹 정리(최신)'!Q:Q,MATCH($E151,'큐펫&amp;몹 정리(최신)'!$B:$B,0))*35,INDEX('큐펫&amp;몹 정리(최신)'!Q:Q,MATCH($E151,'큐펫&amp;몹 정리(최신)'!$B:$B,0))*40))))</f>
        <v>160</v>
      </c>
      <c r="M151" s="190">
        <f>IF($J151=1,INDEX('큐펫&amp;몹 정리(최신)'!R:R,MATCH($E151,'큐펫&amp;몹 정리(최신)'!$B:$B,0))*20,IF($J151=2,INDEX('큐펫&amp;몹 정리(최신)'!R:R,MATCH($E151,'큐펫&amp;몹 정리(최신)'!$B:$B,0))*25,IF($J151=3,INDEX('큐펫&amp;몹 정리(최신)'!R:R,MATCH($E151,'큐펫&amp;몹 정리(최신)'!$B:$B,0))*30,IF($J151=4,INDEX('큐펫&amp;몹 정리(최신)'!R:R,MATCH($E151,'큐펫&amp;몹 정리(최신)'!$B:$B,0))*35,INDEX('큐펫&amp;몹 정리(최신)'!R:R,MATCH($E151,'큐펫&amp;몹 정리(최신)'!$B:$B,0))*40))))</f>
        <v>880</v>
      </c>
      <c r="N151" s="190">
        <f>IF($J151=1,INDEX('큐펫&amp;몹 정리(최신)'!S:S,MATCH($E151,'큐펫&amp;몹 정리(최신)'!$B:$B,0))*20,IF($J151=2,INDEX('큐펫&amp;몹 정리(최신)'!S:S,MATCH($E151,'큐펫&amp;몹 정리(최신)'!$B:$B,0))*25,IF($J151=3,INDEX('큐펫&amp;몹 정리(최신)'!S:S,MATCH($E151,'큐펫&amp;몹 정리(최신)'!$B:$B,0))*30,IF($J151=4,INDEX('큐펫&amp;몹 정리(최신)'!S:S,MATCH($E151,'큐펫&amp;몹 정리(최신)'!$B:$B,0))*35,INDEX('큐펫&amp;몹 정리(최신)'!S:S,MATCH($E151,'큐펫&amp;몹 정리(최신)'!$B:$B,0))*40))))</f>
        <v>440</v>
      </c>
      <c r="O151" s="190">
        <f>IF($J151=1,INDEX('큐펫&amp;몹 정리(최신)'!T:T,MATCH($E151,'큐펫&amp;몹 정리(최신)'!$B:$B,0))*20,IF($J151=2,INDEX('큐펫&amp;몹 정리(최신)'!T:T,MATCH($E151,'큐펫&amp;몹 정리(최신)'!$B:$B,0))*25,IF($J151=3,INDEX('큐펫&amp;몹 정리(최신)'!T:T,MATCH($E151,'큐펫&amp;몹 정리(최신)'!$B:$B,0))*30,IF($J151=4,INDEX('큐펫&amp;몹 정리(최신)'!T:T,MATCH($E151,'큐펫&amp;몹 정리(최신)'!$B:$B,0))*35,INDEX('큐펫&amp;몹 정리(최신)'!T:T,MATCH($E151,'큐펫&amp;몹 정리(최신)'!$B:$B,0))*40))))</f>
        <v>760</v>
      </c>
      <c r="P151" s="217">
        <v>100</v>
      </c>
      <c r="Q151" s="217">
        <f t="shared" si="16"/>
        <v>332640</v>
      </c>
      <c r="R151" s="217">
        <f t="shared" si="17"/>
        <v>2456</v>
      </c>
      <c r="S151" s="217">
        <f t="shared" si="18"/>
        <v>3397</v>
      </c>
      <c r="T151" s="217">
        <f t="shared" si="19"/>
        <v>60855</v>
      </c>
      <c r="U151" s="217">
        <f t="shared" si="20"/>
        <v>40494</v>
      </c>
      <c r="V151" s="217">
        <f t="shared" si="21"/>
        <v>35043</v>
      </c>
      <c r="W151" s="217">
        <f>ROUND(AC151+(INDEX(Ref!B$1:B$9,MATCH($AI151,Ref!$A$1:$A$9,0))*P151*0.0001),)</f>
        <v>38</v>
      </c>
      <c r="X151" s="217">
        <f>ROUND(AD151+(INDEX(Ref!C$1:C$9,MATCH($AI151,Ref!$A$1:$A$9,0))*$P151*0.0001),)</f>
        <v>52</v>
      </c>
      <c r="Y151" s="217">
        <f>ROUND(AE151+(INDEX(Ref!D$1:D$9,MATCH($AI151,Ref!$A$1:$A$9,0))*$P151*0.0001),)</f>
        <v>84</v>
      </c>
      <c r="Z151" s="217">
        <f>ROUND(AF151+(INDEX(Ref!E$1:E$9,MATCH($AI151,Ref!$A$1:$A$9,0))*$P151*0.0001),)</f>
        <v>83</v>
      </c>
      <c r="AA151" s="217">
        <f>ROUND(AG151+(INDEX(Ref!F$1:F$9,MATCH($AI151,Ref!$A$1:$A$9,0))*$P151*0.0001),)</f>
        <v>45</v>
      </c>
      <c r="AB151" s="217">
        <f>ROUND(AH151+(INDEX(Ref!G$1:G$9,MATCH($AI151,Ref!$A$1:$A$9,0))*$P151*0.0001),)</f>
        <v>42</v>
      </c>
      <c r="AC151" s="137">
        <v>26</v>
      </c>
      <c r="AD151" s="137">
        <v>36</v>
      </c>
      <c r="AE151" s="137">
        <v>64</v>
      </c>
      <c r="AF151" s="137">
        <v>58.000000000000007</v>
      </c>
      <c r="AG151" s="137">
        <v>31</v>
      </c>
      <c r="AH151" s="137">
        <v>29</v>
      </c>
      <c r="AI151" s="208">
        <v>2</v>
      </c>
      <c r="AJ151" s="172">
        <v>3000</v>
      </c>
      <c r="AK151" s="172">
        <v>30177</v>
      </c>
      <c r="AL151" s="172">
        <v>2000</v>
      </c>
      <c r="AM151" s="172">
        <v>30180</v>
      </c>
      <c r="AN151" s="172">
        <v>0</v>
      </c>
      <c r="AO151" s="172">
        <f t="shared" si="22"/>
        <v>34177</v>
      </c>
      <c r="AP151" s="172">
        <v>0</v>
      </c>
      <c r="AQ151" s="172">
        <f t="shared" si="23"/>
        <v>34180</v>
      </c>
      <c r="AR151" s="172">
        <v>1</v>
      </c>
      <c r="AS151" s="172">
        <v>0</v>
      </c>
      <c r="AT151" s="199">
        <v>78030</v>
      </c>
      <c r="AU151" s="195" t="s">
        <v>168</v>
      </c>
    </row>
    <row r="152" spans="1:47" x14ac:dyDescent="0.2">
      <c r="A152" s="173">
        <v>55031</v>
      </c>
      <c r="B152" s="176" t="s">
        <v>1038</v>
      </c>
      <c r="C152" s="172">
        <v>86031</v>
      </c>
      <c r="D152" s="172">
        <v>150031</v>
      </c>
      <c r="E152" s="206" t="s">
        <v>996</v>
      </c>
      <c r="F152" s="207">
        <v>10</v>
      </c>
      <c r="G152" s="173">
        <v>11500</v>
      </c>
      <c r="H152" s="173">
        <v>9500</v>
      </c>
      <c r="I152" s="172">
        <v>10000</v>
      </c>
      <c r="J152" s="172">
        <v>1</v>
      </c>
      <c r="K152" s="190">
        <f>IF($J152=1,INDEX('큐펫&amp;몹 정리(최신)'!P:P,MATCH($E152,'큐펫&amp;몹 정리(최신)'!$B:$B,0))*20,IF($J152=2,INDEX('큐펫&amp;몹 정리(최신)'!P:P,MATCH($E152,'큐펫&amp;몹 정리(최신)'!$B:$B,0))*25,IF($J152=3,INDEX('큐펫&amp;몹 정리(최신)'!P:P,MATCH($E152,'큐펫&amp;몹 정리(최신)'!$B:$B,0))*30,IF($J152=4,INDEX('큐펫&amp;몹 정리(최신)'!P:P,MATCH($E152,'큐펫&amp;몹 정리(최신)'!$B:$B,0))*35,INDEX('큐펫&amp;몹 정리(최신)'!P:P,MATCH($E152,'큐펫&amp;몹 정리(최신)'!$B:$B,0))*40))))</f>
        <v>900</v>
      </c>
      <c r="L152" s="190">
        <f>IF($J152=1,INDEX('큐펫&amp;몹 정리(최신)'!Q:Q,MATCH($E152,'큐펫&amp;몹 정리(최신)'!$B:$B,0))*20,IF($J152=2,INDEX('큐펫&amp;몹 정리(최신)'!Q:Q,MATCH($E152,'큐펫&amp;몹 정리(최신)'!$B:$B,0))*25,IF($J152=3,INDEX('큐펫&amp;몹 정리(최신)'!Q:Q,MATCH($E152,'큐펫&amp;몹 정리(최신)'!$B:$B,0))*30,IF($J152=4,INDEX('큐펫&amp;몹 정리(최신)'!Q:Q,MATCH($E152,'큐펫&amp;몹 정리(최신)'!$B:$B,0))*35,INDEX('큐펫&amp;몹 정리(최신)'!Q:Q,MATCH($E152,'큐펫&amp;몹 정리(최신)'!$B:$B,0))*40))))</f>
        <v>440</v>
      </c>
      <c r="M152" s="190">
        <f>IF($J152=1,INDEX('큐펫&amp;몹 정리(최신)'!R:R,MATCH($E152,'큐펫&amp;몹 정리(최신)'!$B:$B,0))*20,IF($J152=2,INDEX('큐펫&amp;몹 정리(최신)'!R:R,MATCH($E152,'큐펫&amp;몹 정리(최신)'!$B:$B,0))*25,IF($J152=3,INDEX('큐펫&amp;몹 정리(최신)'!R:R,MATCH($E152,'큐펫&amp;몹 정리(최신)'!$B:$B,0))*30,IF($J152=4,INDEX('큐펫&amp;몹 정리(최신)'!R:R,MATCH($E152,'큐펫&amp;몹 정리(최신)'!$B:$B,0))*35,INDEX('큐펫&amp;몹 정리(최신)'!R:R,MATCH($E152,'큐펫&amp;몹 정리(최신)'!$B:$B,0))*40))))</f>
        <v>80</v>
      </c>
      <c r="N152" s="190">
        <f>IF($J152=1,INDEX('큐펫&amp;몹 정리(최신)'!S:S,MATCH($E152,'큐펫&amp;몹 정리(최신)'!$B:$B,0))*20,IF($J152=2,INDEX('큐펫&amp;몹 정리(최신)'!S:S,MATCH($E152,'큐펫&amp;몹 정리(최신)'!$B:$B,0))*25,IF($J152=3,INDEX('큐펫&amp;몹 정리(최신)'!S:S,MATCH($E152,'큐펫&amp;몹 정리(최신)'!$B:$B,0))*30,IF($J152=4,INDEX('큐펫&amp;몹 정리(최신)'!S:S,MATCH($E152,'큐펫&amp;몹 정리(최신)'!$B:$B,0))*35,INDEX('큐펫&amp;몹 정리(최신)'!S:S,MATCH($E152,'큐펫&amp;몹 정리(최신)'!$B:$B,0))*40))))</f>
        <v>280</v>
      </c>
      <c r="O152" s="190">
        <f>IF($J152=1,INDEX('큐펫&amp;몹 정리(최신)'!T:T,MATCH($E152,'큐펫&amp;몹 정리(최신)'!$B:$B,0))*20,IF($J152=2,INDEX('큐펫&amp;몹 정리(최신)'!T:T,MATCH($E152,'큐펫&amp;몹 정리(최신)'!$B:$B,0))*25,IF($J152=3,INDEX('큐펫&amp;몹 정리(최신)'!T:T,MATCH($E152,'큐펫&amp;몹 정리(최신)'!$B:$B,0))*30,IF($J152=4,INDEX('큐펫&amp;몹 정리(최신)'!T:T,MATCH($E152,'큐펫&amp;몹 정리(최신)'!$B:$B,0))*35,INDEX('큐펫&amp;몹 정리(최신)'!T:T,MATCH($E152,'큐펫&amp;몹 정리(최신)'!$B:$B,0))*40))))</f>
        <v>300</v>
      </c>
      <c r="P152" s="217">
        <v>20</v>
      </c>
      <c r="Q152" s="217">
        <f t="shared" si="16"/>
        <v>31860</v>
      </c>
      <c r="R152" s="217">
        <f t="shared" si="17"/>
        <v>8241</v>
      </c>
      <c r="S152" s="217">
        <f t="shared" si="18"/>
        <v>2398</v>
      </c>
      <c r="T152" s="217">
        <f t="shared" si="19"/>
        <v>344</v>
      </c>
      <c r="U152" s="217">
        <f t="shared" si="20"/>
        <v>10092</v>
      </c>
      <c r="V152" s="217">
        <f t="shared" si="21"/>
        <v>5419</v>
      </c>
      <c r="W152" s="217">
        <f>ROUND(AC152+(INDEX(Ref!B$1:B$9,MATCH($AI152,Ref!$A$1:$A$9,0))*P152*0.0001),)</f>
        <v>43</v>
      </c>
      <c r="X152" s="217">
        <f>ROUND(AD152+(INDEX(Ref!C$1:C$9,MATCH($AI152,Ref!$A$1:$A$9,0))*$P152*0.0001),)</f>
        <v>26</v>
      </c>
      <c r="Y152" s="217">
        <f>ROUND(AE152+(INDEX(Ref!D$1:D$9,MATCH($AI152,Ref!$A$1:$A$9,0))*$P152*0.0001),)</f>
        <v>52</v>
      </c>
      <c r="Z152" s="217">
        <f>ROUND(AF152+(INDEX(Ref!E$1:E$9,MATCH($AI152,Ref!$A$1:$A$9,0))*$P152*0.0001),)</f>
        <v>19</v>
      </c>
      <c r="AA152" s="217">
        <f>ROUND(AG152+(INDEX(Ref!F$1:F$9,MATCH($AI152,Ref!$A$1:$A$9,0))*$P152*0.0001),)</f>
        <v>23</v>
      </c>
      <c r="AB152" s="217">
        <f>ROUND(AH152+(INDEX(Ref!G$1:G$9,MATCH($AI152,Ref!$A$1:$A$9,0))*$P152*0.0001),)</f>
        <v>21</v>
      </c>
      <c r="AC152" s="137">
        <v>38</v>
      </c>
      <c r="AD152" s="137">
        <v>23</v>
      </c>
      <c r="AE152" s="137">
        <v>48</v>
      </c>
      <c r="AF152" s="137">
        <v>17</v>
      </c>
      <c r="AG152" s="137">
        <v>20</v>
      </c>
      <c r="AH152" s="137">
        <v>18</v>
      </c>
      <c r="AI152" s="208">
        <v>1</v>
      </c>
      <c r="AJ152" s="172">
        <v>3000</v>
      </c>
      <c r="AK152" s="172">
        <v>30181</v>
      </c>
      <c r="AL152" s="172">
        <v>2000</v>
      </c>
      <c r="AM152" s="172">
        <v>30184</v>
      </c>
      <c r="AN152" s="172">
        <v>0</v>
      </c>
      <c r="AO152" s="172">
        <f t="shared" si="22"/>
        <v>34181</v>
      </c>
      <c r="AP152" s="172">
        <v>0</v>
      </c>
      <c r="AQ152" s="172">
        <f t="shared" si="23"/>
        <v>34184</v>
      </c>
      <c r="AR152" s="172">
        <v>1</v>
      </c>
      <c r="AS152" s="172">
        <v>0</v>
      </c>
      <c r="AT152" s="199">
        <v>78031</v>
      </c>
      <c r="AU152" s="195" t="s">
        <v>169</v>
      </c>
    </row>
    <row r="153" spans="1:47" x14ac:dyDescent="0.2">
      <c r="A153" s="173">
        <v>55031</v>
      </c>
      <c r="B153" s="176" t="s">
        <v>1038</v>
      </c>
      <c r="C153" s="172">
        <v>86031</v>
      </c>
      <c r="D153" s="172">
        <v>150031</v>
      </c>
      <c r="E153" s="206" t="s">
        <v>996</v>
      </c>
      <c r="F153" s="207">
        <v>10</v>
      </c>
      <c r="G153" s="173">
        <v>11500</v>
      </c>
      <c r="H153" s="173">
        <v>9500</v>
      </c>
      <c r="I153" s="172">
        <v>10000</v>
      </c>
      <c r="J153" s="172">
        <v>2</v>
      </c>
      <c r="K153" s="190">
        <f>IF($J153=1,INDEX('큐펫&amp;몹 정리(최신)'!P:P,MATCH($E153,'큐펫&amp;몹 정리(최신)'!$B:$B,0))*20,IF($J153=2,INDEX('큐펫&amp;몹 정리(최신)'!P:P,MATCH($E153,'큐펫&amp;몹 정리(최신)'!$B:$B,0))*25,IF($J153=3,INDEX('큐펫&amp;몹 정리(최신)'!P:P,MATCH($E153,'큐펫&amp;몹 정리(최신)'!$B:$B,0))*30,IF($J153=4,INDEX('큐펫&amp;몹 정리(최신)'!P:P,MATCH($E153,'큐펫&amp;몹 정리(최신)'!$B:$B,0))*35,INDEX('큐펫&amp;몹 정리(최신)'!P:P,MATCH($E153,'큐펫&amp;몹 정리(최신)'!$B:$B,0))*40))))</f>
        <v>1125</v>
      </c>
      <c r="L153" s="190">
        <f>IF($J153=1,INDEX('큐펫&amp;몹 정리(최신)'!Q:Q,MATCH($E153,'큐펫&amp;몹 정리(최신)'!$B:$B,0))*20,IF($J153=2,INDEX('큐펫&amp;몹 정리(최신)'!Q:Q,MATCH($E153,'큐펫&amp;몹 정리(최신)'!$B:$B,0))*25,IF($J153=3,INDEX('큐펫&amp;몹 정리(최신)'!Q:Q,MATCH($E153,'큐펫&amp;몹 정리(최신)'!$B:$B,0))*30,IF($J153=4,INDEX('큐펫&amp;몹 정리(최신)'!Q:Q,MATCH($E153,'큐펫&amp;몹 정리(최신)'!$B:$B,0))*35,INDEX('큐펫&amp;몹 정리(최신)'!Q:Q,MATCH($E153,'큐펫&amp;몹 정리(최신)'!$B:$B,0))*40))))</f>
        <v>550</v>
      </c>
      <c r="M153" s="190">
        <f>IF($J153=1,INDEX('큐펫&amp;몹 정리(최신)'!R:R,MATCH($E153,'큐펫&amp;몹 정리(최신)'!$B:$B,0))*20,IF($J153=2,INDEX('큐펫&amp;몹 정리(최신)'!R:R,MATCH($E153,'큐펫&amp;몹 정리(최신)'!$B:$B,0))*25,IF($J153=3,INDEX('큐펫&amp;몹 정리(최신)'!R:R,MATCH($E153,'큐펫&amp;몹 정리(최신)'!$B:$B,0))*30,IF($J153=4,INDEX('큐펫&amp;몹 정리(최신)'!R:R,MATCH($E153,'큐펫&amp;몹 정리(최신)'!$B:$B,0))*35,INDEX('큐펫&amp;몹 정리(최신)'!R:R,MATCH($E153,'큐펫&amp;몹 정리(최신)'!$B:$B,0))*40))))</f>
        <v>100</v>
      </c>
      <c r="N153" s="190">
        <f>IF($J153=1,INDEX('큐펫&amp;몹 정리(최신)'!S:S,MATCH($E153,'큐펫&amp;몹 정리(최신)'!$B:$B,0))*20,IF($J153=2,INDEX('큐펫&amp;몹 정리(최신)'!S:S,MATCH($E153,'큐펫&amp;몹 정리(최신)'!$B:$B,0))*25,IF($J153=3,INDEX('큐펫&amp;몹 정리(최신)'!S:S,MATCH($E153,'큐펫&amp;몹 정리(최신)'!$B:$B,0))*30,IF($J153=4,INDEX('큐펫&amp;몹 정리(최신)'!S:S,MATCH($E153,'큐펫&amp;몹 정리(최신)'!$B:$B,0))*35,INDEX('큐펫&amp;몹 정리(최신)'!S:S,MATCH($E153,'큐펫&amp;몹 정리(최신)'!$B:$B,0))*40))))</f>
        <v>350</v>
      </c>
      <c r="O153" s="190">
        <f>IF($J153=1,INDEX('큐펫&amp;몹 정리(최신)'!T:T,MATCH($E153,'큐펫&amp;몹 정리(최신)'!$B:$B,0))*20,IF($J153=2,INDEX('큐펫&amp;몹 정리(최신)'!T:T,MATCH($E153,'큐펫&amp;몹 정리(최신)'!$B:$B,0))*25,IF($J153=3,INDEX('큐펫&amp;몹 정리(최신)'!T:T,MATCH($E153,'큐펫&amp;몹 정리(최신)'!$B:$B,0))*30,IF($J153=4,INDEX('큐펫&amp;몹 정리(최신)'!T:T,MATCH($E153,'큐펫&amp;몹 정리(최신)'!$B:$B,0))*35,INDEX('큐펫&amp;몹 정리(최신)'!T:T,MATCH($E153,'큐펫&amp;몹 정리(최신)'!$B:$B,0))*40))))</f>
        <v>375</v>
      </c>
      <c r="P153" s="217">
        <v>40</v>
      </c>
      <c r="Q153" s="217">
        <f t="shared" si="16"/>
        <v>77600</v>
      </c>
      <c r="R153" s="217">
        <f t="shared" si="17"/>
        <v>15587</v>
      </c>
      <c r="S153" s="217">
        <f t="shared" si="18"/>
        <v>4721</v>
      </c>
      <c r="T153" s="217">
        <f t="shared" si="19"/>
        <v>654</v>
      </c>
      <c r="U153" s="217">
        <f t="shared" si="20"/>
        <v>17516</v>
      </c>
      <c r="V153" s="217">
        <f t="shared" si="21"/>
        <v>9399</v>
      </c>
      <c r="W153" s="217">
        <f>ROUND(AC153+(INDEX(Ref!B$1:B$9,MATCH($AI153,Ref!$A$1:$A$9,0))*P153*0.0001),)</f>
        <v>53</v>
      </c>
      <c r="X153" s="217">
        <f>ROUND(AD153+(INDEX(Ref!C$1:C$9,MATCH($AI153,Ref!$A$1:$A$9,0))*$P153*0.0001),)</f>
        <v>32</v>
      </c>
      <c r="Y153" s="217">
        <f>ROUND(AE153+(INDEX(Ref!D$1:D$9,MATCH($AI153,Ref!$A$1:$A$9,0))*$P153*0.0001),)</f>
        <v>60</v>
      </c>
      <c r="Z153" s="217">
        <f>ROUND(AF153+(INDEX(Ref!E$1:E$9,MATCH($AI153,Ref!$A$1:$A$9,0))*$P153*0.0001),)</f>
        <v>24</v>
      </c>
      <c r="AA153" s="217">
        <f>ROUND(AG153+(INDEX(Ref!F$1:F$9,MATCH($AI153,Ref!$A$1:$A$9,0))*$P153*0.0001),)</f>
        <v>29</v>
      </c>
      <c r="AB153" s="217">
        <f>ROUND(AH153+(INDEX(Ref!G$1:G$9,MATCH($AI153,Ref!$A$1:$A$9,0))*$P153*0.0001),)</f>
        <v>26</v>
      </c>
      <c r="AC153" s="137">
        <v>43</v>
      </c>
      <c r="AD153" s="137">
        <v>26</v>
      </c>
      <c r="AE153" s="137">
        <v>52</v>
      </c>
      <c r="AF153" s="137">
        <v>19</v>
      </c>
      <c r="AG153" s="137">
        <v>23</v>
      </c>
      <c r="AH153" s="137">
        <v>21</v>
      </c>
      <c r="AI153" s="208">
        <v>1</v>
      </c>
      <c r="AJ153" s="172">
        <v>3000</v>
      </c>
      <c r="AK153" s="172">
        <v>30182</v>
      </c>
      <c r="AL153" s="172">
        <v>2000</v>
      </c>
      <c r="AM153" s="172">
        <v>30184</v>
      </c>
      <c r="AN153" s="172">
        <v>0</v>
      </c>
      <c r="AO153" s="172">
        <f t="shared" si="22"/>
        <v>34182</v>
      </c>
      <c r="AP153" s="172">
        <v>0</v>
      </c>
      <c r="AQ153" s="172">
        <f t="shared" si="23"/>
        <v>34184</v>
      </c>
      <c r="AR153" s="172">
        <v>1</v>
      </c>
      <c r="AS153" s="172">
        <v>0</v>
      </c>
      <c r="AT153" s="199">
        <v>78031</v>
      </c>
      <c r="AU153" s="195" t="s">
        <v>169</v>
      </c>
    </row>
    <row r="154" spans="1:47" x14ac:dyDescent="0.2">
      <c r="A154" s="173">
        <v>55031</v>
      </c>
      <c r="B154" s="176" t="s">
        <v>1038</v>
      </c>
      <c r="C154" s="172">
        <v>86031</v>
      </c>
      <c r="D154" s="172">
        <v>150031</v>
      </c>
      <c r="E154" s="206" t="s">
        <v>996</v>
      </c>
      <c r="F154" s="207">
        <v>10</v>
      </c>
      <c r="G154" s="173">
        <v>11500</v>
      </c>
      <c r="H154" s="173">
        <v>9500</v>
      </c>
      <c r="I154" s="172">
        <v>10000</v>
      </c>
      <c r="J154" s="172">
        <v>3</v>
      </c>
      <c r="K154" s="190">
        <f>IF($J154=1,INDEX('큐펫&amp;몹 정리(최신)'!P:P,MATCH($E154,'큐펫&amp;몹 정리(최신)'!$B:$B,0))*20,IF($J154=2,INDEX('큐펫&amp;몹 정리(최신)'!P:P,MATCH($E154,'큐펫&amp;몹 정리(최신)'!$B:$B,0))*25,IF($J154=3,INDEX('큐펫&amp;몹 정리(최신)'!P:P,MATCH($E154,'큐펫&amp;몹 정리(최신)'!$B:$B,0))*30,IF($J154=4,INDEX('큐펫&amp;몹 정리(최신)'!P:P,MATCH($E154,'큐펫&amp;몹 정리(최신)'!$B:$B,0))*35,INDEX('큐펫&amp;몹 정리(최신)'!P:P,MATCH($E154,'큐펫&amp;몹 정리(최신)'!$B:$B,0))*40))))</f>
        <v>1350</v>
      </c>
      <c r="L154" s="190">
        <f>IF($J154=1,INDEX('큐펫&amp;몹 정리(최신)'!Q:Q,MATCH($E154,'큐펫&amp;몹 정리(최신)'!$B:$B,0))*20,IF($J154=2,INDEX('큐펫&amp;몹 정리(최신)'!Q:Q,MATCH($E154,'큐펫&amp;몹 정리(최신)'!$B:$B,0))*25,IF($J154=3,INDEX('큐펫&amp;몹 정리(최신)'!Q:Q,MATCH($E154,'큐펫&amp;몹 정리(최신)'!$B:$B,0))*30,IF($J154=4,INDEX('큐펫&amp;몹 정리(최신)'!Q:Q,MATCH($E154,'큐펫&amp;몹 정리(최신)'!$B:$B,0))*35,INDEX('큐펫&amp;몹 정리(최신)'!Q:Q,MATCH($E154,'큐펫&amp;몹 정리(최신)'!$B:$B,0))*40))))</f>
        <v>660</v>
      </c>
      <c r="M154" s="190">
        <f>IF($J154=1,INDEX('큐펫&amp;몹 정리(최신)'!R:R,MATCH($E154,'큐펫&amp;몹 정리(최신)'!$B:$B,0))*20,IF($J154=2,INDEX('큐펫&amp;몹 정리(최신)'!R:R,MATCH($E154,'큐펫&amp;몹 정리(최신)'!$B:$B,0))*25,IF($J154=3,INDEX('큐펫&amp;몹 정리(최신)'!R:R,MATCH($E154,'큐펫&amp;몹 정리(최신)'!$B:$B,0))*30,IF($J154=4,INDEX('큐펫&amp;몹 정리(최신)'!R:R,MATCH($E154,'큐펫&amp;몹 정리(최신)'!$B:$B,0))*35,INDEX('큐펫&amp;몹 정리(최신)'!R:R,MATCH($E154,'큐펫&amp;몹 정리(최신)'!$B:$B,0))*40))))</f>
        <v>120</v>
      </c>
      <c r="N154" s="190">
        <f>IF($J154=1,INDEX('큐펫&amp;몹 정리(최신)'!S:S,MATCH($E154,'큐펫&amp;몹 정리(최신)'!$B:$B,0))*20,IF($J154=2,INDEX('큐펫&amp;몹 정리(최신)'!S:S,MATCH($E154,'큐펫&amp;몹 정리(최신)'!$B:$B,0))*25,IF($J154=3,INDEX('큐펫&amp;몹 정리(최신)'!S:S,MATCH($E154,'큐펫&amp;몹 정리(최신)'!$B:$B,0))*30,IF($J154=4,INDEX('큐펫&amp;몹 정리(최신)'!S:S,MATCH($E154,'큐펫&amp;몹 정리(최신)'!$B:$B,0))*35,INDEX('큐펫&amp;몹 정리(최신)'!S:S,MATCH($E154,'큐펫&amp;몹 정리(최신)'!$B:$B,0))*40))))</f>
        <v>420</v>
      </c>
      <c r="O154" s="190">
        <f>IF($J154=1,INDEX('큐펫&amp;몹 정리(최신)'!T:T,MATCH($E154,'큐펫&amp;몹 정리(최신)'!$B:$B,0))*20,IF($J154=2,INDEX('큐펫&amp;몹 정리(최신)'!T:T,MATCH($E154,'큐펫&amp;몹 정리(최신)'!$B:$B,0))*25,IF($J154=3,INDEX('큐펫&amp;몹 정리(최신)'!T:T,MATCH($E154,'큐펫&amp;몹 정리(최신)'!$B:$B,0))*30,IF($J154=4,INDEX('큐펫&amp;몹 정리(최신)'!T:T,MATCH($E154,'큐펫&amp;몹 정리(최신)'!$B:$B,0))*35,INDEX('큐펫&amp;몹 정리(최신)'!T:T,MATCH($E154,'큐펫&amp;몹 정리(최신)'!$B:$B,0))*40))))</f>
        <v>450</v>
      </c>
      <c r="P154" s="217">
        <v>60</v>
      </c>
      <c r="Q154" s="217">
        <f t="shared" si="16"/>
        <v>142780</v>
      </c>
      <c r="R154" s="217">
        <f t="shared" si="17"/>
        <v>26366</v>
      </c>
      <c r="S154" s="217">
        <f t="shared" si="18"/>
        <v>7749</v>
      </c>
      <c r="T154" s="217">
        <f t="shared" si="19"/>
        <v>1038</v>
      </c>
      <c r="U154" s="217">
        <f t="shared" si="20"/>
        <v>26899</v>
      </c>
      <c r="V154" s="217">
        <f t="shared" si="21"/>
        <v>14428</v>
      </c>
      <c r="W154" s="217">
        <f>ROUND(AC154+(INDEX(Ref!B$1:B$9,MATCH($AI154,Ref!$A$1:$A$9,0))*P154*0.0001),)</f>
        <v>63</v>
      </c>
      <c r="X154" s="217">
        <f>ROUND(AD154+(INDEX(Ref!C$1:C$9,MATCH($AI154,Ref!$A$1:$A$9,0))*$P154*0.0001),)</f>
        <v>40</v>
      </c>
      <c r="Y154" s="217">
        <f>ROUND(AE154+(INDEX(Ref!D$1:D$9,MATCH($AI154,Ref!$A$1:$A$9,0))*$P154*0.0001),)</f>
        <v>68</v>
      </c>
      <c r="Z154" s="217">
        <f>ROUND(AF154+(INDEX(Ref!E$1:E$9,MATCH($AI154,Ref!$A$1:$A$9,0))*$P154*0.0001),)</f>
        <v>28</v>
      </c>
      <c r="AA154" s="217">
        <f>ROUND(AG154+(INDEX(Ref!F$1:F$9,MATCH($AI154,Ref!$A$1:$A$9,0))*$P154*0.0001),)</f>
        <v>34</v>
      </c>
      <c r="AB154" s="217">
        <f>ROUND(AH154+(INDEX(Ref!G$1:G$9,MATCH($AI154,Ref!$A$1:$A$9,0))*$P154*0.0001),)</f>
        <v>31</v>
      </c>
      <c r="AC154" s="137">
        <v>48.000000000000007</v>
      </c>
      <c r="AD154" s="137">
        <v>30</v>
      </c>
      <c r="AE154" s="137">
        <v>56</v>
      </c>
      <c r="AF154" s="137">
        <v>21</v>
      </c>
      <c r="AG154" s="137">
        <v>26</v>
      </c>
      <c r="AH154" s="137">
        <v>23</v>
      </c>
      <c r="AI154" s="208">
        <v>1</v>
      </c>
      <c r="AJ154" s="172">
        <v>3000</v>
      </c>
      <c r="AK154" s="172">
        <v>30182</v>
      </c>
      <c r="AL154" s="172">
        <v>2000</v>
      </c>
      <c r="AM154" s="172">
        <v>30185</v>
      </c>
      <c r="AN154" s="172">
        <v>0</v>
      </c>
      <c r="AO154" s="172">
        <f t="shared" si="22"/>
        <v>34182</v>
      </c>
      <c r="AP154" s="172">
        <v>0</v>
      </c>
      <c r="AQ154" s="172">
        <f t="shared" si="23"/>
        <v>34185</v>
      </c>
      <c r="AR154" s="172">
        <v>1</v>
      </c>
      <c r="AS154" s="172">
        <v>0</v>
      </c>
      <c r="AT154" s="199">
        <v>78031</v>
      </c>
      <c r="AU154" s="195" t="s">
        <v>169</v>
      </c>
    </row>
    <row r="155" spans="1:47" x14ac:dyDescent="0.2">
      <c r="A155" s="173">
        <v>55031</v>
      </c>
      <c r="B155" s="176" t="s">
        <v>1038</v>
      </c>
      <c r="C155" s="172">
        <v>86031</v>
      </c>
      <c r="D155" s="172">
        <v>150031</v>
      </c>
      <c r="E155" s="206" t="s">
        <v>996</v>
      </c>
      <c r="F155" s="207">
        <v>10</v>
      </c>
      <c r="G155" s="173">
        <v>11500</v>
      </c>
      <c r="H155" s="173">
        <v>9500</v>
      </c>
      <c r="I155" s="172">
        <v>10000</v>
      </c>
      <c r="J155" s="172">
        <v>4</v>
      </c>
      <c r="K155" s="190">
        <f>IF($J155=1,INDEX('큐펫&amp;몹 정리(최신)'!P:P,MATCH($E155,'큐펫&amp;몹 정리(최신)'!$B:$B,0))*20,IF($J155=2,INDEX('큐펫&amp;몹 정리(최신)'!P:P,MATCH($E155,'큐펫&amp;몹 정리(최신)'!$B:$B,0))*25,IF($J155=3,INDEX('큐펫&amp;몹 정리(최신)'!P:P,MATCH($E155,'큐펫&amp;몹 정리(최신)'!$B:$B,0))*30,IF($J155=4,INDEX('큐펫&amp;몹 정리(최신)'!P:P,MATCH($E155,'큐펫&amp;몹 정리(최신)'!$B:$B,0))*35,INDEX('큐펫&amp;몹 정리(최신)'!P:P,MATCH($E155,'큐펫&amp;몹 정리(최신)'!$B:$B,0))*40))))</f>
        <v>1575</v>
      </c>
      <c r="L155" s="190">
        <f>IF($J155=1,INDEX('큐펫&amp;몹 정리(최신)'!Q:Q,MATCH($E155,'큐펫&amp;몹 정리(최신)'!$B:$B,0))*20,IF($J155=2,INDEX('큐펫&amp;몹 정리(최신)'!Q:Q,MATCH($E155,'큐펫&amp;몹 정리(최신)'!$B:$B,0))*25,IF($J155=3,INDEX('큐펫&amp;몹 정리(최신)'!Q:Q,MATCH($E155,'큐펫&amp;몹 정리(최신)'!$B:$B,0))*30,IF($J155=4,INDEX('큐펫&amp;몹 정리(최신)'!Q:Q,MATCH($E155,'큐펫&amp;몹 정리(최신)'!$B:$B,0))*35,INDEX('큐펫&amp;몹 정리(최신)'!Q:Q,MATCH($E155,'큐펫&amp;몹 정리(최신)'!$B:$B,0))*40))))</f>
        <v>770</v>
      </c>
      <c r="M155" s="190">
        <f>IF($J155=1,INDEX('큐펫&amp;몹 정리(최신)'!R:R,MATCH($E155,'큐펫&amp;몹 정리(최신)'!$B:$B,0))*20,IF($J155=2,INDEX('큐펫&amp;몹 정리(최신)'!R:R,MATCH($E155,'큐펫&amp;몹 정리(최신)'!$B:$B,0))*25,IF($J155=3,INDEX('큐펫&amp;몹 정리(최신)'!R:R,MATCH($E155,'큐펫&amp;몹 정리(최신)'!$B:$B,0))*30,IF($J155=4,INDEX('큐펫&amp;몹 정리(최신)'!R:R,MATCH($E155,'큐펫&amp;몹 정리(최신)'!$B:$B,0))*35,INDEX('큐펫&amp;몹 정리(최신)'!R:R,MATCH($E155,'큐펫&amp;몹 정리(최신)'!$B:$B,0))*40))))</f>
        <v>140</v>
      </c>
      <c r="N155" s="190">
        <f>IF($J155=1,INDEX('큐펫&amp;몹 정리(최신)'!S:S,MATCH($E155,'큐펫&amp;몹 정리(최신)'!$B:$B,0))*20,IF($J155=2,INDEX('큐펫&amp;몹 정리(최신)'!S:S,MATCH($E155,'큐펫&amp;몹 정리(최신)'!$B:$B,0))*25,IF($J155=3,INDEX('큐펫&amp;몹 정리(최신)'!S:S,MATCH($E155,'큐펫&amp;몹 정리(최신)'!$B:$B,0))*30,IF($J155=4,INDEX('큐펫&amp;몹 정리(최신)'!S:S,MATCH($E155,'큐펫&amp;몹 정리(최신)'!$B:$B,0))*35,INDEX('큐펫&amp;몹 정리(최신)'!S:S,MATCH($E155,'큐펫&amp;몹 정리(최신)'!$B:$B,0))*40))))</f>
        <v>490</v>
      </c>
      <c r="O155" s="190">
        <f>IF($J155=1,INDEX('큐펫&amp;몹 정리(최신)'!T:T,MATCH($E155,'큐펫&amp;몹 정리(최신)'!$B:$B,0))*20,IF($J155=2,INDEX('큐펫&amp;몹 정리(최신)'!T:T,MATCH($E155,'큐펫&amp;몹 정리(최신)'!$B:$B,0))*25,IF($J155=3,INDEX('큐펫&amp;몹 정리(최신)'!T:T,MATCH($E155,'큐펫&amp;몹 정리(최신)'!$B:$B,0))*30,IF($J155=4,INDEX('큐펫&amp;몹 정리(최신)'!T:T,MATCH($E155,'큐펫&amp;몹 정리(최신)'!$B:$B,0))*35,INDEX('큐펫&amp;몹 정리(최신)'!T:T,MATCH($E155,'큐펫&amp;몹 정리(최신)'!$B:$B,0))*40))))</f>
        <v>525</v>
      </c>
      <c r="P155" s="217">
        <v>80</v>
      </c>
      <c r="Q155" s="217">
        <f t="shared" si="16"/>
        <v>229560</v>
      </c>
      <c r="R155" s="217">
        <f t="shared" si="17"/>
        <v>41236</v>
      </c>
      <c r="S155" s="217">
        <f t="shared" si="18"/>
        <v>11855</v>
      </c>
      <c r="T155" s="217">
        <f t="shared" si="19"/>
        <v>1740</v>
      </c>
      <c r="U155" s="217">
        <f t="shared" si="20"/>
        <v>38242</v>
      </c>
      <c r="V155" s="217">
        <f t="shared" si="21"/>
        <v>20509</v>
      </c>
      <c r="W155" s="217">
        <f>ROUND(AC155+(INDEX(Ref!B$1:B$9,MATCH($AI155,Ref!$A$1:$A$9,0))*P155*0.0001),)</f>
        <v>73</v>
      </c>
      <c r="X155" s="217">
        <f>ROUND(AD155+(INDEX(Ref!C$1:C$9,MATCH($AI155,Ref!$A$1:$A$9,0))*$P155*0.0001),)</f>
        <v>46</v>
      </c>
      <c r="Y155" s="217">
        <f>ROUND(AE155+(INDEX(Ref!D$1:D$9,MATCH($AI155,Ref!$A$1:$A$9,0))*$P155*0.0001),)</f>
        <v>76</v>
      </c>
      <c r="Z155" s="217">
        <f>ROUND(AF155+(INDEX(Ref!E$1:E$9,MATCH($AI155,Ref!$A$1:$A$9,0))*$P155*0.0001),)</f>
        <v>34</v>
      </c>
      <c r="AA155" s="217">
        <f>ROUND(AG155+(INDEX(Ref!F$1:F$9,MATCH($AI155,Ref!$A$1:$A$9,0))*$P155*0.0001),)</f>
        <v>39</v>
      </c>
      <c r="AB155" s="217">
        <f>ROUND(AH155+(INDEX(Ref!G$1:G$9,MATCH($AI155,Ref!$A$1:$A$9,0))*$P155*0.0001),)</f>
        <v>36</v>
      </c>
      <c r="AC155" s="137">
        <v>53</v>
      </c>
      <c r="AD155" s="137">
        <v>33</v>
      </c>
      <c r="AE155" s="137">
        <v>60</v>
      </c>
      <c r="AF155" s="137">
        <v>24</v>
      </c>
      <c r="AG155" s="137">
        <v>28</v>
      </c>
      <c r="AH155" s="137">
        <v>26</v>
      </c>
      <c r="AI155" s="208">
        <v>1</v>
      </c>
      <c r="AJ155" s="172">
        <v>3000</v>
      </c>
      <c r="AK155" s="172">
        <v>30183</v>
      </c>
      <c r="AL155" s="172">
        <v>2000</v>
      </c>
      <c r="AM155" s="172">
        <v>30185</v>
      </c>
      <c r="AN155" s="172">
        <v>0</v>
      </c>
      <c r="AO155" s="172">
        <f t="shared" si="22"/>
        <v>34183</v>
      </c>
      <c r="AP155" s="172">
        <v>0</v>
      </c>
      <c r="AQ155" s="172">
        <f t="shared" si="23"/>
        <v>34185</v>
      </c>
      <c r="AR155" s="172">
        <v>1</v>
      </c>
      <c r="AS155" s="172">
        <v>0</v>
      </c>
      <c r="AT155" s="199">
        <v>78031</v>
      </c>
      <c r="AU155" s="195" t="s">
        <v>169</v>
      </c>
    </row>
    <row r="156" spans="1:47" x14ac:dyDescent="0.2">
      <c r="A156" s="173">
        <v>55031</v>
      </c>
      <c r="B156" s="176" t="s">
        <v>1038</v>
      </c>
      <c r="C156" s="172">
        <v>86031</v>
      </c>
      <c r="D156" s="172">
        <v>150031</v>
      </c>
      <c r="E156" s="206" t="s">
        <v>996</v>
      </c>
      <c r="F156" s="207">
        <v>10</v>
      </c>
      <c r="G156" s="173">
        <v>11500</v>
      </c>
      <c r="H156" s="173">
        <v>9500</v>
      </c>
      <c r="I156" s="172">
        <v>10000</v>
      </c>
      <c r="J156" s="172">
        <v>5</v>
      </c>
      <c r="K156" s="190">
        <f>IF($J156=1,INDEX('큐펫&amp;몹 정리(최신)'!P:P,MATCH($E156,'큐펫&amp;몹 정리(최신)'!$B:$B,0))*20,IF($J156=2,INDEX('큐펫&amp;몹 정리(최신)'!P:P,MATCH($E156,'큐펫&amp;몹 정리(최신)'!$B:$B,0))*25,IF($J156=3,INDEX('큐펫&amp;몹 정리(최신)'!P:P,MATCH($E156,'큐펫&amp;몹 정리(최신)'!$B:$B,0))*30,IF($J156=4,INDEX('큐펫&amp;몹 정리(최신)'!P:P,MATCH($E156,'큐펫&amp;몹 정리(최신)'!$B:$B,0))*35,INDEX('큐펫&amp;몹 정리(최신)'!P:P,MATCH($E156,'큐펫&amp;몹 정리(최신)'!$B:$B,0))*40))))</f>
        <v>1800</v>
      </c>
      <c r="L156" s="190">
        <f>IF($J156=1,INDEX('큐펫&amp;몹 정리(최신)'!Q:Q,MATCH($E156,'큐펫&amp;몹 정리(최신)'!$B:$B,0))*20,IF($J156=2,INDEX('큐펫&amp;몹 정리(최신)'!Q:Q,MATCH($E156,'큐펫&amp;몹 정리(최신)'!$B:$B,0))*25,IF($J156=3,INDEX('큐펫&amp;몹 정리(최신)'!Q:Q,MATCH($E156,'큐펫&amp;몹 정리(최신)'!$B:$B,0))*30,IF($J156=4,INDEX('큐펫&amp;몹 정리(최신)'!Q:Q,MATCH($E156,'큐펫&amp;몹 정리(최신)'!$B:$B,0))*35,INDEX('큐펫&amp;몹 정리(최신)'!Q:Q,MATCH($E156,'큐펫&amp;몹 정리(최신)'!$B:$B,0))*40))))</f>
        <v>880</v>
      </c>
      <c r="M156" s="190">
        <f>IF($J156=1,INDEX('큐펫&amp;몹 정리(최신)'!R:R,MATCH($E156,'큐펫&amp;몹 정리(최신)'!$B:$B,0))*20,IF($J156=2,INDEX('큐펫&amp;몹 정리(최신)'!R:R,MATCH($E156,'큐펫&amp;몹 정리(최신)'!$B:$B,0))*25,IF($J156=3,INDEX('큐펫&amp;몹 정리(최신)'!R:R,MATCH($E156,'큐펫&amp;몹 정리(최신)'!$B:$B,0))*30,IF($J156=4,INDEX('큐펫&amp;몹 정리(최신)'!R:R,MATCH($E156,'큐펫&amp;몹 정리(최신)'!$B:$B,0))*35,INDEX('큐펫&amp;몹 정리(최신)'!R:R,MATCH($E156,'큐펫&amp;몹 정리(최신)'!$B:$B,0))*40))))</f>
        <v>160</v>
      </c>
      <c r="N156" s="190">
        <f>IF($J156=1,INDEX('큐펫&amp;몹 정리(최신)'!S:S,MATCH($E156,'큐펫&amp;몹 정리(최신)'!$B:$B,0))*20,IF($J156=2,INDEX('큐펫&amp;몹 정리(최신)'!S:S,MATCH($E156,'큐펫&amp;몹 정리(최신)'!$B:$B,0))*25,IF($J156=3,INDEX('큐펫&amp;몹 정리(최신)'!S:S,MATCH($E156,'큐펫&amp;몹 정리(최신)'!$B:$B,0))*30,IF($J156=4,INDEX('큐펫&amp;몹 정리(최신)'!S:S,MATCH($E156,'큐펫&amp;몹 정리(최신)'!$B:$B,0))*35,INDEX('큐펫&amp;몹 정리(최신)'!S:S,MATCH($E156,'큐펫&amp;몹 정리(최신)'!$B:$B,0))*40))))</f>
        <v>560</v>
      </c>
      <c r="O156" s="190">
        <f>IF($J156=1,INDEX('큐펫&amp;몹 정리(최신)'!T:T,MATCH($E156,'큐펫&amp;몹 정리(최신)'!$B:$B,0))*20,IF($J156=2,INDEX('큐펫&amp;몹 정리(최신)'!T:T,MATCH($E156,'큐펫&amp;몹 정리(최신)'!$B:$B,0))*25,IF($J156=3,INDEX('큐펫&amp;몹 정리(최신)'!T:T,MATCH($E156,'큐펫&amp;몹 정리(최신)'!$B:$B,0))*30,IF($J156=4,INDEX('큐펫&amp;몹 정리(최신)'!T:T,MATCH($E156,'큐펫&amp;몹 정리(최신)'!$B:$B,0))*35,INDEX('큐펫&amp;몹 정리(최신)'!T:T,MATCH($E156,'큐펫&amp;몹 정리(최신)'!$B:$B,0))*40))))</f>
        <v>600</v>
      </c>
      <c r="P156" s="217">
        <v>100</v>
      </c>
      <c r="Q156" s="217">
        <f t="shared" si="16"/>
        <v>340200</v>
      </c>
      <c r="R156" s="217">
        <f t="shared" si="17"/>
        <v>60858</v>
      </c>
      <c r="S156" s="217">
        <f t="shared" si="18"/>
        <v>17989</v>
      </c>
      <c r="T156" s="217">
        <f t="shared" si="19"/>
        <v>2452</v>
      </c>
      <c r="U156" s="217">
        <f t="shared" si="20"/>
        <v>51545</v>
      </c>
      <c r="V156" s="217">
        <f t="shared" si="21"/>
        <v>27638</v>
      </c>
      <c r="W156" s="217">
        <f>ROUND(AC156+(INDEX(Ref!B$1:B$9,MATCH($AI156,Ref!$A$1:$A$9,0))*P156*0.0001),)</f>
        <v>83</v>
      </c>
      <c r="X156" s="217">
        <f>ROUND(AD156+(INDEX(Ref!C$1:C$9,MATCH($AI156,Ref!$A$1:$A$9,0))*$P156*0.0001),)</f>
        <v>52</v>
      </c>
      <c r="Y156" s="217">
        <f>ROUND(AE156+(INDEX(Ref!D$1:D$9,MATCH($AI156,Ref!$A$1:$A$9,0))*$P156*0.0001),)</f>
        <v>84</v>
      </c>
      <c r="Z156" s="217">
        <f>ROUND(AF156+(INDEX(Ref!E$1:E$9,MATCH($AI156,Ref!$A$1:$A$9,0))*$P156*0.0001),)</f>
        <v>38</v>
      </c>
      <c r="AA156" s="217">
        <f>ROUND(AG156+(INDEX(Ref!F$1:F$9,MATCH($AI156,Ref!$A$1:$A$9,0))*$P156*0.0001),)</f>
        <v>45</v>
      </c>
      <c r="AB156" s="217">
        <f>ROUND(AH156+(INDEX(Ref!G$1:G$9,MATCH($AI156,Ref!$A$1:$A$9,0))*$P156*0.0001),)</f>
        <v>42</v>
      </c>
      <c r="AC156" s="137">
        <v>58.000000000000007</v>
      </c>
      <c r="AD156" s="137">
        <v>36</v>
      </c>
      <c r="AE156" s="137">
        <v>64</v>
      </c>
      <c r="AF156" s="137">
        <v>26</v>
      </c>
      <c r="AG156" s="137">
        <v>31</v>
      </c>
      <c r="AH156" s="137">
        <v>29</v>
      </c>
      <c r="AI156" s="208">
        <v>1</v>
      </c>
      <c r="AJ156" s="172">
        <v>3000</v>
      </c>
      <c r="AK156" s="172">
        <v>30183</v>
      </c>
      <c r="AL156" s="172">
        <v>2000</v>
      </c>
      <c r="AM156" s="172">
        <v>30186</v>
      </c>
      <c r="AN156" s="172">
        <v>0</v>
      </c>
      <c r="AO156" s="172">
        <f t="shared" si="22"/>
        <v>34183</v>
      </c>
      <c r="AP156" s="172">
        <v>0</v>
      </c>
      <c r="AQ156" s="172">
        <f t="shared" si="23"/>
        <v>34186</v>
      </c>
      <c r="AR156" s="172">
        <v>1</v>
      </c>
      <c r="AS156" s="172">
        <v>0</v>
      </c>
      <c r="AT156" s="199">
        <v>78031</v>
      </c>
      <c r="AU156" s="195" t="s">
        <v>169</v>
      </c>
    </row>
    <row r="157" spans="1:47" x14ac:dyDescent="0.2">
      <c r="A157" s="173">
        <v>55032</v>
      </c>
      <c r="B157" s="177" t="s">
        <v>1039</v>
      </c>
      <c r="C157" s="172">
        <v>86032</v>
      </c>
      <c r="D157" s="172">
        <v>150032</v>
      </c>
      <c r="E157" s="206" t="s">
        <v>1092</v>
      </c>
      <c r="F157" s="207">
        <v>10</v>
      </c>
      <c r="G157" s="172">
        <v>10000</v>
      </c>
      <c r="H157" s="172">
        <v>10000</v>
      </c>
      <c r="I157" s="172">
        <v>10000</v>
      </c>
      <c r="J157" s="172">
        <v>1</v>
      </c>
      <c r="K157" s="190">
        <f>IF($J157=1,INDEX('큐펫&amp;몹 정리(최신)'!P:P,MATCH($E157,'큐펫&amp;몹 정리(최신)'!$B:$B,0))*20,IF($J157=2,INDEX('큐펫&amp;몹 정리(최신)'!P:P,MATCH($E157,'큐펫&amp;몹 정리(최신)'!$B:$B,0))*25,IF($J157=3,INDEX('큐펫&amp;몹 정리(최신)'!P:P,MATCH($E157,'큐펫&amp;몹 정리(최신)'!$B:$B,0))*30,IF($J157=4,INDEX('큐펫&amp;몹 정리(최신)'!P:P,MATCH($E157,'큐펫&amp;몹 정리(최신)'!$B:$B,0))*35,INDEX('큐펫&amp;몹 정리(최신)'!P:P,MATCH($E157,'큐펫&amp;몹 정리(최신)'!$B:$B,0))*40))))</f>
        <v>800</v>
      </c>
      <c r="L157" s="190">
        <f>IF($J157=1,INDEX('큐펫&amp;몹 정리(최신)'!Q:Q,MATCH($E157,'큐펫&amp;몹 정리(최신)'!$B:$B,0))*20,IF($J157=2,INDEX('큐펫&amp;몹 정리(최신)'!Q:Q,MATCH($E157,'큐펫&amp;몹 정리(최신)'!$B:$B,0))*25,IF($J157=3,INDEX('큐펫&amp;몹 정리(최신)'!Q:Q,MATCH($E157,'큐펫&amp;몹 정리(최신)'!$B:$B,0))*30,IF($J157=4,INDEX('큐펫&amp;몹 정리(최신)'!Q:Q,MATCH($E157,'큐펫&amp;몹 정리(최신)'!$B:$B,0))*35,INDEX('큐펫&amp;몹 정리(최신)'!Q:Q,MATCH($E157,'큐펫&amp;몹 정리(최신)'!$B:$B,0))*40))))</f>
        <v>440</v>
      </c>
      <c r="M157" s="190">
        <f>IF($J157=1,INDEX('큐펫&amp;몹 정리(최신)'!R:R,MATCH($E157,'큐펫&amp;몹 정리(최신)'!$B:$B,0))*20,IF($J157=2,INDEX('큐펫&amp;몹 정리(최신)'!R:R,MATCH($E157,'큐펫&amp;몹 정리(최신)'!$B:$B,0))*25,IF($J157=3,INDEX('큐펫&amp;몹 정리(최신)'!R:R,MATCH($E157,'큐펫&amp;몹 정리(최신)'!$B:$B,0))*30,IF($J157=4,INDEX('큐펫&amp;몹 정리(최신)'!R:R,MATCH($E157,'큐펫&amp;몹 정리(최신)'!$B:$B,0))*35,INDEX('큐펫&amp;몹 정리(최신)'!R:R,MATCH($E157,'큐펫&amp;몹 정리(최신)'!$B:$B,0))*40))))</f>
        <v>100</v>
      </c>
      <c r="N157" s="190">
        <f>IF($J157=1,INDEX('큐펫&amp;몹 정리(최신)'!S:S,MATCH($E157,'큐펫&amp;몹 정리(최신)'!$B:$B,0))*20,IF($J157=2,INDEX('큐펫&amp;몹 정리(최신)'!S:S,MATCH($E157,'큐펫&amp;몹 정리(최신)'!$B:$B,0))*25,IF($J157=3,INDEX('큐펫&amp;몹 정리(최신)'!S:S,MATCH($E157,'큐펫&amp;몹 정리(최신)'!$B:$B,0))*30,IF($J157=4,INDEX('큐펫&amp;몹 정리(최신)'!S:S,MATCH($E157,'큐펫&amp;몹 정리(최신)'!$B:$B,0))*35,INDEX('큐펫&amp;몹 정리(최신)'!S:S,MATCH($E157,'큐펫&amp;몹 정리(최신)'!$B:$B,0))*40))))</f>
        <v>420</v>
      </c>
      <c r="O157" s="190">
        <f>IF($J157=1,INDEX('큐펫&amp;몹 정리(최신)'!T:T,MATCH($E157,'큐펫&amp;몹 정리(최신)'!$B:$B,0))*20,IF($J157=2,INDEX('큐펫&amp;몹 정리(최신)'!T:T,MATCH($E157,'큐펫&amp;몹 정리(최신)'!$B:$B,0))*25,IF($J157=3,INDEX('큐펫&amp;몹 정리(최신)'!T:T,MATCH($E157,'큐펫&amp;몹 정리(최신)'!$B:$B,0))*30,IF($J157=4,INDEX('큐펫&amp;몹 정리(최신)'!T:T,MATCH($E157,'큐펫&amp;몹 정리(최신)'!$B:$B,0))*35,INDEX('큐펫&amp;몹 정리(최신)'!T:T,MATCH($E157,'큐펫&amp;몹 정리(최신)'!$B:$B,0))*40))))</f>
        <v>240</v>
      </c>
      <c r="P157" s="217">
        <v>20</v>
      </c>
      <c r="Q157" s="217">
        <f t="shared" si="16"/>
        <v>29440</v>
      </c>
      <c r="R157" s="217">
        <f t="shared" si="17"/>
        <v>4590</v>
      </c>
      <c r="S157" s="217">
        <f t="shared" si="18"/>
        <v>3527</v>
      </c>
      <c r="T157" s="217">
        <f t="shared" si="19"/>
        <v>693</v>
      </c>
      <c r="U157" s="217">
        <f t="shared" si="20"/>
        <v>16600</v>
      </c>
      <c r="V157" s="217">
        <f t="shared" si="21"/>
        <v>4765</v>
      </c>
      <c r="W157" s="217">
        <f>ROUND(AC157+(INDEX(Ref!B$1:B$9,MATCH($AI157,Ref!$A$1:$A$9,0))*P157*0.0001),)</f>
        <v>32</v>
      </c>
      <c r="X157" s="217">
        <f>ROUND(AD157+(INDEX(Ref!C$1:C$9,MATCH($AI157,Ref!$A$1:$A$9,0))*$P157*0.0001),)</f>
        <v>21</v>
      </c>
      <c r="Y157" s="217">
        <f>ROUND(AE157+(INDEX(Ref!D$1:D$9,MATCH($AI157,Ref!$A$1:$A$9,0))*$P157*0.0001),)</f>
        <v>59</v>
      </c>
      <c r="Z157" s="217">
        <f>ROUND(AF157+(INDEX(Ref!E$1:E$9,MATCH($AI157,Ref!$A$1:$A$9,0))*$P157*0.0001),)</f>
        <v>25</v>
      </c>
      <c r="AA157" s="217">
        <f>ROUND(AG157+(INDEX(Ref!F$1:F$9,MATCH($AI157,Ref!$A$1:$A$9,0))*$P157*0.0001),)</f>
        <v>28</v>
      </c>
      <c r="AB157" s="217">
        <f>ROUND(AH157+(INDEX(Ref!G$1:G$9,MATCH($AI157,Ref!$A$1:$A$9,0))*$P157*0.0001),)</f>
        <v>19</v>
      </c>
      <c r="AC157" s="137">
        <v>28</v>
      </c>
      <c r="AD157" s="137">
        <v>18</v>
      </c>
      <c r="AE157" s="137">
        <v>54</v>
      </c>
      <c r="AF157" s="137">
        <v>22</v>
      </c>
      <c r="AG157" s="137">
        <v>25</v>
      </c>
      <c r="AH157" s="137">
        <v>17</v>
      </c>
      <c r="AI157" s="208">
        <v>3</v>
      </c>
      <c r="AJ157" s="172">
        <v>3000</v>
      </c>
      <c r="AK157" s="172">
        <v>30187</v>
      </c>
      <c r="AL157" s="172">
        <v>2000</v>
      </c>
      <c r="AM157" s="172">
        <v>30190</v>
      </c>
      <c r="AN157" s="172">
        <v>0</v>
      </c>
      <c r="AO157" s="172">
        <f t="shared" si="22"/>
        <v>34187</v>
      </c>
      <c r="AP157" s="172">
        <v>0</v>
      </c>
      <c r="AQ157" s="172">
        <f t="shared" si="23"/>
        <v>34190</v>
      </c>
      <c r="AR157" s="172">
        <v>1</v>
      </c>
      <c r="AS157" s="172">
        <v>0</v>
      </c>
      <c r="AT157" s="199">
        <v>78032</v>
      </c>
      <c r="AU157" s="195" t="s">
        <v>170</v>
      </c>
    </row>
    <row r="158" spans="1:47" x14ac:dyDescent="0.2">
      <c r="A158" s="173">
        <v>55032</v>
      </c>
      <c r="B158" s="177" t="s">
        <v>1039</v>
      </c>
      <c r="C158" s="172">
        <v>86032</v>
      </c>
      <c r="D158" s="172">
        <v>150032</v>
      </c>
      <c r="E158" s="206" t="s">
        <v>1092</v>
      </c>
      <c r="F158" s="207">
        <v>10</v>
      </c>
      <c r="G158" s="172">
        <v>10000</v>
      </c>
      <c r="H158" s="172">
        <v>10000</v>
      </c>
      <c r="I158" s="172">
        <v>10000</v>
      </c>
      <c r="J158" s="172">
        <v>2</v>
      </c>
      <c r="K158" s="190">
        <f>IF($J158=1,INDEX('큐펫&amp;몹 정리(최신)'!P:P,MATCH($E158,'큐펫&amp;몹 정리(최신)'!$B:$B,0))*20,IF($J158=2,INDEX('큐펫&amp;몹 정리(최신)'!P:P,MATCH($E158,'큐펫&amp;몹 정리(최신)'!$B:$B,0))*25,IF($J158=3,INDEX('큐펫&amp;몹 정리(최신)'!P:P,MATCH($E158,'큐펫&amp;몹 정리(최신)'!$B:$B,0))*30,IF($J158=4,INDEX('큐펫&amp;몹 정리(최신)'!P:P,MATCH($E158,'큐펫&amp;몹 정리(최신)'!$B:$B,0))*35,INDEX('큐펫&amp;몹 정리(최신)'!P:P,MATCH($E158,'큐펫&amp;몹 정리(최신)'!$B:$B,0))*40))))</f>
        <v>1000</v>
      </c>
      <c r="L158" s="190">
        <f>IF($J158=1,INDEX('큐펫&amp;몹 정리(최신)'!Q:Q,MATCH($E158,'큐펫&amp;몹 정리(최신)'!$B:$B,0))*20,IF($J158=2,INDEX('큐펫&amp;몹 정리(최신)'!Q:Q,MATCH($E158,'큐펫&amp;몹 정리(최신)'!$B:$B,0))*25,IF($J158=3,INDEX('큐펫&amp;몹 정리(최신)'!Q:Q,MATCH($E158,'큐펫&amp;몹 정리(최신)'!$B:$B,0))*30,IF($J158=4,INDEX('큐펫&amp;몹 정리(최신)'!Q:Q,MATCH($E158,'큐펫&amp;몹 정리(최신)'!$B:$B,0))*35,INDEX('큐펫&amp;몹 정리(최신)'!Q:Q,MATCH($E158,'큐펫&amp;몹 정리(최신)'!$B:$B,0))*40))))</f>
        <v>550</v>
      </c>
      <c r="M158" s="190">
        <f>IF($J158=1,INDEX('큐펫&amp;몹 정리(최신)'!R:R,MATCH($E158,'큐펫&amp;몹 정리(최신)'!$B:$B,0))*20,IF($J158=2,INDEX('큐펫&amp;몹 정리(최신)'!R:R,MATCH($E158,'큐펫&amp;몹 정리(최신)'!$B:$B,0))*25,IF($J158=3,INDEX('큐펫&amp;몹 정리(최신)'!R:R,MATCH($E158,'큐펫&amp;몹 정리(최신)'!$B:$B,0))*30,IF($J158=4,INDEX('큐펫&amp;몹 정리(최신)'!R:R,MATCH($E158,'큐펫&amp;몹 정리(최신)'!$B:$B,0))*35,INDEX('큐펫&amp;몹 정리(최신)'!R:R,MATCH($E158,'큐펫&amp;몹 정리(최신)'!$B:$B,0))*40))))</f>
        <v>125</v>
      </c>
      <c r="N158" s="190">
        <f>IF($J158=1,INDEX('큐펫&amp;몹 정리(최신)'!S:S,MATCH($E158,'큐펫&amp;몹 정리(최신)'!$B:$B,0))*20,IF($J158=2,INDEX('큐펫&amp;몹 정리(최신)'!S:S,MATCH($E158,'큐펫&amp;몹 정리(최신)'!$B:$B,0))*25,IF($J158=3,INDEX('큐펫&amp;몹 정리(최신)'!S:S,MATCH($E158,'큐펫&amp;몹 정리(최신)'!$B:$B,0))*30,IF($J158=4,INDEX('큐펫&amp;몹 정리(최신)'!S:S,MATCH($E158,'큐펫&amp;몹 정리(최신)'!$B:$B,0))*35,INDEX('큐펫&amp;몹 정리(최신)'!S:S,MATCH($E158,'큐펫&amp;몹 정리(최신)'!$B:$B,0))*40))))</f>
        <v>525</v>
      </c>
      <c r="O158" s="190">
        <f>IF($J158=1,INDEX('큐펫&amp;몹 정리(최신)'!T:T,MATCH($E158,'큐펫&amp;몹 정리(최신)'!$B:$B,0))*20,IF($J158=2,INDEX('큐펫&amp;몹 정리(최신)'!T:T,MATCH($E158,'큐펫&amp;몹 정리(최신)'!$B:$B,0))*25,IF($J158=3,INDEX('큐펫&amp;몹 정리(최신)'!T:T,MATCH($E158,'큐펫&amp;몹 정리(최신)'!$B:$B,0))*30,IF($J158=4,INDEX('큐펫&amp;몹 정리(최신)'!T:T,MATCH($E158,'큐펫&amp;몹 정리(최신)'!$B:$B,0))*35,INDEX('큐펫&amp;몹 정리(최신)'!T:T,MATCH($E158,'큐펫&amp;몹 정리(최신)'!$B:$B,0))*40))))</f>
        <v>300</v>
      </c>
      <c r="P158" s="217">
        <v>40</v>
      </c>
      <c r="Q158" s="217">
        <f t="shared" si="16"/>
        <v>72600</v>
      </c>
      <c r="R158" s="217">
        <f t="shared" si="17"/>
        <v>8913</v>
      </c>
      <c r="S158" s="217">
        <f t="shared" si="18"/>
        <v>6842</v>
      </c>
      <c r="T158" s="217">
        <f t="shared" si="19"/>
        <v>1293</v>
      </c>
      <c r="U158" s="217">
        <f t="shared" si="20"/>
        <v>28624</v>
      </c>
      <c r="V158" s="217">
        <f t="shared" si="21"/>
        <v>8206</v>
      </c>
      <c r="W158" s="217">
        <f>ROUND(AC158+(INDEX(Ref!B$1:B$9,MATCH($AI158,Ref!$A$1:$A$9,0))*P158*0.0001),)</f>
        <v>40</v>
      </c>
      <c r="X158" s="217">
        <f>ROUND(AD158+(INDEX(Ref!C$1:C$9,MATCH($AI158,Ref!$A$1:$A$9,0))*$P158*0.0001),)</f>
        <v>26</v>
      </c>
      <c r="Y158" s="217">
        <f>ROUND(AE158+(INDEX(Ref!D$1:D$9,MATCH($AI158,Ref!$A$1:$A$9,0))*$P158*0.0001),)</f>
        <v>69</v>
      </c>
      <c r="Z158" s="217">
        <f>ROUND(AF158+(INDEX(Ref!E$1:E$9,MATCH($AI158,Ref!$A$1:$A$9,0))*$P158*0.0001),)</f>
        <v>31</v>
      </c>
      <c r="AA158" s="217">
        <f>ROUND(AG158+(INDEX(Ref!F$1:F$9,MATCH($AI158,Ref!$A$1:$A$9,0))*$P158*0.0001),)</f>
        <v>35</v>
      </c>
      <c r="AB158" s="217">
        <f>ROUND(AH158+(INDEX(Ref!G$1:G$9,MATCH($AI158,Ref!$A$1:$A$9,0))*$P158*0.0001),)</f>
        <v>24</v>
      </c>
      <c r="AC158" s="137">
        <v>32</v>
      </c>
      <c r="AD158" s="137">
        <v>21</v>
      </c>
      <c r="AE158" s="137">
        <v>59</v>
      </c>
      <c r="AF158" s="137">
        <v>25</v>
      </c>
      <c r="AG158" s="137">
        <v>28</v>
      </c>
      <c r="AH158" s="137">
        <v>19</v>
      </c>
      <c r="AI158" s="208">
        <v>3</v>
      </c>
      <c r="AJ158" s="172">
        <v>3000</v>
      </c>
      <c r="AK158" s="172">
        <v>30188</v>
      </c>
      <c r="AL158" s="172">
        <v>2000</v>
      </c>
      <c r="AM158" s="172">
        <v>30190</v>
      </c>
      <c r="AN158" s="172">
        <v>0</v>
      </c>
      <c r="AO158" s="172">
        <f t="shared" si="22"/>
        <v>34188</v>
      </c>
      <c r="AP158" s="172">
        <v>0</v>
      </c>
      <c r="AQ158" s="172">
        <f t="shared" si="23"/>
        <v>34190</v>
      </c>
      <c r="AR158" s="172">
        <v>1</v>
      </c>
      <c r="AS158" s="172">
        <v>0</v>
      </c>
      <c r="AT158" s="199">
        <v>78032</v>
      </c>
      <c r="AU158" s="195" t="s">
        <v>170</v>
      </c>
    </row>
    <row r="159" spans="1:47" x14ac:dyDescent="0.2">
      <c r="A159" s="173">
        <v>55032</v>
      </c>
      <c r="B159" s="177" t="s">
        <v>1039</v>
      </c>
      <c r="C159" s="172">
        <v>86032</v>
      </c>
      <c r="D159" s="172">
        <v>150032</v>
      </c>
      <c r="E159" s="206" t="s">
        <v>1092</v>
      </c>
      <c r="F159" s="207">
        <v>10</v>
      </c>
      <c r="G159" s="172">
        <v>10000</v>
      </c>
      <c r="H159" s="172">
        <v>10000</v>
      </c>
      <c r="I159" s="172">
        <v>10000</v>
      </c>
      <c r="J159" s="172">
        <v>3</v>
      </c>
      <c r="K159" s="190">
        <f>IF($J159=1,INDEX('큐펫&amp;몹 정리(최신)'!P:P,MATCH($E159,'큐펫&amp;몹 정리(최신)'!$B:$B,0))*20,IF($J159=2,INDEX('큐펫&amp;몹 정리(최신)'!P:P,MATCH($E159,'큐펫&amp;몹 정리(최신)'!$B:$B,0))*25,IF($J159=3,INDEX('큐펫&amp;몹 정리(최신)'!P:P,MATCH($E159,'큐펫&amp;몹 정리(최신)'!$B:$B,0))*30,IF($J159=4,INDEX('큐펫&amp;몹 정리(최신)'!P:P,MATCH($E159,'큐펫&amp;몹 정리(최신)'!$B:$B,0))*35,INDEX('큐펫&amp;몹 정리(최신)'!P:P,MATCH($E159,'큐펫&amp;몹 정리(최신)'!$B:$B,0))*40))))</f>
        <v>1200</v>
      </c>
      <c r="L159" s="190">
        <f>IF($J159=1,INDEX('큐펫&amp;몹 정리(최신)'!Q:Q,MATCH($E159,'큐펫&amp;몹 정리(최신)'!$B:$B,0))*20,IF($J159=2,INDEX('큐펫&amp;몹 정리(최신)'!Q:Q,MATCH($E159,'큐펫&amp;몹 정리(최신)'!$B:$B,0))*25,IF($J159=3,INDEX('큐펫&amp;몹 정리(최신)'!Q:Q,MATCH($E159,'큐펫&amp;몹 정리(최신)'!$B:$B,0))*30,IF($J159=4,INDEX('큐펫&amp;몹 정리(최신)'!Q:Q,MATCH($E159,'큐펫&amp;몹 정리(최신)'!$B:$B,0))*35,INDEX('큐펫&amp;몹 정리(최신)'!Q:Q,MATCH($E159,'큐펫&amp;몹 정리(최신)'!$B:$B,0))*40))))</f>
        <v>660</v>
      </c>
      <c r="M159" s="190">
        <f>IF($J159=1,INDEX('큐펫&amp;몹 정리(최신)'!R:R,MATCH($E159,'큐펫&amp;몹 정리(최신)'!$B:$B,0))*20,IF($J159=2,INDEX('큐펫&amp;몹 정리(최신)'!R:R,MATCH($E159,'큐펫&amp;몹 정리(최신)'!$B:$B,0))*25,IF($J159=3,INDEX('큐펫&amp;몹 정리(최신)'!R:R,MATCH($E159,'큐펫&amp;몹 정리(최신)'!$B:$B,0))*30,IF($J159=4,INDEX('큐펫&amp;몹 정리(최신)'!R:R,MATCH($E159,'큐펫&amp;몹 정리(최신)'!$B:$B,0))*35,INDEX('큐펫&amp;몹 정리(최신)'!R:R,MATCH($E159,'큐펫&amp;몹 정리(최신)'!$B:$B,0))*40))))</f>
        <v>150</v>
      </c>
      <c r="N159" s="190">
        <f>IF($J159=1,INDEX('큐펫&amp;몹 정리(최신)'!S:S,MATCH($E159,'큐펫&amp;몹 정리(최신)'!$B:$B,0))*20,IF($J159=2,INDEX('큐펫&amp;몹 정리(최신)'!S:S,MATCH($E159,'큐펫&amp;몹 정리(최신)'!$B:$B,0))*25,IF($J159=3,INDEX('큐펫&amp;몹 정리(최신)'!S:S,MATCH($E159,'큐펫&amp;몹 정리(최신)'!$B:$B,0))*30,IF($J159=4,INDEX('큐펫&amp;몹 정리(최신)'!S:S,MATCH($E159,'큐펫&amp;몹 정리(최신)'!$B:$B,0))*35,INDEX('큐펫&amp;몹 정리(최신)'!S:S,MATCH($E159,'큐펫&amp;몹 정리(최신)'!$B:$B,0))*40))))</f>
        <v>630</v>
      </c>
      <c r="O159" s="190">
        <f>IF($J159=1,INDEX('큐펫&amp;몹 정리(최신)'!T:T,MATCH($E159,'큐펫&amp;몹 정리(최신)'!$B:$B,0))*20,IF($J159=2,INDEX('큐펫&amp;몹 정리(최신)'!T:T,MATCH($E159,'큐펫&amp;몹 정리(최신)'!$B:$B,0))*25,IF($J159=3,INDEX('큐펫&amp;몹 정리(최신)'!T:T,MATCH($E159,'큐펫&amp;몹 정리(최신)'!$B:$B,0))*30,IF($J159=4,INDEX('큐펫&amp;몹 정리(최신)'!T:T,MATCH($E159,'큐펫&amp;몹 정리(최신)'!$B:$B,0))*35,INDEX('큐펫&amp;몹 정리(최신)'!T:T,MATCH($E159,'큐펫&amp;몹 정리(최신)'!$B:$B,0))*40))))</f>
        <v>360</v>
      </c>
      <c r="P159" s="217">
        <v>60</v>
      </c>
      <c r="Q159" s="217">
        <f t="shared" si="16"/>
        <v>134160</v>
      </c>
      <c r="R159" s="217">
        <f t="shared" si="17"/>
        <v>14719</v>
      </c>
      <c r="S159" s="217">
        <f t="shared" si="18"/>
        <v>11773</v>
      </c>
      <c r="T159" s="217">
        <f t="shared" si="19"/>
        <v>2169</v>
      </c>
      <c r="U159" s="217">
        <f t="shared" si="20"/>
        <v>43484</v>
      </c>
      <c r="V159" s="217">
        <f t="shared" si="21"/>
        <v>12457</v>
      </c>
      <c r="W159" s="217">
        <f>ROUND(AC159+(INDEX(Ref!B$1:B$9,MATCH($AI159,Ref!$A$1:$A$9,0))*P159*0.0001),)</f>
        <v>47</v>
      </c>
      <c r="X159" s="217">
        <f>ROUND(AD159+(INDEX(Ref!C$1:C$9,MATCH($AI159,Ref!$A$1:$A$9,0))*$P159*0.0001),)</f>
        <v>31</v>
      </c>
      <c r="Y159" s="217">
        <f>ROUND(AE159+(INDEX(Ref!D$1:D$9,MATCH($AI159,Ref!$A$1:$A$9,0))*$P159*0.0001),)</f>
        <v>78</v>
      </c>
      <c r="Z159" s="217">
        <f>ROUND(AF159+(INDEX(Ref!E$1:E$9,MATCH($AI159,Ref!$A$1:$A$9,0))*$P159*0.0001),)</f>
        <v>37</v>
      </c>
      <c r="AA159" s="217">
        <f>ROUND(AG159+(INDEX(Ref!F$1:F$9,MATCH($AI159,Ref!$A$1:$A$9,0))*$P159*0.0001),)</f>
        <v>42</v>
      </c>
      <c r="AB159" s="217">
        <f>ROUND(AH159+(INDEX(Ref!G$1:G$9,MATCH($AI159,Ref!$A$1:$A$9,0))*$P159*0.0001),)</f>
        <v>28</v>
      </c>
      <c r="AC159" s="137">
        <v>36</v>
      </c>
      <c r="AD159" s="137">
        <v>23</v>
      </c>
      <c r="AE159" s="137">
        <v>64</v>
      </c>
      <c r="AF159" s="137">
        <v>28</v>
      </c>
      <c r="AG159" s="137">
        <v>32</v>
      </c>
      <c r="AH159" s="137">
        <v>21</v>
      </c>
      <c r="AI159" s="208">
        <v>3</v>
      </c>
      <c r="AJ159" s="172">
        <v>3000</v>
      </c>
      <c r="AK159" s="172">
        <v>30188</v>
      </c>
      <c r="AL159" s="172">
        <v>2000</v>
      </c>
      <c r="AM159" s="172">
        <v>30191</v>
      </c>
      <c r="AN159" s="172">
        <v>0</v>
      </c>
      <c r="AO159" s="172">
        <f t="shared" si="22"/>
        <v>34188</v>
      </c>
      <c r="AP159" s="172">
        <v>0</v>
      </c>
      <c r="AQ159" s="172">
        <f t="shared" si="23"/>
        <v>34191</v>
      </c>
      <c r="AR159" s="172">
        <v>1</v>
      </c>
      <c r="AS159" s="172">
        <v>0</v>
      </c>
      <c r="AT159" s="199">
        <v>78032</v>
      </c>
      <c r="AU159" s="195" t="s">
        <v>170</v>
      </c>
    </row>
    <row r="160" spans="1:47" x14ac:dyDescent="0.2">
      <c r="A160" s="173">
        <v>55032</v>
      </c>
      <c r="B160" s="177" t="s">
        <v>1039</v>
      </c>
      <c r="C160" s="172">
        <v>86032</v>
      </c>
      <c r="D160" s="172">
        <v>150032</v>
      </c>
      <c r="E160" s="206" t="s">
        <v>1092</v>
      </c>
      <c r="F160" s="207">
        <v>10</v>
      </c>
      <c r="G160" s="172">
        <v>10000</v>
      </c>
      <c r="H160" s="172">
        <v>10000</v>
      </c>
      <c r="I160" s="172">
        <v>10000</v>
      </c>
      <c r="J160" s="172">
        <v>4</v>
      </c>
      <c r="K160" s="190">
        <f>IF($J160=1,INDEX('큐펫&amp;몹 정리(최신)'!P:P,MATCH($E160,'큐펫&amp;몹 정리(최신)'!$B:$B,0))*20,IF($J160=2,INDEX('큐펫&amp;몹 정리(최신)'!P:P,MATCH($E160,'큐펫&amp;몹 정리(최신)'!$B:$B,0))*25,IF($J160=3,INDEX('큐펫&amp;몹 정리(최신)'!P:P,MATCH($E160,'큐펫&amp;몹 정리(최신)'!$B:$B,0))*30,IF($J160=4,INDEX('큐펫&amp;몹 정리(최신)'!P:P,MATCH($E160,'큐펫&amp;몹 정리(최신)'!$B:$B,0))*35,INDEX('큐펫&amp;몹 정리(최신)'!P:P,MATCH($E160,'큐펫&amp;몹 정리(최신)'!$B:$B,0))*40))))</f>
        <v>1400</v>
      </c>
      <c r="L160" s="190">
        <f>IF($J160=1,INDEX('큐펫&amp;몹 정리(최신)'!Q:Q,MATCH($E160,'큐펫&amp;몹 정리(최신)'!$B:$B,0))*20,IF($J160=2,INDEX('큐펫&amp;몹 정리(최신)'!Q:Q,MATCH($E160,'큐펫&amp;몹 정리(최신)'!$B:$B,0))*25,IF($J160=3,INDEX('큐펫&amp;몹 정리(최신)'!Q:Q,MATCH($E160,'큐펫&amp;몹 정리(최신)'!$B:$B,0))*30,IF($J160=4,INDEX('큐펫&amp;몹 정리(최신)'!Q:Q,MATCH($E160,'큐펫&amp;몹 정리(최신)'!$B:$B,0))*35,INDEX('큐펫&amp;몹 정리(최신)'!Q:Q,MATCH($E160,'큐펫&amp;몹 정리(최신)'!$B:$B,0))*40))))</f>
        <v>770</v>
      </c>
      <c r="M160" s="190">
        <f>IF($J160=1,INDEX('큐펫&amp;몹 정리(최신)'!R:R,MATCH($E160,'큐펫&amp;몹 정리(최신)'!$B:$B,0))*20,IF($J160=2,INDEX('큐펫&amp;몹 정리(최신)'!R:R,MATCH($E160,'큐펫&amp;몹 정리(최신)'!$B:$B,0))*25,IF($J160=3,INDEX('큐펫&amp;몹 정리(최신)'!R:R,MATCH($E160,'큐펫&amp;몹 정리(최신)'!$B:$B,0))*30,IF($J160=4,INDEX('큐펫&amp;몹 정리(최신)'!R:R,MATCH($E160,'큐펫&amp;몹 정리(최신)'!$B:$B,0))*35,INDEX('큐펫&amp;몹 정리(최신)'!R:R,MATCH($E160,'큐펫&amp;몹 정리(최신)'!$B:$B,0))*40))))</f>
        <v>175</v>
      </c>
      <c r="N160" s="190">
        <f>IF($J160=1,INDEX('큐펫&amp;몹 정리(최신)'!S:S,MATCH($E160,'큐펫&amp;몹 정리(최신)'!$B:$B,0))*20,IF($J160=2,INDEX('큐펫&amp;몹 정리(최신)'!S:S,MATCH($E160,'큐펫&amp;몹 정리(최신)'!$B:$B,0))*25,IF($J160=3,INDEX('큐펫&amp;몹 정리(최신)'!S:S,MATCH($E160,'큐펫&amp;몹 정리(최신)'!$B:$B,0))*30,IF($J160=4,INDEX('큐펫&amp;몹 정리(최신)'!S:S,MATCH($E160,'큐펫&amp;몹 정리(최신)'!$B:$B,0))*35,INDEX('큐펫&amp;몹 정리(최신)'!S:S,MATCH($E160,'큐펫&amp;몹 정리(최신)'!$B:$B,0))*40))))</f>
        <v>735</v>
      </c>
      <c r="O160" s="190">
        <f>IF($J160=1,INDEX('큐펫&amp;몹 정리(최신)'!T:T,MATCH($E160,'큐펫&amp;몹 정리(최신)'!$B:$B,0))*20,IF($J160=2,INDEX('큐펫&amp;몹 정리(최신)'!T:T,MATCH($E160,'큐펫&amp;몹 정리(최신)'!$B:$B,0))*25,IF($J160=3,INDEX('큐펫&amp;몹 정리(최신)'!T:T,MATCH($E160,'큐펫&amp;몹 정리(최신)'!$B:$B,0))*30,IF($J160=4,INDEX('큐펫&amp;몹 정리(최신)'!T:T,MATCH($E160,'큐펫&amp;몹 정리(최신)'!$B:$B,0))*35,INDEX('큐펫&amp;몹 정리(최신)'!T:T,MATCH($E160,'큐펫&amp;몹 정리(최신)'!$B:$B,0))*40))))</f>
        <v>420</v>
      </c>
      <c r="P160" s="217">
        <v>80</v>
      </c>
      <c r="Q160" s="217">
        <f t="shared" si="16"/>
        <v>217560</v>
      </c>
      <c r="R160" s="217">
        <f t="shared" si="17"/>
        <v>22620</v>
      </c>
      <c r="S160" s="217">
        <f t="shared" si="18"/>
        <v>18646</v>
      </c>
      <c r="T160" s="217">
        <f t="shared" si="19"/>
        <v>3376</v>
      </c>
      <c r="U160" s="217">
        <f t="shared" si="20"/>
        <v>61756</v>
      </c>
      <c r="V160" s="217">
        <f t="shared" si="21"/>
        <v>17683</v>
      </c>
      <c r="W160" s="217">
        <f>ROUND(AC160+(INDEX(Ref!B$1:B$9,MATCH($AI160,Ref!$A$1:$A$9,0))*P160*0.0001),)</f>
        <v>54</v>
      </c>
      <c r="X160" s="217">
        <f>ROUND(AD160+(INDEX(Ref!C$1:C$9,MATCH($AI160,Ref!$A$1:$A$9,0))*$P160*0.0001),)</f>
        <v>36</v>
      </c>
      <c r="Y160" s="217">
        <f>ROUND(AE160+(INDEX(Ref!D$1:D$9,MATCH($AI160,Ref!$A$1:$A$9,0))*$P160*0.0001),)</f>
        <v>88</v>
      </c>
      <c r="Z160" s="217">
        <f>ROUND(AF160+(INDEX(Ref!E$1:E$9,MATCH($AI160,Ref!$A$1:$A$9,0))*$P160*0.0001),)</f>
        <v>43</v>
      </c>
      <c r="AA160" s="217">
        <f>ROUND(AG160+(INDEX(Ref!F$1:F$9,MATCH($AI160,Ref!$A$1:$A$9,0))*$P160*0.0001),)</f>
        <v>49</v>
      </c>
      <c r="AB160" s="217">
        <f>ROUND(AH160+(INDEX(Ref!G$1:G$9,MATCH($AI160,Ref!$A$1:$A$9,0))*$P160*0.0001),)</f>
        <v>34</v>
      </c>
      <c r="AC160" s="137">
        <v>39</v>
      </c>
      <c r="AD160" s="137">
        <v>26</v>
      </c>
      <c r="AE160" s="137">
        <v>69</v>
      </c>
      <c r="AF160" s="137">
        <v>31</v>
      </c>
      <c r="AG160" s="137">
        <v>35</v>
      </c>
      <c r="AH160" s="137">
        <v>24</v>
      </c>
      <c r="AI160" s="208">
        <v>3</v>
      </c>
      <c r="AJ160" s="172">
        <v>3000</v>
      </c>
      <c r="AK160" s="172">
        <v>30189</v>
      </c>
      <c r="AL160" s="172">
        <v>2000</v>
      </c>
      <c r="AM160" s="172">
        <v>30191</v>
      </c>
      <c r="AN160" s="172">
        <v>0</v>
      </c>
      <c r="AO160" s="172">
        <f t="shared" si="22"/>
        <v>34189</v>
      </c>
      <c r="AP160" s="172">
        <v>0</v>
      </c>
      <c r="AQ160" s="172">
        <f t="shared" si="23"/>
        <v>34191</v>
      </c>
      <c r="AR160" s="172">
        <v>1</v>
      </c>
      <c r="AS160" s="172">
        <v>0</v>
      </c>
      <c r="AT160" s="199">
        <v>78032</v>
      </c>
      <c r="AU160" s="195" t="s">
        <v>170</v>
      </c>
    </row>
    <row r="161" spans="1:47" x14ac:dyDescent="0.2">
      <c r="A161" s="173">
        <v>55032</v>
      </c>
      <c r="B161" s="177" t="s">
        <v>1039</v>
      </c>
      <c r="C161" s="172">
        <v>86032</v>
      </c>
      <c r="D161" s="172">
        <v>150032</v>
      </c>
      <c r="E161" s="206" t="s">
        <v>1092</v>
      </c>
      <c r="F161" s="207">
        <v>10</v>
      </c>
      <c r="G161" s="172">
        <v>10000</v>
      </c>
      <c r="H161" s="172">
        <v>10000</v>
      </c>
      <c r="I161" s="172">
        <v>10000</v>
      </c>
      <c r="J161" s="172">
        <v>5</v>
      </c>
      <c r="K161" s="190">
        <f>IF($J161=1,INDEX('큐펫&amp;몹 정리(최신)'!P:P,MATCH($E161,'큐펫&amp;몹 정리(최신)'!$B:$B,0))*20,IF($J161=2,INDEX('큐펫&amp;몹 정리(최신)'!P:P,MATCH($E161,'큐펫&amp;몹 정리(최신)'!$B:$B,0))*25,IF($J161=3,INDEX('큐펫&amp;몹 정리(최신)'!P:P,MATCH($E161,'큐펫&amp;몹 정리(최신)'!$B:$B,0))*30,IF($J161=4,INDEX('큐펫&amp;몹 정리(최신)'!P:P,MATCH($E161,'큐펫&amp;몹 정리(최신)'!$B:$B,0))*35,INDEX('큐펫&amp;몹 정리(최신)'!P:P,MATCH($E161,'큐펫&amp;몹 정리(최신)'!$B:$B,0))*40))))</f>
        <v>1600</v>
      </c>
      <c r="L161" s="190">
        <f>IF($J161=1,INDEX('큐펫&amp;몹 정리(최신)'!Q:Q,MATCH($E161,'큐펫&amp;몹 정리(최신)'!$B:$B,0))*20,IF($J161=2,INDEX('큐펫&amp;몹 정리(최신)'!Q:Q,MATCH($E161,'큐펫&amp;몹 정리(최신)'!$B:$B,0))*25,IF($J161=3,INDEX('큐펫&amp;몹 정리(최신)'!Q:Q,MATCH($E161,'큐펫&amp;몹 정리(최신)'!$B:$B,0))*30,IF($J161=4,INDEX('큐펫&amp;몹 정리(최신)'!Q:Q,MATCH($E161,'큐펫&amp;몹 정리(최신)'!$B:$B,0))*35,INDEX('큐펫&amp;몹 정리(최신)'!Q:Q,MATCH($E161,'큐펫&amp;몹 정리(최신)'!$B:$B,0))*40))))</f>
        <v>880</v>
      </c>
      <c r="M161" s="190">
        <f>IF($J161=1,INDEX('큐펫&amp;몹 정리(최신)'!R:R,MATCH($E161,'큐펫&amp;몹 정리(최신)'!$B:$B,0))*20,IF($J161=2,INDEX('큐펫&amp;몹 정리(최신)'!R:R,MATCH($E161,'큐펫&amp;몹 정리(최신)'!$B:$B,0))*25,IF($J161=3,INDEX('큐펫&amp;몹 정리(최신)'!R:R,MATCH($E161,'큐펫&amp;몹 정리(최신)'!$B:$B,0))*30,IF($J161=4,INDEX('큐펫&amp;몹 정리(최신)'!R:R,MATCH($E161,'큐펫&amp;몹 정리(최신)'!$B:$B,0))*35,INDEX('큐펫&amp;몹 정리(최신)'!R:R,MATCH($E161,'큐펫&amp;몹 정리(최신)'!$B:$B,0))*40))))</f>
        <v>200</v>
      </c>
      <c r="N161" s="190">
        <f>IF($J161=1,INDEX('큐펫&amp;몹 정리(최신)'!S:S,MATCH($E161,'큐펫&amp;몹 정리(최신)'!$B:$B,0))*20,IF($J161=2,INDEX('큐펫&amp;몹 정리(최신)'!S:S,MATCH($E161,'큐펫&amp;몹 정리(최신)'!$B:$B,0))*25,IF($J161=3,INDEX('큐펫&amp;몹 정리(최신)'!S:S,MATCH($E161,'큐펫&amp;몹 정리(최신)'!$B:$B,0))*30,IF($J161=4,INDEX('큐펫&amp;몹 정리(최신)'!S:S,MATCH($E161,'큐펫&amp;몹 정리(최신)'!$B:$B,0))*35,INDEX('큐펫&amp;몹 정리(최신)'!S:S,MATCH($E161,'큐펫&amp;몹 정리(최신)'!$B:$B,0))*40))))</f>
        <v>840</v>
      </c>
      <c r="O161" s="190">
        <f>IF($J161=1,INDEX('큐펫&amp;몹 정리(최신)'!T:T,MATCH($E161,'큐펫&amp;몹 정리(최신)'!$B:$B,0))*20,IF($J161=2,INDEX('큐펫&amp;몹 정리(최신)'!T:T,MATCH($E161,'큐펫&amp;몹 정리(최신)'!$B:$B,0))*25,IF($J161=3,INDEX('큐펫&amp;몹 정리(최신)'!T:T,MATCH($E161,'큐펫&amp;몹 정리(최신)'!$B:$B,0))*30,IF($J161=4,INDEX('큐펫&amp;몹 정리(최신)'!T:T,MATCH($E161,'큐펫&amp;몹 정리(최신)'!$B:$B,0))*35,INDEX('큐펫&amp;몹 정리(최신)'!T:T,MATCH($E161,'큐펫&amp;몹 정리(최신)'!$B:$B,0))*40))))</f>
        <v>480</v>
      </c>
      <c r="P161" s="217">
        <v>100</v>
      </c>
      <c r="Q161" s="217">
        <f t="shared" si="16"/>
        <v>324800</v>
      </c>
      <c r="R161" s="217">
        <f t="shared" si="17"/>
        <v>34022</v>
      </c>
      <c r="S161" s="217">
        <f t="shared" si="18"/>
        <v>26803</v>
      </c>
      <c r="T161" s="217">
        <f t="shared" si="19"/>
        <v>4966</v>
      </c>
      <c r="U161" s="217">
        <f t="shared" si="20"/>
        <v>83179</v>
      </c>
      <c r="V161" s="217">
        <f t="shared" si="21"/>
        <v>23809</v>
      </c>
      <c r="W161" s="217">
        <f>ROUND(AC161+(INDEX(Ref!B$1:B$9,MATCH($AI161,Ref!$A$1:$A$9,0))*P161*0.0001),)</f>
        <v>62</v>
      </c>
      <c r="X161" s="217">
        <f>ROUND(AD161+(INDEX(Ref!C$1:C$9,MATCH($AI161,Ref!$A$1:$A$9,0))*$P161*0.0001),)</f>
        <v>42</v>
      </c>
      <c r="Y161" s="217">
        <f>ROUND(AE161+(INDEX(Ref!D$1:D$9,MATCH($AI161,Ref!$A$1:$A$9,0))*$P161*0.0001),)</f>
        <v>98</v>
      </c>
      <c r="Z161" s="217">
        <f>ROUND(AF161+(INDEX(Ref!E$1:E$9,MATCH($AI161,Ref!$A$1:$A$9,0))*$P161*0.0001),)</f>
        <v>49</v>
      </c>
      <c r="AA161" s="217">
        <f>ROUND(AG161+(INDEX(Ref!F$1:F$9,MATCH($AI161,Ref!$A$1:$A$9,0))*$P161*0.0001),)</f>
        <v>55</v>
      </c>
      <c r="AB161" s="217">
        <f>ROUND(AH161+(INDEX(Ref!G$1:G$9,MATCH($AI161,Ref!$A$1:$A$9,0))*$P161*0.0001),)</f>
        <v>38</v>
      </c>
      <c r="AC161" s="137">
        <v>43</v>
      </c>
      <c r="AD161" s="137">
        <v>29</v>
      </c>
      <c r="AE161" s="137">
        <v>74</v>
      </c>
      <c r="AF161" s="137">
        <v>34</v>
      </c>
      <c r="AG161" s="137">
        <v>38</v>
      </c>
      <c r="AH161" s="137">
        <v>26</v>
      </c>
      <c r="AI161" s="208">
        <v>3</v>
      </c>
      <c r="AJ161" s="172">
        <v>3000</v>
      </c>
      <c r="AK161" s="172">
        <v>30189</v>
      </c>
      <c r="AL161" s="172">
        <v>2000</v>
      </c>
      <c r="AM161" s="172">
        <v>30192</v>
      </c>
      <c r="AN161" s="172">
        <v>0</v>
      </c>
      <c r="AO161" s="172">
        <f t="shared" si="22"/>
        <v>34189</v>
      </c>
      <c r="AP161" s="172">
        <v>0</v>
      </c>
      <c r="AQ161" s="172">
        <f t="shared" si="23"/>
        <v>34192</v>
      </c>
      <c r="AR161" s="172">
        <v>1</v>
      </c>
      <c r="AS161" s="172">
        <v>0</v>
      </c>
      <c r="AT161" s="199">
        <v>78032</v>
      </c>
      <c r="AU161" s="195" t="s">
        <v>170</v>
      </c>
    </row>
    <row r="162" spans="1:47" x14ac:dyDescent="0.2">
      <c r="A162" s="173">
        <v>55033</v>
      </c>
      <c r="B162" s="178" t="s">
        <v>1040</v>
      </c>
      <c r="C162" s="172">
        <v>86033</v>
      </c>
      <c r="D162" s="172">
        <v>150033</v>
      </c>
      <c r="E162" s="206" t="s">
        <v>997</v>
      </c>
      <c r="F162" s="207">
        <v>10</v>
      </c>
      <c r="G162" s="173">
        <v>11500</v>
      </c>
      <c r="H162" s="173">
        <v>9500</v>
      </c>
      <c r="I162" s="172">
        <v>10000</v>
      </c>
      <c r="J162" s="172">
        <v>1</v>
      </c>
      <c r="K162" s="190">
        <f>IF($J162=1,INDEX('큐펫&amp;몹 정리(최신)'!P:P,MATCH($E162,'큐펫&amp;몹 정리(최신)'!$B:$B,0))*20,IF($J162=2,INDEX('큐펫&amp;몹 정리(최신)'!P:P,MATCH($E162,'큐펫&amp;몹 정리(최신)'!$B:$B,0))*25,IF($J162=3,INDEX('큐펫&amp;몹 정리(최신)'!P:P,MATCH($E162,'큐펫&amp;몹 정리(최신)'!$B:$B,0))*30,IF($J162=4,INDEX('큐펫&amp;몹 정리(최신)'!P:P,MATCH($E162,'큐펫&amp;몹 정리(최신)'!$B:$B,0))*35,INDEX('큐펫&amp;몹 정리(최신)'!P:P,MATCH($E162,'큐펫&amp;몹 정리(최신)'!$B:$B,0))*40))))</f>
        <v>780</v>
      </c>
      <c r="L162" s="190">
        <f>IF($J162=1,INDEX('큐펫&amp;몹 정리(최신)'!Q:Q,MATCH($E162,'큐펫&amp;몹 정리(최신)'!$B:$B,0))*20,IF($J162=2,INDEX('큐펫&amp;몹 정리(최신)'!Q:Q,MATCH($E162,'큐펫&amp;몹 정리(최신)'!$B:$B,0))*25,IF($J162=3,INDEX('큐펫&amp;몹 정리(최신)'!Q:Q,MATCH($E162,'큐펫&amp;몹 정리(최신)'!$B:$B,0))*30,IF($J162=4,INDEX('큐펫&amp;몹 정리(최신)'!Q:Q,MATCH($E162,'큐펫&amp;몹 정리(최신)'!$B:$B,0))*35,INDEX('큐펫&amp;몹 정리(최신)'!Q:Q,MATCH($E162,'큐펫&amp;몹 정리(최신)'!$B:$B,0))*40))))</f>
        <v>80</v>
      </c>
      <c r="M162" s="190">
        <f>IF($J162=1,INDEX('큐펫&amp;몹 정리(최신)'!R:R,MATCH($E162,'큐펫&amp;몹 정리(최신)'!$B:$B,0))*20,IF($J162=2,INDEX('큐펫&amp;몹 정리(최신)'!R:R,MATCH($E162,'큐펫&amp;몹 정리(최신)'!$B:$B,0))*25,IF($J162=3,INDEX('큐펫&amp;몹 정리(최신)'!R:R,MATCH($E162,'큐펫&amp;몹 정리(최신)'!$B:$B,0))*30,IF($J162=4,INDEX('큐펫&amp;몹 정리(최신)'!R:R,MATCH($E162,'큐펫&amp;몹 정리(최신)'!$B:$B,0))*35,INDEX('큐펫&amp;몹 정리(최신)'!R:R,MATCH($E162,'큐펫&amp;몹 정리(최신)'!$B:$B,0))*40))))</f>
        <v>420</v>
      </c>
      <c r="N162" s="190">
        <f>IF($J162=1,INDEX('큐펫&amp;몹 정리(최신)'!S:S,MATCH($E162,'큐펫&amp;몹 정리(최신)'!$B:$B,0))*20,IF($J162=2,INDEX('큐펫&amp;몹 정리(최신)'!S:S,MATCH($E162,'큐펫&amp;몹 정리(최신)'!$B:$B,0))*25,IF($J162=3,INDEX('큐펫&amp;몹 정리(최신)'!S:S,MATCH($E162,'큐펫&amp;몹 정리(최신)'!$B:$B,0))*30,IF($J162=4,INDEX('큐펫&amp;몹 정리(최신)'!S:S,MATCH($E162,'큐펫&amp;몹 정리(최신)'!$B:$B,0))*35,INDEX('큐펫&amp;몹 정리(최신)'!S:S,MATCH($E162,'큐펫&amp;몹 정리(최신)'!$B:$B,0))*40))))</f>
        <v>280</v>
      </c>
      <c r="O162" s="190">
        <f>IF($J162=1,INDEX('큐펫&amp;몹 정리(최신)'!T:T,MATCH($E162,'큐펫&amp;몹 정리(최신)'!$B:$B,0))*20,IF($J162=2,INDEX('큐펫&amp;몹 정리(최신)'!T:T,MATCH($E162,'큐펫&amp;몹 정리(최신)'!$B:$B,0))*25,IF($J162=3,INDEX('큐펫&amp;몹 정리(최신)'!T:T,MATCH($E162,'큐펫&amp;몹 정리(최신)'!$B:$B,0))*30,IF($J162=4,INDEX('큐펫&amp;몹 정리(최신)'!T:T,MATCH($E162,'큐펫&amp;몹 정리(최신)'!$B:$B,0))*35,INDEX('큐펫&amp;몹 정리(최신)'!T:T,MATCH($E162,'큐펫&amp;몹 정리(최신)'!$B:$B,0))*40))))</f>
        <v>440</v>
      </c>
      <c r="P162" s="217">
        <v>20</v>
      </c>
      <c r="Q162" s="217">
        <f t="shared" si="16"/>
        <v>27612</v>
      </c>
      <c r="R162" s="217">
        <f t="shared" si="17"/>
        <v>346</v>
      </c>
      <c r="S162" s="217">
        <f t="shared" si="18"/>
        <v>488</v>
      </c>
      <c r="T162" s="217">
        <f t="shared" si="19"/>
        <v>7869</v>
      </c>
      <c r="U162" s="217">
        <f t="shared" si="20"/>
        <v>10086</v>
      </c>
      <c r="V162" s="217">
        <f t="shared" si="21"/>
        <v>7963</v>
      </c>
      <c r="W162" s="217">
        <f>ROUND(AC162+(INDEX(Ref!B$1:B$9,MATCH($AI162,Ref!$A$1:$A$9,0))*P162*0.0001),)</f>
        <v>19</v>
      </c>
      <c r="X162" s="217">
        <f>ROUND(AD162+(INDEX(Ref!C$1:C$9,MATCH($AI162,Ref!$A$1:$A$9,0))*$P162*0.0001),)</f>
        <v>26</v>
      </c>
      <c r="Y162" s="217">
        <f>ROUND(AE162+(INDEX(Ref!D$1:D$9,MATCH($AI162,Ref!$A$1:$A$9,0))*$P162*0.0001),)</f>
        <v>52</v>
      </c>
      <c r="Z162" s="217">
        <f>ROUND(AF162+(INDEX(Ref!E$1:E$9,MATCH($AI162,Ref!$A$1:$A$9,0))*$P162*0.0001),)</f>
        <v>43</v>
      </c>
      <c r="AA162" s="217">
        <f>ROUND(AG162+(INDEX(Ref!F$1:F$9,MATCH($AI162,Ref!$A$1:$A$9,0))*$P162*0.0001),)</f>
        <v>23</v>
      </c>
      <c r="AB162" s="217">
        <f>ROUND(AH162+(INDEX(Ref!G$1:G$9,MATCH($AI162,Ref!$A$1:$A$9,0))*$P162*0.0001),)</f>
        <v>21</v>
      </c>
      <c r="AC162" s="137">
        <v>17</v>
      </c>
      <c r="AD162" s="137">
        <v>23</v>
      </c>
      <c r="AE162" s="137">
        <v>48</v>
      </c>
      <c r="AF162" s="137">
        <v>38</v>
      </c>
      <c r="AG162" s="137">
        <v>20</v>
      </c>
      <c r="AH162" s="137">
        <v>18</v>
      </c>
      <c r="AI162" s="208">
        <v>2</v>
      </c>
      <c r="AJ162" s="172">
        <v>3000</v>
      </c>
      <c r="AK162" s="172">
        <v>30193</v>
      </c>
      <c r="AL162" s="172">
        <v>2000</v>
      </c>
      <c r="AM162" s="172">
        <v>30196</v>
      </c>
      <c r="AN162" s="172">
        <v>0</v>
      </c>
      <c r="AO162" s="172">
        <f t="shared" si="22"/>
        <v>34193</v>
      </c>
      <c r="AP162" s="172">
        <v>0</v>
      </c>
      <c r="AQ162" s="172">
        <f t="shared" si="23"/>
        <v>34196</v>
      </c>
      <c r="AR162" s="172">
        <v>1</v>
      </c>
      <c r="AS162" s="172">
        <v>0</v>
      </c>
      <c r="AT162" s="199">
        <v>78033</v>
      </c>
      <c r="AU162" s="195" t="s">
        <v>171</v>
      </c>
    </row>
    <row r="163" spans="1:47" x14ac:dyDescent="0.2">
      <c r="A163" s="173">
        <v>55033</v>
      </c>
      <c r="B163" s="178" t="s">
        <v>1040</v>
      </c>
      <c r="C163" s="172">
        <v>86033</v>
      </c>
      <c r="D163" s="172">
        <v>150033</v>
      </c>
      <c r="E163" s="206" t="s">
        <v>997</v>
      </c>
      <c r="F163" s="207">
        <v>10</v>
      </c>
      <c r="G163" s="173">
        <v>11500</v>
      </c>
      <c r="H163" s="173">
        <v>9500</v>
      </c>
      <c r="I163" s="172">
        <v>10000</v>
      </c>
      <c r="J163" s="172">
        <v>2</v>
      </c>
      <c r="K163" s="190">
        <f>IF($J163=1,INDEX('큐펫&amp;몹 정리(최신)'!P:P,MATCH($E163,'큐펫&amp;몹 정리(최신)'!$B:$B,0))*20,IF($J163=2,INDEX('큐펫&amp;몹 정리(최신)'!P:P,MATCH($E163,'큐펫&amp;몹 정리(최신)'!$B:$B,0))*25,IF($J163=3,INDEX('큐펫&amp;몹 정리(최신)'!P:P,MATCH($E163,'큐펫&amp;몹 정리(최신)'!$B:$B,0))*30,IF($J163=4,INDEX('큐펫&amp;몹 정리(최신)'!P:P,MATCH($E163,'큐펫&amp;몹 정리(최신)'!$B:$B,0))*35,INDEX('큐펫&amp;몹 정리(최신)'!P:P,MATCH($E163,'큐펫&amp;몹 정리(최신)'!$B:$B,0))*40))))</f>
        <v>975</v>
      </c>
      <c r="L163" s="190">
        <f>IF($J163=1,INDEX('큐펫&amp;몹 정리(최신)'!Q:Q,MATCH($E163,'큐펫&amp;몹 정리(최신)'!$B:$B,0))*20,IF($J163=2,INDEX('큐펫&amp;몹 정리(최신)'!Q:Q,MATCH($E163,'큐펫&amp;몹 정리(최신)'!$B:$B,0))*25,IF($J163=3,INDEX('큐펫&amp;몹 정리(최신)'!Q:Q,MATCH($E163,'큐펫&amp;몹 정리(최신)'!$B:$B,0))*30,IF($J163=4,INDEX('큐펫&amp;몹 정리(최신)'!Q:Q,MATCH($E163,'큐펫&amp;몹 정리(최신)'!$B:$B,0))*35,INDEX('큐펫&amp;몹 정리(최신)'!Q:Q,MATCH($E163,'큐펫&amp;몹 정리(최신)'!$B:$B,0))*40))))</f>
        <v>100</v>
      </c>
      <c r="M163" s="190">
        <f>IF($J163=1,INDEX('큐펫&amp;몹 정리(최신)'!R:R,MATCH($E163,'큐펫&amp;몹 정리(최신)'!$B:$B,0))*20,IF($J163=2,INDEX('큐펫&amp;몹 정리(최신)'!R:R,MATCH($E163,'큐펫&amp;몹 정리(최신)'!$B:$B,0))*25,IF($J163=3,INDEX('큐펫&amp;몹 정리(최신)'!R:R,MATCH($E163,'큐펫&amp;몹 정리(최신)'!$B:$B,0))*30,IF($J163=4,INDEX('큐펫&amp;몹 정리(최신)'!R:R,MATCH($E163,'큐펫&amp;몹 정리(최신)'!$B:$B,0))*35,INDEX('큐펫&amp;몹 정리(최신)'!R:R,MATCH($E163,'큐펫&amp;몹 정리(최신)'!$B:$B,0))*40))))</f>
        <v>525</v>
      </c>
      <c r="N163" s="190">
        <f>IF($J163=1,INDEX('큐펫&amp;몹 정리(최신)'!S:S,MATCH($E163,'큐펫&amp;몹 정리(최신)'!$B:$B,0))*20,IF($J163=2,INDEX('큐펫&amp;몹 정리(최신)'!S:S,MATCH($E163,'큐펫&amp;몹 정리(최신)'!$B:$B,0))*25,IF($J163=3,INDEX('큐펫&amp;몹 정리(최신)'!S:S,MATCH($E163,'큐펫&amp;몹 정리(최신)'!$B:$B,0))*30,IF($J163=4,INDEX('큐펫&amp;몹 정리(최신)'!S:S,MATCH($E163,'큐펫&amp;몹 정리(최신)'!$B:$B,0))*35,INDEX('큐펫&amp;몹 정리(최신)'!S:S,MATCH($E163,'큐펫&amp;몹 정리(최신)'!$B:$B,0))*40))))</f>
        <v>350</v>
      </c>
      <c r="O163" s="190">
        <f>IF($J163=1,INDEX('큐펫&amp;몹 정리(최신)'!T:T,MATCH($E163,'큐펫&amp;몹 정리(최신)'!$B:$B,0))*20,IF($J163=2,INDEX('큐펫&amp;몹 정리(최신)'!T:T,MATCH($E163,'큐펫&amp;몹 정리(최신)'!$B:$B,0))*25,IF($J163=3,INDEX('큐펫&amp;몹 정리(최신)'!T:T,MATCH($E163,'큐펫&amp;몹 정리(최신)'!$B:$B,0))*30,IF($J163=4,INDEX('큐펫&amp;몹 정리(최신)'!T:T,MATCH($E163,'큐펫&amp;몹 정리(최신)'!$B:$B,0))*35,INDEX('큐펫&amp;몹 정리(최신)'!T:T,MATCH($E163,'큐펫&amp;몹 정리(최신)'!$B:$B,0))*40))))</f>
        <v>550</v>
      </c>
      <c r="P163" s="217">
        <v>40</v>
      </c>
      <c r="Q163" s="217">
        <f t="shared" si="16"/>
        <v>67200</v>
      </c>
      <c r="R163" s="217">
        <f t="shared" si="17"/>
        <v>656</v>
      </c>
      <c r="S163" s="217">
        <f t="shared" si="18"/>
        <v>930</v>
      </c>
      <c r="T163" s="217">
        <f t="shared" si="19"/>
        <v>14883</v>
      </c>
      <c r="U163" s="217">
        <f t="shared" si="20"/>
        <v>17509</v>
      </c>
      <c r="V163" s="217">
        <f t="shared" si="21"/>
        <v>13803</v>
      </c>
      <c r="W163" s="217">
        <f>ROUND(AC163+(INDEX(Ref!B$1:B$9,MATCH($AI163,Ref!$A$1:$A$9,0))*P163*0.0001),)</f>
        <v>24</v>
      </c>
      <c r="X163" s="217">
        <f>ROUND(AD163+(INDEX(Ref!C$1:C$9,MATCH($AI163,Ref!$A$1:$A$9,0))*$P163*0.0001),)</f>
        <v>32</v>
      </c>
      <c r="Y163" s="217">
        <f>ROUND(AE163+(INDEX(Ref!D$1:D$9,MATCH($AI163,Ref!$A$1:$A$9,0))*$P163*0.0001),)</f>
        <v>60</v>
      </c>
      <c r="Z163" s="217">
        <f>ROUND(AF163+(INDEX(Ref!E$1:E$9,MATCH($AI163,Ref!$A$1:$A$9,0))*$P163*0.0001),)</f>
        <v>53</v>
      </c>
      <c r="AA163" s="217">
        <f>ROUND(AG163+(INDEX(Ref!F$1:F$9,MATCH($AI163,Ref!$A$1:$A$9,0))*$P163*0.0001),)</f>
        <v>29</v>
      </c>
      <c r="AB163" s="217">
        <f>ROUND(AH163+(INDEX(Ref!G$1:G$9,MATCH($AI163,Ref!$A$1:$A$9,0))*$P163*0.0001),)</f>
        <v>26</v>
      </c>
      <c r="AC163" s="137">
        <v>19</v>
      </c>
      <c r="AD163" s="137">
        <v>26</v>
      </c>
      <c r="AE163" s="137">
        <v>52</v>
      </c>
      <c r="AF163" s="137">
        <v>43</v>
      </c>
      <c r="AG163" s="137">
        <v>23</v>
      </c>
      <c r="AH163" s="137">
        <v>21</v>
      </c>
      <c r="AI163" s="208">
        <v>2</v>
      </c>
      <c r="AJ163" s="172">
        <v>3000</v>
      </c>
      <c r="AK163" s="172">
        <v>30194</v>
      </c>
      <c r="AL163" s="172">
        <v>2000</v>
      </c>
      <c r="AM163" s="172">
        <v>30196</v>
      </c>
      <c r="AN163" s="172">
        <v>0</v>
      </c>
      <c r="AO163" s="172">
        <f t="shared" si="22"/>
        <v>34194</v>
      </c>
      <c r="AP163" s="172">
        <v>0</v>
      </c>
      <c r="AQ163" s="172">
        <f t="shared" si="23"/>
        <v>34196</v>
      </c>
      <c r="AR163" s="172">
        <v>1</v>
      </c>
      <c r="AS163" s="172">
        <v>0</v>
      </c>
      <c r="AT163" s="199">
        <v>78033</v>
      </c>
      <c r="AU163" s="195" t="s">
        <v>171</v>
      </c>
    </row>
    <row r="164" spans="1:47" x14ac:dyDescent="0.2">
      <c r="A164" s="173">
        <v>55033</v>
      </c>
      <c r="B164" s="178" t="s">
        <v>1040</v>
      </c>
      <c r="C164" s="172">
        <v>86033</v>
      </c>
      <c r="D164" s="172">
        <v>150033</v>
      </c>
      <c r="E164" s="206" t="s">
        <v>997</v>
      </c>
      <c r="F164" s="207">
        <v>10</v>
      </c>
      <c r="G164" s="173">
        <v>11500</v>
      </c>
      <c r="H164" s="173">
        <v>9500</v>
      </c>
      <c r="I164" s="172">
        <v>10000</v>
      </c>
      <c r="J164" s="172">
        <v>3</v>
      </c>
      <c r="K164" s="190">
        <f>IF($J164=1,INDEX('큐펫&amp;몹 정리(최신)'!P:P,MATCH($E164,'큐펫&amp;몹 정리(최신)'!$B:$B,0))*20,IF($J164=2,INDEX('큐펫&amp;몹 정리(최신)'!P:P,MATCH($E164,'큐펫&amp;몹 정리(최신)'!$B:$B,0))*25,IF($J164=3,INDEX('큐펫&amp;몹 정리(최신)'!P:P,MATCH($E164,'큐펫&amp;몹 정리(최신)'!$B:$B,0))*30,IF($J164=4,INDEX('큐펫&amp;몹 정리(최신)'!P:P,MATCH($E164,'큐펫&amp;몹 정리(최신)'!$B:$B,0))*35,INDEX('큐펫&amp;몹 정리(최신)'!P:P,MATCH($E164,'큐펫&amp;몹 정리(최신)'!$B:$B,0))*40))))</f>
        <v>1170</v>
      </c>
      <c r="L164" s="190">
        <f>IF($J164=1,INDEX('큐펫&amp;몹 정리(최신)'!Q:Q,MATCH($E164,'큐펫&amp;몹 정리(최신)'!$B:$B,0))*20,IF($J164=2,INDEX('큐펫&amp;몹 정리(최신)'!Q:Q,MATCH($E164,'큐펫&amp;몹 정리(최신)'!$B:$B,0))*25,IF($J164=3,INDEX('큐펫&amp;몹 정리(최신)'!Q:Q,MATCH($E164,'큐펫&amp;몹 정리(최신)'!$B:$B,0))*30,IF($J164=4,INDEX('큐펫&amp;몹 정리(최신)'!Q:Q,MATCH($E164,'큐펫&amp;몹 정리(최신)'!$B:$B,0))*35,INDEX('큐펫&amp;몹 정리(최신)'!Q:Q,MATCH($E164,'큐펫&amp;몹 정리(최신)'!$B:$B,0))*40))))</f>
        <v>120</v>
      </c>
      <c r="M164" s="190">
        <f>IF($J164=1,INDEX('큐펫&amp;몹 정리(최신)'!R:R,MATCH($E164,'큐펫&amp;몹 정리(최신)'!$B:$B,0))*20,IF($J164=2,INDEX('큐펫&amp;몹 정리(최신)'!R:R,MATCH($E164,'큐펫&amp;몹 정리(최신)'!$B:$B,0))*25,IF($J164=3,INDEX('큐펫&amp;몹 정리(최신)'!R:R,MATCH($E164,'큐펫&amp;몹 정리(최신)'!$B:$B,0))*30,IF($J164=4,INDEX('큐펫&amp;몹 정리(최신)'!R:R,MATCH($E164,'큐펫&amp;몹 정리(최신)'!$B:$B,0))*35,INDEX('큐펫&amp;몹 정리(최신)'!R:R,MATCH($E164,'큐펫&amp;몹 정리(최신)'!$B:$B,0))*40))))</f>
        <v>630</v>
      </c>
      <c r="N164" s="190">
        <f>IF($J164=1,INDEX('큐펫&amp;몹 정리(최신)'!S:S,MATCH($E164,'큐펫&amp;몹 정리(최신)'!$B:$B,0))*20,IF($J164=2,INDEX('큐펫&amp;몹 정리(최신)'!S:S,MATCH($E164,'큐펫&amp;몹 정리(최신)'!$B:$B,0))*25,IF($J164=3,INDEX('큐펫&amp;몹 정리(최신)'!S:S,MATCH($E164,'큐펫&amp;몹 정리(최신)'!$B:$B,0))*30,IF($J164=4,INDEX('큐펫&amp;몹 정리(최신)'!S:S,MATCH($E164,'큐펫&amp;몹 정리(최신)'!$B:$B,0))*35,INDEX('큐펫&amp;몹 정리(최신)'!S:S,MATCH($E164,'큐펫&amp;몹 정리(최신)'!$B:$B,0))*40))))</f>
        <v>420</v>
      </c>
      <c r="O164" s="190">
        <f>IF($J164=1,INDEX('큐펫&amp;몹 정리(최신)'!T:T,MATCH($E164,'큐펫&amp;몹 정리(최신)'!$B:$B,0))*20,IF($J164=2,INDEX('큐펫&amp;몹 정리(최신)'!T:T,MATCH($E164,'큐펫&amp;몹 정리(최신)'!$B:$B,0))*25,IF($J164=3,INDEX('큐펫&amp;몹 정리(최신)'!T:T,MATCH($E164,'큐펫&amp;몹 정리(최신)'!$B:$B,0))*30,IF($J164=4,INDEX('큐펫&amp;몹 정리(최신)'!T:T,MATCH($E164,'큐펫&amp;몹 정리(최신)'!$B:$B,0))*35,INDEX('큐펫&amp;몹 정리(최신)'!T:T,MATCH($E164,'큐펫&amp;몹 정리(최신)'!$B:$B,0))*40))))</f>
        <v>660</v>
      </c>
      <c r="P164" s="217">
        <v>60</v>
      </c>
      <c r="Q164" s="217">
        <f t="shared" si="16"/>
        <v>123736</v>
      </c>
      <c r="R164" s="217">
        <f t="shared" si="17"/>
        <v>1041</v>
      </c>
      <c r="S164" s="217">
        <f t="shared" si="18"/>
        <v>1498</v>
      </c>
      <c r="T164" s="217">
        <f t="shared" si="19"/>
        <v>25172</v>
      </c>
      <c r="U164" s="217">
        <f t="shared" si="20"/>
        <v>26891</v>
      </c>
      <c r="V164" s="217">
        <f t="shared" si="21"/>
        <v>21183</v>
      </c>
      <c r="W164" s="217">
        <f>ROUND(AC164+(INDEX(Ref!B$1:B$9,MATCH($AI164,Ref!$A$1:$A$9,0))*P164*0.0001),)</f>
        <v>28</v>
      </c>
      <c r="X164" s="217">
        <f>ROUND(AD164+(INDEX(Ref!C$1:C$9,MATCH($AI164,Ref!$A$1:$A$9,0))*$P164*0.0001),)</f>
        <v>40</v>
      </c>
      <c r="Y164" s="217">
        <f>ROUND(AE164+(INDEX(Ref!D$1:D$9,MATCH($AI164,Ref!$A$1:$A$9,0))*$P164*0.0001),)</f>
        <v>68</v>
      </c>
      <c r="Z164" s="217">
        <f>ROUND(AF164+(INDEX(Ref!E$1:E$9,MATCH($AI164,Ref!$A$1:$A$9,0))*$P164*0.0001),)</f>
        <v>63</v>
      </c>
      <c r="AA164" s="217">
        <f>ROUND(AG164+(INDEX(Ref!F$1:F$9,MATCH($AI164,Ref!$A$1:$A$9,0))*$P164*0.0001),)</f>
        <v>34</v>
      </c>
      <c r="AB164" s="217">
        <f>ROUND(AH164+(INDEX(Ref!G$1:G$9,MATCH($AI164,Ref!$A$1:$A$9,0))*$P164*0.0001),)</f>
        <v>31</v>
      </c>
      <c r="AC164" s="137">
        <v>21</v>
      </c>
      <c r="AD164" s="137">
        <v>30</v>
      </c>
      <c r="AE164" s="137">
        <v>56</v>
      </c>
      <c r="AF164" s="137">
        <v>48.000000000000007</v>
      </c>
      <c r="AG164" s="137">
        <v>26</v>
      </c>
      <c r="AH164" s="137">
        <v>23</v>
      </c>
      <c r="AI164" s="208">
        <v>2</v>
      </c>
      <c r="AJ164" s="172">
        <v>3000</v>
      </c>
      <c r="AK164" s="172">
        <v>30194</v>
      </c>
      <c r="AL164" s="172">
        <v>2000</v>
      </c>
      <c r="AM164" s="172">
        <v>30197</v>
      </c>
      <c r="AN164" s="172">
        <v>0</v>
      </c>
      <c r="AO164" s="172">
        <f t="shared" si="22"/>
        <v>34194</v>
      </c>
      <c r="AP164" s="172">
        <v>0</v>
      </c>
      <c r="AQ164" s="172">
        <f t="shared" si="23"/>
        <v>34197</v>
      </c>
      <c r="AR164" s="172">
        <v>1</v>
      </c>
      <c r="AS164" s="172">
        <v>0</v>
      </c>
      <c r="AT164" s="199">
        <v>78033</v>
      </c>
      <c r="AU164" s="195" t="s">
        <v>171</v>
      </c>
    </row>
    <row r="165" spans="1:47" x14ac:dyDescent="0.2">
      <c r="A165" s="173">
        <v>55033</v>
      </c>
      <c r="B165" s="178" t="s">
        <v>1040</v>
      </c>
      <c r="C165" s="172">
        <v>86033</v>
      </c>
      <c r="D165" s="172">
        <v>150033</v>
      </c>
      <c r="E165" s="206" t="s">
        <v>997</v>
      </c>
      <c r="F165" s="207">
        <v>10</v>
      </c>
      <c r="G165" s="173">
        <v>11500</v>
      </c>
      <c r="H165" s="173">
        <v>9500</v>
      </c>
      <c r="I165" s="172">
        <v>10000</v>
      </c>
      <c r="J165" s="172">
        <v>4</v>
      </c>
      <c r="K165" s="190">
        <f>IF($J165=1,INDEX('큐펫&amp;몹 정리(최신)'!P:P,MATCH($E165,'큐펫&amp;몹 정리(최신)'!$B:$B,0))*20,IF($J165=2,INDEX('큐펫&amp;몹 정리(최신)'!P:P,MATCH($E165,'큐펫&amp;몹 정리(최신)'!$B:$B,0))*25,IF($J165=3,INDEX('큐펫&amp;몹 정리(최신)'!P:P,MATCH($E165,'큐펫&amp;몹 정리(최신)'!$B:$B,0))*30,IF($J165=4,INDEX('큐펫&amp;몹 정리(최신)'!P:P,MATCH($E165,'큐펫&amp;몹 정리(최신)'!$B:$B,0))*35,INDEX('큐펫&amp;몹 정리(최신)'!P:P,MATCH($E165,'큐펫&amp;몹 정리(최신)'!$B:$B,0))*40))))</f>
        <v>1365</v>
      </c>
      <c r="L165" s="190">
        <f>IF($J165=1,INDEX('큐펫&amp;몹 정리(최신)'!Q:Q,MATCH($E165,'큐펫&amp;몹 정리(최신)'!$B:$B,0))*20,IF($J165=2,INDEX('큐펫&amp;몹 정리(최신)'!Q:Q,MATCH($E165,'큐펫&amp;몹 정리(최신)'!$B:$B,0))*25,IF($J165=3,INDEX('큐펫&amp;몹 정리(최신)'!Q:Q,MATCH($E165,'큐펫&amp;몹 정리(최신)'!$B:$B,0))*30,IF($J165=4,INDEX('큐펫&amp;몹 정리(최신)'!Q:Q,MATCH($E165,'큐펫&amp;몹 정리(최신)'!$B:$B,0))*35,INDEX('큐펫&amp;몹 정리(최신)'!Q:Q,MATCH($E165,'큐펫&amp;몹 정리(최신)'!$B:$B,0))*40))))</f>
        <v>140</v>
      </c>
      <c r="M165" s="190">
        <f>IF($J165=1,INDEX('큐펫&amp;몹 정리(최신)'!R:R,MATCH($E165,'큐펫&amp;몹 정리(최신)'!$B:$B,0))*20,IF($J165=2,INDEX('큐펫&amp;몹 정리(최신)'!R:R,MATCH($E165,'큐펫&amp;몹 정리(최신)'!$B:$B,0))*25,IF($J165=3,INDEX('큐펫&amp;몹 정리(최신)'!R:R,MATCH($E165,'큐펫&amp;몹 정리(최신)'!$B:$B,0))*30,IF($J165=4,INDEX('큐펫&amp;몹 정리(최신)'!R:R,MATCH($E165,'큐펫&amp;몹 정리(최신)'!$B:$B,0))*35,INDEX('큐펫&amp;몹 정리(최신)'!R:R,MATCH($E165,'큐펫&amp;몹 정리(최신)'!$B:$B,0))*40))))</f>
        <v>735</v>
      </c>
      <c r="N165" s="190">
        <f>IF($J165=1,INDEX('큐펫&amp;몹 정리(최신)'!S:S,MATCH($E165,'큐펫&amp;몹 정리(최신)'!$B:$B,0))*20,IF($J165=2,INDEX('큐펫&amp;몹 정리(최신)'!S:S,MATCH($E165,'큐펫&amp;몹 정리(최신)'!$B:$B,0))*25,IF($J165=3,INDEX('큐펫&amp;몹 정리(최신)'!S:S,MATCH($E165,'큐펫&amp;몹 정리(최신)'!$B:$B,0))*30,IF($J165=4,INDEX('큐펫&amp;몹 정리(최신)'!S:S,MATCH($E165,'큐펫&amp;몹 정리(최신)'!$B:$B,0))*35,INDEX('큐펫&amp;몹 정리(최신)'!S:S,MATCH($E165,'큐펫&amp;몹 정리(최신)'!$B:$B,0))*40))))</f>
        <v>490</v>
      </c>
      <c r="O165" s="190">
        <f>IF($J165=1,INDEX('큐펫&amp;몹 정리(최신)'!T:T,MATCH($E165,'큐펫&amp;몹 정리(최신)'!$B:$B,0))*20,IF($J165=2,INDEX('큐펫&amp;몹 정리(최신)'!T:T,MATCH($E165,'큐펫&amp;몹 정리(최신)'!$B:$B,0))*25,IF($J165=3,INDEX('큐펫&amp;몹 정리(최신)'!T:T,MATCH($E165,'큐펫&amp;몹 정리(최신)'!$B:$B,0))*30,IF($J165=4,INDEX('큐펫&amp;몹 정리(최신)'!T:T,MATCH($E165,'큐펫&amp;몹 정리(최신)'!$B:$B,0))*35,INDEX('큐펫&amp;몹 정리(최신)'!T:T,MATCH($E165,'큐펫&amp;몹 정리(최신)'!$B:$B,0))*40))))</f>
        <v>770</v>
      </c>
      <c r="P165" s="217">
        <v>80</v>
      </c>
      <c r="Q165" s="217">
        <f t="shared" si="16"/>
        <v>198992</v>
      </c>
      <c r="R165" s="217">
        <f t="shared" si="17"/>
        <v>1743</v>
      </c>
      <c r="S165" s="217">
        <f t="shared" si="18"/>
        <v>2263</v>
      </c>
      <c r="T165" s="217">
        <f t="shared" si="19"/>
        <v>39368</v>
      </c>
      <c r="U165" s="217">
        <f t="shared" si="20"/>
        <v>38232</v>
      </c>
      <c r="V165" s="217">
        <f t="shared" si="21"/>
        <v>30103</v>
      </c>
      <c r="W165" s="217">
        <f>ROUND(AC165+(INDEX(Ref!B$1:B$9,MATCH($AI165,Ref!$A$1:$A$9,0))*P165*0.0001),)</f>
        <v>34</v>
      </c>
      <c r="X165" s="217">
        <f>ROUND(AD165+(INDEX(Ref!C$1:C$9,MATCH($AI165,Ref!$A$1:$A$9,0))*$P165*0.0001),)</f>
        <v>46</v>
      </c>
      <c r="Y165" s="217">
        <f>ROUND(AE165+(INDEX(Ref!D$1:D$9,MATCH($AI165,Ref!$A$1:$A$9,0))*$P165*0.0001),)</f>
        <v>76</v>
      </c>
      <c r="Z165" s="217">
        <f>ROUND(AF165+(INDEX(Ref!E$1:E$9,MATCH($AI165,Ref!$A$1:$A$9,0))*$P165*0.0001),)</f>
        <v>73</v>
      </c>
      <c r="AA165" s="217">
        <f>ROUND(AG165+(INDEX(Ref!F$1:F$9,MATCH($AI165,Ref!$A$1:$A$9,0))*$P165*0.0001),)</f>
        <v>39</v>
      </c>
      <c r="AB165" s="217">
        <f>ROUND(AH165+(INDEX(Ref!G$1:G$9,MATCH($AI165,Ref!$A$1:$A$9,0))*$P165*0.0001),)</f>
        <v>36</v>
      </c>
      <c r="AC165" s="137">
        <v>24</v>
      </c>
      <c r="AD165" s="137">
        <v>33</v>
      </c>
      <c r="AE165" s="137">
        <v>60</v>
      </c>
      <c r="AF165" s="137">
        <v>53</v>
      </c>
      <c r="AG165" s="137">
        <v>28</v>
      </c>
      <c r="AH165" s="137">
        <v>26</v>
      </c>
      <c r="AI165" s="208">
        <v>2</v>
      </c>
      <c r="AJ165" s="172">
        <v>3000</v>
      </c>
      <c r="AK165" s="172">
        <v>30195</v>
      </c>
      <c r="AL165" s="172">
        <v>2000</v>
      </c>
      <c r="AM165" s="172">
        <v>30197</v>
      </c>
      <c r="AN165" s="172">
        <v>0</v>
      </c>
      <c r="AO165" s="172">
        <f t="shared" si="22"/>
        <v>34195</v>
      </c>
      <c r="AP165" s="172">
        <v>0</v>
      </c>
      <c r="AQ165" s="172">
        <f t="shared" si="23"/>
        <v>34197</v>
      </c>
      <c r="AR165" s="172">
        <v>1</v>
      </c>
      <c r="AS165" s="172">
        <v>0</v>
      </c>
      <c r="AT165" s="199">
        <v>78033</v>
      </c>
      <c r="AU165" s="195" t="s">
        <v>171</v>
      </c>
    </row>
    <row r="166" spans="1:47" x14ac:dyDescent="0.2">
      <c r="A166" s="173">
        <v>55033</v>
      </c>
      <c r="B166" s="178" t="s">
        <v>1040</v>
      </c>
      <c r="C166" s="172">
        <v>86033</v>
      </c>
      <c r="D166" s="172">
        <v>150033</v>
      </c>
      <c r="E166" s="206" t="s">
        <v>997</v>
      </c>
      <c r="F166" s="207">
        <v>10</v>
      </c>
      <c r="G166" s="173">
        <v>11500</v>
      </c>
      <c r="H166" s="173">
        <v>9500</v>
      </c>
      <c r="I166" s="172">
        <v>10000</v>
      </c>
      <c r="J166" s="172">
        <v>5</v>
      </c>
      <c r="K166" s="190">
        <f>IF($J166=1,INDEX('큐펫&amp;몹 정리(최신)'!P:P,MATCH($E166,'큐펫&amp;몹 정리(최신)'!$B:$B,0))*20,IF($J166=2,INDEX('큐펫&amp;몹 정리(최신)'!P:P,MATCH($E166,'큐펫&amp;몹 정리(최신)'!$B:$B,0))*25,IF($J166=3,INDEX('큐펫&amp;몹 정리(최신)'!P:P,MATCH($E166,'큐펫&amp;몹 정리(최신)'!$B:$B,0))*30,IF($J166=4,INDEX('큐펫&amp;몹 정리(최신)'!P:P,MATCH($E166,'큐펫&amp;몹 정리(최신)'!$B:$B,0))*35,INDEX('큐펫&amp;몹 정리(최신)'!P:P,MATCH($E166,'큐펫&amp;몹 정리(최신)'!$B:$B,0))*40))))</f>
        <v>1560</v>
      </c>
      <c r="L166" s="190">
        <f>IF($J166=1,INDEX('큐펫&amp;몹 정리(최신)'!Q:Q,MATCH($E166,'큐펫&amp;몹 정리(최신)'!$B:$B,0))*20,IF($J166=2,INDEX('큐펫&amp;몹 정리(최신)'!Q:Q,MATCH($E166,'큐펫&amp;몹 정리(최신)'!$B:$B,0))*25,IF($J166=3,INDEX('큐펫&amp;몹 정리(최신)'!Q:Q,MATCH($E166,'큐펫&amp;몹 정리(최신)'!$B:$B,0))*30,IF($J166=4,INDEX('큐펫&amp;몹 정리(최신)'!Q:Q,MATCH($E166,'큐펫&amp;몹 정리(최신)'!$B:$B,0))*35,INDEX('큐펫&amp;몹 정리(최신)'!Q:Q,MATCH($E166,'큐펫&amp;몹 정리(최신)'!$B:$B,0))*40))))</f>
        <v>160</v>
      </c>
      <c r="M166" s="190">
        <f>IF($J166=1,INDEX('큐펫&amp;몹 정리(최신)'!R:R,MATCH($E166,'큐펫&amp;몹 정리(최신)'!$B:$B,0))*20,IF($J166=2,INDEX('큐펫&amp;몹 정리(최신)'!R:R,MATCH($E166,'큐펫&amp;몹 정리(최신)'!$B:$B,0))*25,IF($J166=3,INDEX('큐펫&amp;몹 정리(최신)'!R:R,MATCH($E166,'큐펫&amp;몹 정리(최신)'!$B:$B,0))*30,IF($J166=4,INDEX('큐펫&amp;몹 정리(최신)'!R:R,MATCH($E166,'큐펫&amp;몹 정리(최신)'!$B:$B,0))*35,INDEX('큐펫&amp;몹 정리(최신)'!R:R,MATCH($E166,'큐펫&amp;몹 정리(최신)'!$B:$B,0))*40))))</f>
        <v>840</v>
      </c>
      <c r="N166" s="190">
        <f>IF($J166=1,INDEX('큐펫&amp;몹 정리(최신)'!S:S,MATCH($E166,'큐펫&amp;몹 정리(최신)'!$B:$B,0))*20,IF($J166=2,INDEX('큐펫&amp;몹 정리(최신)'!S:S,MATCH($E166,'큐펫&amp;몹 정리(최신)'!$B:$B,0))*25,IF($J166=3,INDEX('큐펫&amp;몹 정리(최신)'!S:S,MATCH($E166,'큐펫&amp;몹 정리(최신)'!$B:$B,0))*30,IF($J166=4,INDEX('큐펫&amp;몹 정리(최신)'!S:S,MATCH($E166,'큐펫&amp;몹 정리(최신)'!$B:$B,0))*35,INDEX('큐펫&amp;몹 정리(최신)'!S:S,MATCH($E166,'큐펫&amp;몹 정리(최신)'!$B:$B,0))*40))))</f>
        <v>560</v>
      </c>
      <c r="O166" s="190">
        <f>IF($J166=1,INDEX('큐펫&amp;몹 정리(최신)'!T:T,MATCH($E166,'큐펫&amp;몹 정리(최신)'!$B:$B,0))*20,IF($J166=2,INDEX('큐펫&amp;몹 정리(최신)'!T:T,MATCH($E166,'큐펫&amp;몹 정리(최신)'!$B:$B,0))*25,IF($J166=3,INDEX('큐펫&amp;몹 정리(최신)'!T:T,MATCH($E166,'큐펫&amp;몹 정리(최신)'!$B:$B,0))*30,IF($J166=4,INDEX('큐펫&amp;몹 정리(최신)'!T:T,MATCH($E166,'큐펫&amp;몹 정리(최신)'!$B:$B,0))*35,INDEX('큐펫&amp;몹 정리(최신)'!T:T,MATCH($E166,'큐펫&amp;몹 정리(최신)'!$B:$B,0))*40))))</f>
        <v>880</v>
      </c>
      <c r="P166" s="217">
        <v>100</v>
      </c>
      <c r="Q166" s="217">
        <f t="shared" si="16"/>
        <v>294840</v>
      </c>
      <c r="R166" s="217">
        <f t="shared" si="17"/>
        <v>2456</v>
      </c>
      <c r="S166" s="217">
        <f t="shared" si="18"/>
        <v>3397</v>
      </c>
      <c r="T166" s="217">
        <f t="shared" si="19"/>
        <v>58099</v>
      </c>
      <c r="U166" s="217">
        <f t="shared" si="20"/>
        <v>51534</v>
      </c>
      <c r="V166" s="217">
        <f t="shared" si="21"/>
        <v>40563</v>
      </c>
      <c r="W166" s="217">
        <f>ROUND(AC166+(INDEX(Ref!B$1:B$9,MATCH($AI166,Ref!$A$1:$A$9,0))*P166*0.0001),)</f>
        <v>38</v>
      </c>
      <c r="X166" s="217">
        <f>ROUND(AD166+(INDEX(Ref!C$1:C$9,MATCH($AI166,Ref!$A$1:$A$9,0))*$P166*0.0001),)</f>
        <v>52</v>
      </c>
      <c r="Y166" s="217">
        <f>ROUND(AE166+(INDEX(Ref!D$1:D$9,MATCH($AI166,Ref!$A$1:$A$9,0))*$P166*0.0001),)</f>
        <v>84</v>
      </c>
      <c r="Z166" s="217">
        <f>ROUND(AF166+(INDEX(Ref!E$1:E$9,MATCH($AI166,Ref!$A$1:$A$9,0))*$P166*0.0001),)</f>
        <v>83</v>
      </c>
      <c r="AA166" s="217">
        <f>ROUND(AG166+(INDEX(Ref!F$1:F$9,MATCH($AI166,Ref!$A$1:$A$9,0))*$P166*0.0001),)</f>
        <v>45</v>
      </c>
      <c r="AB166" s="217">
        <f>ROUND(AH166+(INDEX(Ref!G$1:G$9,MATCH($AI166,Ref!$A$1:$A$9,0))*$P166*0.0001),)</f>
        <v>42</v>
      </c>
      <c r="AC166" s="137">
        <v>26</v>
      </c>
      <c r="AD166" s="137">
        <v>36</v>
      </c>
      <c r="AE166" s="137">
        <v>64</v>
      </c>
      <c r="AF166" s="137">
        <v>58.000000000000007</v>
      </c>
      <c r="AG166" s="137">
        <v>31</v>
      </c>
      <c r="AH166" s="137">
        <v>29</v>
      </c>
      <c r="AI166" s="208">
        <v>2</v>
      </c>
      <c r="AJ166" s="172">
        <v>3000</v>
      </c>
      <c r="AK166" s="172">
        <v>30195</v>
      </c>
      <c r="AL166" s="172">
        <v>2000</v>
      </c>
      <c r="AM166" s="172">
        <v>30198</v>
      </c>
      <c r="AN166" s="172">
        <v>0</v>
      </c>
      <c r="AO166" s="172">
        <f t="shared" si="22"/>
        <v>34195</v>
      </c>
      <c r="AP166" s="172">
        <v>0</v>
      </c>
      <c r="AQ166" s="172">
        <f t="shared" si="23"/>
        <v>34198</v>
      </c>
      <c r="AR166" s="172">
        <v>1</v>
      </c>
      <c r="AS166" s="172">
        <v>0</v>
      </c>
      <c r="AT166" s="199">
        <v>78033</v>
      </c>
      <c r="AU166" s="195" t="s">
        <v>171</v>
      </c>
    </row>
    <row r="167" spans="1:47" x14ac:dyDescent="0.2">
      <c r="A167" s="173">
        <v>55034</v>
      </c>
      <c r="B167" s="174" t="s">
        <v>172</v>
      </c>
      <c r="C167" s="172">
        <v>86034</v>
      </c>
      <c r="D167" s="172">
        <v>150034</v>
      </c>
      <c r="E167" s="206" t="s">
        <v>173</v>
      </c>
      <c r="F167" s="207">
        <v>4</v>
      </c>
      <c r="G167" s="172">
        <v>10000</v>
      </c>
      <c r="H167" s="172">
        <v>10000</v>
      </c>
      <c r="I167" s="172">
        <v>10000</v>
      </c>
      <c r="J167" s="172">
        <v>1</v>
      </c>
      <c r="K167" s="190">
        <f>IF($J167=1,INDEX('큐펫&amp;몹 정리(최신)'!P:P,MATCH($E167,'큐펫&amp;몹 정리(최신)'!$B:$B,0))*20,IF($J167=2,INDEX('큐펫&amp;몹 정리(최신)'!P:P,MATCH($E167,'큐펫&amp;몹 정리(최신)'!$B:$B,0))*25,IF($J167=3,INDEX('큐펫&amp;몹 정리(최신)'!P:P,MATCH($E167,'큐펫&amp;몹 정리(최신)'!$B:$B,0))*30,IF($J167=4,INDEX('큐펫&amp;몹 정리(최신)'!P:P,MATCH($E167,'큐펫&amp;몹 정리(최신)'!$B:$B,0))*35,INDEX('큐펫&amp;몹 정리(최신)'!P:P,MATCH($E167,'큐펫&amp;몹 정리(최신)'!$B:$B,0))*40))))</f>
        <v>800</v>
      </c>
      <c r="L167" s="190">
        <f>IF($J167=1,INDEX('큐펫&amp;몹 정리(최신)'!Q:Q,MATCH($E167,'큐펫&amp;몹 정리(최신)'!$B:$B,0))*20,IF($J167=2,INDEX('큐펫&amp;몹 정리(최신)'!Q:Q,MATCH($E167,'큐펫&amp;몹 정리(최신)'!$B:$B,0))*25,IF($J167=3,INDEX('큐펫&amp;몹 정리(최신)'!Q:Q,MATCH($E167,'큐펫&amp;몹 정리(최신)'!$B:$B,0))*30,IF($J167=4,INDEX('큐펫&amp;몹 정리(최신)'!Q:Q,MATCH($E167,'큐펫&amp;몹 정리(최신)'!$B:$B,0))*35,INDEX('큐펫&amp;몹 정리(최신)'!Q:Q,MATCH($E167,'큐펫&amp;몹 정리(최신)'!$B:$B,0))*40))))</f>
        <v>100</v>
      </c>
      <c r="M167" s="190">
        <f>IF($J167=1,INDEX('큐펫&amp;몹 정리(최신)'!R:R,MATCH($E167,'큐펫&amp;몹 정리(최신)'!$B:$B,0))*20,IF($J167=2,INDEX('큐펫&amp;몹 정리(최신)'!R:R,MATCH($E167,'큐펫&amp;몹 정리(최신)'!$B:$B,0))*25,IF($J167=3,INDEX('큐펫&amp;몹 정리(최신)'!R:R,MATCH($E167,'큐펫&amp;몹 정리(최신)'!$B:$B,0))*30,IF($J167=4,INDEX('큐펫&amp;몹 정리(최신)'!R:R,MATCH($E167,'큐펫&amp;몹 정리(최신)'!$B:$B,0))*35,INDEX('큐펫&amp;몹 정리(최신)'!R:R,MATCH($E167,'큐펫&amp;몹 정리(최신)'!$B:$B,0))*40))))</f>
        <v>440</v>
      </c>
      <c r="N167" s="190">
        <f>IF($J167=1,INDEX('큐펫&amp;몹 정리(최신)'!S:S,MATCH($E167,'큐펫&amp;몹 정리(최신)'!$B:$B,0))*20,IF($J167=2,INDEX('큐펫&amp;몹 정리(최신)'!S:S,MATCH($E167,'큐펫&amp;몹 정리(최신)'!$B:$B,0))*25,IF($J167=3,INDEX('큐펫&amp;몹 정리(최신)'!S:S,MATCH($E167,'큐펫&amp;몹 정리(최신)'!$B:$B,0))*30,IF($J167=4,INDEX('큐펫&amp;몹 정리(최신)'!S:S,MATCH($E167,'큐펫&amp;몹 정리(최신)'!$B:$B,0))*35,INDEX('큐펫&amp;몹 정리(최신)'!S:S,MATCH($E167,'큐펫&amp;몹 정리(최신)'!$B:$B,0))*40))))</f>
        <v>240</v>
      </c>
      <c r="O167" s="190">
        <f>IF($J167=1,INDEX('큐펫&amp;몹 정리(최신)'!T:T,MATCH($E167,'큐펫&amp;몹 정리(최신)'!$B:$B,0))*20,IF($J167=2,INDEX('큐펫&amp;몹 정리(최신)'!T:T,MATCH($E167,'큐펫&amp;몹 정리(최신)'!$B:$B,0))*25,IF($J167=3,INDEX('큐펫&amp;몹 정리(최신)'!T:T,MATCH($E167,'큐펫&amp;몹 정리(최신)'!$B:$B,0))*30,IF($J167=4,INDEX('큐펫&amp;몹 정리(최신)'!T:T,MATCH($E167,'큐펫&amp;몹 정리(최신)'!$B:$B,0))*35,INDEX('큐펫&amp;몹 정리(최신)'!T:T,MATCH($E167,'큐펫&amp;몹 정리(최신)'!$B:$B,0))*40))))</f>
        <v>420</v>
      </c>
      <c r="P167" s="217">
        <v>20</v>
      </c>
      <c r="Q167" s="217">
        <f t="shared" si="16"/>
        <v>29440</v>
      </c>
      <c r="R167" s="217">
        <f t="shared" si="17"/>
        <v>695</v>
      </c>
      <c r="S167" s="217">
        <f t="shared" si="18"/>
        <v>860</v>
      </c>
      <c r="T167" s="217">
        <f t="shared" si="19"/>
        <v>4587</v>
      </c>
      <c r="U167" s="217">
        <f t="shared" si="20"/>
        <v>9488</v>
      </c>
      <c r="V167" s="217">
        <f t="shared" si="21"/>
        <v>8327</v>
      </c>
      <c r="W167" s="217">
        <f>ROUND(AC167+(INDEX(Ref!B$1:B$9,MATCH($AI167,Ref!$A$1:$A$9,0))*P167*0.0001),)</f>
        <v>25</v>
      </c>
      <c r="X167" s="217">
        <f>ROUND(AD167+(INDEX(Ref!C$1:C$9,MATCH($AI167,Ref!$A$1:$A$9,0))*$P167*0.0001),)</f>
        <v>21</v>
      </c>
      <c r="Y167" s="217">
        <f>ROUND(AE167+(INDEX(Ref!D$1:D$9,MATCH($AI167,Ref!$A$1:$A$9,0))*$P167*0.0001),)</f>
        <v>59</v>
      </c>
      <c r="Z167" s="217">
        <f>ROUND(AF167+(INDEX(Ref!E$1:E$9,MATCH($AI167,Ref!$A$1:$A$9,0))*$P167*0.0001),)</f>
        <v>32</v>
      </c>
      <c r="AA167" s="217">
        <f>ROUND(AG167+(INDEX(Ref!F$1:F$9,MATCH($AI167,Ref!$A$1:$A$9,0))*$P167*0.0001),)</f>
        <v>28</v>
      </c>
      <c r="AB167" s="217">
        <f>ROUND(AH167+(INDEX(Ref!G$1:G$9,MATCH($AI167,Ref!$A$1:$A$9,0))*$P167*0.0001),)</f>
        <v>19</v>
      </c>
      <c r="AC167" s="137">
        <v>22</v>
      </c>
      <c r="AD167" s="137">
        <v>18</v>
      </c>
      <c r="AE167" s="137">
        <v>54</v>
      </c>
      <c r="AF167" s="137">
        <v>28</v>
      </c>
      <c r="AG167" s="137">
        <v>25</v>
      </c>
      <c r="AH167" s="137">
        <v>17</v>
      </c>
      <c r="AI167" s="208">
        <v>4</v>
      </c>
      <c r="AJ167" s="172">
        <v>3000</v>
      </c>
      <c r="AK167" s="172">
        <v>30199</v>
      </c>
      <c r="AL167" s="172">
        <v>2000</v>
      </c>
      <c r="AM167" s="172">
        <v>30202</v>
      </c>
      <c r="AN167" s="172">
        <v>0</v>
      </c>
      <c r="AO167" s="172">
        <f t="shared" si="22"/>
        <v>34199</v>
      </c>
      <c r="AP167" s="172">
        <v>0</v>
      </c>
      <c r="AQ167" s="172">
        <f t="shared" si="23"/>
        <v>34202</v>
      </c>
      <c r="AR167" s="172">
        <v>1</v>
      </c>
      <c r="AS167" s="172">
        <v>0</v>
      </c>
      <c r="AT167" s="199">
        <v>78034</v>
      </c>
      <c r="AU167" s="195" t="s">
        <v>174</v>
      </c>
    </row>
    <row r="168" spans="1:47" x14ac:dyDescent="0.2">
      <c r="A168" s="173">
        <v>55034</v>
      </c>
      <c r="B168" s="174" t="s">
        <v>172</v>
      </c>
      <c r="C168" s="172">
        <v>86034</v>
      </c>
      <c r="D168" s="172">
        <v>150034</v>
      </c>
      <c r="E168" s="206" t="s">
        <v>173</v>
      </c>
      <c r="F168" s="207">
        <v>4</v>
      </c>
      <c r="G168" s="172">
        <v>10000</v>
      </c>
      <c r="H168" s="172">
        <v>10000</v>
      </c>
      <c r="I168" s="172">
        <v>10000</v>
      </c>
      <c r="J168" s="172">
        <v>2</v>
      </c>
      <c r="K168" s="190">
        <f>IF($J168=1,INDEX('큐펫&amp;몹 정리(최신)'!P:P,MATCH($E168,'큐펫&amp;몹 정리(최신)'!$B:$B,0))*20,IF($J168=2,INDEX('큐펫&amp;몹 정리(최신)'!P:P,MATCH($E168,'큐펫&amp;몹 정리(최신)'!$B:$B,0))*25,IF($J168=3,INDEX('큐펫&amp;몹 정리(최신)'!P:P,MATCH($E168,'큐펫&amp;몹 정리(최신)'!$B:$B,0))*30,IF($J168=4,INDEX('큐펫&amp;몹 정리(최신)'!P:P,MATCH($E168,'큐펫&amp;몹 정리(최신)'!$B:$B,0))*35,INDEX('큐펫&amp;몹 정리(최신)'!P:P,MATCH($E168,'큐펫&amp;몹 정리(최신)'!$B:$B,0))*40))))</f>
        <v>1000</v>
      </c>
      <c r="L168" s="190">
        <f>IF($J168=1,INDEX('큐펫&amp;몹 정리(최신)'!Q:Q,MATCH($E168,'큐펫&amp;몹 정리(최신)'!$B:$B,0))*20,IF($J168=2,INDEX('큐펫&amp;몹 정리(최신)'!Q:Q,MATCH($E168,'큐펫&amp;몹 정리(최신)'!$B:$B,0))*25,IF($J168=3,INDEX('큐펫&amp;몹 정리(최신)'!Q:Q,MATCH($E168,'큐펫&amp;몹 정리(최신)'!$B:$B,0))*30,IF($J168=4,INDEX('큐펫&amp;몹 정리(최신)'!Q:Q,MATCH($E168,'큐펫&amp;몹 정리(최신)'!$B:$B,0))*35,INDEX('큐펫&amp;몹 정리(최신)'!Q:Q,MATCH($E168,'큐펫&amp;몹 정리(최신)'!$B:$B,0))*40))))</f>
        <v>125</v>
      </c>
      <c r="M168" s="190">
        <f>IF($J168=1,INDEX('큐펫&amp;몹 정리(최신)'!R:R,MATCH($E168,'큐펫&amp;몹 정리(최신)'!$B:$B,0))*20,IF($J168=2,INDEX('큐펫&amp;몹 정리(최신)'!R:R,MATCH($E168,'큐펫&amp;몹 정리(최신)'!$B:$B,0))*25,IF($J168=3,INDEX('큐펫&amp;몹 정리(최신)'!R:R,MATCH($E168,'큐펫&amp;몹 정리(최신)'!$B:$B,0))*30,IF($J168=4,INDEX('큐펫&amp;몹 정리(최신)'!R:R,MATCH($E168,'큐펫&amp;몹 정리(최신)'!$B:$B,0))*35,INDEX('큐펫&amp;몹 정리(최신)'!R:R,MATCH($E168,'큐펫&amp;몹 정리(최신)'!$B:$B,0))*40))))</f>
        <v>550</v>
      </c>
      <c r="N168" s="190">
        <f>IF($J168=1,INDEX('큐펫&amp;몹 정리(최신)'!S:S,MATCH($E168,'큐펫&amp;몹 정리(최신)'!$B:$B,0))*20,IF($J168=2,INDEX('큐펫&amp;몹 정리(최신)'!S:S,MATCH($E168,'큐펫&amp;몹 정리(최신)'!$B:$B,0))*25,IF($J168=3,INDEX('큐펫&amp;몹 정리(최신)'!S:S,MATCH($E168,'큐펫&amp;몹 정리(최신)'!$B:$B,0))*30,IF($J168=4,INDEX('큐펫&amp;몹 정리(최신)'!S:S,MATCH($E168,'큐펫&amp;몹 정리(최신)'!$B:$B,0))*35,INDEX('큐펫&amp;몹 정리(최신)'!S:S,MATCH($E168,'큐펫&amp;몹 정리(최신)'!$B:$B,0))*40))))</f>
        <v>300</v>
      </c>
      <c r="O168" s="190">
        <f>IF($J168=1,INDEX('큐펫&amp;몹 정리(최신)'!T:T,MATCH($E168,'큐펫&amp;몹 정리(최신)'!$B:$B,0))*20,IF($J168=2,INDEX('큐펫&amp;몹 정리(최신)'!T:T,MATCH($E168,'큐펫&amp;몹 정리(최신)'!$B:$B,0))*25,IF($J168=3,INDEX('큐펫&amp;몹 정리(최신)'!T:T,MATCH($E168,'큐펫&amp;몹 정리(최신)'!$B:$B,0))*30,IF($J168=4,INDEX('큐펫&amp;몹 정리(최신)'!T:T,MATCH($E168,'큐펫&amp;몹 정리(최신)'!$B:$B,0))*35,INDEX('큐펫&amp;몹 정리(최신)'!T:T,MATCH($E168,'큐펫&amp;몹 정리(최신)'!$B:$B,0))*40))))</f>
        <v>525</v>
      </c>
      <c r="P168" s="217">
        <v>40</v>
      </c>
      <c r="Q168" s="217">
        <f t="shared" si="16"/>
        <v>72600</v>
      </c>
      <c r="R168" s="217">
        <f t="shared" si="17"/>
        <v>1296</v>
      </c>
      <c r="S168" s="217">
        <f t="shared" si="18"/>
        <v>1633</v>
      </c>
      <c r="T168" s="217">
        <f t="shared" si="19"/>
        <v>8910</v>
      </c>
      <c r="U168" s="217">
        <f t="shared" si="20"/>
        <v>16359</v>
      </c>
      <c r="V168" s="217">
        <f t="shared" si="21"/>
        <v>14346</v>
      </c>
      <c r="W168" s="217">
        <f>ROUND(AC168+(INDEX(Ref!B$1:B$9,MATCH($AI168,Ref!$A$1:$A$9,0))*P168*0.0001),)</f>
        <v>31</v>
      </c>
      <c r="X168" s="217">
        <f>ROUND(AD168+(INDEX(Ref!C$1:C$9,MATCH($AI168,Ref!$A$1:$A$9,0))*$P168*0.0001),)</f>
        <v>26</v>
      </c>
      <c r="Y168" s="217">
        <f>ROUND(AE168+(INDEX(Ref!D$1:D$9,MATCH($AI168,Ref!$A$1:$A$9,0))*$P168*0.0001),)</f>
        <v>69</v>
      </c>
      <c r="Z168" s="217">
        <f>ROUND(AF168+(INDEX(Ref!E$1:E$9,MATCH($AI168,Ref!$A$1:$A$9,0))*$P168*0.0001),)</f>
        <v>40</v>
      </c>
      <c r="AA168" s="217">
        <f>ROUND(AG168+(INDEX(Ref!F$1:F$9,MATCH($AI168,Ref!$A$1:$A$9,0))*$P168*0.0001),)</f>
        <v>35</v>
      </c>
      <c r="AB168" s="217">
        <f>ROUND(AH168+(INDEX(Ref!G$1:G$9,MATCH($AI168,Ref!$A$1:$A$9,0))*$P168*0.0001),)</f>
        <v>24</v>
      </c>
      <c r="AC168" s="137">
        <v>25</v>
      </c>
      <c r="AD168" s="137">
        <v>21</v>
      </c>
      <c r="AE168" s="137">
        <v>59</v>
      </c>
      <c r="AF168" s="137">
        <v>32</v>
      </c>
      <c r="AG168" s="137">
        <v>28</v>
      </c>
      <c r="AH168" s="137">
        <v>19</v>
      </c>
      <c r="AI168" s="208">
        <v>4</v>
      </c>
      <c r="AJ168" s="172">
        <v>3000</v>
      </c>
      <c r="AK168" s="172">
        <v>30200</v>
      </c>
      <c r="AL168" s="172">
        <v>2000</v>
      </c>
      <c r="AM168" s="172">
        <v>30202</v>
      </c>
      <c r="AN168" s="172">
        <v>0</v>
      </c>
      <c r="AO168" s="172">
        <f t="shared" si="22"/>
        <v>34200</v>
      </c>
      <c r="AP168" s="172">
        <v>0</v>
      </c>
      <c r="AQ168" s="172">
        <f t="shared" si="23"/>
        <v>34202</v>
      </c>
      <c r="AR168" s="172">
        <v>1</v>
      </c>
      <c r="AS168" s="172">
        <v>0</v>
      </c>
      <c r="AT168" s="199">
        <v>78034</v>
      </c>
      <c r="AU168" s="195" t="s">
        <v>174</v>
      </c>
    </row>
    <row r="169" spans="1:47" x14ac:dyDescent="0.2">
      <c r="A169" s="173">
        <v>55034</v>
      </c>
      <c r="B169" s="174" t="s">
        <v>172</v>
      </c>
      <c r="C169" s="172">
        <v>86034</v>
      </c>
      <c r="D169" s="172">
        <v>150034</v>
      </c>
      <c r="E169" s="206" t="s">
        <v>173</v>
      </c>
      <c r="F169" s="207">
        <v>4</v>
      </c>
      <c r="G169" s="172">
        <v>10000</v>
      </c>
      <c r="H169" s="172">
        <v>10000</v>
      </c>
      <c r="I169" s="172">
        <v>10000</v>
      </c>
      <c r="J169" s="172">
        <v>3</v>
      </c>
      <c r="K169" s="190">
        <f>IF($J169=1,INDEX('큐펫&amp;몹 정리(최신)'!P:P,MATCH($E169,'큐펫&amp;몹 정리(최신)'!$B:$B,0))*20,IF($J169=2,INDEX('큐펫&amp;몹 정리(최신)'!P:P,MATCH($E169,'큐펫&amp;몹 정리(최신)'!$B:$B,0))*25,IF($J169=3,INDEX('큐펫&amp;몹 정리(최신)'!P:P,MATCH($E169,'큐펫&amp;몹 정리(최신)'!$B:$B,0))*30,IF($J169=4,INDEX('큐펫&amp;몹 정리(최신)'!P:P,MATCH($E169,'큐펫&amp;몹 정리(최신)'!$B:$B,0))*35,INDEX('큐펫&amp;몹 정리(최신)'!P:P,MATCH($E169,'큐펫&amp;몹 정리(최신)'!$B:$B,0))*40))))</f>
        <v>1200</v>
      </c>
      <c r="L169" s="190">
        <f>IF($J169=1,INDEX('큐펫&amp;몹 정리(최신)'!Q:Q,MATCH($E169,'큐펫&amp;몹 정리(최신)'!$B:$B,0))*20,IF($J169=2,INDEX('큐펫&amp;몹 정리(최신)'!Q:Q,MATCH($E169,'큐펫&amp;몹 정리(최신)'!$B:$B,0))*25,IF($J169=3,INDEX('큐펫&amp;몹 정리(최신)'!Q:Q,MATCH($E169,'큐펫&amp;몹 정리(최신)'!$B:$B,0))*30,IF($J169=4,INDEX('큐펫&amp;몹 정리(최신)'!Q:Q,MATCH($E169,'큐펫&amp;몹 정리(최신)'!$B:$B,0))*35,INDEX('큐펫&amp;몹 정리(최신)'!Q:Q,MATCH($E169,'큐펫&amp;몹 정리(최신)'!$B:$B,0))*40))))</f>
        <v>150</v>
      </c>
      <c r="M169" s="190">
        <f>IF($J169=1,INDEX('큐펫&amp;몹 정리(최신)'!R:R,MATCH($E169,'큐펫&amp;몹 정리(최신)'!$B:$B,0))*20,IF($J169=2,INDEX('큐펫&amp;몹 정리(최신)'!R:R,MATCH($E169,'큐펫&amp;몹 정리(최신)'!$B:$B,0))*25,IF($J169=3,INDEX('큐펫&amp;몹 정리(최신)'!R:R,MATCH($E169,'큐펫&amp;몹 정리(최신)'!$B:$B,0))*30,IF($J169=4,INDEX('큐펫&amp;몹 정리(최신)'!R:R,MATCH($E169,'큐펫&amp;몹 정리(최신)'!$B:$B,0))*35,INDEX('큐펫&amp;몹 정리(최신)'!R:R,MATCH($E169,'큐펫&amp;몹 정리(최신)'!$B:$B,0))*40))))</f>
        <v>660</v>
      </c>
      <c r="N169" s="190">
        <f>IF($J169=1,INDEX('큐펫&amp;몹 정리(최신)'!S:S,MATCH($E169,'큐펫&amp;몹 정리(최신)'!$B:$B,0))*20,IF($J169=2,INDEX('큐펫&amp;몹 정리(최신)'!S:S,MATCH($E169,'큐펫&amp;몹 정리(최신)'!$B:$B,0))*25,IF($J169=3,INDEX('큐펫&amp;몹 정리(최신)'!S:S,MATCH($E169,'큐펫&amp;몹 정리(최신)'!$B:$B,0))*30,IF($J169=4,INDEX('큐펫&amp;몹 정리(최신)'!S:S,MATCH($E169,'큐펫&amp;몹 정리(최신)'!$B:$B,0))*35,INDEX('큐펫&amp;몹 정리(최신)'!S:S,MATCH($E169,'큐펫&amp;몹 정리(최신)'!$B:$B,0))*40))))</f>
        <v>360</v>
      </c>
      <c r="O169" s="190">
        <f>IF($J169=1,INDEX('큐펫&amp;몹 정리(최신)'!T:T,MATCH($E169,'큐펫&amp;몹 정리(최신)'!$B:$B,0))*20,IF($J169=2,INDEX('큐펫&amp;몹 정리(최신)'!T:T,MATCH($E169,'큐펫&amp;몹 정리(최신)'!$B:$B,0))*25,IF($J169=3,INDEX('큐펫&amp;몹 정리(최신)'!T:T,MATCH($E169,'큐펫&amp;몹 정리(최신)'!$B:$B,0))*30,IF($J169=4,INDEX('큐펫&amp;몹 정리(최신)'!T:T,MATCH($E169,'큐펫&amp;몹 정리(최신)'!$B:$B,0))*35,INDEX('큐펫&amp;몹 정리(최신)'!T:T,MATCH($E169,'큐펫&amp;몹 정리(최신)'!$B:$B,0))*40))))</f>
        <v>630</v>
      </c>
      <c r="P169" s="217">
        <v>60</v>
      </c>
      <c r="Q169" s="217">
        <f t="shared" si="16"/>
        <v>134160</v>
      </c>
      <c r="R169" s="217">
        <f t="shared" si="17"/>
        <v>2062</v>
      </c>
      <c r="S169" s="217">
        <f t="shared" si="18"/>
        <v>2774</v>
      </c>
      <c r="T169" s="217">
        <f t="shared" si="19"/>
        <v>15344</v>
      </c>
      <c r="U169" s="217">
        <f t="shared" si="20"/>
        <v>24852</v>
      </c>
      <c r="V169" s="217">
        <f t="shared" si="21"/>
        <v>21783</v>
      </c>
      <c r="W169" s="217">
        <f>ROUND(AC169+(INDEX(Ref!B$1:B$9,MATCH($AI169,Ref!$A$1:$A$9,0))*P169*0.0001),)</f>
        <v>36</v>
      </c>
      <c r="X169" s="217">
        <f>ROUND(AD169+(INDEX(Ref!C$1:C$9,MATCH($AI169,Ref!$A$1:$A$9,0))*$P169*0.0001),)</f>
        <v>31</v>
      </c>
      <c r="Y169" s="217">
        <f>ROUND(AE169+(INDEX(Ref!D$1:D$9,MATCH($AI169,Ref!$A$1:$A$9,0))*$P169*0.0001),)</f>
        <v>78</v>
      </c>
      <c r="Z169" s="217">
        <f>ROUND(AF169+(INDEX(Ref!E$1:E$9,MATCH($AI169,Ref!$A$1:$A$9,0))*$P169*0.0001),)</f>
        <v>48</v>
      </c>
      <c r="AA169" s="217">
        <f>ROUND(AG169+(INDEX(Ref!F$1:F$9,MATCH($AI169,Ref!$A$1:$A$9,0))*$P169*0.0001),)</f>
        <v>42</v>
      </c>
      <c r="AB169" s="217">
        <f>ROUND(AH169+(INDEX(Ref!G$1:G$9,MATCH($AI169,Ref!$A$1:$A$9,0))*$P169*0.0001),)</f>
        <v>28</v>
      </c>
      <c r="AC169" s="137">
        <v>27</v>
      </c>
      <c r="AD169" s="137">
        <v>23</v>
      </c>
      <c r="AE169" s="137">
        <v>64</v>
      </c>
      <c r="AF169" s="137">
        <v>37</v>
      </c>
      <c r="AG169" s="137">
        <v>32</v>
      </c>
      <c r="AH169" s="137">
        <v>21</v>
      </c>
      <c r="AI169" s="208">
        <v>4</v>
      </c>
      <c r="AJ169" s="172">
        <v>3000</v>
      </c>
      <c r="AK169" s="172">
        <v>30200</v>
      </c>
      <c r="AL169" s="172">
        <v>2000</v>
      </c>
      <c r="AM169" s="172">
        <v>30203</v>
      </c>
      <c r="AN169" s="172">
        <v>0</v>
      </c>
      <c r="AO169" s="172">
        <f t="shared" si="22"/>
        <v>34200</v>
      </c>
      <c r="AP169" s="172">
        <v>0</v>
      </c>
      <c r="AQ169" s="172">
        <f t="shared" si="23"/>
        <v>34203</v>
      </c>
      <c r="AR169" s="172">
        <v>1</v>
      </c>
      <c r="AS169" s="172">
        <v>0</v>
      </c>
      <c r="AT169" s="199">
        <v>78034</v>
      </c>
      <c r="AU169" s="195" t="s">
        <v>174</v>
      </c>
    </row>
    <row r="170" spans="1:47" x14ac:dyDescent="0.2">
      <c r="A170" s="173">
        <v>55034</v>
      </c>
      <c r="B170" s="174" t="s">
        <v>172</v>
      </c>
      <c r="C170" s="172">
        <v>86034</v>
      </c>
      <c r="D170" s="172">
        <v>150034</v>
      </c>
      <c r="E170" s="206" t="s">
        <v>173</v>
      </c>
      <c r="F170" s="207">
        <v>4</v>
      </c>
      <c r="G170" s="172">
        <v>10000</v>
      </c>
      <c r="H170" s="172">
        <v>10000</v>
      </c>
      <c r="I170" s="172">
        <v>10000</v>
      </c>
      <c r="J170" s="172">
        <v>4</v>
      </c>
      <c r="K170" s="190">
        <f>IF($J170=1,INDEX('큐펫&amp;몹 정리(최신)'!P:P,MATCH($E170,'큐펫&amp;몹 정리(최신)'!$B:$B,0))*20,IF($J170=2,INDEX('큐펫&amp;몹 정리(최신)'!P:P,MATCH($E170,'큐펫&amp;몹 정리(최신)'!$B:$B,0))*25,IF($J170=3,INDEX('큐펫&amp;몹 정리(최신)'!P:P,MATCH($E170,'큐펫&amp;몹 정리(최신)'!$B:$B,0))*30,IF($J170=4,INDEX('큐펫&amp;몹 정리(최신)'!P:P,MATCH($E170,'큐펫&amp;몹 정리(최신)'!$B:$B,0))*35,INDEX('큐펫&amp;몹 정리(최신)'!P:P,MATCH($E170,'큐펫&amp;몹 정리(최신)'!$B:$B,0))*40))))</f>
        <v>1400</v>
      </c>
      <c r="L170" s="190">
        <f>IF($J170=1,INDEX('큐펫&amp;몹 정리(최신)'!Q:Q,MATCH($E170,'큐펫&amp;몹 정리(최신)'!$B:$B,0))*20,IF($J170=2,INDEX('큐펫&amp;몹 정리(최신)'!Q:Q,MATCH($E170,'큐펫&amp;몹 정리(최신)'!$B:$B,0))*25,IF($J170=3,INDEX('큐펫&amp;몹 정리(최신)'!Q:Q,MATCH($E170,'큐펫&amp;몹 정리(최신)'!$B:$B,0))*30,IF($J170=4,INDEX('큐펫&amp;몹 정리(최신)'!Q:Q,MATCH($E170,'큐펫&amp;몹 정리(최신)'!$B:$B,0))*35,INDEX('큐펫&amp;몹 정리(최신)'!Q:Q,MATCH($E170,'큐펫&amp;몹 정리(최신)'!$B:$B,0))*40))))</f>
        <v>175</v>
      </c>
      <c r="M170" s="190">
        <f>IF($J170=1,INDEX('큐펫&amp;몹 정리(최신)'!R:R,MATCH($E170,'큐펫&amp;몹 정리(최신)'!$B:$B,0))*20,IF($J170=2,INDEX('큐펫&amp;몹 정리(최신)'!R:R,MATCH($E170,'큐펫&amp;몹 정리(최신)'!$B:$B,0))*25,IF($J170=3,INDEX('큐펫&amp;몹 정리(최신)'!R:R,MATCH($E170,'큐펫&amp;몹 정리(최신)'!$B:$B,0))*30,IF($J170=4,INDEX('큐펫&amp;몹 정리(최신)'!R:R,MATCH($E170,'큐펫&amp;몹 정리(최신)'!$B:$B,0))*35,INDEX('큐펫&amp;몹 정리(최신)'!R:R,MATCH($E170,'큐펫&amp;몹 정리(최신)'!$B:$B,0))*40))))</f>
        <v>770</v>
      </c>
      <c r="N170" s="190">
        <f>IF($J170=1,INDEX('큐펫&amp;몹 정리(최신)'!S:S,MATCH($E170,'큐펫&amp;몹 정리(최신)'!$B:$B,0))*20,IF($J170=2,INDEX('큐펫&amp;몹 정리(최신)'!S:S,MATCH($E170,'큐펫&amp;몹 정리(최신)'!$B:$B,0))*25,IF($J170=3,INDEX('큐펫&amp;몹 정리(최신)'!S:S,MATCH($E170,'큐펫&amp;몹 정리(최신)'!$B:$B,0))*30,IF($J170=4,INDEX('큐펫&amp;몹 정리(최신)'!S:S,MATCH($E170,'큐펫&amp;몹 정리(최신)'!$B:$B,0))*35,INDEX('큐펫&amp;몹 정리(최신)'!S:S,MATCH($E170,'큐펫&amp;몹 정리(최신)'!$B:$B,0))*40))))</f>
        <v>420</v>
      </c>
      <c r="O170" s="190">
        <f>IF($J170=1,INDEX('큐펫&amp;몹 정리(최신)'!T:T,MATCH($E170,'큐펫&amp;몹 정리(최신)'!$B:$B,0))*20,IF($J170=2,INDEX('큐펫&amp;몹 정리(최신)'!T:T,MATCH($E170,'큐펫&amp;몹 정리(최신)'!$B:$B,0))*25,IF($J170=3,INDEX('큐펫&amp;몹 정리(최신)'!T:T,MATCH($E170,'큐펫&amp;몹 정리(최신)'!$B:$B,0))*30,IF($J170=4,INDEX('큐펫&amp;몹 정리(최신)'!T:T,MATCH($E170,'큐펫&amp;몹 정리(최신)'!$B:$B,0))*35,INDEX('큐펫&amp;몹 정리(최신)'!T:T,MATCH($E170,'큐펫&amp;몹 정리(최신)'!$B:$B,0))*40))))</f>
        <v>735</v>
      </c>
      <c r="P170" s="217">
        <v>80</v>
      </c>
      <c r="Q170" s="217">
        <f t="shared" si="16"/>
        <v>217560</v>
      </c>
      <c r="R170" s="217">
        <f t="shared" si="17"/>
        <v>3380</v>
      </c>
      <c r="S170" s="217">
        <f t="shared" si="18"/>
        <v>4357</v>
      </c>
      <c r="T170" s="217">
        <f t="shared" si="19"/>
        <v>22615</v>
      </c>
      <c r="U170" s="217">
        <f t="shared" si="20"/>
        <v>35293</v>
      </c>
      <c r="V170" s="217">
        <f t="shared" si="21"/>
        <v>30924</v>
      </c>
      <c r="W170" s="217">
        <f>ROUND(AC170+(INDEX(Ref!B$1:B$9,MATCH($AI170,Ref!$A$1:$A$9,0))*P170*0.0001),)</f>
        <v>43</v>
      </c>
      <c r="X170" s="217">
        <f>ROUND(AD170+(INDEX(Ref!C$1:C$9,MATCH($AI170,Ref!$A$1:$A$9,0))*$P170*0.0001),)</f>
        <v>36</v>
      </c>
      <c r="Y170" s="217">
        <f>ROUND(AE170+(INDEX(Ref!D$1:D$9,MATCH($AI170,Ref!$A$1:$A$9,0))*$P170*0.0001),)</f>
        <v>88</v>
      </c>
      <c r="Z170" s="217">
        <f>ROUND(AF170+(INDEX(Ref!E$1:E$9,MATCH($AI170,Ref!$A$1:$A$9,0))*$P170*0.0001),)</f>
        <v>54</v>
      </c>
      <c r="AA170" s="217">
        <f>ROUND(AG170+(INDEX(Ref!F$1:F$9,MATCH($AI170,Ref!$A$1:$A$9,0))*$P170*0.0001),)</f>
        <v>49</v>
      </c>
      <c r="AB170" s="217">
        <f>ROUND(AH170+(INDEX(Ref!G$1:G$9,MATCH($AI170,Ref!$A$1:$A$9,0))*$P170*0.0001),)</f>
        <v>34</v>
      </c>
      <c r="AC170" s="137">
        <v>31</v>
      </c>
      <c r="AD170" s="137">
        <v>26</v>
      </c>
      <c r="AE170" s="137">
        <v>69</v>
      </c>
      <c r="AF170" s="137">
        <v>39</v>
      </c>
      <c r="AG170" s="137">
        <v>35</v>
      </c>
      <c r="AH170" s="137">
        <v>24</v>
      </c>
      <c r="AI170" s="208">
        <v>4</v>
      </c>
      <c r="AJ170" s="172">
        <v>3000</v>
      </c>
      <c r="AK170" s="172">
        <v>30201</v>
      </c>
      <c r="AL170" s="172">
        <v>2000</v>
      </c>
      <c r="AM170" s="172">
        <v>30203</v>
      </c>
      <c r="AN170" s="172">
        <v>0</v>
      </c>
      <c r="AO170" s="172">
        <f t="shared" si="22"/>
        <v>34201</v>
      </c>
      <c r="AP170" s="172">
        <v>0</v>
      </c>
      <c r="AQ170" s="172">
        <f t="shared" si="23"/>
        <v>34203</v>
      </c>
      <c r="AR170" s="172">
        <v>1</v>
      </c>
      <c r="AS170" s="172">
        <v>0</v>
      </c>
      <c r="AT170" s="199">
        <v>78034</v>
      </c>
      <c r="AU170" s="195" t="s">
        <v>174</v>
      </c>
    </row>
    <row r="171" spans="1:47" x14ac:dyDescent="0.2">
      <c r="A171" s="173">
        <v>55034</v>
      </c>
      <c r="B171" s="174" t="s">
        <v>172</v>
      </c>
      <c r="C171" s="172">
        <v>86034</v>
      </c>
      <c r="D171" s="172">
        <v>150034</v>
      </c>
      <c r="E171" s="206" t="s">
        <v>173</v>
      </c>
      <c r="F171" s="207">
        <v>4</v>
      </c>
      <c r="G171" s="172">
        <v>10000</v>
      </c>
      <c r="H171" s="172">
        <v>10000</v>
      </c>
      <c r="I171" s="172">
        <v>10000</v>
      </c>
      <c r="J171" s="172">
        <v>5</v>
      </c>
      <c r="K171" s="190">
        <f>IF($J171=1,INDEX('큐펫&amp;몹 정리(최신)'!P:P,MATCH($E171,'큐펫&amp;몹 정리(최신)'!$B:$B,0))*20,IF($J171=2,INDEX('큐펫&amp;몹 정리(최신)'!P:P,MATCH($E171,'큐펫&amp;몹 정리(최신)'!$B:$B,0))*25,IF($J171=3,INDEX('큐펫&amp;몹 정리(최신)'!P:P,MATCH($E171,'큐펫&amp;몹 정리(최신)'!$B:$B,0))*30,IF($J171=4,INDEX('큐펫&amp;몹 정리(최신)'!P:P,MATCH($E171,'큐펫&amp;몹 정리(최신)'!$B:$B,0))*35,INDEX('큐펫&amp;몹 정리(최신)'!P:P,MATCH($E171,'큐펫&amp;몹 정리(최신)'!$B:$B,0))*40))))</f>
        <v>1600</v>
      </c>
      <c r="L171" s="190">
        <f>IF($J171=1,INDEX('큐펫&amp;몹 정리(최신)'!Q:Q,MATCH($E171,'큐펫&amp;몹 정리(최신)'!$B:$B,0))*20,IF($J171=2,INDEX('큐펫&amp;몹 정리(최신)'!Q:Q,MATCH($E171,'큐펫&amp;몹 정리(최신)'!$B:$B,0))*25,IF($J171=3,INDEX('큐펫&amp;몹 정리(최신)'!Q:Q,MATCH($E171,'큐펫&amp;몹 정리(최신)'!$B:$B,0))*30,IF($J171=4,INDEX('큐펫&amp;몹 정리(최신)'!Q:Q,MATCH($E171,'큐펫&amp;몹 정리(최신)'!$B:$B,0))*35,INDEX('큐펫&amp;몹 정리(최신)'!Q:Q,MATCH($E171,'큐펫&amp;몹 정리(최신)'!$B:$B,0))*40))))</f>
        <v>200</v>
      </c>
      <c r="M171" s="190">
        <f>IF($J171=1,INDEX('큐펫&amp;몹 정리(최신)'!R:R,MATCH($E171,'큐펫&amp;몹 정리(최신)'!$B:$B,0))*20,IF($J171=2,INDEX('큐펫&amp;몹 정리(최신)'!R:R,MATCH($E171,'큐펫&amp;몹 정리(최신)'!$B:$B,0))*25,IF($J171=3,INDEX('큐펫&amp;몹 정리(최신)'!R:R,MATCH($E171,'큐펫&amp;몹 정리(최신)'!$B:$B,0))*30,IF($J171=4,INDEX('큐펫&amp;몹 정리(최신)'!R:R,MATCH($E171,'큐펫&amp;몹 정리(최신)'!$B:$B,0))*35,INDEX('큐펫&amp;몹 정리(최신)'!R:R,MATCH($E171,'큐펫&amp;몹 정리(최신)'!$B:$B,0))*40))))</f>
        <v>880</v>
      </c>
      <c r="N171" s="190">
        <f>IF($J171=1,INDEX('큐펫&amp;몹 정리(최신)'!S:S,MATCH($E171,'큐펫&amp;몹 정리(최신)'!$B:$B,0))*20,IF($J171=2,INDEX('큐펫&amp;몹 정리(최신)'!S:S,MATCH($E171,'큐펫&amp;몹 정리(최신)'!$B:$B,0))*25,IF($J171=3,INDEX('큐펫&amp;몹 정리(최신)'!S:S,MATCH($E171,'큐펫&amp;몹 정리(최신)'!$B:$B,0))*30,IF($J171=4,INDEX('큐펫&amp;몹 정리(최신)'!S:S,MATCH($E171,'큐펫&amp;몹 정리(최신)'!$B:$B,0))*35,INDEX('큐펫&amp;몹 정리(최신)'!S:S,MATCH($E171,'큐펫&amp;몹 정리(최신)'!$B:$B,0))*40))))</f>
        <v>480</v>
      </c>
      <c r="O171" s="190">
        <f>IF($J171=1,INDEX('큐펫&amp;몹 정리(최신)'!T:T,MATCH($E171,'큐펫&amp;몹 정리(최신)'!$B:$B,0))*20,IF($J171=2,INDEX('큐펫&amp;몹 정리(최신)'!T:T,MATCH($E171,'큐펫&amp;몹 정리(최신)'!$B:$B,0))*25,IF($J171=3,INDEX('큐펫&amp;몹 정리(최신)'!T:T,MATCH($E171,'큐펫&amp;몹 정리(최신)'!$B:$B,0))*30,IF($J171=4,INDEX('큐펫&amp;몹 정리(최신)'!T:T,MATCH($E171,'큐펫&amp;몹 정리(최신)'!$B:$B,0))*35,INDEX('큐펫&amp;몹 정리(최신)'!T:T,MATCH($E171,'큐펫&amp;몹 정리(최신)'!$B:$B,0))*40))))</f>
        <v>840</v>
      </c>
      <c r="P171" s="217">
        <v>100</v>
      </c>
      <c r="Q171" s="217">
        <f t="shared" si="16"/>
        <v>324800</v>
      </c>
      <c r="R171" s="217">
        <f t="shared" si="17"/>
        <v>4971</v>
      </c>
      <c r="S171" s="217">
        <f t="shared" si="18"/>
        <v>6229</v>
      </c>
      <c r="T171" s="217">
        <f t="shared" si="19"/>
        <v>34017</v>
      </c>
      <c r="U171" s="217">
        <f t="shared" si="20"/>
        <v>47536</v>
      </c>
      <c r="V171" s="217">
        <f t="shared" si="21"/>
        <v>41642</v>
      </c>
      <c r="W171" s="217">
        <f>ROUND(AC171+(INDEX(Ref!B$1:B$9,MATCH($AI171,Ref!$A$1:$A$9,0))*P171*0.0001),)</f>
        <v>49</v>
      </c>
      <c r="X171" s="217">
        <f>ROUND(AD171+(INDEX(Ref!C$1:C$9,MATCH($AI171,Ref!$A$1:$A$9,0))*$P171*0.0001),)</f>
        <v>42</v>
      </c>
      <c r="Y171" s="217">
        <f>ROUND(AE171+(INDEX(Ref!D$1:D$9,MATCH($AI171,Ref!$A$1:$A$9,0))*$P171*0.0001),)</f>
        <v>98</v>
      </c>
      <c r="Z171" s="217">
        <f>ROUND(AF171+(INDEX(Ref!E$1:E$9,MATCH($AI171,Ref!$A$1:$A$9,0))*$P171*0.0001),)</f>
        <v>62</v>
      </c>
      <c r="AA171" s="217">
        <f>ROUND(AG171+(INDEX(Ref!F$1:F$9,MATCH($AI171,Ref!$A$1:$A$9,0))*$P171*0.0001),)</f>
        <v>55</v>
      </c>
      <c r="AB171" s="217">
        <f>ROUND(AH171+(INDEX(Ref!G$1:G$9,MATCH($AI171,Ref!$A$1:$A$9,0))*$P171*0.0001),)</f>
        <v>38</v>
      </c>
      <c r="AC171" s="137">
        <v>34</v>
      </c>
      <c r="AD171" s="137">
        <v>29</v>
      </c>
      <c r="AE171" s="137">
        <v>74</v>
      </c>
      <c r="AF171" s="137">
        <v>43</v>
      </c>
      <c r="AG171" s="137">
        <v>38</v>
      </c>
      <c r="AH171" s="137">
        <v>26</v>
      </c>
      <c r="AI171" s="208">
        <v>4</v>
      </c>
      <c r="AJ171" s="172">
        <v>3000</v>
      </c>
      <c r="AK171" s="172">
        <v>30201</v>
      </c>
      <c r="AL171" s="172">
        <v>2000</v>
      </c>
      <c r="AM171" s="172">
        <v>30204</v>
      </c>
      <c r="AN171" s="172">
        <v>0</v>
      </c>
      <c r="AO171" s="172">
        <f t="shared" si="22"/>
        <v>34201</v>
      </c>
      <c r="AP171" s="172">
        <v>0</v>
      </c>
      <c r="AQ171" s="172">
        <f t="shared" si="23"/>
        <v>34204</v>
      </c>
      <c r="AR171" s="172">
        <v>1</v>
      </c>
      <c r="AS171" s="172">
        <v>0</v>
      </c>
      <c r="AT171" s="199">
        <v>78034</v>
      </c>
      <c r="AU171" s="195" t="s">
        <v>174</v>
      </c>
    </row>
    <row r="172" spans="1:47" x14ac:dyDescent="0.2">
      <c r="A172" s="173">
        <v>55035</v>
      </c>
      <c r="B172" s="174" t="s">
        <v>175</v>
      </c>
      <c r="C172" s="172">
        <v>86035</v>
      </c>
      <c r="D172" s="172">
        <v>150035</v>
      </c>
      <c r="E172" s="206" t="s">
        <v>176</v>
      </c>
      <c r="F172" s="207">
        <v>3</v>
      </c>
      <c r="G172" s="172">
        <v>8500</v>
      </c>
      <c r="H172" s="172">
        <v>8500</v>
      </c>
      <c r="I172" s="172">
        <v>10000</v>
      </c>
      <c r="J172" s="172">
        <v>1</v>
      </c>
      <c r="K172" s="190">
        <f>IF($J172=1,INDEX('큐펫&amp;몹 정리(최신)'!P:P,MATCH($E172,'큐펫&amp;몹 정리(최신)'!$B:$B,0))*20,IF($J172=2,INDEX('큐펫&amp;몹 정리(최신)'!P:P,MATCH($E172,'큐펫&amp;몹 정리(최신)'!$B:$B,0))*25,IF($J172=3,INDEX('큐펫&amp;몹 정리(최신)'!P:P,MATCH($E172,'큐펫&amp;몹 정리(최신)'!$B:$B,0))*30,IF($J172=4,INDEX('큐펫&amp;몹 정리(최신)'!P:P,MATCH($E172,'큐펫&amp;몹 정리(최신)'!$B:$B,0))*35,INDEX('큐펫&amp;몹 정리(최신)'!P:P,MATCH($E172,'큐펫&amp;몹 정리(최신)'!$B:$B,0))*40))))</f>
        <v>700</v>
      </c>
      <c r="L172" s="190">
        <f>IF($J172=1,INDEX('큐펫&amp;몹 정리(최신)'!Q:Q,MATCH($E172,'큐펫&amp;몹 정리(최신)'!$B:$B,0))*20,IF($J172=2,INDEX('큐펫&amp;몹 정리(최신)'!Q:Q,MATCH($E172,'큐펫&amp;몹 정리(최신)'!$B:$B,0))*25,IF($J172=3,INDEX('큐펫&amp;몹 정리(최신)'!Q:Q,MATCH($E172,'큐펫&amp;몹 정리(최신)'!$B:$B,0))*30,IF($J172=4,INDEX('큐펫&amp;몹 정리(최신)'!Q:Q,MATCH($E172,'큐펫&amp;몹 정리(최신)'!$B:$B,0))*35,INDEX('큐펫&amp;몹 정리(최신)'!Q:Q,MATCH($E172,'큐펫&amp;몹 정리(최신)'!$B:$B,0))*40))))</f>
        <v>80</v>
      </c>
      <c r="M172" s="190">
        <f>IF($J172=1,INDEX('큐펫&amp;몹 정리(최신)'!R:R,MATCH($E172,'큐펫&amp;몹 정리(최신)'!$B:$B,0))*20,IF($J172=2,INDEX('큐펫&amp;몹 정리(최신)'!R:R,MATCH($E172,'큐펫&amp;몹 정리(최신)'!$B:$B,0))*25,IF($J172=3,INDEX('큐펫&amp;몹 정리(최신)'!R:R,MATCH($E172,'큐펫&amp;몹 정리(최신)'!$B:$B,0))*30,IF($J172=4,INDEX('큐펫&amp;몹 정리(최신)'!R:R,MATCH($E172,'큐펫&amp;몹 정리(최신)'!$B:$B,0))*35,INDEX('큐펫&amp;몹 정리(최신)'!R:R,MATCH($E172,'큐펫&amp;몹 정리(최신)'!$B:$B,0))*40))))</f>
        <v>480</v>
      </c>
      <c r="N172" s="190">
        <f>IF($J172=1,INDEX('큐펫&amp;몹 정리(최신)'!S:S,MATCH($E172,'큐펫&amp;몹 정리(최신)'!$B:$B,0))*20,IF($J172=2,INDEX('큐펫&amp;몹 정리(최신)'!S:S,MATCH($E172,'큐펫&amp;몹 정리(최신)'!$B:$B,0))*25,IF($J172=3,INDEX('큐펫&amp;몹 정리(최신)'!S:S,MATCH($E172,'큐펫&amp;몹 정리(최신)'!$B:$B,0))*30,IF($J172=4,INDEX('큐펫&amp;몹 정리(최신)'!S:S,MATCH($E172,'큐펫&amp;몹 정리(최신)'!$B:$B,0))*35,INDEX('큐펫&amp;몹 정리(최신)'!S:S,MATCH($E172,'큐펫&amp;몹 정리(최신)'!$B:$B,0))*40))))</f>
        <v>340</v>
      </c>
      <c r="O172" s="190">
        <f>IF($J172=1,INDEX('큐펫&amp;몹 정리(최신)'!T:T,MATCH($E172,'큐펫&amp;몹 정리(최신)'!$B:$B,0))*20,IF($J172=2,INDEX('큐펫&amp;몹 정리(최신)'!T:T,MATCH($E172,'큐펫&amp;몹 정리(최신)'!$B:$B,0))*25,IF($J172=3,INDEX('큐펫&amp;몹 정리(최신)'!T:T,MATCH($E172,'큐펫&amp;몹 정리(최신)'!$B:$B,0))*30,IF($J172=4,INDEX('큐펫&amp;몹 정리(최신)'!T:T,MATCH($E172,'큐펫&amp;몹 정리(최신)'!$B:$B,0))*35,INDEX('큐펫&amp;몹 정리(최신)'!T:T,MATCH($E172,'큐펫&amp;몹 정리(최신)'!$B:$B,0))*40))))</f>
        <v>400</v>
      </c>
      <c r="P172" s="217">
        <v>20</v>
      </c>
      <c r="Q172" s="217">
        <f t="shared" si="16"/>
        <v>23520</v>
      </c>
      <c r="R172" s="217">
        <f t="shared" si="17"/>
        <v>418</v>
      </c>
      <c r="S172" s="217">
        <f t="shared" si="18"/>
        <v>704</v>
      </c>
      <c r="T172" s="217">
        <f t="shared" si="19"/>
        <v>5638</v>
      </c>
      <c r="U172" s="217">
        <f t="shared" si="20"/>
        <v>10717</v>
      </c>
      <c r="V172" s="217">
        <f t="shared" si="21"/>
        <v>6334</v>
      </c>
      <c r="W172" s="217">
        <f>ROUND(AC172+(INDEX(Ref!B$1:B$9,MATCH($AI172,Ref!$A$1:$A$9,0))*P172*0.0001),)</f>
        <v>21</v>
      </c>
      <c r="X172" s="217">
        <f>ROUND(AD172+(INDEX(Ref!C$1:C$9,MATCH($AI172,Ref!$A$1:$A$9,0))*$P172*0.0001),)</f>
        <v>26</v>
      </c>
      <c r="Y172" s="217">
        <f>ROUND(AE172+(INDEX(Ref!D$1:D$9,MATCH($AI172,Ref!$A$1:$A$9,0))*$P172*0.0001),)</f>
        <v>43</v>
      </c>
      <c r="Z172" s="217">
        <f>ROUND(AF172+(INDEX(Ref!E$1:E$9,MATCH($AI172,Ref!$A$1:$A$9,0))*$P172*0.0001),)</f>
        <v>34</v>
      </c>
      <c r="AA172" s="217">
        <f>ROUND(AG172+(INDEX(Ref!F$1:F$9,MATCH($AI172,Ref!$A$1:$A$9,0))*$P172*0.0001),)</f>
        <v>28</v>
      </c>
      <c r="AB172" s="217">
        <f>ROUND(AH172+(INDEX(Ref!G$1:G$9,MATCH($AI172,Ref!$A$1:$A$9,0))*$P172*0.0001),)</f>
        <v>32</v>
      </c>
      <c r="AC172" s="137">
        <v>18</v>
      </c>
      <c r="AD172" s="137">
        <v>23</v>
      </c>
      <c r="AE172" s="137">
        <v>40</v>
      </c>
      <c r="AF172" s="137">
        <v>30</v>
      </c>
      <c r="AG172" s="137">
        <v>25</v>
      </c>
      <c r="AH172" s="137">
        <v>28</v>
      </c>
      <c r="AI172" s="208">
        <v>8</v>
      </c>
      <c r="AJ172" s="172">
        <v>3000</v>
      </c>
      <c r="AK172" s="172">
        <v>30205</v>
      </c>
      <c r="AL172" s="172">
        <v>2000</v>
      </c>
      <c r="AM172" s="172">
        <v>30208</v>
      </c>
      <c r="AN172" s="172">
        <v>0</v>
      </c>
      <c r="AO172" s="172">
        <f t="shared" si="22"/>
        <v>34205</v>
      </c>
      <c r="AP172" s="172">
        <v>0</v>
      </c>
      <c r="AQ172" s="172">
        <f t="shared" si="23"/>
        <v>34208</v>
      </c>
      <c r="AR172" s="172">
        <v>1</v>
      </c>
      <c r="AS172" s="172">
        <v>0</v>
      </c>
      <c r="AT172" s="199">
        <v>78035</v>
      </c>
      <c r="AU172" s="195" t="s">
        <v>177</v>
      </c>
    </row>
    <row r="173" spans="1:47" x14ac:dyDescent="0.2">
      <c r="A173" s="173">
        <v>55035</v>
      </c>
      <c r="B173" s="174" t="s">
        <v>175</v>
      </c>
      <c r="C173" s="172">
        <v>86035</v>
      </c>
      <c r="D173" s="172">
        <v>150035</v>
      </c>
      <c r="E173" s="206" t="s">
        <v>176</v>
      </c>
      <c r="F173" s="207">
        <v>3</v>
      </c>
      <c r="G173" s="172">
        <v>8500</v>
      </c>
      <c r="H173" s="172">
        <v>8500</v>
      </c>
      <c r="I173" s="172">
        <v>10000</v>
      </c>
      <c r="J173" s="172">
        <v>2</v>
      </c>
      <c r="K173" s="190">
        <f>IF($J173=1,INDEX('큐펫&amp;몹 정리(최신)'!P:P,MATCH($E173,'큐펫&amp;몹 정리(최신)'!$B:$B,0))*20,IF($J173=2,INDEX('큐펫&amp;몹 정리(최신)'!P:P,MATCH($E173,'큐펫&amp;몹 정리(최신)'!$B:$B,0))*25,IF($J173=3,INDEX('큐펫&amp;몹 정리(최신)'!P:P,MATCH($E173,'큐펫&amp;몹 정리(최신)'!$B:$B,0))*30,IF($J173=4,INDEX('큐펫&amp;몹 정리(최신)'!P:P,MATCH($E173,'큐펫&amp;몹 정리(최신)'!$B:$B,0))*35,INDEX('큐펫&amp;몹 정리(최신)'!P:P,MATCH($E173,'큐펫&amp;몹 정리(최신)'!$B:$B,0))*40))))</f>
        <v>875</v>
      </c>
      <c r="L173" s="190">
        <f>IF($J173=1,INDEX('큐펫&amp;몹 정리(최신)'!Q:Q,MATCH($E173,'큐펫&amp;몹 정리(최신)'!$B:$B,0))*20,IF($J173=2,INDEX('큐펫&amp;몹 정리(최신)'!Q:Q,MATCH($E173,'큐펫&amp;몹 정리(최신)'!$B:$B,0))*25,IF($J173=3,INDEX('큐펫&amp;몹 정리(최신)'!Q:Q,MATCH($E173,'큐펫&amp;몹 정리(최신)'!$B:$B,0))*30,IF($J173=4,INDEX('큐펫&amp;몹 정리(최신)'!Q:Q,MATCH($E173,'큐펫&amp;몹 정리(최신)'!$B:$B,0))*35,INDEX('큐펫&amp;몹 정리(최신)'!Q:Q,MATCH($E173,'큐펫&amp;몹 정리(최신)'!$B:$B,0))*40))))</f>
        <v>100</v>
      </c>
      <c r="M173" s="190">
        <f>IF($J173=1,INDEX('큐펫&amp;몹 정리(최신)'!R:R,MATCH($E173,'큐펫&amp;몹 정리(최신)'!$B:$B,0))*20,IF($J173=2,INDEX('큐펫&amp;몹 정리(최신)'!R:R,MATCH($E173,'큐펫&amp;몹 정리(최신)'!$B:$B,0))*25,IF($J173=3,INDEX('큐펫&amp;몹 정리(최신)'!R:R,MATCH($E173,'큐펫&amp;몹 정리(최신)'!$B:$B,0))*30,IF($J173=4,INDEX('큐펫&amp;몹 정리(최신)'!R:R,MATCH($E173,'큐펫&amp;몹 정리(최신)'!$B:$B,0))*35,INDEX('큐펫&amp;몹 정리(최신)'!R:R,MATCH($E173,'큐펫&amp;몹 정리(최신)'!$B:$B,0))*40))))</f>
        <v>600</v>
      </c>
      <c r="N173" s="190">
        <f>IF($J173=1,INDEX('큐펫&amp;몹 정리(최신)'!S:S,MATCH($E173,'큐펫&amp;몹 정리(최신)'!$B:$B,0))*20,IF($J173=2,INDEX('큐펫&amp;몹 정리(최신)'!S:S,MATCH($E173,'큐펫&amp;몹 정리(최신)'!$B:$B,0))*25,IF($J173=3,INDEX('큐펫&amp;몹 정리(최신)'!S:S,MATCH($E173,'큐펫&amp;몹 정리(최신)'!$B:$B,0))*30,IF($J173=4,INDEX('큐펫&amp;몹 정리(최신)'!S:S,MATCH($E173,'큐펫&amp;몹 정리(최신)'!$B:$B,0))*35,INDEX('큐펫&amp;몹 정리(최신)'!S:S,MATCH($E173,'큐펫&amp;몹 정리(최신)'!$B:$B,0))*40))))</f>
        <v>425</v>
      </c>
      <c r="O173" s="190">
        <f>IF($J173=1,INDEX('큐펫&amp;몹 정리(최신)'!T:T,MATCH($E173,'큐펫&amp;몹 정리(최신)'!$B:$B,0))*20,IF($J173=2,INDEX('큐펫&amp;몹 정리(최신)'!T:T,MATCH($E173,'큐펫&amp;몹 정리(최신)'!$B:$B,0))*25,IF($J173=3,INDEX('큐펫&amp;몹 정리(최신)'!T:T,MATCH($E173,'큐펫&amp;몹 정리(최신)'!$B:$B,0))*30,IF($J173=4,INDEX('큐펫&amp;몹 정리(최신)'!T:T,MATCH($E173,'큐펫&amp;몹 정리(최신)'!$B:$B,0))*35,INDEX('큐펫&amp;몹 정리(최신)'!T:T,MATCH($E173,'큐펫&amp;몹 정리(최신)'!$B:$B,0))*40))))</f>
        <v>500</v>
      </c>
      <c r="P173" s="217">
        <v>40</v>
      </c>
      <c r="Q173" s="217">
        <f t="shared" si="16"/>
        <v>56450</v>
      </c>
      <c r="R173" s="217">
        <f t="shared" si="17"/>
        <v>764</v>
      </c>
      <c r="S173" s="217">
        <f t="shared" si="18"/>
        <v>1329</v>
      </c>
      <c r="T173" s="217">
        <f t="shared" si="19"/>
        <v>10702</v>
      </c>
      <c r="U173" s="217">
        <f t="shared" si="20"/>
        <v>18921</v>
      </c>
      <c r="V173" s="217">
        <f t="shared" si="21"/>
        <v>11167</v>
      </c>
      <c r="W173" s="217">
        <f>ROUND(AC173+(INDEX(Ref!B$1:B$9,MATCH($AI173,Ref!$A$1:$A$9,0))*P173*0.0001),)</f>
        <v>26</v>
      </c>
      <c r="X173" s="217">
        <f>ROUND(AD173+(INDEX(Ref!C$1:C$9,MATCH($AI173,Ref!$A$1:$A$9,0))*$P173*0.0001),)</f>
        <v>32</v>
      </c>
      <c r="Y173" s="217">
        <f>ROUND(AE173+(INDEX(Ref!D$1:D$9,MATCH($AI173,Ref!$A$1:$A$9,0))*$P173*0.0001),)</f>
        <v>49</v>
      </c>
      <c r="Z173" s="217">
        <f>ROUND(AF173+(INDEX(Ref!E$1:E$9,MATCH($AI173,Ref!$A$1:$A$9,0))*$P173*0.0001),)</f>
        <v>42</v>
      </c>
      <c r="AA173" s="217">
        <f>ROUND(AG173+(INDEX(Ref!F$1:F$9,MATCH($AI173,Ref!$A$1:$A$9,0))*$P173*0.0001),)</f>
        <v>35</v>
      </c>
      <c r="AB173" s="217">
        <f>ROUND(AH173+(INDEX(Ref!G$1:G$9,MATCH($AI173,Ref!$A$1:$A$9,0))*$P173*0.0001),)</f>
        <v>40</v>
      </c>
      <c r="AC173" s="137">
        <v>21</v>
      </c>
      <c r="AD173" s="137">
        <v>26</v>
      </c>
      <c r="AE173" s="137">
        <v>43</v>
      </c>
      <c r="AF173" s="137">
        <v>34</v>
      </c>
      <c r="AG173" s="137">
        <v>28</v>
      </c>
      <c r="AH173" s="137">
        <v>32</v>
      </c>
      <c r="AI173" s="208">
        <v>8</v>
      </c>
      <c r="AJ173" s="172">
        <v>3000</v>
      </c>
      <c r="AK173" s="172">
        <v>30206</v>
      </c>
      <c r="AL173" s="172">
        <v>2000</v>
      </c>
      <c r="AM173" s="172">
        <v>30208</v>
      </c>
      <c r="AN173" s="172">
        <v>0</v>
      </c>
      <c r="AO173" s="172">
        <f t="shared" si="22"/>
        <v>34206</v>
      </c>
      <c r="AP173" s="172">
        <v>0</v>
      </c>
      <c r="AQ173" s="172">
        <f t="shared" si="23"/>
        <v>34208</v>
      </c>
      <c r="AR173" s="172">
        <v>1</v>
      </c>
      <c r="AS173" s="172">
        <v>0</v>
      </c>
      <c r="AT173" s="199">
        <v>78035</v>
      </c>
      <c r="AU173" s="195" t="s">
        <v>177</v>
      </c>
    </row>
    <row r="174" spans="1:47" x14ac:dyDescent="0.2">
      <c r="A174" s="173">
        <v>55035</v>
      </c>
      <c r="B174" s="174" t="s">
        <v>175</v>
      </c>
      <c r="C174" s="172">
        <v>86035</v>
      </c>
      <c r="D174" s="172">
        <v>150035</v>
      </c>
      <c r="E174" s="206" t="s">
        <v>176</v>
      </c>
      <c r="F174" s="207">
        <v>3</v>
      </c>
      <c r="G174" s="172">
        <v>8500</v>
      </c>
      <c r="H174" s="172">
        <v>8500</v>
      </c>
      <c r="I174" s="172">
        <v>10000</v>
      </c>
      <c r="J174" s="172">
        <v>3</v>
      </c>
      <c r="K174" s="190">
        <f>IF($J174=1,INDEX('큐펫&amp;몹 정리(최신)'!P:P,MATCH($E174,'큐펫&amp;몹 정리(최신)'!$B:$B,0))*20,IF($J174=2,INDEX('큐펫&amp;몹 정리(최신)'!P:P,MATCH($E174,'큐펫&amp;몹 정리(최신)'!$B:$B,0))*25,IF($J174=3,INDEX('큐펫&amp;몹 정리(최신)'!P:P,MATCH($E174,'큐펫&amp;몹 정리(최신)'!$B:$B,0))*30,IF($J174=4,INDEX('큐펫&amp;몹 정리(최신)'!P:P,MATCH($E174,'큐펫&amp;몹 정리(최신)'!$B:$B,0))*35,INDEX('큐펫&amp;몹 정리(최신)'!P:P,MATCH($E174,'큐펫&amp;몹 정리(최신)'!$B:$B,0))*40))))</f>
        <v>1050</v>
      </c>
      <c r="L174" s="190">
        <f>IF($J174=1,INDEX('큐펫&amp;몹 정리(최신)'!Q:Q,MATCH($E174,'큐펫&amp;몹 정리(최신)'!$B:$B,0))*20,IF($J174=2,INDEX('큐펫&amp;몹 정리(최신)'!Q:Q,MATCH($E174,'큐펫&amp;몹 정리(최신)'!$B:$B,0))*25,IF($J174=3,INDEX('큐펫&amp;몹 정리(최신)'!Q:Q,MATCH($E174,'큐펫&amp;몹 정리(최신)'!$B:$B,0))*30,IF($J174=4,INDEX('큐펫&amp;몹 정리(최신)'!Q:Q,MATCH($E174,'큐펫&amp;몹 정리(최신)'!$B:$B,0))*35,INDEX('큐펫&amp;몹 정리(최신)'!Q:Q,MATCH($E174,'큐펫&amp;몹 정리(최신)'!$B:$B,0))*40))))</f>
        <v>120</v>
      </c>
      <c r="M174" s="190">
        <f>IF($J174=1,INDEX('큐펫&amp;몹 정리(최신)'!R:R,MATCH($E174,'큐펫&amp;몹 정리(최신)'!$B:$B,0))*20,IF($J174=2,INDEX('큐펫&amp;몹 정리(최신)'!R:R,MATCH($E174,'큐펫&amp;몹 정리(최신)'!$B:$B,0))*25,IF($J174=3,INDEX('큐펫&amp;몹 정리(최신)'!R:R,MATCH($E174,'큐펫&amp;몹 정리(최신)'!$B:$B,0))*30,IF($J174=4,INDEX('큐펫&amp;몹 정리(최신)'!R:R,MATCH($E174,'큐펫&amp;몹 정리(최신)'!$B:$B,0))*35,INDEX('큐펫&amp;몹 정리(최신)'!R:R,MATCH($E174,'큐펫&amp;몹 정리(최신)'!$B:$B,0))*40))))</f>
        <v>720</v>
      </c>
      <c r="N174" s="190">
        <f>IF($J174=1,INDEX('큐펫&amp;몹 정리(최신)'!S:S,MATCH($E174,'큐펫&amp;몹 정리(최신)'!$B:$B,0))*20,IF($J174=2,INDEX('큐펫&amp;몹 정리(최신)'!S:S,MATCH($E174,'큐펫&amp;몹 정리(최신)'!$B:$B,0))*25,IF($J174=3,INDEX('큐펫&amp;몹 정리(최신)'!S:S,MATCH($E174,'큐펫&amp;몹 정리(최신)'!$B:$B,0))*30,IF($J174=4,INDEX('큐펫&amp;몹 정리(최신)'!S:S,MATCH($E174,'큐펫&amp;몹 정리(최신)'!$B:$B,0))*35,INDEX('큐펫&amp;몹 정리(최신)'!S:S,MATCH($E174,'큐펫&amp;몹 정리(최신)'!$B:$B,0))*40))))</f>
        <v>510</v>
      </c>
      <c r="O174" s="190">
        <f>IF($J174=1,INDEX('큐펫&amp;몹 정리(최신)'!T:T,MATCH($E174,'큐펫&amp;몹 정리(최신)'!$B:$B,0))*20,IF($J174=2,INDEX('큐펫&amp;몹 정리(최신)'!T:T,MATCH($E174,'큐펫&amp;몹 정리(최신)'!$B:$B,0))*25,IF($J174=3,INDEX('큐펫&amp;몹 정리(최신)'!T:T,MATCH($E174,'큐펫&amp;몹 정리(최신)'!$B:$B,0))*30,IF($J174=4,INDEX('큐펫&amp;몹 정리(최신)'!T:T,MATCH($E174,'큐펫&amp;몹 정리(최신)'!$B:$B,0))*35,INDEX('큐펫&amp;몹 정리(최신)'!T:T,MATCH($E174,'큐펫&amp;몹 정리(최신)'!$B:$B,0))*40))))</f>
        <v>600</v>
      </c>
      <c r="P174" s="217">
        <v>60</v>
      </c>
      <c r="Q174" s="217">
        <f t="shared" si="16"/>
        <v>102220</v>
      </c>
      <c r="R174" s="217">
        <f t="shared" si="17"/>
        <v>1265</v>
      </c>
      <c r="S174" s="217">
        <f t="shared" si="18"/>
        <v>2247</v>
      </c>
      <c r="T174" s="217">
        <f t="shared" si="19"/>
        <v>18147</v>
      </c>
      <c r="U174" s="217">
        <f t="shared" si="20"/>
        <v>29081</v>
      </c>
      <c r="V174" s="217">
        <f t="shared" si="21"/>
        <v>17150</v>
      </c>
      <c r="W174" s="217">
        <f>ROUND(AC174+(INDEX(Ref!B$1:B$9,MATCH($AI174,Ref!$A$1:$A$9,0))*P174*0.0001),)</f>
        <v>31</v>
      </c>
      <c r="X174" s="217">
        <f>ROUND(AD174+(INDEX(Ref!C$1:C$9,MATCH($AI174,Ref!$A$1:$A$9,0))*$P174*0.0001),)</f>
        <v>40</v>
      </c>
      <c r="Y174" s="217">
        <f>ROUND(AE174+(INDEX(Ref!D$1:D$9,MATCH($AI174,Ref!$A$1:$A$9,0))*$P174*0.0001),)</f>
        <v>54</v>
      </c>
      <c r="Z174" s="217">
        <f>ROUND(AF174+(INDEX(Ref!E$1:E$9,MATCH($AI174,Ref!$A$1:$A$9,0))*$P174*0.0001),)</f>
        <v>50</v>
      </c>
      <c r="AA174" s="217">
        <f>ROUND(AG174+(INDEX(Ref!F$1:F$9,MATCH($AI174,Ref!$A$1:$A$9,0))*$P174*0.0001),)</f>
        <v>42</v>
      </c>
      <c r="AB174" s="217">
        <f>ROUND(AH174+(INDEX(Ref!G$1:G$9,MATCH($AI174,Ref!$A$1:$A$9,0))*$P174*0.0001),)</f>
        <v>47</v>
      </c>
      <c r="AC174" s="137">
        <v>23</v>
      </c>
      <c r="AD174" s="137">
        <v>30</v>
      </c>
      <c r="AE174" s="137">
        <v>45</v>
      </c>
      <c r="AF174" s="137">
        <v>38</v>
      </c>
      <c r="AG174" s="137">
        <v>32</v>
      </c>
      <c r="AH174" s="137">
        <v>36</v>
      </c>
      <c r="AI174" s="208">
        <v>8</v>
      </c>
      <c r="AJ174" s="172">
        <v>3000</v>
      </c>
      <c r="AK174" s="172">
        <v>30206</v>
      </c>
      <c r="AL174" s="172">
        <v>2000</v>
      </c>
      <c r="AM174" s="172">
        <v>30209</v>
      </c>
      <c r="AN174" s="172">
        <v>0</v>
      </c>
      <c r="AO174" s="172">
        <f t="shared" si="22"/>
        <v>34206</v>
      </c>
      <c r="AP174" s="172">
        <v>0</v>
      </c>
      <c r="AQ174" s="172">
        <f t="shared" si="23"/>
        <v>34209</v>
      </c>
      <c r="AR174" s="172">
        <v>1</v>
      </c>
      <c r="AS174" s="172">
        <v>0</v>
      </c>
      <c r="AT174" s="199">
        <v>78035</v>
      </c>
      <c r="AU174" s="195" t="s">
        <v>177</v>
      </c>
    </row>
    <row r="175" spans="1:47" x14ac:dyDescent="0.2">
      <c r="A175" s="173">
        <v>55035</v>
      </c>
      <c r="B175" s="174" t="s">
        <v>175</v>
      </c>
      <c r="C175" s="172">
        <v>86035</v>
      </c>
      <c r="D175" s="172">
        <v>150035</v>
      </c>
      <c r="E175" s="206" t="s">
        <v>176</v>
      </c>
      <c r="F175" s="207">
        <v>3</v>
      </c>
      <c r="G175" s="172">
        <v>8500</v>
      </c>
      <c r="H175" s="172">
        <v>8500</v>
      </c>
      <c r="I175" s="172">
        <v>10000</v>
      </c>
      <c r="J175" s="172">
        <v>4</v>
      </c>
      <c r="K175" s="190">
        <f>IF($J175=1,INDEX('큐펫&amp;몹 정리(최신)'!P:P,MATCH($E175,'큐펫&amp;몹 정리(최신)'!$B:$B,0))*20,IF($J175=2,INDEX('큐펫&amp;몹 정리(최신)'!P:P,MATCH($E175,'큐펫&amp;몹 정리(최신)'!$B:$B,0))*25,IF($J175=3,INDEX('큐펫&amp;몹 정리(최신)'!P:P,MATCH($E175,'큐펫&amp;몹 정리(최신)'!$B:$B,0))*30,IF($J175=4,INDEX('큐펫&amp;몹 정리(최신)'!P:P,MATCH($E175,'큐펫&amp;몹 정리(최신)'!$B:$B,0))*35,INDEX('큐펫&amp;몹 정리(최신)'!P:P,MATCH($E175,'큐펫&amp;몹 정리(최신)'!$B:$B,0))*40))))</f>
        <v>1225</v>
      </c>
      <c r="L175" s="190">
        <f>IF($J175=1,INDEX('큐펫&amp;몹 정리(최신)'!Q:Q,MATCH($E175,'큐펫&amp;몹 정리(최신)'!$B:$B,0))*20,IF($J175=2,INDEX('큐펫&amp;몹 정리(최신)'!Q:Q,MATCH($E175,'큐펫&amp;몹 정리(최신)'!$B:$B,0))*25,IF($J175=3,INDEX('큐펫&amp;몹 정리(최신)'!Q:Q,MATCH($E175,'큐펫&amp;몹 정리(최신)'!$B:$B,0))*30,IF($J175=4,INDEX('큐펫&amp;몹 정리(최신)'!Q:Q,MATCH($E175,'큐펫&amp;몹 정리(최신)'!$B:$B,0))*35,INDEX('큐펫&amp;몹 정리(최신)'!Q:Q,MATCH($E175,'큐펫&amp;몹 정리(최신)'!$B:$B,0))*40))))</f>
        <v>140</v>
      </c>
      <c r="M175" s="190">
        <f>IF($J175=1,INDEX('큐펫&amp;몹 정리(최신)'!R:R,MATCH($E175,'큐펫&amp;몹 정리(최신)'!$B:$B,0))*20,IF($J175=2,INDEX('큐펫&amp;몹 정리(최신)'!R:R,MATCH($E175,'큐펫&amp;몹 정리(최신)'!$B:$B,0))*25,IF($J175=3,INDEX('큐펫&amp;몹 정리(최신)'!R:R,MATCH($E175,'큐펫&amp;몹 정리(최신)'!$B:$B,0))*30,IF($J175=4,INDEX('큐펫&amp;몹 정리(최신)'!R:R,MATCH($E175,'큐펫&amp;몹 정리(최신)'!$B:$B,0))*35,INDEX('큐펫&amp;몹 정리(최신)'!R:R,MATCH($E175,'큐펫&amp;몹 정리(최신)'!$B:$B,0))*40))))</f>
        <v>840</v>
      </c>
      <c r="N175" s="190">
        <f>IF($J175=1,INDEX('큐펫&amp;몹 정리(최신)'!S:S,MATCH($E175,'큐펫&amp;몹 정리(최신)'!$B:$B,0))*20,IF($J175=2,INDEX('큐펫&amp;몹 정리(최신)'!S:S,MATCH($E175,'큐펫&amp;몹 정리(최신)'!$B:$B,0))*25,IF($J175=3,INDEX('큐펫&amp;몹 정리(최신)'!S:S,MATCH($E175,'큐펫&amp;몹 정리(최신)'!$B:$B,0))*30,IF($J175=4,INDEX('큐펫&amp;몹 정리(최신)'!S:S,MATCH($E175,'큐펫&amp;몹 정리(최신)'!$B:$B,0))*35,INDEX('큐펫&amp;몹 정리(최신)'!S:S,MATCH($E175,'큐펫&amp;몹 정리(최신)'!$B:$B,0))*40))))</f>
        <v>595</v>
      </c>
      <c r="O175" s="190">
        <f>IF($J175=1,INDEX('큐펫&amp;몹 정리(최신)'!T:T,MATCH($E175,'큐펫&amp;몹 정리(최신)'!$B:$B,0))*20,IF($J175=2,INDEX('큐펫&amp;몹 정리(최신)'!T:T,MATCH($E175,'큐펫&amp;몹 정리(최신)'!$B:$B,0))*25,IF($J175=3,INDEX('큐펫&amp;몹 정리(최신)'!T:T,MATCH($E175,'큐펫&amp;몹 정리(최신)'!$B:$B,0))*30,IF($J175=4,INDEX('큐펫&amp;몹 정리(최신)'!T:T,MATCH($E175,'큐펫&amp;몹 정리(최신)'!$B:$B,0))*35,INDEX('큐펫&amp;몹 정리(최신)'!T:T,MATCH($E175,'큐펫&amp;몹 정리(최신)'!$B:$B,0))*40))))</f>
        <v>700</v>
      </c>
      <c r="P175" s="217">
        <v>80</v>
      </c>
      <c r="Q175" s="217">
        <f t="shared" si="16"/>
        <v>163880</v>
      </c>
      <c r="R175" s="217">
        <f t="shared" si="17"/>
        <v>1949</v>
      </c>
      <c r="S175" s="217">
        <f t="shared" si="18"/>
        <v>3519</v>
      </c>
      <c r="T175" s="217">
        <f t="shared" si="19"/>
        <v>28433</v>
      </c>
      <c r="U175" s="217">
        <f t="shared" si="20"/>
        <v>41960</v>
      </c>
      <c r="V175" s="217">
        <f t="shared" si="21"/>
        <v>24733</v>
      </c>
      <c r="W175" s="217">
        <f>ROUND(AC175+(INDEX(Ref!B$1:B$9,MATCH($AI175,Ref!$A$1:$A$9,0))*P175*0.0001),)</f>
        <v>36</v>
      </c>
      <c r="X175" s="217">
        <f>ROUND(AD175+(INDEX(Ref!C$1:C$9,MATCH($AI175,Ref!$A$1:$A$9,0))*$P175*0.0001),)</f>
        <v>46</v>
      </c>
      <c r="Y175" s="217">
        <f>ROUND(AE175+(INDEX(Ref!D$1:D$9,MATCH($AI175,Ref!$A$1:$A$9,0))*$P175*0.0001),)</f>
        <v>61</v>
      </c>
      <c r="Z175" s="217">
        <f>ROUND(AF175+(INDEX(Ref!E$1:E$9,MATCH($AI175,Ref!$A$1:$A$9,0))*$P175*0.0001),)</f>
        <v>58</v>
      </c>
      <c r="AA175" s="217">
        <f>ROUND(AG175+(INDEX(Ref!F$1:F$9,MATCH($AI175,Ref!$A$1:$A$9,0))*$P175*0.0001),)</f>
        <v>49</v>
      </c>
      <c r="AB175" s="217">
        <f>ROUND(AH175+(INDEX(Ref!G$1:G$9,MATCH($AI175,Ref!$A$1:$A$9,0))*$P175*0.0001),)</f>
        <v>54</v>
      </c>
      <c r="AC175" s="137">
        <v>26</v>
      </c>
      <c r="AD175" s="137">
        <v>33</v>
      </c>
      <c r="AE175" s="137">
        <v>49</v>
      </c>
      <c r="AF175" s="137">
        <v>42</v>
      </c>
      <c r="AG175" s="137">
        <v>35</v>
      </c>
      <c r="AH175" s="137">
        <v>39</v>
      </c>
      <c r="AI175" s="208">
        <v>8</v>
      </c>
      <c r="AJ175" s="172">
        <v>3000</v>
      </c>
      <c r="AK175" s="172">
        <v>30207</v>
      </c>
      <c r="AL175" s="172">
        <v>2000</v>
      </c>
      <c r="AM175" s="172">
        <v>30209</v>
      </c>
      <c r="AN175" s="172">
        <v>0</v>
      </c>
      <c r="AO175" s="172">
        <f t="shared" si="22"/>
        <v>34207</v>
      </c>
      <c r="AP175" s="172">
        <v>0</v>
      </c>
      <c r="AQ175" s="172">
        <f t="shared" si="23"/>
        <v>34209</v>
      </c>
      <c r="AR175" s="172">
        <v>1</v>
      </c>
      <c r="AS175" s="172">
        <v>0</v>
      </c>
      <c r="AT175" s="199">
        <v>78035</v>
      </c>
      <c r="AU175" s="195" t="s">
        <v>177</v>
      </c>
    </row>
    <row r="176" spans="1:47" x14ac:dyDescent="0.2">
      <c r="A176" s="173">
        <v>55035</v>
      </c>
      <c r="B176" s="174" t="s">
        <v>175</v>
      </c>
      <c r="C176" s="172">
        <v>86035</v>
      </c>
      <c r="D176" s="172">
        <v>150035</v>
      </c>
      <c r="E176" s="206" t="s">
        <v>176</v>
      </c>
      <c r="F176" s="207">
        <v>3</v>
      </c>
      <c r="G176" s="172">
        <v>8500</v>
      </c>
      <c r="H176" s="172">
        <v>8500</v>
      </c>
      <c r="I176" s="172">
        <v>10000</v>
      </c>
      <c r="J176" s="172">
        <v>5</v>
      </c>
      <c r="K176" s="190">
        <f>IF($J176=1,INDEX('큐펫&amp;몹 정리(최신)'!P:P,MATCH($E176,'큐펫&amp;몹 정리(최신)'!$B:$B,0))*20,IF($J176=2,INDEX('큐펫&amp;몹 정리(최신)'!P:P,MATCH($E176,'큐펫&amp;몹 정리(최신)'!$B:$B,0))*25,IF($J176=3,INDEX('큐펫&amp;몹 정리(최신)'!P:P,MATCH($E176,'큐펫&amp;몹 정리(최신)'!$B:$B,0))*30,IF($J176=4,INDEX('큐펫&amp;몹 정리(최신)'!P:P,MATCH($E176,'큐펫&amp;몹 정리(최신)'!$B:$B,0))*35,INDEX('큐펫&amp;몹 정리(최신)'!P:P,MATCH($E176,'큐펫&amp;몹 정리(최신)'!$B:$B,0))*40))))</f>
        <v>1400</v>
      </c>
      <c r="L176" s="190">
        <f>IF($J176=1,INDEX('큐펫&amp;몹 정리(최신)'!Q:Q,MATCH($E176,'큐펫&amp;몹 정리(최신)'!$B:$B,0))*20,IF($J176=2,INDEX('큐펫&amp;몹 정리(최신)'!Q:Q,MATCH($E176,'큐펫&amp;몹 정리(최신)'!$B:$B,0))*25,IF($J176=3,INDEX('큐펫&amp;몹 정리(최신)'!Q:Q,MATCH($E176,'큐펫&amp;몹 정리(최신)'!$B:$B,0))*30,IF($J176=4,INDEX('큐펫&amp;몹 정리(최신)'!Q:Q,MATCH($E176,'큐펫&amp;몹 정리(최신)'!$B:$B,0))*35,INDEX('큐펫&amp;몹 정리(최신)'!Q:Q,MATCH($E176,'큐펫&amp;몹 정리(최신)'!$B:$B,0))*40))))</f>
        <v>160</v>
      </c>
      <c r="M176" s="190">
        <f>IF($J176=1,INDEX('큐펫&amp;몹 정리(최신)'!R:R,MATCH($E176,'큐펫&amp;몹 정리(최신)'!$B:$B,0))*20,IF($J176=2,INDEX('큐펫&amp;몹 정리(최신)'!R:R,MATCH($E176,'큐펫&amp;몹 정리(최신)'!$B:$B,0))*25,IF($J176=3,INDEX('큐펫&amp;몹 정리(최신)'!R:R,MATCH($E176,'큐펫&amp;몹 정리(최신)'!$B:$B,0))*30,IF($J176=4,INDEX('큐펫&amp;몹 정리(최신)'!R:R,MATCH($E176,'큐펫&amp;몹 정리(최신)'!$B:$B,0))*35,INDEX('큐펫&amp;몹 정리(최신)'!R:R,MATCH($E176,'큐펫&amp;몹 정리(최신)'!$B:$B,0))*40))))</f>
        <v>960</v>
      </c>
      <c r="N176" s="190">
        <f>IF($J176=1,INDEX('큐펫&amp;몹 정리(최신)'!S:S,MATCH($E176,'큐펫&amp;몹 정리(최신)'!$B:$B,0))*20,IF($J176=2,INDEX('큐펫&amp;몹 정리(최신)'!S:S,MATCH($E176,'큐펫&amp;몹 정리(최신)'!$B:$B,0))*25,IF($J176=3,INDEX('큐펫&amp;몹 정리(최신)'!S:S,MATCH($E176,'큐펫&amp;몹 정리(최신)'!$B:$B,0))*30,IF($J176=4,INDEX('큐펫&amp;몹 정리(최신)'!S:S,MATCH($E176,'큐펫&amp;몹 정리(최신)'!$B:$B,0))*35,INDEX('큐펫&amp;몹 정리(최신)'!S:S,MATCH($E176,'큐펫&amp;몹 정리(최신)'!$B:$B,0))*40))))</f>
        <v>680</v>
      </c>
      <c r="O176" s="190">
        <f>IF($J176=1,INDEX('큐펫&amp;몹 정리(최신)'!T:T,MATCH($E176,'큐펫&amp;몹 정리(최신)'!$B:$B,0))*20,IF($J176=2,INDEX('큐펫&amp;몹 정리(최신)'!T:T,MATCH($E176,'큐펫&amp;몹 정리(최신)'!$B:$B,0))*25,IF($J176=3,INDEX('큐펫&amp;몹 정리(최신)'!T:T,MATCH($E176,'큐펫&amp;몹 정리(최신)'!$B:$B,0))*30,IF($J176=4,INDEX('큐펫&amp;몹 정리(최신)'!T:T,MATCH($E176,'큐펫&amp;몹 정리(최신)'!$B:$B,0))*35,INDEX('큐펫&amp;몹 정리(최신)'!T:T,MATCH($E176,'큐펫&amp;몹 정리(최신)'!$B:$B,0))*40))))</f>
        <v>800</v>
      </c>
      <c r="P176" s="217">
        <v>100</v>
      </c>
      <c r="Q176" s="217">
        <f t="shared" si="16"/>
        <v>239400</v>
      </c>
      <c r="R176" s="217">
        <f t="shared" si="17"/>
        <v>2982</v>
      </c>
      <c r="S176" s="217">
        <f t="shared" si="18"/>
        <v>5202</v>
      </c>
      <c r="T176" s="217">
        <f t="shared" si="19"/>
        <v>42022</v>
      </c>
      <c r="U176" s="217">
        <f t="shared" si="20"/>
        <v>56455</v>
      </c>
      <c r="V176" s="217">
        <f t="shared" si="21"/>
        <v>33266</v>
      </c>
      <c r="W176" s="217">
        <f>ROUND(AC176+(INDEX(Ref!B$1:B$9,MATCH($AI176,Ref!$A$1:$A$9,0))*P176*0.0001),)</f>
        <v>42</v>
      </c>
      <c r="X176" s="217">
        <f>ROUND(AD176+(INDEX(Ref!C$1:C$9,MATCH($AI176,Ref!$A$1:$A$9,0))*$P176*0.0001),)</f>
        <v>52</v>
      </c>
      <c r="Y176" s="217">
        <f>ROUND(AE176+(INDEX(Ref!D$1:D$9,MATCH($AI176,Ref!$A$1:$A$9,0))*$P176*0.0001),)</f>
        <v>66</v>
      </c>
      <c r="Z176" s="217">
        <f>ROUND(AF176+(INDEX(Ref!E$1:E$9,MATCH($AI176,Ref!$A$1:$A$9,0))*$P176*0.0001),)</f>
        <v>66</v>
      </c>
      <c r="AA176" s="217">
        <f>ROUND(AG176+(INDEX(Ref!F$1:F$9,MATCH($AI176,Ref!$A$1:$A$9,0))*$P176*0.0001),)</f>
        <v>56</v>
      </c>
      <c r="AB176" s="217">
        <f>ROUND(AH176+(INDEX(Ref!G$1:G$9,MATCH($AI176,Ref!$A$1:$A$9,0))*$P176*0.0001),)</f>
        <v>62</v>
      </c>
      <c r="AC176" s="137">
        <v>29</v>
      </c>
      <c r="AD176" s="137">
        <v>36</v>
      </c>
      <c r="AE176" s="137">
        <v>51</v>
      </c>
      <c r="AF176" s="137">
        <v>46</v>
      </c>
      <c r="AG176" s="137">
        <v>39</v>
      </c>
      <c r="AH176" s="137">
        <v>43</v>
      </c>
      <c r="AI176" s="208">
        <v>8</v>
      </c>
      <c r="AJ176" s="172">
        <v>3000</v>
      </c>
      <c r="AK176" s="172">
        <v>30207</v>
      </c>
      <c r="AL176" s="172">
        <v>2000</v>
      </c>
      <c r="AM176" s="172">
        <v>30210</v>
      </c>
      <c r="AN176" s="172">
        <v>0</v>
      </c>
      <c r="AO176" s="172">
        <f t="shared" si="22"/>
        <v>34207</v>
      </c>
      <c r="AP176" s="172">
        <v>0</v>
      </c>
      <c r="AQ176" s="172">
        <f t="shared" si="23"/>
        <v>34210</v>
      </c>
      <c r="AR176" s="172">
        <v>1</v>
      </c>
      <c r="AS176" s="172">
        <v>0</v>
      </c>
      <c r="AT176" s="199">
        <v>78035</v>
      </c>
      <c r="AU176" s="195" t="s">
        <v>177</v>
      </c>
    </row>
    <row r="177" spans="1:47" x14ac:dyDescent="0.2">
      <c r="A177" s="173">
        <v>55036</v>
      </c>
      <c r="B177" s="174" t="s">
        <v>178</v>
      </c>
      <c r="C177" s="172">
        <v>86036</v>
      </c>
      <c r="D177" s="172">
        <v>150036</v>
      </c>
      <c r="E177" s="206" t="s">
        <v>179</v>
      </c>
      <c r="F177" s="207">
        <v>6</v>
      </c>
      <c r="G177" s="172">
        <v>8500</v>
      </c>
      <c r="H177" s="172">
        <v>8500</v>
      </c>
      <c r="I177" s="172">
        <v>10000</v>
      </c>
      <c r="J177" s="172">
        <v>1</v>
      </c>
      <c r="K177" s="190">
        <f>IF($J177=1,INDEX('큐펫&amp;몹 정리(최신)'!P:P,MATCH($E177,'큐펫&amp;몹 정리(최신)'!$B:$B,0))*20,IF($J177=2,INDEX('큐펫&amp;몹 정리(최신)'!P:P,MATCH($E177,'큐펫&amp;몹 정리(최신)'!$B:$B,0))*25,IF($J177=3,INDEX('큐펫&amp;몹 정리(최신)'!P:P,MATCH($E177,'큐펫&amp;몹 정리(최신)'!$B:$B,0))*30,IF($J177=4,INDEX('큐펫&amp;몹 정리(최신)'!P:P,MATCH($E177,'큐펫&amp;몹 정리(최신)'!$B:$B,0))*35,INDEX('큐펫&amp;몹 정리(최신)'!P:P,MATCH($E177,'큐펫&amp;몹 정리(최신)'!$B:$B,0))*40))))</f>
        <v>740</v>
      </c>
      <c r="L177" s="190">
        <f>IF($J177=1,INDEX('큐펫&amp;몹 정리(최신)'!Q:Q,MATCH($E177,'큐펫&amp;몹 정리(최신)'!$B:$B,0))*20,IF($J177=2,INDEX('큐펫&amp;몹 정리(최신)'!Q:Q,MATCH($E177,'큐펫&amp;몹 정리(최신)'!$B:$B,0))*25,IF($J177=3,INDEX('큐펫&amp;몹 정리(최신)'!Q:Q,MATCH($E177,'큐펫&amp;몹 정리(최신)'!$B:$B,0))*30,IF($J177=4,INDEX('큐펫&amp;몹 정리(최신)'!Q:Q,MATCH($E177,'큐펫&amp;몹 정리(최신)'!$B:$B,0))*35,INDEX('큐펫&amp;몹 정리(최신)'!Q:Q,MATCH($E177,'큐펫&amp;몹 정리(최신)'!$B:$B,0))*40))))</f>
        <v>440</v>
      </c>
      <c r="M177" s="190">
        <f>IF($J177=1,INDEX('큐펫&amp;몹 정리(최신)'!R:R,MATCH($E177,'큐펫&amp;몹 정리(최신)'!$B:$B,0))*20,IF($J177=2,INDEX('큐펫&amp;몹 정리(최신)'!R:R,MATCH($E177,'큐펫&amp;몹 정리(최신)'!$B:$B,0))*25,IF($J177=3,INDEX('큐펫&amp;몹 정리(최신)'!R:R,MATCH($E177,'큐펫&amp;몹 정리(최신)'!$B:$B,0))*30,IF($J177=4,INDEX('큐펫&amp;몹 정리(최신)'!R:R,MATCH($E177,'큐펫&amp;몹 정리(최신)'!$B:$B,0))*35,INDEX('큐펫&amp;몹 정리(최신)'!R:R,MATCH($E177,'큐펫&amp;몹 정리(최신)'!$B:$B,0))*40))))</f>
        <v>80</v>
      </c>
      <c r="N177" s="190">
        <f>IF($J177=1,INDEX('큐펫&amp;몹 정리(최신)'!S:S,MATCH($E177,'큐펫&amp;몹 정리(최신)'!$B:$B,0))*20,IF($J177=2,INDEX('큐펫&amp;몹 정리(최신)'!S:S,MATCH($E177,'큐펫&amp;몹 정리(최신)'!$B:$B,0))*25,IF($J177=3,INDEX('큐펫&amp;몹 정리(최신)'!S:S,MATCH($E177,'큐펫&amp;몹 정리(최신)'!$B:$B,0))*30,IF($J177=4,INDEX('큐펫&amp;몹 정리(최신)'!S:S,MATCH($E177,'큐펫&amp;몹 정리(최신)'!$B:$B,0))*35,INDEX('큐펫&amp;몹 정리(최신)'!S:S,MATCH($E177,'큐펫&amp;몹 정리(최신)'!$B:$B,0))*40))))</f>
        <v>340</v>
      </c>
      <c r="O177" s="190">
        <f>IF($J177=1,INDEX('큐펫&amp;몹 정리(최신)'!T:T,MATCH($E177,'큐펫&amp;몹 정리(최신)'!$B:$B,0))*20,IF($J177=2,INDEX('큐펫&amp;몹 정리(최신)'!T:T,MATCH($E177,'큐펫&amp;몹 정리(최신)'!$B:$B,0))*25,IF($J177=3,INDEX('큐펫&amp;몹 정리(최신)'!T:T,MATCH($E177,'큐펫&amp;몹 정리(최신)'!$B:$B,0))*30,IF($J177=4,INDEX('큐펫&amp;몹 정리(최신)'!T:T,MATCH($E177,'큐펫&amp;몹 정리(최신)'!$B:$B,0))*35,INDEX('큐펫&amp;몹 정리(최신)'!T:T,MATCH($E177,'큐펫&amp;몹 정리(최신)'!$B:$B,0))*40))))</f>
        <v>400</v>
      </c>
      <c r="P177" s="217">
        <v>20</v>
      </c>
      <c r="Q177" s="217">
        <f t="shared" si="16"/>
        <v>24864</v>
      </c>
      <c r="R177" s="217">
        <f t="shared" si="17"/>
        <v>5177</v>
      </c>
      <c r="S177" s="217">
        <f t="shared" si="18"/>
        <v>3530</v>
      </c>
      <c r="T177" s="217">
        <f t="shared" si="19"/>
        <v>416</v>
      </c>
      <c r="U177" s="217">
        <f t="shared" si="20"/>
        <v>10720</v>
      </c>
      <c r="V177" s="217">
        <f t="shared" si="21"/>
        <v>6321</v>
      </c>
      <c r="W177" s="217">
        <f>ROUND(AC177+(INDEX(Ref!B$1:B$9,MATCH($AI177,Ref!$A$1:$A$9,0))*P177*0.0001),)</f>
        <v>34</v>
      </c>
      <c r="X177" s="217">
        <f>ROUND(AD177+(INDEX(Ref!C$1:C$9,MATCH($AI177,Ref!$A$1:$A$9,0))*$P177*0.0001),)</f>
        <v>26</v>
      </c>
      <c r="Y177" s="217">
        <f>ROUND(AE177+(INDEX(Ref!D$1:D$9,MATCH($AI177,Ref!$A$1:$A$9,0))*$P177*0.0001),)</f>
        <v>43</v>
      </c>
      <c r="Z177" s="217">
        <f>ROUND(AF177+(INDEX(Ref!E$1:E$9,MATCH($AI177,Ref!$A$1:$A$9,0))*$P177*0.0001),)</f>
        <v>21</v>
      </c>
      <c r="AA177" s="217">
        <f>ROUND(AG177+(INDEX(Ref!F$1:F$9,MATCH($AI177,Ref!$A$1:$A$9,0))*$P177*0.0001),)</f>
        <v>28</v>
      </c>
      <c r="AB177" s="217">
        <f>ROUND(AH177+(INDEX(Ref!G$1:G$9,MATCH($AI177,Ref!$A$1:$A$9,0))*$P177*0.0001),)</f>
        <v>32</v>
      </c>
      <c r="AC177" s="137">
        <v>30</v>
      </c>
      <c r="AD177" s="137">
        <v>23</v>
      </c>
      <c r="AE177" s="137">
        <v>40</v>
      </c>
      <c r="AF177" s="137">
        <v>18</v>
      </c>
      <c r="AG177" s="137">
        <v>25</v>
      </c>
      <c r="AH177" s="137">
        <v>28</v>
      </c>
      <c r="AI177" s="208">
        <v>7</v>
      </c>
      <c r="AJ177" s="172">
        <v>3000</v>
      </c>
      <c r="AK177" s="172">
        <v>30211</v>
      </c>
      <c r="AL177" s="172">
        <v>2000</v>
      </c>
      <c r="AM177" s="172">
        <v>30214</v>
      </c>
      <c r="AN177" s="172">
        <v>0</v>
      </c>
      <c r="AO177" s="172">
        <f t="shared" si="22"/>
        <v>34211</v>
      </c>
      <c r="AP177" s="172">
        <v>0</v>
      </c>
      <c r="AQ177" s="172">
        <f t="shared" si="23"/>
        <v>34214</v>
      </c>
      <c r="AR177" s="172">
        <v>1</v>
      </c>
      <c r="AS177" s="172">
        <v>0</v>
      </c>
      <c r="AT177" s="199">
        <v>78036</v>
      </c>
      <c r="AU177" s="195" t="s">
        <v>180</v>
      </c>
    </row>
    <row r="178" spans="1:47" x14ac:dyDescent="0.2">
      <c r="A178" s="173">
        <v>55036</v>
      </c>
      <c r="B178" s="174" t="s">
        <v>178</v>
      </c>
      <c r="C178" s="172">
        <v>86036</v>
      </c>
      <c r="D178" s="172">
        <v>150036</v>
      </c>
      <c r="E178" s="206" t="s">
        <v>179</v>
      </c>
      <c r="F178" s="207">
        <v>6</v>
      </c>
      <c r="G178" s="172">
        <v>8500</v>
      </c>
      <c r="H178" s="172">
        <v>8500</v>
      </c>
      <c r="I178" s="172">
        <v>10000</v>
      </c>
      <c r="J178" s="172">
        <v>2</v>
      </c>
      <c r="K178" s="190">
        <f>IF($J178=1,INDEX('큐펫&amp;몹 정리(최신)'!P:P,MATCH($E178,'큐펫&amp;몹 정리(최신)'!$B:$B,0))*20,IF($J178=2,INDEX('큐펫&amp;몹 정리(최신)'!P:P,MATCH($E178,'큐펫&amp;몹 정리(최신)'!$B:$B,0))*25,IF($J178=3,INDEX('큐펫&amp;몹 정리(최신)'!P:P,MATCH($E178,'큐펫&amp;몹 정리(최신)'!$B:$B,0))*30,IF($J178=4,INDEX('큐펫&amp;몹 정리(최신)'!P:P,MATCH($E178,'큐펫&amp;몹 정리(최신)'!$B:$B,0))*35,INDEX('큐펫&amp;몹 정리(최신)'!P:P,MATCH($E178,'큐펫&amp;몹 정리(최신)'!$B:$B,0))*40))))</f>
        <v>925</v>
      </c>
      <c r="L178" s="190">
        <f>IF($J178=1,INDEX('큐펫&amp;몹 정리(최신)'!Q:Q,MATCH($E178,'큐펫&amp;몹 정리(최신)'!$B:$B,0))*20,IF($J178=2,INDEX('큐펫&amp;몹 정리(최신)'!Q:Q,MATCH($E178,'큐펫&amp;몹 정리(최신)'!$B:$B,0))*25,IF($J178=3,INDEX('큐펫&amp;몹 정리(최신)'!Q:Q,MATCH($E178,'큐펫&amp;몹 정리(최신)'!$B:$B,0))*30,IF($J178=4,INDEX('큐펫&amp;몹 정리(최신)'!Q:Q,MATCH($E178,'큐펫&amp;몹 정리(최신)'!$B:$B,0))*35,INDEX('큐펫&amp;몹 정리(최신)'!Q:Q,MATCH($E178,'큐펫&amp;몹 정리(최신)'!$B:$B,0))*40))))</f>
        <v>550</v>
      </c>
      <c r="M178" s="190">
        <f>IF($J178=1,INDEX('큐펫&amp;몹 정리(최신)'!R:R,MATCH($E178,'큐펫&amp;몹 정리(최신)'!$B:$B,0))*20,IF($J178=2,INDEX('큐펫&amp;몹 정리(최신)'!R:R,MATCH($E178,'큐펫&amp;몹 정리(최신)'!$B:$B,0))*25,IF($J178=3,INDEX('큐펫&amp;몹 정리(최신)'!R:R,MATCH($E178,'큐펫&amp;몹 정리(최신)'!$B:$B,0))*30,IF($J178=4,INDEX('큐펫&amp;몹 정리(최신)'!R:R,MATCH($E178,'큐펫&amp;몹 정리(최신)'!$B:$B,0))*35,INDEX('큐펫&amp;몹 정리(최신)'!R:R,MATCH($E178,'큐펫&amp;몹 정리(최신)'!$B:$B,0))*40))))</f>
        <v>100</v>
      </c>
      <c r="N178" s="190">
        <f>IF($J178=1,INDEX('큐펫&amp;몹 정리(최신)'!S:S,MATCH($E178,'큐펫&amp;몹 정리(최신)'!$B:$B,0))*20,IF($J178=2,INDEX('큐펫&amp;몹 정리(최신)'!S:S,MATCH($E178,'큐펫&amp;몹 정리(최신)'!$B:$B,0))*25,IF($J178=3,INDEX('큐펫&amp;몹 정리(최신)'!S:S,MATCH($E178,'큐펫&amp;몹 정리(최신)'!$B:$B,0))*30,IF($J178=4,INDEX('큐펫&amp;몹 정리(최신)'!S:S,MATCH($E178,'큐펫&amp;몹 정리(최신)'!$B:$B,0))*35,INDEX('큐펫&amp;몹 정리(최신)'!S:S,MATCH($E178,'큐펫&amp;몹 정리(최신)'!$B:$B,0))*40))))</f>
        <v>425</v>
      </c>
      <c r="O178" s="190">
        <f>IF($J178=1,INDEX('큐펫&amp;몹 정리(최신)'!T:T,MATCH($E178,'큐펫&amp;몹 정리(최신)'!$B:$B,0))*20,IF($J178=2,INDEX('큐펫&amp;몹 정리(최신)'!T:T,MATCH($E178,'큐펫&amp;몹 정리(최신)'!$B:$B,0))*25,IF($J178=3,INDEX('큐펫&amp;몹 정리(최신)'!T:T,MATCH($E178,'큐펫&amp;몹 정리(최신)'!$B:$B,0))*30,IF($J178=4,INDEX('큐펫&amp;몹 정리(최신)'!T:T,MATCH($E178,'큐펫&amp;몹 정리(최신)'!$B:$B,0))*35,INDEX('큐펫&amp;몹 정리(최신)'!T:T,MATCH($E178,'큐펫&amp;몹 정리(최신)'!$B:$B,0))*40))))</f>
        <v>500</v>
      </c>
      <c r="P178" s="217">
        <v>40</v>
      </c>
      <c r="Q178" s="217">
        <f t="shared" si="16"/>
        <v>59730</v>
      </c>
      <c r="R178" s="217">
        <f t="shared" si="17"/>
        <v>9822</v>
      </c>
      <c r="S178" s="217">
        <f t="shared" si="18"/>
        <v>6846</v>
      </c>
      <c r="T178" s="217">
        <f t="shared" si="19"/>
        <v>762</v>
      </c>
      <c r="U178" s="217">
        <f t="shared" si="20"/>
        <v>18925</v>
      </c>
      <c r="V178" s="217">
        <f t="shared" si="21"/>
        <v>11151</v>
      </c>
      <c r="W178" s="217">
        <f>ROUND(AC178+(INDEX(Ref!B$1:B$9,MATCH($AI178,Ref!$A$1:$A$9,0))*P178*0.0001),)</f>
        <v>42</v>
      </c>
      <c r="X178" s="217">
        <f>ROUND(AD178+(INDEX(Ref!C$1:C$9,MATCH($AI178,Ref!$A$1:$A$9,0))*$P178*0.0001),)</f>
        <v>32</v>
      </c>
      <c r="Y178" s="217">
        <f>ROUND(AE178+(INDEX(Ref!D$1:D$9,MATCH($AI178,Ref!$A$1:$A$9,0))*$P178*0.0001),)</f>
        <v>49</v>
      </c>
      <c r="Z178" s="217">
        <f>ROUND(AF178+(INDEX(Ref!E$1:E$9,MATCH($AI178,Ref!$A$1:$A$9,0))*$P178*0.0001),)</f>
        <v>26</v>
      </c>
      <c r="AA178" s="217">
        <f>ROUND(AG178+(INDEX(Ref!F$1:F$9,MATCH($AI178,Ref!$A$1:$A$9,0))*$P178*0.0001),)</f>
        <v>35</v>
      </c>
      <c r="AB178" s="217">
        <f>ROUND(AH178+(INDEX(Ref!G$1:G$9,MATCH($AI178,Ref!$A$1:$A$9,0))*$P178*0.0001),)</f>
        <v>40</v>
      </c>
      <c r="AC178" s="137">
        <v>34</v>
      </c>
      <c r="AD178" s="137">
        <v>26</v>
      </c>
      <c r="AE178" s="137">
        <v>43</v>
      </c>
      <c r="AF178" s="137">
        <v>21</v>
      </c>
      <c r="AG178" s="137">
        <v>28</v>
      </c>
      <c r="AH178" s="137">
        <v>32</v>
      </c>
      <c r="AI178" s="208">
        <v>7</v>
      </c>
      <c r="AJ178" s="172">
        <v>3000</v>
      </c>
      <c r="AK178" s="172">
        <v>30212</v>
      </c>
      <c r="AL178" s="172">
        <v>2000</v>
      </c>
      <c r="AM178" s="172">
        <v>30214</v>
      </c>
      <c r="AN178" s="172">
        <v>0</v>
      </c>
      <c r="AO178" s="172">
        <f t="shared" si="22"/>
        <v>34212</v>
      </c>
      <c r="AP178" s="172">
        <v>0</v>
      </c>
      <c r="AQ178" s="172">
        <f t="shared" si="23"/>
        <v>34214</v>
      </c>
      <c r="AR178" s="172">
        <v>1</v>
      </c>
      <c r="AS178" s="172">
        <v>0</v>
      </c>
      <c r="AT178" s="199">
        <v>78036</v>
      </c>
      <c r="AU178" s="195" t="s">
        <v>180</v>
      </c>
    </row>
    <row r="179" spans="1:47" x14ac:dyDescent="0.2">
      <c r="A179" s="173">
        <v>55036</v>
      </c>
      <c r="B179" s="174" t="s">
        <v>178</v>
      </c>
      <c r="C179" s="172">
        <v>86036</v>
      </c>
      <c r="D179" s="172">
        <v>150036</v>
      </c>
      <c r="E179" s="206" t="s">
        <v>179</v>
      </c>
      <c r="F179" s="207">
        <v>6</v>
      </c>
      <c r="G179" s="172">
        <v>8500</v>
      </c>
      <c r="H179" s="172">
        <v>8500</v>
      </c>
      <c r="I179" s="172">
        <v>10000</v>
      </c>
      <c r="J179" s="172">
        <v>3</v>
      </c>
      <c r="K179" s="190">
        <f>IF($J179=1,INDEX('큐펫&amp;몹 정리(최신)'!P:P,MATCH($E179,'큐펫&amp;몹 정리(최신)'!$B:$B,0))*20,IF($J179=2,INDEX('큐펫&amp;몹 정리(최신)'!P:P,MATCH($E179,'큐펫&amp;몹 정리(최신)'!$B:$B,0))*25,IF($J179=3,INDEX('큐펫&amp;몹 정리(최신)'!P:P,MATCH($E179,'큐펫&amp;몹 정리(최신)'!$B:$B,0))*30,IF($J179=4,INDEX('큐펫&amp;몹 정리(최신)'!P:P,MATCH($E179,'큐펫&amp;몹 정리(최신)'!$B:$B,0))*35,INDEX('큐펫&amp;몹 정리(최신)'!P:P,MATCH($E179,'큐펫&amp;몹 정리(최신)'!$B:$B,0))*40))))</f>
        <v>1110</v>
      </c>
      <c r="L179" s="190">
        <f>IF($J179=1,INDEX('큐펫&amp;몹 정리(최신)'!Q:Q,MATCH($E179,'큐펫&amp;몹 정리(최신)'!$B:$B,0))*20,IF($J179=2,INDEX('큐펫&amp;몹 정리(최신)'!Q:Q,MATCH($E179,'큐펫&amp;몹 정리(최신)'!$B:$B,0))*25,IF($J179=3,INDEX('큐펫&amp;몹 정리(최신)'!Q:Q,MATCH($E179,'큐펫&amp;몹 정리(최신)'!$B:$B,0))*30,IF($J179=4,INDEX('큐펫&amp;몹 정리(최신)'!Q:Q,MATCH($E179,'큐펫&amp;몹 정리(최신)'!$B:$B,0))*35,INDEX('큐펫&amp;몹 정리(최신)'!Q:Q,MATCH($E179,'큐펫&amp;몹 정리(최신)'!$B:$B,0))*40))))</f>
        <v>660</v>
      </c>
      <c r="M179" s="190">
        <f>IF($J179=1,INDEX('큐펫&amp;몹 정리(최신)'!R:R,MATCH($E179,'큐펫&amp;몹 정리(최신)'!$B:$B,0))*20,IF($J179=2,INDEX('큐펫&amp;몹 정리(최신)'!R:R,MATCH($E179,'큐펫&amp;몹 정리(최신)'!$B:$B,0))*25,IF($J179=3,INDEX('큐펫&amp;몹 정리(최신)'!R:R,MATCH($E179,'큐펫&amp;몹 정리(최신)'!$B:$B,0))*30,IF($J179=4,INDEX('큐펫&amp;몹 정리(최신)'!R:R,MATCH($E179,'큐펫&amp;몹 정리(최신)'!$B:$B,0))*35,INDEX('큐펫&amp;몹 정리(최신)'!R:R,MATCH($E179,'큐펫&amp;몹 정리(최신)'!$B:$B,0))*40))))</f>
        <v>120</v>
      </c>
      <c r="N179" s="190">
        <f>IF($J179=1,INDEX('큐펫&amp;몹 정리(최신)'!S:S,MATCH($E179,'큐펫&amp;몹 정리(최신)'!$B:$B,0))*20,IF($J179=2,INDEX('큐펫&amp;몹 정리(최신)'!S:S,MATCH($E179,'큐펫&amp;몹 정리(최신)'!$B:$B,0))*25,IF($J179=3,INDEX('큐펫&amp;몹 정리(최신)'!S:S,MATCH($E179,'큐펫&amp;몹 정리(최신)'!$B:$B,0))*30,IF($J179=4,INDEX('큐펫&amp;몹 정리(최신)'!S:S,MATCH($E179,'큐펫&amp;몹 정리(최신)'!$B:$B,0))*35,INDEX('큐펫&amp;몹 정리(최신)'!S:S,MATCH($E179,'큐펫&amp;몹 정리(최신)'!$B:$B,0))*40))))</f>
        <v>510</v>
      </c>
      <c r="O179" s="190">
        <f>IF($J179=1,INDEX('큐펫&amp;몹 정리(최신)'!T:T,MATCH($E179,'큐펫&amp;몹 정리(최신)'!$B:$B,0))*20,IF($J179=2,INDEX('큐펫&amp;몹 정리(최신)'!T:T,MATCH($E179,'큐펫&amp;몹 정리(최신)'!$B:$B,0))*25,IF($J179=3,INDEX('큐펫&amp;몹 정리(최신)'!T:T,MATCH($E179,'큐펫&amp;몹 정리(최신)'!$B:$B,0))*30,IF($J179=4,INDEX('큐펫&amp;몹 정리(최신)'!T:T,MATCH($E179,'큐펫&amp;몹 정리(최신)'!$B:$B,0))*35,INDEX('큐펫&amp;몹 정리(최신)'!T:T,MATCH($E179,'큐펫&amp;몹 정리(최신)'!$B:$B,0))*40))))</f>
        <v>600</v>
      </c>
      <c r="P179" s="217">
        <v>60</v>
      </c>
      <c r="Q179" s="217">
        <f t="shared" si="16"/>
        <v>108064</v>
      </c>
      <c r="R179" s="217">
        <f t="shared" si="17"/>
        <v>16649</v>
      </c>
      <c r="S179" s="217">
        <f t="shared" si="18"/>
        <v>11778</v>
      </c>
      <c r="T179" s="217">
        <f t="shared" si="19"/>
        <v>1262</v>
      </c>
      <c r="U179" s="217">
        <f t="shared" si="20"/>
        <v>29086</v>
      </c>
      <c r="V179" s="217">
        <f t="shared" si="21"/>
        <v>17131</v>
      </c>
      <c r="W179" s="217">
        <f>ROUND(AC179+(INDEX(Ref!B$1:B$9,MATCH($AI179,Ref!$A$1:$A$9,0))*P179*0.0001),)</f>
        <v>50</v>
      </c>
      <c r="X179" s="217">
        <f>ROUND(AD179+(INDEX(Ref!C$1:C$9,MATCH($AI179,Ref!$A$1:$A$9,0))*$P179*0.0001),)</f>
        <v>40</v>
      </c>
      <c r="Y179" s="217">
        <f>ROUND(AE179+(INDEX(Ref!D$1:D$9,MATCH($AI179,Ref!$A$1:$A$9,0))*$P179*0.0001),)</f>
        <v>54</v>
      </c>
      <c r="Z179" s="217">
        <f>ROUND(AF179+(INDEX(Ref!E$1:E$9,MATCH($AI179,Ref!$A$1:$A$9,0))*$P179*0.0001),)</f>
        <v>31</v>
      </c>
      <c r="AA179" s="217">
        <f>ROUND(AG179+(INDEX(Ref!F$1:F$9,MATCH($AI179,Ref!$A$1:$A$9,0))*$P179*0.0001),)</f>
        <v>42</v>
      </c>
      <c r="AB179" s="217">
        <f>ROUND(AH179+(INDEX(Ref!G$1:G$9,MATCH($AI179,Ref!$A$1:$A$9,0))*$P179*0.0001),)</f>
        <v>47</v>
      </c>
      <c r="AC179" s="137">
        <v>38</v>
      </c>
      <c r="AD179" s="137">
        <v>30</v>
      </c>
      <c r="AE179" s="137">
        <v>45</v>
      </c>
      <c r="AF179" s="137">
        <v>23</v>
      </c>
      <c r="AG179" s="137">
        <v>32</v>
      </c>
      <c r="AH179" s="137">
        <v>36</v>
      </c>
      <c r="AI179" s="208">
        <v>7</v>
      </c>
      <c r="AJ179" s="172">
        <v>3000</v>
      </c>
      <c r="AK179" s="172">
        <v>30212</v>
      </c>
      <c r="AL179" s="172">
        <v>2000</v>
      </c>
      <c r="AM179" s="172">
        <v>30215</v>
      </c>
      <c r="AN179" s="172">
        <v>0</v>
      </c>
      <c r="AO179" s="172">
        <f t="shared" si="22"/>
        <v>34212</v>
      </c>
      <c r="AP179" s="172">
        <v>0</v>
      </c>
      <c r="AQ179" s="172">
        <f t="shared" si="23"/>
        <v>34215</v>
      </c>
      <c r="AR179" s="172">
        <v>1</v>
      </c>
      <c r="AS179" s="172">
        <v>0</v>
      </c>
      <c r="AT179" s="199">
        <v>78036</v>
      </c>
      <c r="AU179" s="195" t="s">
        <v>180</v>
      </c>
    </row>
    <row r="180" spans="1:47" x14ac:dyDescent="0.2">
      <c r="A180" s="173">
        <v>55036</v>
      </c>
      <c r="B180" s="174" t="s">
        <v>178</v>
      </c>
      <c r="C180" s="172">
        <v>86036</v>
      </c>
      <c r="D180" s="172">
        <v>150036</v>
      </c>
      <c r="E180" s="206" t="s">
        <v>179</v>
      </c>
      <c r="F180" s="207">
        <v>6</v>
      </c>
      <c r="G180" s="172">
        <v>8500</v>
      </c>
      <c r="H180" s="172">
        <v>8500</v>
      </c>
      <c r="I180" s="172">
        <v>10000</v>
      </c>
      <c r="J180" s="172">
        <v>4</v>
      </c>
      <c r="K180" s="190">
        <f>IF($J180=1,INDEX('큐펫&amp;몹 정리(최신)'!P:P,MATCH($E180,'큐펫&amp;몹 정리(최신)'!$B:$B,0))*20,IF($J180=2,INDEX('큐펫&amp;몹 정리(최신)'!P:P,MATCH($E180,'큐펫&amp;몹 정리(최신)'!$B:$B,0))*25,IF($J180=3,INDEX('큐펫&amp;몹 정리(최신)'!P:P,MATCH($E180,'큐펫&amp;몹 정리(최신)'!$B:$B,0))*30,IF($J180=4,INDEX('큐펫&amp;몹 정리(최신)'!P:P,MATCH($E180,'큐펫&amp;몹 정리(최신)'!$B:$B,0))*35,INDEX('큐펫&amp;몹 정리(최신)'!P:P,MATCH($E180,'큐펫&amp;몹 정리(최신)'!$B:$B,0))*40))))</f>
        <v>1295</v>
      </c>
      <c r="L180" s="190">
        <f>IF($J180=1,INDEX('큐펫&amp;몹 정리(최신)'!Q:Q,MATCH($E180,'큐펫&amp;몹 정리(최신)'!$B:$B,0))*20,IF($J180=2,INDEX('큐펫&amp;몹 정리(최신)'!Q:Q,MATCH($E180,'큐펫&amp;몹 정리(최신)'!$B:$B,0))*25,IF($J180=3,INDEX('큐펫&amp;몹 정리(최신)'!Q:Q,MATCH($E180,'큐펫&amp;몹 정리(최신)'!$B:$B,0))*30,IF($J180=4,INDEX('큐펫&amp;몹 정리(최신)'!Q:Q,MATCH($E180,'큐펫&amp;몹 정리(최신)'!$B:$B,0))*35,INDEX('큐펫&amp;몹 정리(최신)'!Q:Q,MATCH($E180,'큐펫&amp;몹 정리(최신)'!$B:$B,0))*40))))</f>
        <v>770</v>
      </c>
      <c r="M180" s="190">
        <f>IF($J180=1,INDEX('큐펫&amp;몹 정리(최신)'!R:R,MATCH($E180,'큐펫&amp;몹 정리(최신)'!$B:$B,0))*20,IF($J180=2,INDEX('큐펫&amp;몹 정리(최신)'!R:R,MATCH($E180,'큐펫&amp;몹 정리(최신)'!$B:$B,0))*25,IF($J180=3,INDEX('큐펫&amp;몹 정리(최신)'!R:R,MATCH($E180,'큐펫&amp;몹 정리(최신)'!$B:$B,0))*30,IF($J180=4,INDEX('큐펫&amp;몹 정리(최신)'!R:R,MATCH($E180,'큐펫&amp;몹 정리(최신)'!$B:$B,0))*35,INDEX('큐펫&amp;몹 정리(최신)'!R:R,MATCH($E180,'큐펫&amp;몹 정리(최신)'!$B:$B,0))*40))))</f>
        <v>140</v>
      </c>
      <c r="N180" s="190">
        <f>IF($J180=1,INDEX('큐펫&amp;몹 정리(최신)'!S:S,MATCH($E180,'큐펫&amp;몹 정리(최신)'!$B:$B,0))*20,IF($J180=2,INDEX('큐펫&amp;몹 정리(최신)'!S:S,MATCH($E180,'큐펫&amp;몹 정리(최신)'!$B:$B,0))*25,IF($J180=3,INDEX('큐펫&amp;몹 정리(최신)'!S:S,MATCH($E180,'큐펫&amp;몹 정리(최신)'!$B:$B,0))*30,IF($J180=4,INDEX('큐펫&amp;몹 정리(최신)'!S:S,MATCH($E180,'큐펫&amp;몹 정리(최신)'!$B:$B,0))*35,INDEX('큐펫&amp;몹 정리(최신)'!S:S,MATCH($E180,'큐펫&amp;몹 정리(최신)'!$B:$B,0))*40))))</f>
        <v>595</v>
      </c>
      <c r="O180" s="190">
        <f>IF($J180=1,INDEX('큐펫&amp;몹 정리(최신)'!T:T,MATCH($E180,'큐펫&amp;몹 정리(최신)'!$B:$B,0))*20,IF($J180=2,INDEX('큐펫&amp;몹 정리(최신)'!T:T,MATCH($E180,'큐펫&amp;몹 정리(최신)'!$B:$B,0))*25,IF($J180=3,INDEX('큐펫&amp;몹 정리(최신)'!T:T,MATCH($E180,'큐펫&amp;몹 정리(최신)'!$B:$B,0))*30,IF($J180=4,INDEX('큐펫&amp;몹 정리(최신)'!T:T,MATCH($E180,'큐펫&amp;몹 정리(최신)'!$B:$B,0))*35,INDEX('큐펫&amp;몹 정리(최신)'!T:T,MATCH($E180,'큐펫&amp;몹 정리(최신)'!$B:$B,0))*40))))</f>
        <v>700</v>
      </c>
      <c r="P180" s="217">
        <v>80</v>
      </c>
      <c r="Q180" s="217">
        <f t="shared" si="16"/>
        <v>173196</v>
      </c>
      <c r="R180" s="217">
        <f t="shared" si="17"/>
        <v>26081</v>
      </c>
      <c r="S180" s="217">
        <f t="shared" si="18"/>
        <v>18651</v>
      </c>
      <c r="T180" s="217">
        <f t="shared" si="19"/>
        <v>1946</v>
      </c>
      <c r="U180" s="217">
        <f t="shared" si="20"/>
        <v>41965</v>
      </c>
      <c r="V180" s="217">
        <f t="shared" si="21"/>
        <v>24711</v>
      </c>
      <c r="W180" s="217">
        <f>ROUND(AC180+(INDEX(Ref!B$1:B$9,MATCH($AI180,Ref!$A$1:$A$9,0))*P180*0.0001),)</f>
        <v>58</v>
      </c>
      <c r="X180" s="217">
        <f>ROUND(AD180+(INDEX(Ref!C$1:C$9,MATCH($AI180,Ref!$A$1:$A$9,0))*$P180*0.0001),)</f>
        <v>46</v>
      </c>
      <c r="Y180" s="217">
        <f>ROUND(AE180+(INDEX(Ref!D$1:D$9,MATCH($AI180,Ref!$A$1:$A$9,0))*$P180*0.0001),)</f>
        <v>61</v>
      </c>
      <c r="Z180" s="217">
        <f>ROUND(AF180+(INDEX(Ref!E$1:E$9,MATCH($AI180,Ref!$A$1:$A$9,0))*$P180*0.0001),)</f>
        <v>36</v>
      </c>
      <c r="AA180" s="217">
        <f>ROUND(AG180+(INDEX(Ref!F$1:F$9,MATCH($AI180,Ref!$A$1:$A$9,0))*$P180*0.0001),)</f>
        <v>49</v>
      </c>
      <c r="AB180" s="217">
        <f>ROUND(AH180+(INDEX(Ref!G$1:G$9,MATCH($AI180,Ref!$A$1:$A$9,0))*$P180*0.0001),)</f>
        <v>54</v>
      </c>
      <c r="AC180" s="137">
        <v>42</v>
      </c>
      <c r="AD180" s="137">
        <v>33</v>
      </c>
      <c r="AE180" s="137">
        <v>49</v>
      </c>
      <c r="AF180" s="137">
        <v>26</v>
      </c>
      <c r="AG180" s="137">
        <v>35</v>
      </c>
      <c r="AH180" s="137">
        <v>39</v>
      </c>
      <c r="AI180" s="208">
        <v>7</v>
      </c>
      <c r="AJ180" s="172">
        <v>3000</v>
      </c>
      <c r="AK180" s="172">
        <v>30213</v>
      </c>
      <c r="AL180" s="172">
        <v>2000</v>
      </c>
      <c r="AM180" s="172">
        <v>30215</v>
      </c>
      <c r="AN180" s="172">
        <v>0</v>
      </c>
      <c r="AO180" s="172">
        <f t="shared" si="22"/>
        <v>34213</v>
      </c>
      <c r="AP180" s="172">
        <v>0</v>
      </c>
      <c r="AQ180" s="172">
        <f t="shared" si="23"/>
        <v>34215</v>
      </c>
      <c r="AR180" s="172">
        <v>1</v>
      </c>
      <c r="AS180" s="172">
        <v>0</v>
      </c>
      <c r="AT180" s="199">
        <v>78036</v>
      </c>
      <c r="AU180" s="195" t="s">
        <v>180</v>
      </c>
    </row>
    <row r="181" spans="1:47" x14ac:dyDescent="0.2">
      <c r="A181" s="173">
        <v>55036</v>
      </c>
      <c r="B181" s="174" t="s">
        <v>178</v>
      </c>
      <c r="C181" s="172">
        <v>86036</v>
      </c>
      <c r="D181" s="172">
        <v>150036</v>
      </c>
      <c r="E181" s="206" t="s">
        <v>179</v>
      </c>
      <c r="F181" s="207">
        <v>6</v>
      </c>
      <c r="G181" s="172">
        <v>8500</v>
      </c>
      <c r="H181" s="172">
        <v>8500</v>
      </c>
      <c r="I181" s="172">
        <v>10000</v>
      </c>
      <c r="J181" s="172">
        <v>5</v>
      </c>
      <c r="K181" s="190">
        <f>IF($J181=1,INDEX('큐펫&amp;몹 정리(최신)'!P:P,MATCH($E181,'큐펫&amp;몹 정리(최신)'!$B:$B,0))*20,IF($J181=2,INDEX('큐펫&amp;몹 정리(최신)'!P:P,MATCH($E181,'큐펫&amp;몹 정리(최신)'!$B:$B,0))*25,IF($J181=3,INDEX('큐펫&amp;몹 정리(최신)'!P:P,MATCH($E181,'큐펫&amp;몹 정리(최신)'!$B:$B,0))*30,IF($J181=4,INDEX('큐펫&amp;몹 정리(최신)'!P:P,MATCH($E181,'큐펫&amp;몹 정리(최신)'!$B:$B,0))*35,INDEX('큐펫&amp;몹 정리(최신)'!P:P,MATCH($E181,'큐펫&amp;몹 정리(최신)'!$B:$B,0))*40))))</f>
        <v>1480</v>
      </c>
      <c r="L181" s="190">
        <f>IF($J181=1,INDEX('큐펫&amp;몹 정리(최신)'!Q:Q,MATCH($E181,'큐펫&amp;몹 정리(최신)'!$B:$B,0))*20,IF($J181=2,INDEX('큐펫&amp;몹 정리(최신)'!Q:Q,MATCH($E181,'큐펫&amp;몹 정리(최신)'!$B:$B,0))*25,IF($J181=3,INDEX('큐펫&amp;몹 정리(최신)'!Q:Q,MATCH($E181,'큐펫&amp;몹 정리(최신)'!$B:$B,0))*30,IF($J181=4,INDEX('큐펫&amp;몹 정리(최신)'!Q:Q,MATCH($E181,'큐펫&amp;몹 정리(최신)'!$B:$B,0))*35,INDEX('큐펫&amp;몹 정리(최신)'!Q:Q,MATCH($E181,'큐펫&amp;몹 정리(최신)'!$B:$B,0))*40))))</f>
        <v>880</v>
      </c>
      <c r="M181" s="190">
        <f>IF($J181=1,INDEX('큐펫&amp;몹 정리(최신)'!R:R,MATCH($E181,'큐펫&amp;몹 정리(최신)'!$B:$B,0))*20,IF($J181=2,INDEX('큐펫&amp;몹 정리(최신)'!R:R,MATCH($E181,'큐펫&amp;몹 정리(최신)'!$B:$B,0))*25,IF($J181=3,INDEX('큐펫&amp;몹 정리(최신)'!R:R,MATCH($E181,'큐펫&amp;몹 정리(최신)'!$B:$B,0))*30,IF($J181=4,INDEX('큐펫&amp;몹 정리(최신)'!R:R,MATCH($E181,'큐펫&amp;몹 정리(최신)'!$B:$B,0))*35,INDEX('큐펫&amp;몹 정리(최신)'!R:R,MATCH($E181,'큐펫&amp;몹 정리(최신)'!$B:$B,0))*40))))</f>
        <v>160</v>
      </c>
      <c r="N181" s="190">
        <f>IF($J181=1,INDEX('큐펫&amp;몹 정리(최신)'!S:S,MATCH($E181,'큐펫&amp;몹 정리(최신)'!$B:$B,0))*20,IF($J181=2,INDEX('큐펫&amp;몹 정리(최신)'!S:S,MATCH($E181,'큐펫&amp;몹 정리(최신)'!$B:$B,0))*25,IF($J181=3,INDEX('큐펫&amp;몹 정리(최신)'!S:S,MATCH($E181,'큐펫&amp;몹 정리(최신)'!$B:$B,0))*30,IF($J181=4,INDEX('큐펫&amp;몹 정리(최신)'!S:S,MATCH($E181,'큐펫&amp;몹 정리(최신)'!$B:$B,0))*35,INDEX('큐펫&amp;몹 정리(최신)'!S:S,MATCH($E181,'큐펫&amp;몹 정리(최신)'!$B:$B,0))*40))))</f>
        <v>680</v>
      </c>
      <c r="O181" s="190">
        <f>IF($J181=1,INDEX('큐펫&amp;몹 정리(최신)'!T:T,MATCH($E181,'큐펫&amp;몹 정리(최신)'!$B:$B,0))*20,IF($J181=2,INDEX('큐펫&amp;몹 정리(최신)'!T:T,MATCH($E181,'큐펫&amp;몹 정리(최신)'!$B:$B,0))*25,IF($J181=3,INDEX('큐펫&amp;몹 정리(최신)'!T:T,MATCH($E181,'큐펫&amp;몹 정리(최신)'!$B:$B,0))*30,IF($J181=4,INDEX('큐펫&amp;몹 정리(최신)'!T:T,MATCH($E181,'큐펫&amp;몹 정리(최신)'!$B:$B,0))*35,INDEX('큐펫&amp;몹 정리(최신)'!T:T,MATCH($E181,'큐펫&amp;몹 정리(최신)'!$B:$B,0))*40))))</f>
        <v>800</v>
      </c>
      <c r="P181" s="217">
        <v>100</v>
      </c>
      <c r="Q181" s="217">
        <f t="shared" si="16"/>
        <v>254560</v>
      </c>
      <c r="R181" s="217">
        <f t="shared" si="17"/>
        <v>38540</v>
      </c>
      <c r="S181" s="217">
        <f t="shared" si="18"/>
        <v>26808</v>
      </c>
      <c r="T181" s="217">
        <f t="shared" si="19"/>
        <v>2978</v>
      </c>
      <c r="U181" s="217">
        <f t="shared" si="20"/>
        <v>56801</v>
      </c>
      <c r="V181" s="217">
        <f t="shared" si="21"/>
        <v>33442</v>
      </c>
      <c r="W181" s="217">
        <f>ROUND(AC181+(INDEX(Ref!B$1:B$9,MATCH($AI181,Ref!$A$1:$A$9,0))*P181*0.0001),)</f>
        <v>66</v>
      </c>
      <c r="X181" s="217">
        <f>ROUND(AD181+(INDEX(Ref!C$1:C$9,MATCH($AI181,Ref!$A$1:$A$9,0))*$P181*0.0001),)</f>
        <v>52</v>
      </c>
      <c r="Y181" s="217">
        <f>ROUND(AE181+(INDEX(Ref!D$1:D$9,MATCH($AI181,Ref!$A$1:$A$9,0))*$P181*0.0001),)</f>
        <v>67</v>
      </c>
      <c r="Z181" s="217">
        <f>ROUND(AF181+(INDEX(Ref!E$1:E$9,MATCH($AI181,Ref!$A$1:$A$9,0))*$P181*0.0001),)</f>
        <v>42</v>
      </c>
      <c r="AA181" s="217">
        <f>ROUND(AG181+(INDEX(Ref!F$1:F$9,MATCH($AI181,Ref!$A$1:$A$9,0))*$P181*0.0001),)</f>
        <v>55</v>
      </c>
      <c r="AB181" s="217">
        <f>ROUND(AH181+(INDEX(Ref!G$1:G$9,MATCH($AI181,Ref!$A$1:$A$9,0))*$P181*0.0001),)</f>
        <v>62</v>
      </c>
      <c r="AC181" s="137">
        <v>46</v>
      </c>
      <c r="AD181" s="137">
        <v>36</v>
      </c>
      <c r="AE181" s="137">
        <v>52</v>
      </c>
      <c r="AF181" s="137">
        <v>29</v>
      </c>
      <c r="AG181" s="137">
        <v>38</v>
      </c>
      <c r="AH181" s="137">
        <v>43</v>
      </c>
      <c r="AI181" s="208">
        <v>7</v>
      </c>
      <c r="AJ181" s="172">
        <v>3000</v>
      </c>
      <c r="AK181" s="172">
        <v>30213</v>
      </c>
      <c r="AL181" s="172">
        <v>2000</v>
      </c>
      <c r="AM181" s="172">
        <v>30216</v>
      </c>
      <c r="AN181" s="172">
        <v>0</v>
      </c>
      <c r="AO181" s="172">
        <f t="shared" si="22"/>
        <v>34213</v>
      </c>
      <c r="AP181" s="172">
        <v>0</v>
      </c>
      <c r="AQ181" s="172">
        <f t="shared" si="23"/>
        <v>34216</v>
      </c>
      <c r="AR181" s="172">
        <v>1</v>
      </c>
      <c r="AS181" s="172">
        <v>0</v>
      </c>
      <c r="AT181" s="199">
        <v>78036</v>
      </c>
      <c r="AU181" s="195" t="s">
        <v>180</v>
      </c>
    </row>
    <row r="182" spans="1:47" x14ac:dyDescent="0.2">
      <c r="A182" s="173">
        <v>55037</v>
      </c>
      <c r="B182" s="174" t="s">
        <v>181</v>
      </c>
      <c r="C182" s="172">
        <v>86037</v>
      </c>
      <c r="D182" s="172">
        <v>150037</v>
      </c>
      <c r="E182" s="206" t="s">
        <v>182</v>
      </c>
      <c r="F182" s="207">
        <v>3</v>
      </c>
      <c r="G182" s="172">
        <v>10000</v>
      </c>
      <c r="H182" s="172">
        <v>10000</v>
      </c>
      <c r="I182" s="172">
        <v>10000</v>
      </c>
      <c r="J182" s="172">
        <v>1</v>
      </c>
      <c r="K182" s="190">
        <f>IF($J182=1,INDEX('큐펫&amp;몹 정리(최신)'!P:P,MATCH($E182,'큐펫&amp;몹 정리(최신)'!$B:$B,0))*20,IF($J182=2,INDEX('큐펫&amp;몹 정리(최신)'!P:P,MATCH($E182,'큐펫&amp;몹 정리(최신)'!$B:$B,0))*25,IF($J182=3,INDEX('큐펫&amp;몹 정리(최신)'!P:P,MATCH($E182,'큐펫&amp;몹 정리(최신)'!$B:$B,0))*30,IF($J182=4,INDEX('큐펫&amp;몹 정리(최신)'!P:P,MATCH($E182,'큐펫&amp;몹 정리(최신)'!$B:$B,0))*35,INDEX('큐펫&amp;몹 정리(최신)'!P:P,MATCH($E182,'큐펫&amp;몹 정리(최신)'!$B:$B,0))*40))))</f>
        <v>740</v>
      </c>
      <c r="L182" s="190">
        <f>IF($J182=1,INDEX('큐펫&amp;몹 정리(최신)'!Q:Q,MATCH($E182,'큐펫&amp;몹 정리(최신)'!$B:$B,0))*20,IF($J182=2,INDEX('큐펫&amp;몹 정리(최신)'!Q:Q,MATCH($E182,'큐펫&amp;몹 정리(최신)'!$B:$B,0))*25,IF($J182=3,INDEX('큐펫&amp;몹 정리(최신)'!Q:Q,MATCH($E182,'큐펫&amp;몹 정리(최신)'!$B:$B,0))*30,IF($J182=4,INDEX('큐펫&amp;몹 정리(최신)'!Q:Q,MATCH($E182,'큐펫&amp;몹 정리(최신)'!$B:$B,0))*35,INDEX('큐펫&amp;몹 정리(최신)'!Q:Q,MATCH($E182,'큐펫&amp;몹 정리(최신)'!$B:$B,0))*40))))</f>
        <v>80</v>
      </c>
      <c r="M182" s="190">
        <f>IF($J182=1,INDEX('큐펫&amp;몹 정리(최신)'!R:R,MATCH($E182,'큐펫&amp;몹 정리(최신)'!$B:$B,0))*20,IF($J182=2,INDEX('큐펫&amp;몹 정리(최신)'!R:R,MATCH($E182,'큐펫&amp;몹 정리(최신)'!$B:$B,0))*25,IF($J182=3,INDEX('큐펫&amp;몹 정리(최신)'!R:R,MATCH($E182,'큐펫&amp;몹 정리(최신)'!$B:$B,0))*30,IF($J182=4,INDEX('큐펫&amp;몹 정리(최신)'!R:R,MATCH($E182,'큐펫&amp;몹 정리(최신)'!$B:$B,0))*35,INDEX('큐펫&amp;몹 정리(최신)'!R:R,MATCH($E182,'큐펫&amp;몹 정리(최신)'!$B:$B,0))*40))))</f>
        <v>440</v>
      </c>
      <c r="N182" s="190">
        <f>IF($J182=1,INDEX('큐펫&amp;몹 정리(최신)'!S:S,MATCH($E182,'큐펫&amp;몹 정리(최신)'!$B:$B,0))*20,IF($J182=2,INDEX('큐펫&amp;몹 정리(최신)'!S:S,MATCH($E182,'큐펫&amp;몹 정리(최신)'!$B:$B,0))*25,IF($J182=3,INDEX('큐펫&amp;몹 정리(최신)'!S:S,MATCH($E182,'큐펫&amp;몹 정리(최신)'!$B:$B,0))*30,IF($J182=4,INDEX('큐펫&amp;몹 정리(최신)'!S:S,MATCH($E182,'큐펫&amp;몹 정리(최신)'!$B:$B,0))*35,INDEX('큐펫&amp;몹 정리(최신)'!S:S,MATCH($E182,'큐펫&amp;몹 정리(최신)'!$B:$B,0))*40))))</f>
        <v>340</v>
      </c>
      <c r="O182" s="190">
        <f>IF($J182=1,INDEX('큐펫&amp;몹 정리(최신)'!T:T,MATCH($E182,'큐펫&amp;몹 정리(최신)'!$B:$B,0))*20,IF($J182=2,INDEX('큐펫&amp;몹 정리(최신)'!T:T,MATCH($E182,'큐펫&amp;몹 정리(최신)'!$B:$B,0))*25,IF($J182=3,INDEX('큐펫&amp;몹 정리(최신)'!T:T,MATCH($E182,'큐펫&amp;몹 정리(최신)'!$B:$B,0))*30,IF($J182=4,INDEX('큐펫&amp;몹 정리(최신)'!T:T,MATCH($E182,'큐펫&amp;몹 정리(최신)'!$B:$B,0))*35,INDEX('큐펫&amp;몹 정리(최신)'!T:T,MATCH($E182,'큐펫&amp;몹 정리(최신)'!$B:$B,0))*40))))</f>
        <v>400</v>
      </c>
      <c r="P182" s="217">
        <v>20</v>
      </c>
      <c r="Q182" s="217">
        <f t="shared" si="16"/>
        <v>27232</v>
      </c>
      <c r="R182" s="217">
        <f t="shared" si="17"/>
        <v>570</v>
      </c>
      <c r="S182" s="217">
        <f t="shared" si="18"/>
        <v>703</v>
      </c>
      <c r="T182" s="217">
        <f t="shared" si="19"/>
        <v>4587</v>
      </c>
      <c r="U182" s="217">
        <f t="shared" si="20"/>
        <v>13438</v>
      </c>
      <c r="V182" s="217">
        <f t="shared" si="21"/>
        <v>7932</v>
      </c>
      <c r="W182" s="217">
        <f>ROUND(AC182+(INDEX(Ref!B$1:B$9,MATCH($AI182,Ref!$A$1:$A$9,0))*P182*0.0001),)</f>
        <v>25</v>
      </c>
      <c r="X182" s="217">
        <f>ROUND(AD182+(INDEX(Ref!C$1:C$9,MATCH($AI182,Ref!$A$1:$A$9,0))*$P182*0.0001),)</f>
        <v>21</v>
      </c>
      <c r="Y182" s="217">
        <f>ROUND(AE182+(INDEX(Ref!D$1:D$9,MATCH($AI182,Ref!$A$1:$A$9,0))*$P182*0.0001),)</f>
        <v>59</v>
      </c>
      <c r="Z182" s="217">
        <f>ROUND(AF182+(INDEX(Ref!E$1:E$9,MATCH($AI182,Ref!$A$1:$A$9,0))*$P182*0.0001),)</f>
        <v>32</v>
      </c>
      <c r="AA182" s="217">
        <f>ROUND(AG182+(INDEX(Ref!F$1:F$9,MATCH($AI182,Ref!$A$1:$A$9,0))*$P182*0.0001),)</f>
        <v>28</v>
      </c>
      <c r="AB182" s="217">
        <f>ROUND(AH182+(INDEX(Ref!G$1:G$9,MATCH($AI182,Ref!$A$1:$A$9,0))*$P182*0.0001),)</f>
        <v>19</v>
      </c>
      <c r="AC182" s="137">
        <v>22</v>
      </c>
      <c r="AD182" s="137">
        <v>18</v>
      </c>
      <c r="AE182" s="137">
        <v>54</v>
      </c>
      <c r="AF182" s="137">
        <v>28</v>
      </c>
      <c r="AG182" s="137">
        <v>25</v>
      </c>
      <c r="AH182" s="137">
        <v>17</v>
      </c>
      <c r="AI182" s="208">
        <v>4</v>
      </c>
      <c r="AJ182" s="172">
        <v>3000</v>
      </c>
      <c r="AK182" s="172">
        <v>30217</v>
      </c>
      <c r="AL182" s="172">
        <v>2000</v>
      </c>
      <c r="AM182" s="172">
        <v>30220</v>
      </c>
      <c r="AN182" s="172">
        <v>0</v>
      </c>
      <c r="AO182" s="172">
        <f t="shared" si="22"/>
        <v>34217</v>
      </c>
      <c r="AP182" s="172">
        <v>0</v>
      </c>
      <c r="AQ182" s="172">
        <f t="shared" si="23"/>
        <v>34220</v>
      </c>
      <c r="AR182" s="172">
        <v>1</v>
      </c>
      <c r="AS182" s="172">
        <v>0</v>
      </c>
      <c r="AT182" s="199">
        <v>78037</v>
      </c>
      <c r="AU182" s="195" t="s">
        <v>183</v>
      </c>
    </row>
    <row r="183" spans="1:47" x14ac:dyDescent="0.2">
      <c r="A183" s="173">
        <v>55037</v>
      </c>
      <c r="B183" s="174" t="s">
        <v>181</v>
      </c>
      <c r="C183" s="172">
        <v>86037</v>
      </c>
      <c r="D183" s="172">
        <v>150037</v>
      </c>
      <c r="E183" s="206" t="s">
        <v>182</v>
      </c>
      <c r="F183" s="207">
        <v>3</v>
      </c>
      <c r="G183" s="172">
        <v>10000</v>
      </c>
      <c r="H183" s="172">
        <v>10000</v>
      </c>
      <c r="I183" s="172">
        <v>10000</v>
      </c>
      <c r="J183" s="172">
        <v>2</v>
      </c>
      <c r="K183" s="190">
        <f>IF($J183=1,INDEX('큐펫&amp;몹 정리(최신)'!P:P,MATCH($E183,'큐펫&amp;몹 정리(최신)'!$B:$B,0))*20,IF($J183=2,INDEX('큐펫&amp;몹 정리(최신)'!P:P,MATCH($E183,'큐펫&amp;몹 정리(최신)'!$B:$B,0))*25,IF($J183=3,INDEX('큐펫&amp;몹 정리(최신)'!P:P,MATCH($E183,'큐펫&amp;몹 정리(최신)'!$B:$B,0))*30,IF($J183=4,INDEX('큐펫&amp;몹 정리(최신)'!P:P,MATCH($E183,'큐펫&amp;몹 정리(최신)'!$B:$B,0))*35,INDEX('큐펫&amp;몹 정리(최신)'!P:P,MATCH($E183,'큐펫&amp;몹 정리(최신)'!$B:$B,0))*40))))</f>
        <v>925</v>
      </c>
      <c r="L183" s="190">
        <f>IF($J183=1,INDEX('큐펫&amp;몹 정리(최신)'!Q:Q,MATCH($E183,'큐펫&amp;몹 정리(최신)'!$B:$B,0))*20,IF($J183=2,INDEX('큐펫&amp;몹 정리(최신)'!Q:Q,MATCH($E183,'큐펫&amp;몹 정리(최신)'!$B:$B,0))*25,IF($J183=3,INDEX('큐펫&amp;몹 정리(최신)'!Q:Q,MATCH($E183,'큐펫&amp;몹 정리(최신)'!$B:$B,0))*30,IF($J183=4,INDEX('큐펫&amp;몹 정리(최신)'!Q:Q,MATCH($E183,'큐펫&amp;몹 정리(최신)'!$B:$B,0))*35,INDEX('큐펫&amp;몹 정리(최신)'!Q:Q,MATCH($E183,'큐펫&amp;몹 정리(최신)'!$B:$B,0))*40))))</f>
        <v>100</v>
      </c>
      <c r="M183" s="190">
        <f>IF($J183=1,INDEX('큐펫&amp;몹 정리(최신)'!R:R,MATCH($E183,'큐펫&amp;몹 정리(최신)'!$B:$B,0))*20,IF($J183=2,INDEX('큐펫&amp;몹 정리(최신)'!R:R,MATCH($E183,'큐펫&amp;몹 정리(최신)'!$B:$B,0))*25,IF($J183=3,INDEX('큐펫&amp;몹 정리(최신)'!R:R,MATCH($E183,'큐펫&amp;몹 정리(최신)'!$B:$B,0))*30,IF($J183=4,INDEX('큐펫&amp;몹 정리(최신)'!R:R,MATCH($E183,'큐펫&amp;몹 정리(최신)'!$B:$B,0))*35,INDEX('큐펫&amp;몹 정리(최신)'!R:R,MATCH($E183,'큐펫&amp;몹 정리(최신)'!$B:$B,0))*40))))</f>
        <v>550</v>
      </c>
      <c r="N183" s="190">
        <f>IF($J183=1,INDEX('큐펫&amp;몹 정리(최신)'!S:S,MATCH($E183,'큐펫&amp;몹 정리(최신)'!$B:$B,0))*20,IF($J183=2,INDEX('큐펫&amp;몹 정리(최신)'!S:S,MATCH($E183,'큐펫&amp;몹 정리(최신)'!$B:$B,0))*25,IF($J183=3,INDEX('큐펫&amp;몹 정리(최신)'!S:S,MATCH($E183,'큐펫&amp;몹 정리(최신)'!$B:$B,0))*30,IF($J183=4,INDEX('큐펫&amp;몹 정리(최신)'!S:S,MATCH($E183,'큐펫&amp;몹 정리(최신)'!$B:$B,0))*35,INDEX('큐펫&amp;몹 정리(최신)'!S:S,MATCH($E183,'큐펫&amp;몹 정리(최신)'!$B:$B,0))*40))))</f>
        <v>425</v>
      </c>
      <c r="O183" s="190">
        <f>IF($J183=1,INDEX('큐펫&amp;몹 정리(최신)'!T:T,MATCH($E183,'큐펫&amp;몹 정리(최신)'!$B:$B,0))*20,IF($J183=2,INDEX('큐펫&amp;몹 정리(최신)'!T:T,MATCH($E183,'큐펫&amp;몹 정리(최신)'!$B:$B,0))*25,IF($J183=3,INDEX('큐펫&amp;몹 정리(최신)'!T:T,MATCH($E183,'큐펫&amp;몹 정리(최신)'!$B:$B,0))*30,IF($J183=4,INDEX('큐펫&amp;몹 정리(최신)'!T:T,MATCH($E183,'큐펫&amp;몹 정리(최신)'!$B:$B,0))*35,INDEX('큐펫&amp;몹 정리(최신)'!T:T,MATCH($E183,'큐펫&amp;몹 정리(최신)'!$B:$B,0))*40))))</f>
        <v>500</v>
      </c>
      <c r="P183" s="217">
        <v>40</v>
      </c>
      <c r="Q183" s="217">
        <f t="shared" si="16"/>
        <v>67130</v>
      </c>
      <c r="R183" s="217">
        <f t="shared" si="17"/>
        <v>1056</v>
      </c>
      <c r="S183" s="217">
        <f t="shared" si="18"/>
        <v>1327</v>
      </c>
      <c r="T183" s="217">
        <f t="shared" si="19"/>
        <v>8910</v>
      </c>
      <c r="U183" s="217">
        <f t="shared" si="20"/>
        <v>23171</v>
      </c>
      <c r="V183" s="217">
        <f t="shared" si="21"/>
        <v>13665</v>
      </c>
      <c r="W183" s="217">
        <f>ROUND(AC183+(INDEX(Ref!B$1:B$9,MATCH($AI183,Ref!$A$1:$A$9,0))*P183*0.0001),)</f>
        <v>31</v>
      </c>
      <c r="X183" s="217">
        <f>ROUND(AD183+(INDEX(Ref!C$1:C$9,MATCH($AI183,Ref!$A$1:$A$9,0))*$P183*0.0001),)</f>
        <v>26</v>
      </c>
      <c r="Y183" s="217">
        <f>ROUND(AE183+(INDEX(Ref!D$1:D$9,MATCH($AI183,Ref!$A$1:$A$9,0))*$P183*0.0001),)</f>
        <v>69</v>
      </c>
      <c r="Z183" s="217">
        <f>ROUND(AF183+(INDEX(Ref!E$1:E$9,MATCH($AI183,Ref!$A$1:$A$9,0))*$P183*0.0001),)</f>
        <v>40</v>
      </c>
      <c r="AA183" s="217">
        <f>ROUND(AG183+(INDEX(Ref!F$1:F$9,MATCH($AI183,Ref!$A$1:$A$9,0))*$P183*0.0001),)</f>
        <v>35</v>
      </c>
      <c r="AB183" s="217">
        <f>ROUND(AH183+(INDEX(Ref!G$1:G$9,MATCH($AI183,Ref!$A$1:$A$9,0))*$P183*0.0001),)</f>
        <v>24</v>
      </c>
      <c r="AC183" s="137">
        <v>25</v>
      </c>
      <c r="AD183" s="137">
        <v>21</v>
      </c>
      <c r="AE183" s="137">
        <v>59</v>
      </c>
      <c r="AF183" s="137">
        <v>32</v>
      </c>
      <c r="AG183" s="137">
        <v>28</v>
      </c>
      <c r="AH183" s="137">
        <v>19</v>
      </c>
      <c r="AI183" s="208">
        <v>4</v>
      </c>
      <c r="AJ183" s="172">
        <v>3000</v>
      </c>
      <c r="AK183" s="172">
        <v>30218</v>
      </c>
      <c r="AL183" s="172">
        <v>2000</v>
      </c>
      <c r="AM183" s="172">
        <v>30220</v>
      </c>
      <c r="AN183" s="172">
        <v>0</v>
      </c>
      <c r="AO183" s="172">
        <f t="shared" si="22"/>
        <v>34218</v>
      </c>
      <c r="AP183" s="172">
        <v>0</v>
      </c>
      <c r="AQ183" s="172">
        <f t="shared" si="23"/>
        <v>34220</v>
      </c>
      <c r="AR183" s="172">
        <v>1</v>
      </c>
      <c r="AS183" s="172">
        <v>0</v>
      </c>
      <c r="AT183" s="199">
        <v>78037</v>
      </c>
      <c r="AU183" s="195" t="s">
        <v>183</v>
      </c>
    </row>
    <row r="184" spans="1:47" x14ac:dyDescent="0.2">
      <c r="A184" s="173">
        <v>55037</v>
      </c>
      <c r="B184" s="174" t="s">
        <v>181</v>
      </c>
      <c r="C184" s="172">
        <v>86037</v>
      </c>
      <c r="D184" s="172">
        <v>150037</v>
      </c>
      <c r="E184" s="206" t="s">
        <v>182</v>
      </c>
      <c r="F184" s="207">
        <v>3</v>
      </c>
      <c r="G184" s="172">
        <v>10000</v>
      </c>
      <c r="H184" s="172">
        <v>10000</v>
      </c>
      <c r="I184" s="172">
        <v>10000</v>
      </c>
      <c r="J184" s="172">
        <v>3</v>
      </c>
      <c r="K184" s="190">
        <f>IF($J184=1,INDEX('큐펫&amp;몹 정리(최신)'!P:P,MATCH($E184,'큐펫&amp;몹 정리(최신)'!$B:$B,0))*20,IF($J184=2,INDEX('큐펫&amp;몹 정리(최신)'!P:P,MATCH($E184,'큐펫&amp;몹 정리(최신)'!$B:$B,0))*25,IF($J184=3,INDEX('큐펫&amp;몹 정리(최신)'!P:P,MATCH($E184,'큐펫&amp;몹 정리(최신)'!$B:$B,0))*30,IF($J184=4,INDEX('큐펫&amp;몹 정리(최신)'!P:P,MATCH($E184,'큐펫&amp;몹 정리(최신)'!$B:$B,0))*35,INDEX('큐펫&amp;몹 정리(최신)'!P:P,MATCH($E184,'큐펫&amp;몹 정리(최신)'!$B:$B,0))*40))))</f>
        <v>1110</v>
      </c>
      <c r="L184" s="190">
        <f>IF($J184=1,INDEX('큐펫&amp;몹 정리(최신)'!Q:Q,MATCH($E184,'큐펫&amp;몹 정리(최신)'!$B:$B,0))*20,IF($J184=2,INDEX('큐펫&amp;몹 정리(최신)'!Q:Q,MATCH($E184,'큐펫&amp;몹 정리(최신)'!$B:$B,0))*25,IF($J184=3,INDEX('큐펫&amp;몹 정리(최신)'!Q:Q,MATCH($E184,'큐펫&amp;몹 정리(최신)'!$B:$B,0))*30,IF($J184=4,INDEX('큐펫&amp;몹 정리(최신)'!Q:Q,MATCH($E184,'큐펫&amp;몹 정리(최신)'!$B:$B,0))*35,INDEX('큐펫&amp;몹 정리(최신)'!Q:Q,MATCH($E184,'큐펫&amp;몹 정리(최신)'!$B:$B,0))*40))))</f>
        <v>120</v>
      </c>
      <c r="M184" s="190">
        <f>IF($J184=1,INDEX('큐펫&amp;몹 정리(최신)'!R:R,MATCH($E184,'큐펫&amp;몹 정리(최신)'!$B:$B,0))*20,IF($J184=2,INDEX('큐펫&amp;몹 정리(최신)'!R:R,MATCH($E184,'큐펫&amp;몹 정리(최신)'!$B:$B,0))*25,IF($J184=3,INDEX('큐펫&amp;몹 정리(최신)'!R:R,MATCH($E184,'큐펫&amp;몹 정리(최신)'!$B:$B,0))*30,IF($J184=4,INDEX('큐펫&amp;몹 정리(최신)'!R:R,MATCH($E184,'큐펫&amp;몹 정리(최신)'!$B:$B,0))*35,INDEX('큐펫&amp;몹 정리(최신)'!R:R,MATCH($E184,'큐펫&amp;몹 정리(최신)'!$B:$B,0))*40))))</f>
        <v>660</v>
      </c>
      <c r="N184" s="190">
        <f>IF($J184=1,INDEX('큐펫&amp;몹 정리(최신)'!S:S,MATCH($E184,'큐펫&amp;몹 정리(최신)'!$B:$B,0))*20,IF($J184=2,INDEX('큐펫&amp;몹 정리(최신)'!S:S,MATCH($E184,'큐펫&amp;몹 정리(최신)'!$B:$B,0))*25,IF($J184=3,INDEX('큐펫&amp;몹 정리(최신)'!S:S,MATCH($E184,'큐펫&amp;몹 정리(최신)'!$B:$B,0))*30,IF($J184=4,INDEX('큐펫&amp;몹 정리(최신)'!S:S,MATCH($E184,'큐펫&amp;몹 정리(최신)'!$B:$B,0))*35,INDEX('큐펫&amp;몹 정리(최신)'!S:S,MATCH($E184,'큐펫&amp;몹 정리(최신)'!$B:$B,0))*40))))</f>
        <v>510</v>
      </c>
      <c r="O184" s="190">
        <f>IF($J184=1,INDEX('큐펫&amp;몹 정리(최신)'!T:T,MATCH($E184,'큐펫&amp;몹 정리(최신)'!$B:$B,0))*20,IF($J184=2,INDEX('큐펫&amp;몹 정리(최신)'!T:T,MATCH($E184,'큐펫&amp;몹 정리(최신)'!$B:$B,0))*25,IF($J184=3,INDEX('큐펫&amp;몹 정리(최신)'!T:T,MATCH($E184,'큐펫&amp;몹 정리(최신)'!$B:$B,0))*30,IF($J184=4,INDEX('큐펫&amp;몹 정리(최신)'!T:T,MATCH($E184,'큐펫&amp;몹 정리(최신)'!$B:$B,0))*35,INDEX('큐펫&amp;몹 정리(최신)'!T:T,MATCH($E184,'큐펫&amp;몹 정리(최신)'!$B:$B,0))*40))))</f>
        <v>600</v>
      </c>
      <c r="P184" s="217">
        <v>60</v>
      </c>
      <c r="Q184" s="217">
        <f t="shared" si="16"/>
        <v>124048</v>
      </c>
      <c r="R184" s="217">
        <f t="shared" si="17"/>
        <v>1673</v>
      </c>
      <c r="S184" s="217">
        <f t="shared" si="18"/>
        <v>2245</v>
      </c>
      <c r="T184" s="217">
        <f t="shared" si="19"/>
        <v>15344</v>
      </c>
      <c r="U184" s="217">
        <f t="shared" si="20"/>
        <v>35202</v>
      </c>
      <c r="V184" s="217">
        <f t="shared" si="21"/>
        <v>20748</v>
      </c>
      <c r="W184" s="217">
        <f>ROUND(AC184+(INDEX(Ref!B$1:B$9,MATCH($AI184,Ref!$A$1:$A$9,0))*P184*0.0001),)</f>
        <v>36</v>
      </c>
      <c r="X184" s="217">
        <f>ROUND(AD184+(INDEX(Ref!C$1:C$9,MATCH($AI184,Ref!$A$1:$A$9,0))*$P184*0.0001),)</f>
        <v>31</v>
      </c>
      <c r="Y184" s="217">
        <f>ROUND(AE184+(INDEX(Ref!D$1:D$9,MATCH($AI184,Ref!$A$1:$A$9,0))*$P184*0.0001),)</f>
        <v>78</v>
      </c>
      <c r="Z184" s="217">
        <f>ROUND(AF184+(INDEX(Ref!E$1:E$9,MATCH($AI184,Ref!$A$1:$A$9,0))*$P184*0.0001),)</f>
        <v>48</v>
      </c>
      <c r="AA184" s="217">
        <f>ROUND(AG184+(INDEX(Ref!F$1:F$9,MATCH($AI184,Ref!$A$1:$A$9,0))*$P184*0.0001),)</f>
        <v>42</v>
      </c>
      <c r="AB184" s="217">
        <f>ROUND(AH184+(INDEX(Ref!G$1:G$9,MATCH($AI184,Ref!$A$1:$A$9,0))*$P184*0.0001),)</f>
        <v>28</v>
      </c>
      <c r="AC184" s="137">
        <v>27</v>
      </c>
      <c r="AD184" s="137">
        <v>23</v>
      </c>
      <c r="AE184" s="137">
        <v>64</v>
      </c>
      <c r="AF184" s="137">
        <v>37</v>
      </c>
      <c r="AG184" s="137">
        <v>32</v>
      </c>
      <c r="AH184" s="137">
        <v>21</v>
      </c>
      <c r="AI184" s="208">
        <v>4</v>
      </c>
      <c r="AJ184" s="172">
        <v>3000</v>
      </c>
      <c r="AK184" s="172">
        <v>30218</v>
      </c>
      <c r="AL184" s="172">
        <v>2000</v>
      </c>
      <c r="AM184" s="172">
        <v>30221</v>
      </c>
      <c r="AN184" s="172">
        <v>0</v>
      </c>
      <c r="AO184" s="172">
        <f t="shared" si="22"/>
        <v>34218</v>
      </c>
      <c r="AP184" s="172">
        <v>0</v>
      </c>
      <c r="AQ184" s="172">
        <f t="shared" si="23"/>
        <v>34221</v>
      </c>
      <c r="AR184" s="172">
        <v>1</v>
      </c>
      <c r="AS184" s="172">
        <v>0</v>
      </c>
      <c r="AT184" s="199">
        <v>78037</v>
      </c>
      <c r="AU184" s="195" t="s">
        <v>183</v>
      </c>
    </row>
    <row r="185" spans="1:47" x14ac:dyDescent="0.2">
      <c r="A185" s="173">
        <v>55037</v>
      </c>
      <c r="B185" s="174" t="s">
        <v>181</v>
      </c>
      <c r="C185" s="172">
        <v>86037</v>
      </c>
      <c r="D185" s="172">
        <v>150037</v>
      </c>
      <c r="E185" s="206" t="s">
        <v>182</v>
      </c>
      <c r="F185" s="207">
        <v>3</v>
      </c>
      <c r="G185" s="172">
        <v>10000</v>
      </c>
      <c r="H185" s="172">
        <v>10000</v>
      </c>
      <c r="I185" s="172">
        <v>10000</v>
      </c>
      <c r="J185" s="172">
        <v>4</v>
      </c>
      <c r="K185" s="190">
        <f>IF($J185=1,INDEX('큐펫&amp;몹 정리(최신)'!P:P,MATCH($E185,'큐펫&amp;몹 정리(최신)'!$B:$B,0))*20,IF($J185=2,INDEX('큐펫&amp;몹 정리(최신)'!P:P,MATCH($E185,'큐펫&amp;몹 정리(최신)'!$B:$B,0))*25,IF($J185=3,INDEX('큐펫&amp;몹 정리(최신)'!P:P,MATCH($E185,'큐펫&amp;몹 정리(최신)'!$B:$B,0))*30,IF($J185=4,INDEX('큐펫&amp;몹 정리(최신)'!P:P,MATCH($E185,'큐펫&amp;몹 정리(최신)'!$B:$B,0))*35,INDEX('큐펫&amp;몹 정리(최신)'!P:P,MATCH($E185,'큐펫&amp;몹 정리(최신)'!$B:$B,0))*40))))</f>
        <v>1295</v>
      </c>
      <c r="L185" s="190">
        <f>IF($J185=1,INDEX('큐펫&amp;몹 정리(최신)'!Q:Q,MATCH($E185,'큐펫&amp;몹 정리(최신)'!$B:$B,0))*20,IF($J185=2,INDEX('큐펫&amp;몹 정리(최신)'!Q:Q,MATCH($E185,'큐펫&amp;몹 정리(최신)'!$B:$B,0))*25,IF($J185=3,INDEX('큐펫&amp;몹 정리(최신)'!Q:Q,MATCH($E185,'큐펫&amp;몹 정리(최신)'!$B:$B,0))*30,IF($J185=4,INDEX('큐펫&amp;몹 정리(최신)'!Q:Q,MATCH($E185,'큐펫&amp;몹 정리(최신)'!$B:$B,0))*35,INDEX('큐펫&amp;몹 정리(최신)'!Q:Q,MATCH($E185,'큐펫&amp;몹 정리(최신)'!$B:$B,0))*40))))</f>
        <v>140</v>
      </c>
      <c r="M185" s="190">
        <f>IF($J185=1,INDEX('큐펫&amp;몹 정리(최신)'!R:R,MATCH($E185,'큐펫&amp;몹 정리(최신)'!$B:$B,0))*20,IF($J185=2,INDEX('큐펫&amp;몹 정리(최신)'!R:R,MATCH($E185,'큐펫&amp;몹 정리(최신)'!$B:$B,0))*25,IF($J185=3,INDEX('큐펫&amp;몹 정리(최신)'!R:R,MATCH($E185,'큐펫&amp;몹 정리(최신)'!$B:$B,0))*30,IF($J185=4,INDEX('큐펫&amp;몹 정리(최신)'!R:R,MATCH($E185,'큐펫&amp;몹 정리(최신)'!$B:$B,0))*35,INDEX('큐펫&amp;몹 정리(최신)'!R:R,MATCH($E185,'큐펫&amp;몹 정리(최신)'!$B:$B,0))*40))))</f>
        <v>770</v>
      </c>
      <c r="N185" s="190">
        <f>IF($J185=1,INDEX('큐펫&amp;몹 정리(최신)'!S:S,MATCH($E185,'큐펫&amp;몹 정리(최신)'!$B:$B,0))*20,IF($J185=2,INDEX('큐펫&amp;몹 정리(최신)'!S:S,MATCH($E185,'큐펫&amp;몹 정리(최신)'!$B:$B,0))*25,IF($J185=3,INDEX('큐펫&amp;몹 정리(최신)'!S:S,MATCH($E185,'큐펫&amp;몹 정리(최신)'!$B:$B,0))*30,IF($J185=4,INDEX('큐펫&amp;몹 정리(최신)'!S:S,MATCH($E185,'큐펫&amp;몹 정리(최신)'!$B:$B,0))*35,INDEX('큐펫&amp;몹 정리(최신)'!S:S,MATCH($E185,'큐펫&amp;몹 정리(최신)'!$B:$B,0))*40))))</f>
        <v>595</v>
      </c>
      <c r="O185" s="190">
        <f>IF($J185=1,INDEX('큐펫&amp;몹 정리(최신)'!T:T,MATCH($E185,'큐펫&amp;몹 정리(최신)'!$B:$B,0))*20,IF($J185=2,INDEX('큐펫&amp;몹 정리(최신)'!T:T,MATCH($E185,'큐펫&amp;몹 정리(최신)'!$B:$B,0))*25,IF($J185=3,INDEX('큐펫&amp;몹 정리(최신)'!T:T,MATCH($E185,'큐펫&amp;몹 정리(최신)'!$B:$B,0))*30,IF($J185=4,INDEX('큐펫&amp;몹 정리(최신)'!T:T,MATCH($E185,'큐펫&amp;몹 정리(최신)'!$B:$B,0))*35,INDEX('큐펫&amp;몹 정리(최신)'!T:T,MATCH($E185,'큐펫&amp;몹 정리(최신)'!$B:$B,0))*40))))</f>
        <v>700</v>
      </c>
      <c r="P185" s="217">
        <v>80</v>
      </c>
      <c r="Q185" s="217">
        <f t="shared" si="16"/>
        <v>201168</v>
      </c>
      <c r="R185" s="217">
        <f t="shared" si="17"/>
        <v>2733</v>
      </c>
      <c r="S185" s="217">
        <f t="shared" si="18"/>
        <v>3516</v>
      </c>
      <c r="T185" s="217">
        <f t="shared" si="19"/>
        <v>22615</v>
      </c>
      <c r="U185" s="217">
        <f t="shared" si="20"/>
        <v>49993</v>
      </c>
      <c r="V185" s="217">
        <f t="shared" si="21"/>
        <v>29454</v>
      </c>
      <c r="W185" s="217">
        <f>ROUND(AC185+(INDEX(Ref!B$1:B$9,MATCH($AI185,Ref!$A$1:$A$9,0))*P185*0.0001),)</f>
        <v>43</v>
      </c>
      <c r="X185" s="217">
        <f>ROUND(AD185+(INDEX(Ref!C$1:C$9,MATCH($AI185,Ref!$A$1:$A$9,0))*$P185*0.0001),)</f>
        <v>36</v>
      </c>
      <c r="Y185" s="217">
        <f>ROUND(AE185+(INDEX(Ref!D$1:D$9,MATCH($AI185,Ref!$A$1:$A$9,0))*$P185*0.0001),)</f>
        <v>88</v>
      </c>
      <c r="Z185" s="217">
        <f>ROUND(AF185+(INDEX(Ref!E$1:E$9,MATCH($AI185,Ref!$A$1:$A$9,0))*$P185*0.0001),)</f>
        <v>54</v>
      </c>
      <c r="AA185" s="217">
        <f>ROUND(AG185+(INDEX(Ref!F$1:F$9,MATCH($AI185,Ref!$A$1:$A$9,0))*$P185*0.0001),)</f>
        <v>49</v>
      </c>
      <c r="AB185" s="217">
        <f>ROUND(AH185+(INDEX(Ref!G$1:G$9,MATCH($AI185,Ref!$A$1:$A$9,0))*$P185*0.0001),)</f>
        <v>34</v>
      </c>
      <c r="AC185" s="137">
        <v>31</v>
      </c>
      <c r="AD185" s="137">
        <v>26</v>
      </c>
      <c r="AE185" s="137">
        <v>69</v>
      </c>
      <c r="AF185" s="137">
        <v>39</v>
      </c>
      <c r="AG185" s="137">
        <v>35</v>
      </c>
      <c r="AH185" s="137">
        <v>24</v>
      </c>
      <c r="AI185" s="208">
        <v>4</v>
      </c>
      <c r="AJ185" s="172">
        <v>3000</v>
      </c>
      <c r="AK185" s="172">
        <v>30219</v>
      </c>
      <c r="AL185" s="172">
        <v>2000</v>
      </c>
      <c r="AM185" s="172">
        <v>30221</v>
      </c>
      <c r="AN185" s="172">
        <v>0</v>
      </c>
      <c r="AO185" s="172">
        <f t="shared" si="22"/>
        <v>34219</v>
      </c>
      <c r="AP185" s="172">
        <v>0</v>
      </c>
      <c r="AQ185" s="172">
        <f t="shared" si="23"/>
        <v>34221</v>
      </c>
      <c r="AR185" s="172">
        <v>1</v>
      </c>
      <c r="AS185" s="172">
        <v>0</v>
      </c>
      <c r="AT185" s="199">
        <v>78037</v>
      </c>
      <c r="AU185" s="195" t="s">
        <v>183</v>
      </c>
    </row>
    <row r="186" spans="1:47" x14ac:dyDescent="0.2">
      <c r="A186" s="173">
        <v>55037</v>
      </c>
      <c r="B186" s="174" t="s">
        <v>181</v>
      </c>
      <c r="C186" s="172">
        <v>86037</v>
      </c>
      <c r="D186" s="172">
        <v>150037</v>
      </c>
      <c r="E186" s="206" t="s">
        <v>182</v>
      </c>
      <c r="F186" s="207">
        <v>3</v>
      </c>
      <c r="G186" s="172">
        <v>10000</v>
      </c>
      <c r="H186" s="172">
        <v>10000</v>
      </c>
      <c r="I186" s="172">
        <v>10000</v>
      </c>
      <c r="J186" s="172">
        <v>5</v>
      </c>
      <c r="K186" s="190">
        <f>IF($J186=1,INDEX('큐펫&amp;몹 정리(최신)'!P:P,MATCH($E186,'큐펫&amp;몹 정리(최신)'!$B:$B,0))*20,IF($J186=2,INDEX('큐펫&amp;몹 정리(최신)'!P:P,MATCH($E186,'큐펫&amp;몹 정리(최신)'!$B:$B,0))*25,IF($J186=3,INDEX('큐펫&amp;몹 정리(최신)'!P:P,MATCH($E186,'큐펫&amp;몹 정리(최신)'!$B:$B,0))*30,IF($J186=4,INDEX('큐펫&amp;몹 정리(최신)'!P:P,MATCH($E186,'큐펫&amp;몹 정리(최신)'!$B:$B,0))*35,INDEX('큐펫&amp;몹 정리(최신)'!P:P,MATCH($E186,'큐펫&amp;몹 정리(최신)'!$B:$B,0))*40))))</f>
        <v>1480</v>
      </c>
      <c r="L186" s="190">
        <f>IF($J186=1,INDEX('큐펫&amp;몹 정리(최신)'!Q:Q,MATCH($E186,'큐펫&amp;몹 정리(최신)'!$B:$B,0))*20,IF($J186=2,INDEX('큐펫&amp;몹 정리(최신)'!Q:Q,MATCH($E186,'큐펫&amp;몹 정리(최신)'!$B:$B,0))*25,IF($J186=3,INDEX('큐펫&amp;몹 정리(최신)'!Q:Q,MATCH($E186,'큐펫&amp;몹 정리(최신)'!$B:$B,0))*30,IF($J186=4,INDEX('큐펫&amp;몹 정리(최신)'!Q:Q,MATCH($E186,'큐펫&amp;몹 정리(최신)'!$B:$B,0))*35,INDEX('큐펫&amp;몹 정리(최신)'!Q:Q,MATCH($E186,'큐펫&amp;몹 정리(최신)'!$B:$B,0))*40))))</f>
        <v>160</v>
      </c>
      <c r="M186" s="190">
        <f>IF($J186=1,INDEX('큐펫&amp;몹 정리(최신)'!R:R,MATCH($E186,'큐펫&amp;몹 정리(최신)'!$B:$B,0))*20,IF($J186=2,INDEX('큐펫&amp;몹 정리(최신)'!R:R,MATCH($E186,'큐펫&amp;몹 정리(최신)'!$B:$B,0))*25,IF($J186=3,INDEX('큐펫&amp;몹 정리(최신)'!R:R,MATCH($E186,'큐펫&amp;몹 정리(최신)'!$B:$B,0))*30,IF($J186=4,INDEX('큐펫&amp;몹 정리(최신)'!R:R,MATCH($E186,'큐펫&amp;몹 정리(최신)'!$B:$B,0))*35,INDEX('큐펫&amp;몹 정리(최신)'!R:R,MATCH($E186,'큐펫&amp;몹 정리(최신)'!$B:$B,0))*40))))</f>
        <v>880</v>
      </c>
      <c r="N186" s="190">
        <f>IF($J186=1,INDEX('큐펫&amp;몹 정리(최신)'!S:S,MATCH($E186,'큐펫&amp;몹 정리(최신)'!$B:$B,0))*20,IF($J186=2,INDEX('큐펫&amp;몹 정리(최신)'!S:S,MATCH($E186,'큐펫&amp;몹 정리(최신)'!$B:$B,0))*25,IF($J186=3,INDEX('큐펫&amp;몹 정리(최신)'!S:S,MATCH($E186,'큐펫&amp;몹 정리(최신)'!$B:$B,0))*30,IF($J186=4,INDEX('큐펫&amp;몹 정리(최신)'!S:S,MATCH($E186,'큐펫&amp;몹 정리(최신)'!$B:$B,0))*35,INDEX('큐펫&amp;몹 정리(최신)'!S:S,MATCH($E186,'큐펫&amp;몹 정리(최신)'!$B:$B,0))*40))))</f>
        <v>680</v>
      </c>
      <c r="O186" s="190">
        <f>IF($J186=1,INDEX('큐펫&amp;몹 정리(최신)'!T:T,MATCH($E186,'큐펫&amp;몹 정리(최신)'!$B:$B,0))*20,IF($J186=2,INDEX('큐펫&amp;몹 정리(최신)'!T:T,MATCH($E186,'큐펫&amp;몹 정리(최신)'!$B:$B,0))*25,IF($J186=3,INDEX('큐펫&amp;몹 정리(최신)'!T:T,MATCH($E186,'큐펫&amp;몹 정리(최신)'!$B:$B,0))*30,IF($J186=4,INDEX('큐펫&amp;몹 정리(최신)'!T:T,MATCH($E186,'큐펫&amp;몹 정리(최신)'!$B:$B,0))*35,INDEX('큐펫&amp;몹 정리(최신)'!T:T,MATCH($E186,'큐펫&amp;몹 정리(최신)'!$B:$B,0))*40))))</f>
        <v>800</v>
      </c>
      <c r="P186" s="217">
        <v>100</v>
      </c>
      <c r="Q186" s="217">
        <f t="shared" si="16"/>
        <v>300440</v>
      </c>
      <c r="R186" s="217">
        <f t="shared" si="17"/>
        <v>4010</v>
      </c>
      <c r="S186" s="217">
        <f t="shared" si="18"/>
        <v>5019</v>
      </c>
      <c r="T186" s="217">
        <f t="shared" si="19"/>
        <v>34017</v>
      </c>
      <c r="U186" s="217">
        <f t="shared" si="20"/>
        <v>67336</v>
      </c>
      <c r="V186" s="217">
        <f t="shared" si="21"/>
        <v>39662</v>
      </c>
      <c r="W186" s="217">
        <f>ROUND(AC186+(INDEX(Ref!B$1:B$9,MATCH($AI186,Ref!$A$1:$A$9,0))*P186*0.0001),)</f>
        <v>49</v>
      </c>
      <c r="X186" s="217">
        <f>ROUND(AD186+(INDEX(Ref!C$1:C$9,MATCH($AI186,Ref!$A$1:$A$9,0))*$P186*0.0001),)</f>
        <v>42</v>
      </c>
      <c r="Y186" s="217">
        <f>ROUND(AE186+(INDEX(Ref!D$1:D$9,MATCH($AI186,Ref!$A$1:$A$9,0))*$P186*0.0001),)</f>
        <v>98</v>
      </c>
      <c r="Z186" s="217">
        <f>ROUND(AF186+(INDEX(Ref!E$1:E$9,MATCH($AI186,Ref!$A$1:$A$9,0))*$P186*0.0001),)</f>
        <v>62</v>
      </c>
      <c r="AA186" s="217">
        <f>ROUND(AG186+(INDEX(Ref!F$1:F$9,MATCH($AI186,Ref!$A$1:$A$9,0))*$P186*0.0001),)</f>
        <v>55</v>
      </c>
      <c r="AB186" s="217">
        <f>ROUND(AH186+(INDEX(Ref!G$1:G$9,MATCH($AI186,Ref!$A$1:$A$9,0))*$P186*0.0001),)</f>
        <v>38</v>
      </c>
      <c r="AC186" s="137">
        <v>34</v>
      </c>
      <c r="AD186" s="137">
        <v>29</v>
      </c>
      <c r="AE186" s="137">
        <v>74</v>
      </c>
      <c r="AF186" s="137">
        <v>43</v>
      </c>
      <c r="AG186" s="137">
        <v>38</v>
      </c>
      <c r="AH186" s="137">
        <v>26</v>
      </c>
      <c r="AI186" s="208">
        <v>4</v>
      </c>
      <c r="AJ186" s="172">
        <v>3000</v>
      </c>
      <c r="AK186" s="172">
        <v>30219</v>
      </c>
      <c r="AL186" s="172">
        <v>2000</v>
      </c>
      <c r="AM186" s="172">
        <v>30222</v>
      </c>
      <c r="AN186" s="172">
        <v>0</v>
      </c>
      <c r="AO186" s="172">
        <f t="shared" si="22"/>
        <v>34219</v>
      </c>
      <c r="AP186" s="172">
        <v>0</v>
      </c>
      <c r="AQ186" s="172">
        <f t="shared" si="23"/>
        <v>34222</v>
      </c>
      <c r="AR186" s="172">
        <v>1</v>
      </c>
      <c r="AS186" s="172">
        <v>0</v>
      </c>
      <c r="AT186" s="199">
        <v>78037</v>
      </c>
      <c r="AU186" s="195" t="s">
        <v>183</v>
      </c>
    </row>
    <row r="187" spans="1:47" x14ac:dyDescent="0.2">
      <c r="A187" s="173">
        <v>55038</v>
      </c>
      <c r="B187" s="174" t="s">
        <v>184</v>
      </c>
      <c r="C187" s="172">
        <v>86038</v>
      </c>
      <c r="D187" s="172">
        <v>150038</v>
      </c>
      <c r="E187" s="206" t="s">
        <v>185</v>
      </c>
      <c r="F187" s="207">
        <v>3</v>
      </c>
      <c r="G187" s="172">
        <v>8500</v>
      </c>
      <c r="H187" s="172">
        <v>8500</v>
      </c>
      <c r="I187" s="172">
        <v>10000</v>
      </c>
      <c r="J187" s="172">
        <v>1</v>
      </c>
      <c r="K187" s="190">
        <f>IF($J187=1,INDEX('큐펫&amp;몹 정리(최신)'!P:P,MATCH($E187,'큐펫&amp;몹 정리(최신)'!$B:$B,0))*20,IF($J187=2,INDEX('큐펫&amp;몹 정리(최신)'!P:P,MATCH($E187,'큐펫&amp;몹 정리(최신)'!$B:$B,0))*25,IF($J187=3,INDEX('큐펫&amp;몹 정리(최신)'!P:P,MATCH($E187,'큐펫&amp;몹 정리(최신)'!$B:$B,0))*30,IF($J187=4,INDEX('큐펫&amp;몹 정리(최신)'!P:P,MATCH($E187,'큐펫&amp;몹 정리(최신)'!$B:$B,0))*35,INDEX('큐펫&amp;몹 정리(최신)'!P:P,MATCH($E187,'큐펫&amp;몹 정리(최신)'!$B:$B,0))*40))))</f>
        <v>780</v>
      </c>
      <c r="L187" s="190">
        <f>IF($J187=1,INDEX('큐펫&amp;몹 정리(최신)'!Q:Q,MATCH($E187,'큐펫&amp;몹 정리(최신)'!$B:$B,0))*20,IF($J187=2,INDEX('큐펫&amp;몹 정리(최신)'!Q:Q,MATCH($E187,'큐펫&amp;몹 정리(최신)'!$B:$B,0))*25,IF($J187=3,INDEX('큐펫&amp;몹 정리(최신)'!Q:Q,MATCH($E187,'큐펫&amp;몹 정리(최신)'!$B:$B,0))*30,IF($J187=4,INDEX('큐펫&amp;몹 정리(최신)'!Q:Q,MATCH($E187,'큐펫&amp;몹 정리(최신)'!$B:$B,0))*35,INDEX('큐펫&amp;몹 정리(최신)'!Q:Q,MATCH($E187,'큐펫&amp;몹 정리(최신)'!$B:$B,0))*40))))</f>
        <v>420</v>
      </c>
      <c r="M187" s="190">
        <f>IF($J187=1,INDEX('큐펫&amp;몹 정리(최신)'!R:R,MATCH($E187,'큐펫&amp;몹 정리(최신)'!$B:$B,0))*20,IF($J187=2,INDEX('큐펫&amp;몹 정리(최신)'!R:R,MATCH($E187,'큐펫&amp;몹 정리(최신)'!$B:$B,0))*25,IF($J187=3,INDEX('큐펫&amp;몹 정리(최신)'!R:R,MATCH($E187,'큐펫&amp;몹 정리(최신)'!$B:$B,0))*30,IF($J187=4,INDEX('큐펫&amp;몹 정리(최신)'!R:R,MATCH($E187,'큐펫&amp;몹 정리(최신)'!$B:$B,0))*35,INDEX('큐펫&amp;몹 정리(최신)'!R:R,MATCH($E187,'큐펫&amp;몹 정리(최신)'!$B:$B,0))*40))))</f>
        <v>80</v>
      </c>
      <c r="N187" s="190">
        <f>IF($J187=1,INDEX('큐펫&amp;몹 정리(최신)'!S:S,MATCH($E187,'큐펫&amp;몹 정리(최신)'!$B:$B,0))*20,IF($J187=2,INDEX('큐펫&amp;몹 정리(최신)'!S:S,MATCH($E187,'큐펫&amp;몹 정리(최신)'!$B:$B,0))*25,IF($J187=3,INDEX('큐펫&amp;몹 정리(최신)'!S:S,MATCH($E187,'큐펫&amp;몹 정리(최신)'!$B:$B,0))*30,IF($J187=4,INDEX('큐펫&amp;몹 정리(최신)'!S:S,MATCH($E187,'큐펫&amp;몹 정리(최신)'!$B:$B,0))*35,INDEX('큐펫&amp;몹 정리(최신)'!S:S,MATCH($E187,'큐펫&amp;몹 정리(최신)'!$B:$B,0))*40))))</f>
        <v>440</v>
      </c>
      <c r="O187" s="190">
        <f>IF($J187=1,INDEX('큐펫&amp;몹 정리(최신)'!T:T,MATCH($E187,'큐펫&amp;몹 정리(최신)'!$B:$B,0))*20,IF($J187=2,INDEX('큐펫&amp;몹 정리(최신)'!T:T,MATCH($E187,'큐펫&amp;몹 정리(최신)'!$B:$B,0))*25,IF($J187=3,INDEX('큐펫&amp;몹 정리(최신)'!T:T,MATCH($E187,'큐펫&amp;몹 정리(최신)'!$B:$B,0))*30,IF($J187=4,INDEX('큐펫&amp;몹 정리(최신)'!T:T,MATCH($E187,'큐펫&amp;몹 정리(최신)'!$B:$B,0))*35,INDEX('큐펫&amp;몹 정리(최신)'!T:T,MATCH($E187,'큐펫&amp;몹 정리(최신)'!$B:$B,0))*40))))</f>
        <v>280</v>
      </c>
      <c r="P187" s="217">
        <v>20</v>
      </c>
      <c r="Q187" s="217">
        <f t="shared" si="16"/>
        <v>26208</v>
      </c>
      <c r="R187" s="217">
        <f t="shared" si="17"/>
        <v>4946</v>
      </c>
      <c r="S187" s="217">
        <f t="shared" si="18"/>
        <v>3373</v>
      </c>
      <c r="T187" s="217">
        <f t="shared" si="19"/>
        <v>416</v>
      </c>
      <c r="U187" s="217">
        <f t="shared" si="20"/>
        <v>13870</v>
      </c>
      <c r="V187" s="217">
        <f t="shared" si="21"/>
        <v>4431</v>
      </c>
      <c r="W187" s="217">
        <f>ROUND(AC187+(INDEX(Ref!B$1:B$9,MATCH($AI187,Ref!$A$1:$A$9,0))*P187*0.0001),)</f>
        <v>34</v>
      </c>
      <c r="X187" s="217">
        <f>ROUND(AD187+(INDEX(Ref!C$1:C$9,MATCH($AI187,Ref!$A$1:$A$9,0))*$P187*0.0001),)</f>
        <v>26</v>
      </c>
      <c r="Y187" s="217">
        <f>ROUND(AE187+(INDEX(Ref!D$1:D$9,MATCH($AI187,Ref!$A$1:$A$9,0))*$P187*0.0001),)</f>
        <v>43</v>
      </c>
      <c r="Z187" s="217">
        <f>ROUND(AF187+(INDEX(Ref!E$1:E$9,MATCH($AI187,Ref!$A$1:$A$9,0))*$P187*0.0001),)</f>
        <v>21</v>
      </c>
      <c r="AA187" s="217">
        <f>ROUND(AG187+(INDEX(Ref!F$1:F$9,MATCH($AI187,Ref!$A$1:$A$9,0))*$P187*0.0001),)</f>
        <v>28</v>
      </c>
      <c r="AB187" s="217">
        <f>ROUND(AH187+(INDEX(Ref!G$1:G$9,MATCH($AI187,Ref!$A$1:$A$9,0))*$P187*0.0001),)</f>
        <v>32</v>
      </c>
      <c r="AC187" s="137">
        <v>30</v>
      </c>
      <c r="AD187" s="137">
        <v>23</v>
      </c>
      <c r="AE187" s="137">
        <v>40</v>
      </c>
      <c r="AF187" s="137">
        <v>18</v>
      </c>
      <c r="AG187" s="137">
        <v>25</v>
      </c>
      <c r="AH187" s="137">
        <v>28</v>
      </c>
      <c r="AI187" s="208">
        <v>7</v>
      </c>
      <c r="AJ187" s="172">
        <v>3000</v>
      </c>
      <c r="AK187" s="172">
        <v>30223</v>
      </c>
      <c r="AL187" s="172">
        <v>2000</v>
      </c>
      <c r="AM187" s="172">
        <v>30226</v>
      </c>
      <c r="AN187" s="172">
        <v>0</v>
      </c>
      <c r="AO187" s="172">
        <f t="shared" si="22"/>
        <v>34223</v>
      </c>
      <c r="AP187" s="172">
        <v>0</v>
      </c>
      <c r="AQ187" s="172">
        <f t="shared" si="23"/>
        <v>34226</v>
      </c>
      <c r="AR187" s="172">
        <v>1</v>
      </c>
      <c r="AS187" s="172">
        <v>0</v>
      </c>
      <c r="AT187" s="199">
        <v>78038</v>
      </c>
      <c r="AU187" s="195" t="s">
        <v>186</v>
      </c>
    </row>
    <row r="188" spans="1:47" x14ac:dyDescent="0.2">
      <c r="A188" s="173">
        <v>55038</v>
      </c>
      <c r="B188" s="174" t="s">
        <v>184</v>
      </c>
      <c r="C188" s="172">
        <v>86038</v>
      </c>
      <c r="D188" s="172">
        <v>150038</v>
      </c>
      <c r="E188" s="206" t="s">
        <v>185</v>
      </c>
      <c r="F188" s="207">
        <v>3</v>
      </c>
      <c r="G188" s="172">
        <v>8500</v>
      </c>
      <c r="H188" s="172">
        <v>8500</v>
      </c>
      <c r="I188" s="172">
        <v>10000</v>
      </c>
      <c r="J188" s="172">
        <v>2</v>
      </c>
      <c r="K188" s="190">
        <f>IF($J188=1,INDEX('큐펫&amp;몹 정리(최신)'!P:P,MATCH($E188,'큐펫&amp;몹 정리(최신)'!$B:$B,0))*20,IF($J188=2,INDEX('큐펫&amp;몹 정리(최신)'!P:P,MATCH($E188,'큐펫&amp;몹 정리(최신)'!$B:$B,0))*25,IF($J188=3,INDEX('큐펫&amp;몹 정리(최신)'!P:P,MATCH($E188,'큐펫&amp;몹 정리(최신)'!$B:$B,0))*30,IF($J188=4,INDEX('큐펫&amp;몹 정리(최신)'!P:P,MATCH($E188,'큐펫&amp;몹 정리(최신)'!$B:$B,0))*35,INDEX('큐펫&amp;몹 정리(최신)'!P:P,MATCH($E188,'큐펫&amp;몹 정리(최신)'!$B:$B,0))*40))))</f>
        <v>975</v>
      </c>
      <c r="L188" s="190">
        <f>IF($J188=1,INDEX('큐펫&amp;몹 정리(최신)'!Q:Q,MATCH($E188,'큐펫&amp;몹 정리(최신)'!$B:$B,0))*20,IF($J188=2,INDEX('큐펫&amp;몹 정리(최신)'!Q:Q,MATCH($E188,'큐펫&amp;몹 정리(최신)'!$B:$B,0))*25,IF($J188=3,INDEX('큐펫&amp;몹 정리(최신)'!Q:Q,MATCH($E188,'큐펫&amp;몹 정리(최신)'!$B:$B,0))*30,IF($J188=4,INDEX('큐펫&amp;몹 정리(최신)'!Q:Q,MATCH($E188,'큐펫&amp;몹 정리(최신)'!$B:$B,0))*35,INDEX('큐펫&amp;몹 정리(최신)'!Q:Q,MATCH($E188,'큐펫&amp;몹 정리(최신)'!$B:$B,0))*40))))</f>
        <v>525</v>
      </c>
      <c r="M188" s="190">
        <f>IF($J188=1,INDEX('큐펫&amp;몹 정리(최신)'!R:R,MATCH($E188,'큐펫&amp;몹 정리(최신)'!$B:$B,0))*20,IF($J188=2,INDEX('큐펫&amp;몹 정리(최신)'!R:R,MATCH($E188,'큐펫&amp;몹 정리(최신)'!$B:$B,0))*25,IF($J188=3,INDEX('큐펫&amp;몹 정리(최신)'!R:R,MATCH($E188,'큐펫&amp;몹 정리(최신)'!$B:$B,0))*30,IF($J188=4,INDEX('큐펫&amp;몹 정리(최신)'!R:R,MATCH($E188,'큐펫&amp;몹 정리(최신)'!$B:$B,0))*35,INDEX('큐펫&amp;몹 정리(최신)'!R:R,MATCH($E188,'큐펫&amp;몹 정리(최신)'!$B:$B,0))*40))))</f>
        <v>100</v>
      </c>
      <c r="N188" s="190">
        <f>IF($J188=1,INDEX('큐펫&amp;몹 정리(최신)'!S:S,MATCH($E188,'큐펫&amp;몹 정리(최신)'!$B:$B,0))*20,IF($J188=2,INDEX('큐펫&amp;몹 정리(최신)'!S:S,MATCH($E188,'큐펫&amp;몹 정리(최신)'!$B:$B,0))*25,IF($J188=3,INDEX('큐펫&amp;몹 정리(최신)'!S:S,MATCH($E188,'큐펫&amp;몹 정리(최신)'!$B:$B,0))*30,IF($J188=4,INDEX('큐펫&amp;몹 정리(최신)'!S:S,MATCH($E188,'큐펫&amp;몹 정리(최신)'!$B:$B,0))*35,INDEX('큐펫&amp;몹 정리(최신)'!S:S,MATCH($E188,'큐펫&amp;몹 정리(최신)'!$B:$B,0))*40))))</f>
        <v>550</v>
      </c>
      <c r="O188" s="190">
        <f>IF($J188=1,INDEX('큐펫&amp;몹 정리(최신)'!T:T,MATCH($E188,'큐펫&amp;몹 정리(최신)'!$B:$B,0))*20,IF($J188=2,INDEX('큐펫&amp;몹 정리(최신)'!T:T,MATCH($E188,'큐펫&amp;몹 정리(최신)'!$B:$B,0))*25,IF($J188=3,INDEX('큐펫&amp;몹 정리(최신)'!T:T,MATCH($E188,'큐펫&amp;몹 정리(최신)'!$B:$B,0))*30,IF($J188=4,INDEX('큐펫&amp;몹 정리(최신)'!T:T,MATCH($E188,'큐펫&amp;몹 정리(최신)'!$B:$B,0))*35,INDEX('큐펫&amp;몹 정리(최신)'!T:T,MATCH($E188,'큐펫&amp;몹 정리(최신)'!$B:$B,0))*40))))</f>
        <v>350</v>
      </c>
      <c r="P188" s="217">
        <v>40</v>
      </c>
      <c r="Q188" s="217">
        <f t="shared" si="16"/>
        <v>62910</v>
      </c>
      <c r="R188" s="217">
        <f t="shared" si="17"/>
        <v>9381</v>
      </c>
      <c r="S188" s="217">
        <f t="shared" si="18"/>
        <v>6539</v>
      </c>
      <c r="T188" s="217">
        <f t="shared" si="19"/>
        <v>762</v>
      </c>
      <c r="U188" s="217">
        <f t="shared" si="20"/>
        <v>24488</v>
      </c>
      <c r="V188" s="217">
        <f t="shared" si="21"/>
        <v>7813</v>
      </c>
      <c r="W188" s="217">
        <f>ROUND(AC188+(INDEX(Ref!B$1:B$9,MATCH($AI188,Ref!$A$1:$A$9,0))*P188*0.0001),)</f>
        <v>42</v>
      </c>
      <c r="X188" s="217">
        <f>ROUND(AD188+(INDEX(Ref!C$1:C$9,MATCH($AI188,Ref!$A$1:$A$9,0))*$P188*0.0001),)</f>
        <v>32</v>
      </c>
      <c r="Y188" s="217">
        <f>ROUND(AE188+(INDEX(Ref!D$1:D$9,MATCH($AI188,Ref!$A$1:$A$9,0))*$P188*0.0001),)</f>
        <v>49</v>
      </c>
      <c r="Z188" s="217">
        <f>ROUND(AF188+(INDEX(Ref!E$1:E$9,MATCH($AI188,Ref!$A$1:$A$9,0))*$P188*0.0001),)</f>
        <v>26</v>
      </c>
      <c r="AA188" s="217">
        <f>ROUND(AG188+(INDEX(Ref!F$1:F$9,MATCH($AI188,Ref!$A$1:$A$9,0))*$P188*0.0001),)</f>
        <v>35</v>
      </c>
      <c r="AB188" s="217">
        <f>ROUND(AH188+(INDEX(Ref!G$1:G$9,MATCH($AI188,Ref!$A$1:$A$9,0))*$P188*0.0001),)</f>
        <v>40</v>
      </c>
      <c r="AC188" s="137">
        <v>34</v>
      </c>
      <c r="AD188" s="137">
        <v>26</v>
      </c>
      <c r="AE188" s="137">
        <v>43</v>
      </c>
      <c r="AF188" s="137">
        <v>21</v>
      </c>
      <c r="AG188" s="137">
        <v>28</v>
      </c>
      <c r="AH188" s="137">
        <v>32</v>
      </c>
      <c r="AI188" s="208">
        <v>7</v>
      </c>
      <c r="AJ188" s="172">
        <v>3000</v>
      </c>
      <c r="AK188" s="172">
        <v>30224</v>
      </c>
      <c r="AL188" s="172">
        <v>2000</v>
      </c>
      <c r="AM188" s="172">
        <v>30226</v>
      </c>
      <c r="AN188" s="172">
        <v>0</v>
      </c>
      <c r="AO188" s="172">
        <f t="shared" si="22"/>
        <v>34224</v>
      </c>
      <c r="AP188" s="172">
        <v>0</v>
      </c>
      <c r="AQ188" s="172">
        <f t="shared" si="23"/>
        <v>34226</v>
      </c>
      <c r="AR188" s="172">
        <v>1</v>
      </c>
      <c r="AS188" s="172">
        <v>0</v>
      </c>
      <c r="AT188" s="199">
        <v>78038</v>
      </c>
      <c r="AU188" s="195" t="s">
        <v>186</v>
      </c>
    </row>
    <row r="189" spans="1:47" x14ac:dyDescent="0.2">
      <c r="A189" s="173">
        <v>55038</v>
      </c>
      <c r="B189" s="174" t="s">
        <v>184</v>
      </c>
      <c r="C189" s="172">
        <v>86038</v>
      </c>
      <c r="D189" s="172">
        <v>150038</v>
      </c>
      <c r="E189" s="206" t="s">
        <v>185</v>
      </c>
      <c r="F189" s="207">
        <v>3</v>
      </c>
      <c r="G189" s="172">
        <v>8500</v>
      </c>
      <c r="H189" s="172">
        <v>8500</v>
      </c>
      <c r="I189" s="172">
        <v>10000</v>
      </c>
      <c r="J189" s="172">
        <v>3</v>
      </c>
      <c r="K189" s="190">
        <f>IF($J189=1,INDEX('큐펫&amp;몹 정리(최신)'!P:P,MATCH($E189,'큐펫&amp;몹 정리(최신)'!$B:$B,0))*20,IF($J189=2,INDEX('큐펫&amp;몹 정리(최신)'!P:P,MATCH($E189,'큐펫&amp;몹 정리(최신)'!$B:$B,0))*25,IF($J189=3,INDEX('큐펫&amp;몹 정리(최신)'!P:P,MATCH($E189,'큐펫&amp;몹 정리(최신)'!$B:$B,0))*30,IF($J189=4,INDEX('큐펫&amp;몹 정리(최신)'!P:P,MATCH($E189,'큐펫&amp;몹 정리(최신)'!$B:$B,0))*35,INDEX('큐펫&amp;몹 정리(최신)'!P:P,MATCH($E189,'큐펫&amp;몹 정리(최신)'!$B:$B,0))*40))))</f>
        <v>1170</v>
      </c>
      <c r="L189" s="190">
        <f>IF($J189=1,INDEX('큐펫&amp;몹 정리(최신)'!Q:Q,MATCH($E189,'큐펫&amp;몹 정리(최신)'!$B:$B,0))*20,IF($J189=2,INDEX('큐펫&amp;몹 정리(최신)'!Q:Q,MATCH($E189,'큐펫&amp;몹 정리(최신)'!$B:$B,0))*25,IF($J189=3,INDEX('큐펫&amp;몹 정리(최신)'!Q:Q,MATCH($E189,'큐펫&amp;몹 정리(최신)'!$B:$B,0))*30,IF($J189=4,INDEX('큐펫&amp;몹 정리(최신)'!Q:Q,MATCH($E189,'큐펫&amp;몹 정리(최신)'!$B:$B,0))*35,INDEX('큐펫&amp;몹 정리(최신)'!Q:Q,MATCH($E189,'큐펫&amp;몹 정리(최신)'!$B:$B,0))*40))))</f>
        <v>630</v>
      </c>
      <c r="M189" s="190">
        <f>IF($J189=1,INDEX('큐펫&amp;몹 정리(최신)'!R:R,MATCH($E189,'큐펫&amp;몹 정리(최신)'!$B:$B,0))*20,IF($J189=2,INDEX('큐펫&amp;몹 정리(최신)'!R:R,MATCH($E189,'큐펫&amp;몹 정리(최신)'!$B:$B,0))*25,IF($J189=3,INDEX('큐펫&amp;몹 정리(최신)'!R:R,MATCH($E189,'큐펫&amp;몹 정리(최신)'!$B:$B,0))*30,IF($J189=4,INDEX('큐펫&amp;몹 정리(최신)'!R:R,MATCH($E189,'큐펫&amp;몹 정리(최신)'!$B:$B,0))*35,INDEX('큐펫&amp;몹 정리(최신)'!R:R,MATCH($E189,'큐펫&amp;몹 정리(최신)'!$B:$B,0))*40))))</f>
        <v>120</v>
      </c>
      <c r="N189" s="190">
        <f>IF($J189=1,INDEX('큐펫&amp;몹 정리(최신)'!S:S,MATCH($E189,'큐펫&amp;몹 정리(최신)'!$B:$B,0))*20,IF($J189=2,INDEX('큐펫&amp;몹 정리(최신)'!S:S,MATCH($E189,'큐펫&amp;몹 정리(최신)'!$B:$B,0))*25,IF($J189=3,INDEX('큐펫&amp;몹 정리(최신)'!S:S,MATCH($E189,'큐펫&amp;몹 정리(최신)'!$B:$B,0))*30,IF($J189=4,INDEX('큐펫&amp;몹 정리(최신)'!S:S,MATCH($E189,'큐펫&amp;몹 정리(최신)'!$B:$B,0))*35,INDEX('큐펫&amp;몹 정리(최신)'!S:S,MATCH($E189,'큐펫&amp;몹 정리(최신)'!$B:$B,0))*40))))</f>
        <v>660</v>
      </c>
      <c r="O189" s="190">
        <f>IF($J189=1,INDEX('큐펫&amp;몹 정리(최신)'!T:T,MATCH($E189,'큐펫&amp;몹 정리(최신)'!$B:$B,0))*20,IF($J189=2,INDEX('큐펫&amp;몹 정리(최신)'!T:T,MATCH($E189,'큐펫&amp;몹 정리(최신)'!$B:$B,0))*25,IF($J189=3,INDEX('큐펫&amp;몹 정리(최신)'!T:T,MATCH($E189,'큐펫&amp;몹 정리(최신)'!$B:$B,0))*30,IF($J189=4,INDEX('큐펫&amp;몹 정리(최신)'!T:T,MATCH($E189,'큐펫&amp;몹 정리(최신)'!$B:$B,0))*35,INDEX('큐펫&amp;몹 정리(최신)'!T:T,MATCH($E189,'큐펫&amp;몹 정리(최신)'!$B:$B,0))*40))))</f>
        <v>420</v>
      </c>
      <c r="P189" s="217">
        <v>60</v>
      </c>
      <c r="Q189" s="217">
        <f t="shared" si="16"/>
        <v>113908</v>
      </c>
      <c r="R189" s="217">
        <f t="shared" si="17"/>
        <v>15899</v>
      </c>
      <c r="S189" s="217">
        <f t="shared" si="18"/>
        <v>11249</v>
      </c>
      <c r="T189" s="217">
        <f t="shared" si="19"/>
        <v>1262</v>
      </c>
      <c r="U189" s="217">
        <f t="shared" si="20"/>
        <v>37636</v>
      </c>
      <c r="V189" s="217">
        <f t="shared" si="21"/>
        <v>12001</v>
      </c>
      <c r="W189" s="217">
        <f>ROUND(AC189+(INDEX(Ref!B$1:B$9,MATCH($AI189,Ref!$A$1:$A$9,0))*P189*0.0001),)</f>
        <v>50</v>
      </c>
      <c r="X189" s="217">
        <f>ROUND(AD189+(INDEX(Ref!C$1:C$9,MATCH($AI189,Ref!$A$1:$A$9,0))*$P189*0.0001),)</f>
        <v>40</v>
      </c>
      <c r="Y189" s="217">
        <f>ROUND(AE189+(INDEX(Ref!D$1:D$9,MATCH($AI189,Ref!$A$1:$A$9,0))*$P189*0.0001),)</f>
        <v>54</v>
      </c>
      <c r="Z189" s="217">
        <f>ROUND(AF189+(INDEX(Ref!E$1:E$9,MATCH($AI189,Ref!$A$1:$A$9,0))*$P189*0.0001),)</f>
        <v>31</v>
      </c>
      <c r="AA189" s="217">
        <f>ROUND(AG189+(INDEX(Ref!F$1:F$9,MATCH($AI189,Ref!$A$1:$A$9,0))*$P189*0.0001),)</f>
        <v>42</v>
      </c>
      <c r="AB189" s="217">
        <f>ROUND(AH189+(INDEX(Ref!G$1:G$9,MATCH($AI189,Ref!$A$1:$A$9,0))*$P189*0.0001),)</f>
        <v>47</v>
      </c>
      <c r="AC189" s="137">
        <v>38</v>
      </c>
      <c r="AD189" s="137">
        <v>30</v>
      </c>
      <c r="AE189" s="137">
        <v>45</v>
      </c>
      <c r="AF189" s="137">
        <v>23</v>
      </c>
      <c r="AG189" s="137">
        <v>32</v>
      </c>
      <c r="AH189" s="137">
        <v>36</v>
      </c>
      <c r="AI189" s="208">
        <v>7</v>
      </c>
      <c r="AJ189" s="172">
        <v>3000</v>
      </c>
      <c r="AK189" s="172">
        <v>30224</v>
      </c>
      <c r="AL189" s="172">
        <v>2000</v>
      </c>
      <c r="AM189" s="172">
        <v>30227</v>
      </c>
      <c r="AN189" s="172">
        <v>0</v>
      </c>
      <c r="AO189" s="172">
        <f t="shared" si="22"/>
        <v>34224</v>
      </c>
      <c r="AP189" s="172">
        <v>0</v>
      </c>
      <c r="AQ189" s="172">
        <f t="shared" si="23"/>
        <v>34227</v>
      </c>
      <c r="AR189" s="172">
        <v>1</v>
      </c>
      <c r="AS189" s="172">
        <v>0</v>
      </c>
      <c r="AT189" s="199">
        <v>78038</v>
      </c>
      <c r="AU189" s="195" t="s">
        <v>186</v>
      </c>
    </row>
    <row r="190" spans="1:47" x14ac:dyDescent="0.2">
      <c r="A190" s="173">
        <v>55038</v>
      </c>
      <c r="B190" s="174" t="s">
        <v>184</v>
      </c>
      <c r="C190" s="172">
        <v>86038</v>
      </c>
      <c r="D190" s="172">
        <v>150038</v>
      </c>
      <c r="E190" s="206" t="s">
        <v>185</v>
      </c>
      <c r="F190" s="207">
        <v>3</v>
      </c>
      <c r="G190" s="172">
        <v>8500</v>
      </c>
      <c r="H190" s="172">
        <v>8500</v>
      </c>
      <c r="I190" s="172">
        <v>10000</v>
      </c>
      <c r="J190" s="172">
        <v>4</v>
      </c>
      <c r="K190" s="190">
        <f>IF($J190=1,INDEX('큐펫&amp;몹 정리(최신)'!P:P,MATCH($E190,'큐펫&amp;몹 정리(최신)'!$B:$B,0))*20,IF($J190=2,INDEX('큐펫&amp;몹 정리(최신)'!P:P,MATCH($E190,'큐펫&amp;몹 정리(최신)'!$B:$B,0))*25,IF($J190=3,INDEX('큐펫&amp;몹 정리(최신)'!P:P,MATCH($E190,'큐펫&amp;몹 정리(최신)'!$B:$B,0))*30,IF($J190=4,INDEX('큐펫&amp;몹 정리(최신)'!P:P,MATCH($E190,'큐펫&amp;몹 정리(최신)'!$B:$B,0))*35,INDEX('큐펫&amp;몹 정리(최신)'!P:P,MATCH($E190,'큐펫&amp;몹 정리(최신)'!$B:$B,0))*40))))</f>
        <v>1365</v>
      </c>
      <c r="L190" s="190">
        <f>IF($J190=1,INDEX('큐펫&amp;몹 정리(최신)'!Q:Q,MATCH($E190,'큐펫&amp;몹 정리(최신)'!$B:$B,0))*20,IF($J190=2,INDEX('큐펫&amp;몹 정리(최신)'!Q:Q,MATCH($E190,'큐펫&amp;몹 정리(최신)'!$B:$B,0))*25,IF($J190=3,INDEX('큐펫&amp;몹 정리(최신)'!Q:Q,MATCH($E190,'큐펫&amp;몹 정리(최신)'!$B:$B,0))*30,IF($J190=4,INDEX('큐펫&amp;몹 정리(최신)'!Q:Q,MATCH($E190,'큐펫&amp;몹 정리(최신)'!$B:$B,0))*35,INDEX('큐펫&amp;몹 정리(최신)'!Q:Q,MATCH($E190,'큐펫&amp;몹 정리(최신)'!$B:$B,0))*40))))</f>
        <v>735</v>
      </c>
      <c r="M190" s="190">
        <f>IF($J190=1,INDEX('큐펫&amp;몹 정리(최신)'!R:R,MATCH($E190,'큐펫&amp;몹 정리(최신)'!$B:$B,0))*20,IF($J190=2,INDEX('큐펫&amp;몹 정리(최신)'!R:R,MATCH($E190,'큐펫&amp;몹 정리(최신)'!$B:$B,0))*25,IF($J190=3,INDEX('큐펫&amp;몹 정리(최신)'!R:R,MATCH($E190,'큐펫&amp;몹 정리(최신)'!$B:$B,0))*30,IF($J190=4,INDEX('큐펫&amp;몹 정리(최신)'!R:R,MATCH($E190,'큐펫&amp;몹 정리(최신)'!$B:$B,0))*35,INDEX('큐펫&amp;몹 정리(최신)'!R:R,MATCH($E190,'큐펫&amp;몹 정리(최신)'!$B:$B,0))*40))))</f>
        <v>140</v>
      </c>
      <c r="N190" s="190">
        <f>IF($J190=1,INDEX('큐펫&amp;몹 정리(최신)'!S:S,MATCH($E190,'큐펫&amp;몹 정리(최신)'!$B:$B,0))*20,IF($J190=2,INDEX('큐펫&amp;몹 정리(최신)'!S:S,MATCH($E190,'큐펫&amp;몹 정리(최신)'!$B:$B,0))*25,IF($J190=3,INDEX('큐펫&amp;몹 정리(최신)'!S:S,MATCH($E190,'큐펫&amp;몹 정리(최신)'!$B:$B,0))*30,IF($J190=4,INDEX('큐펫&amp;몹 정리(최신)'!S:S,MATCH($E190,'큐펫&amp;몹 정리(최신)'!$B:$B,0))*35,INDEX('큐펫&amp;몹 정리(최신)'!S:S,MATCH($E190,'큐펫&amp;몹 정리(최신)'!$B:$B,0))*40))))</f>
        <v>770</v>
      </c>
      <c r="O190" s="190">
        <f>IF($J190=1,INDEX('큐펫&amp;몹 정리(최신)'!T:T,MATCH($E190,'큐펫&amp;몹 정리(최신)'!$B:$B,0))*20,IF($J190=2,INDEX('큐펫&amp;몹 정리(최신)'!T:T,MATCH($E190,'큐펫&amp;몹 정리(최신)'!$B:$B,0))*25,IF($J190=3,INDEX('큐펫&amp;몹 정리(최신)'!T:T,MATCH($E190,'큐펫&amp;몹 정리(최신)'!$B:$B,0))*30,IF($J190=4,INDEX('큐펫&amp;몹 정리(최신)'!T:T,MATCH($E190,'큐펫&amp;몹 정리(최신)'!$B:$B,0))*35,INDEX('큐펫&amp;몹 정리(최신)'!T:T,MATCH($E190,'큐펫&amp;몹 정리(최신)'!$B:$B,0))*40))))</f>
        <v>490</v>
      </c>
      <c r="P190" s="217">
        <v>80</v>
      </c>
      <c r="Q190" s="217">
        <f t="shared" si="16"/>
        <v>182612</v>
      </c>
      <c r="R190" s="217">
        <f t="shared" si="17"/>
        <v>24904</v>
      </c>
      <c r="S190" s="217">
        <f t="shared" si="18"/>
        <v>17810</v>
      </c>
      <c r="T190" s="217">
        <f t="shared" si="19"/>
        <v>1946</v>
      </c>
      <c r="U190" s="217">
        <f t="shared" si="20"/>
        <v>54303</v>
      </c>
      <c r="V190" s="217">
        <f t="shared" si="21"/>
        <v>17308</v>
      </c>
      <c r="W190" s="217">
        <f>ROUND(AC190+(INDEX(Ref!B$1:B$9,MATCH($AI190,Ref!$A$1:$A$9,0))*P190*0.0001),)</f>
        <v>58</v>
      </c>
      <c r="X190" s="217">
        <f>ROUND(AD190+(INDEX(Ref!C$1:C$9,MATCH($AI190,Ref!$A$1:$A$9,0))*$P190*0.0001),)</f>
        <v>46</v>
      </c>
      <c r="Y190" s="217">
        <f>ROUND(AE190+(INDEX(Ref!D$1:D$9,MATCH($AI190,Ref!$A$1:$A$9,0))*$P190*0.0001),)</f>
        <v>61</v>
      </c>
      <c r="Z190" s="217">
        <f>ROUND(AF190+(INDEX(Ref!E$1:E$9,MATCH($AI190,Ref!$A$1:$A$9,0))*$P190*0.0001),)</f>
        <v>36</v>
      </c>
      <c r="AA190" s="217">
        <f>ROUND(AG190+(INDEX(Ref!F$1:F$9,MATCH($AI190,Ref!$A$1:$A$9,0))*$P190*0.0001),)</f>
        <v>49</v>
      </c>
      <c r="AB190" s="217">
        <f>ROUND(AH190+(INDEX(Ref!G$1:G$9,MATCH($AI190,Ref!$A$1:$A$9,0))*$P190*0.0001),)</f>
        <v>54</v>
      </c>
      <c r="AC190" s="137">
        <v>42</v>
      </c>
      <c r="AD190" s="137">
        <v>33</v>
      </c>
      <c r="AE190" s="137">
        <v>49</v>
      </c>
      <c r="AF190" s="137">
        <v>26</v>
      </c>
      <c r="AG190" s="137">
        <v>35</v>
      </c>
      <c r="AH190" s="137">
        <v>39</v>
      </c>
      <c r="AI190" s="208">
        <v>7</v>
      </c>
      <c r="AJ190" s="172">
        <v>3000</v>
      </c>
      <c r="AK190" s="172">
        <v>30225</v>
      </c>
      <c r="AL190" s="172">
        <v>2000</v>
      </c>
      <c r="AM190" s="172">
        <v>30227</v>
      </c>
      <c r="AN190" s="172">
        <v>0</v>
      </c>
      <c r="AO190" s="172">
        <f t="shared" si="22"/>
        <v>34225</v>
      </c>
      <c r="AP190" s="172">
        <v>0</v>
      </c>
      <c r="AQ190" s="172">
        <f t="shared" si="23"/>
        <v>34227</v>
      </c>
      <c r="AR190" s="172">
        <v>1</v>
      </c>
      <c r="AS190" s="172">
        <v>0</v>
      </c>
      <c r="AT190" s="199">
        <v>78038</v>
      </c>
      <c r="AU190" s="195" t="s">
        <v>186</v>
      </c>
    </row>
    <row r="191" spans="1:47" x14ac:dyDescent="0.2">
      <c r="A191" s="173">
        <v>55038</v>
      </c>
      <c r="B191" s="174" t="s">
        <v>184</v>
      </c>
      <c r="C191" s="172">
        <v>86038</v>
      </c>
      <c r="D191" s="172">
        <v>150038</v>
      </c>
      <c r="E191" s="206" t="s">
        <v>185</v>
      </c>
      <c r="F191" s="207">
        <v>3</v>
      </c>
      <c r="G191" s="172">
        <v>8500</v>
      </c>
      <c r="H191" s="172">
        <v>8500</v>
      </c>
      <c r="I191" s="172">
        <v>10000</v>
      </c>
      <c r="J191" s="172">
        <v>5</v>
      </c>
      <c r="K191" s="190">
        <f>IF($J191=1,INDEX('큐펫&amp;몹 정리(최신)'!P:P,MATCH($E191,'큐펫&amp;몹 정리(최신)'!$B:$B,0))*20,IF($J191=2,INDEX('큐펫&amp;몹 정리(최신)'!P:P,MATCH($E191,'큐펫&amp;몹 정리(최신)'!$B:$B,0))*25,IF($J191=3,INDEX('큐펫&amp;몹 정리(최신)'!P:P,MATCH($E191,'큐펫&amp;몹 정리(최신)'!$B:$B,0))*30,IF($J191=4,INDEX('큐펫&amp;몹 정리(최신)'!P:P,MATCH($E191,'큐펫&amp;몹 정리(최신)'!$B:$B,0))*35,INDEX('큐펫&amp;몹 정리(최신)'!P:P,MATCH($E191,'큐펫&amp;몹 정리(최신)'!$B:$B,0))*40))))</f>
        <v>1560</v>
      </c>
      <c r="L191" s="190">
        <f>IF($J191=1,INDEX('큐펫&amp;몹 정리(최신)'!Q:Q,MATCH($E191,'큐펫&amp;몹 정리(최신)'!$B:$B,0))*20,IF($J191=2,INDEX('큐펫&amp;몹 정리(최신)'!Q:Q,MATCH($E191,'큐펫&amp;몹 정리(최신)'!$B:$B,0))*25,IF($J191=3,INDEX('큐펫&amp;몹 정리(최신)'!Q:Q,MATCH($E191,'큐펫&amp;몹 정리(최신)'!$B:$B,0))*30,IF($J191=4,INDEX('큐펫&amp;몹 정리(최신)'!Q:Q,MATCH($E191,'큐펫&amp;몹 정리(최신)'!$B:$B,0))*35,INDEX('큐펫&amp;몹 정리(최신)'!Q:Q,MATCH($E191,'큐펫&amp;몹 정리(최신)'!$B:$B,0))*40))))</f>
        <v>840</v>
      </c>
      <c r="M191" s="190">
        <f>IF($J191=1,INDEX('큐펫&amp;몹 정리(최신)'!R:R,MATCH($E191,'큐펫&amp;몹 정리(최신)'!$B:$B,0))*20,IF($J191=2,INDEX('큐펫&amp;몹 정리(최신)'!R:R,MATCH($E191,'큐펫&amp;몹 정리(최신)'!$B:$B,0))*25,IF($J191=3,INDEX('큐펫&amp;몹 정리(최신)'!R:R,MATCH($E191,'큐펫&amp;몹 정리(최신)'!$B:$B,0))*30,IF($J191=4,INDEX('큐펫&amp;몹 정리(최신)'!R:R,MATCH($E191,'큐펫&amp;몹 정리(최신)'!$B:$B,0))*35,INDEX('큐펫&amp;몹 정리(최신)'!R:R,MATCH($E191,'큐펫&amp;몹 정리(최신)'!$B:$B,0))*40))))</f>
        <v>160</v>
      </c>
      <c r="N191" s="190">
        <f>IF($J191=1,INDEX('큐펫&amp;몹 정리(최신)'!S:S,MATCH($E191,'큐펫&amp;몹 정리(최신)'!$B:$B,0))*20,IF($J191=2,INDEX('큐펫&amp;몹 정리(최신)'!S:S,MATCH($E191,'큐펫&amp;몹 정리(최신)'!$B:$B,0))*25,IF($J191=3,INDEX('큐펫&amp;몹 정리(최신)'!S:S,MATCH($E191,'큐펫&amp;몹 정리(최신)'!$B:$B,0))*30,IF($J191=4,INDEX('큐펫&amp;몹 정리(최신)'!S:S,MATCH($E191,'큐펫&amp;몹 정리(최신)'!$B:$B,0))*35,INDEX('큐펫&amp;몹 정리(최신)'!S:S,MATCH($E191,'큐펫&amp;몹 정리(최신)'!$B:$B,0))*40))))</f>
        <v>880</v>
      </c>
      <c r="O191" s="190">
        <f>IF($J191=1,INDEX('큐펫&amp;몹 정리(최신)'!T:T,MATCH($E191,'큐펫&amp;몹 정리(최신)'!$B:$B,0))*20,IF($J191=2,INDEX('큐펫&amp;몹 정리(최신)'!T:T,MATCH($E191,'큐펫&amp;몹 정리(최신)'!$B:$B,0))*25,IF($J191=3,INDEX('큐펫&amp;몹 정리(최신)'!T:T,MATCH($E191,'큐펫&amp;몹 정리(최신)'!$B:$B,0))*30,IF($J191=4,INDEX('큐펫&amp;몹 정리(최신)'!T:T,MATCH($E191,'큐펫&amp;몹 정리(최신)'!$B:$B,0))*35,INDEX('큐펫&amp;몹 정리(최신)'!T:T,MATCH($E191,'큐펫&amp;몹 정리(최신)'!$B:$B,0))*40))))</f>
        <v>560</v>
      </c>
      <c r="P191" s="217">
        <v>100</v>
      </c>
      <c r="Q191" s="217">
        <f t="shared" si="16"/>
        <v>268320</v>
      </c>
      <c r="R191" s="217">
        <f t="shared" si="17"/>
        <v>36798</v>
      </c>
      <c r="S191" s="217">
        <f t="shared" si="18"/>
        <v>25598</v>
      </c>
      <c r="T191" s="217">
        <f t="shared" si="19"/>
        <v>2978</v>
      </c>
      <c r="U191" s="217">
        <f t="shared" si="20"/>
        <v>73501</v>
      </c>
      <c r="V191" s="217">
        <f t="shared" si="21"/>
        <v>23422</v>
      </c>
      <c r="W191" s="217">
        <f>ROUND(AC191+(INDEX(Ref!B$1:B$9,MATCH($AI191,Ref!$A$1:$A$9,0))*P191*0.0001),)</f>
        <v>66</v>
      </c>
      <c r="X191" s="217">
        <f>ROUND(AD191+(INDEX(Ref!C$1:C$9,MATCH($AI191,Ref!$A$1:$A$9,0))*$P191*0.0001),)</f>
        <v>52</v>
      </c>
      <c r="Y191" s="217">
        <f>ROUND(AE191+(INDEX(Ref!D$1:D$9,MATCH($AI191,Ref!$A$1:$A$9,0))*$P191*0.0001),)</f>
        <v>67</v>
      </c>
      <c r="Z191" s="217">
        <f>ROUND(AF191+(INDEX(Ref!E$1:E$9,MATCH($AI191,Ref!$A$1:$A$9,0))*$P191*0.0001),)</f>
        <v>42</v>
      </c>
      <c r="AA191" s="217">
        <f>ROUND(AG191+(INDEX(Ref!F$1:F$9,MATCH($AI191,Ref!$A$1:$A$9,0))*$P191*0.0001),)</f>
        <v>55</v>
      </c>
      <c r="AB191" s="217">
        <f>ROUND(AH191+(INDEX(Ref!G$1:G$9,MATCH($AI191,Ref!$A$1:$A$9,0))*$P191*0.0001),)</f>
        <v>62</v>
      </c>
      <c r="AC191" s="137">
        <v>46</v>
      </c>
      <c r="AD191" s="137">
        <v>36</v>
      </c>
      <c r="AE191" s="137">
        <v>52</v>
      </c>
      <c r="AF191" s="137">
        <v>29</v>
      </c>
      <c r="AG191" s="137">
        <v>38</v>
      </c>
      <c r="AH191" s="137">
        <v>43</v>
      </c>
      <c r="AI191" s="208">
        <v>7</v>
      </c>
      <c r="AJ191" s="172">
        <v>3000</v>
      </c>
      <c r="AK191" s="172">
        <v>30225</v>
      </c>
      <c r="AL191" s="172">
        <v>2000</v>
      </c>
      <c r="AM191" s="172">
        <v>30228</v>
      </c>
      <c r="AN191" s="172">
        <v>0</v>
      </c>
      <c r="AO191" s="172">
        <f t="shared" si="22"/>
        <v>34225</v>
      </c>
      <c r="AP191" s="172">
        <v>0</v>
      </c>
      <c r="AQ191" s="172">
        <f t="shared" si="23"/>
        <v>34228</v>
      </c>
      <c r="AR191" s="172">
        <v>1</v>
      </c>
      <c r="AS191" s="172">
        <v>0</v>
      </c>
      <c r="AT191" s="199">
        <v>78038</v>
      </c>
      <c r="AU191" s="195" t="s">
        <v>186</v>
      </c>
    </row>
    <row r="192" spans="1:47" x14ac:dyDescent="0.2">
      <c r="A192" s="173">
        <v>55039</v>
      </c>
      <c r="B192" s="174" t="s">
        <v>187</v>
      </c>
      <c r="C192" s="172">
        <v>86039</v>
      </c>
      <c r="D192" s="172">
        <v>150039</v>
      </c>
      <c r="E192" s="206" t="s">
        <v>188</v>
      </c>
      <c r="F192" s="207">
        <v>2</v>
      </c>
      <c r="G192" s="172">
        <v>13000</v>
      </c>
      <c r="H192" s="172">
        <v>9000</v>
      </c>
      <c r="I192" s="172">
        <v>10000</v>
      </c>
      <c r="J192" s="172">
        <v>1</v>
      </c>
      <c r="K192" s="190">
        <f>IF($J192=1,INDEX('큐펫&amp;몹 정리(최신)'!P:P,MATCH($E192,'큐펫&amp;몹 정리(최신)'!$B:$B,0))*20,IF($J192=2,INDEX('큐펫&amp;몹 정리(최신)'!P:P,MATCH($E192,'큐펫&amp;몹 정리(최신)'!$B:$B,0))*25,IF($J192=3,INDEX('큐펫&amp;몹 정리(최신)'!P:P,MATCH($E192,'큐펫&amp;몹 정리(최신)'!$B:$B,0))*30,IF($J192=4,INDEX('큐펫&amp;몹 정리(최신)'!P:P,MATCH($E192,'큐펫&amp;몹 정리(최신)'!$B:$B,0))*35,INDEX('큐펫&amp;몹 정리(최신)'!P:P,MATCH($E192,'큐펫&amp;몹 정리(최신)'!$B:$B,0))*40))))</f>
        <v>900</v>
      </c>
      <c r="L192" s="190">
        <f>IF($J192=1,INDEX('큐펫&amp;몹 정리(최신)'!Q:Q,MATCH($E192,'큐펫&amp;몹 정리(최신)'!$B:$B,0))*20,IF($J192=2,INDEX('큐펫&amp;몹 정리(최신)'!Q:Q,MATCH($E192,'큐펫&amp;몹 정리(최신)'!$B:$B,0))*25,IF($J192=3,INDEX('큐펫&amp;몹 정리(최신)'!Q:Q,MATCH($E192,'큐펫&amp;몹 정리(최신)'!$B:$B,0))*30,IF($J192=4,INDEX('큐펫&amp;몹 정리(최신)'!Q:Q,MATCH($E192,'큐펫&amp;몹 정리(최신)'!$B:$B,0))*35,INDEX('큐펫&amp;몹 정리(최신)'!Q:Q,MATCH($E192,'큐펫&amp;몹 정리(최신)'!$B:$B,0))*40))))</f>
        <v>100</v>
      </c>
      <c r="M192" s="190">
        <f>IF($J192=1,INDEX('큐펫&amp;몹 정리(최신)'!R:R,MATCH($E192,'큐펫&amp;몹 정리(최신)'!$B:$B,0))*20,IF($J192=2,INDEX('큐펫&amp;몹 정리(최신)'!R:R,MATCH($E192,'큐펫&amp;몹 정리(최신)'!$B:$B,0))*25,IF($J192=3,INDEX('큐펫&amp;몹 정리(최신)'!R:R,MATCH($E192,'큐펫&amp;몹 정리(최신)'!$B:$B,0))*30,IF($J192=4,INDEX('큐펫&amp;몹 정리(최신)'!R:R,MATCH($E192,'큐펫&amp;몹 정리(최신)'!$B:$B,0))*35,INDEX('큐펫&amp;몹 정리(최신)'!R:R,MATCH($E192,'큐펫&amp;몹 정리(최신)'!$B:$B,0))*40))))</f>
        <v>140</v>
      </c>
      <c r="N192" s="190">
        <f>IF($J192=1,INDEX('큐펫&amp;몹 정리(최신)'!S:S,MATCH($E192,'큐펫&amp;몹 정리(최신)'!$B:$B,0))*20,IF($J192=2,INDEX('큐펫&amp;몹 정리(최신)'!S:S,MATCH($E192,'큐펫&amp;몹 정리(최신)'!$B:$B,0))*25,IF($J192=3,INDEX('큐펫&amp;몹 정리(최신)'!S:S,MATCH($E192,'큐펫&amp;몹 정리(최신)'!$B:$B,0))*30,IF($J192=4,INDEX('큐펫&amp;몹 정리(최신)'!S:S,MATCH($E192,'큐펫&amp;몹 정리(최신)'!$B:$B,0))*35,INDEX('큐펫&amp;몹 정리(최신)'!S:S,MATCH($E192,'큐펫&amp;몹 정리(최신)'!$B:$B,0))*40))))</f>
        <v>400</v>
      </c>
      <c r="O192" s="190">
        <f>IF($J192=1,INDEX('큐펫&amp;몹 정리(최신)'!T:T,MATCH($E192,'큐펫&amp;몹 정리(최신)'!$B:$B,0))*20,IF($J192=2,INDEX('큐펫&amp;몹 정리(최신)'!T:T,MATCH($E192,'큐펫&amp;몹 정리(최신)'!$B:$B,0))*25,IF($J192=3,INDEX('큐펫&amp;몹 정리(최신)'!T:T,MATCH($E192,'큐펫&amp;몹 정리(최신)'!$B:$B,0))*30,IF($J192=4,INDEX('큐펫&amp;몹 정리(최신)'!T:T,MATCH($E192,'큐펫&amp;몹 정리(최신)'!$B:$B,0))*35,INDEX('큐펫&amp;몹 정리(최신)'!T:T,MATCH($E192,'큐펫&amp;몹 정리(최신)'!$B:$B,0))*40))))</f>
        <v>460</v>
      </c>
      <c r="P192" s="217">
        <v>20</v>
      </c>
      <c r="Q192" s="217">
        <f t="shared" si="16"/>
        <v>29520</v>
      </c>
      <c r="R192" s="217">
        <f t="shared" si="17"/>
        <v>344</v>
      </c>
      <c r="S192" s="217">
        <f t="shared" si="18"/>
        <v>420</v>
      </c>
      <c r="T192" s="217">
        <f t="shared" si="19"/>
        <v>2456</v>
      </c>
      <c r="U192" s="217">
        <f t="shared" si="20"/>
        <v>11807</v>
      </c>
      <c r="V192" s="217">
        <f t="shared" si="21"/>
        <v>6826</v>
      </c>
      <c r="W192" s="217">
        <f>ROUND(AC192+(INDEX(Ref!B$1:B$9,MATCH($AI192,Ref!$A$1:$A$9,0))*P192*0.0001),)</f>
        <v>17</v>
      </c>
      <c r="X192" s="217">
        <f>ROUND(AD192+(INDEX(Ref!C$1:C$9,MATCH($AI192,Ref!$A$1:$A$9,0))*$P192*0.0001),)</f>
        <v>32</v>
      </c>
      <c r="Y192" s="217">
        <f>ROUND(AE192+(INDEX(Ref!D$1:D$9,MATCH($AI192,Ref!$A$1:$A$9,0))*$P192*0.0001),)</f>
        <v>39</v>
      </c>
      <c r="Z192" s="217">
        <f>ROUND(AF192+(INDEX(Ref!E$1:E$9,MATCH($AI192,Ref!$A$1:$A$9,0))*$P192*0.0001),)</f>
        <v>41</v>
      </c>
      <c r="AA192" s="217">
        <f>ROUND(AG192+(INDEX(Ref!F$1:F$9,MATCH($AI192,Ref!$A$1:$A$9,0))*$P192*0.0001),)</f>
        <v>19</v>
      </c>
      <c r="AB192" s="217">
        <f>ROUND(AH192+(INDEX(Ref!G$1:G$9,MATCH($AI192,Ref!$A$1:$A$9,0))*$P192*0.0001),)</f>
        <v>36</v>
      </c>
      <c r="AC192" s="137">
        <v>15</v>
      </c>
      <c r="AD192" s="137">
        <v>28</v>
      </c>
      <c r="AE192" s="137">
        <v>36</v>
      </c>
      <c r="AF192" s="137">
        <v>36</v>
      </c>
      <c r="AG192" s="137">
        <v>17</v>
      </c>
      <c r="AH192" s="137">
        <v>32</v>
      </c>
      <c r="AI192" s="208">
        <v>6</v>
      </c>
      <c r="AJ192" s="172">
        <v>3000</v>
      </c>
      <c r="AK192" s="172">
        <v>30229</v>
      </c>
      <c r="AL192" s="172">
        <v>2000</v>
      </c>
      <c r="AM192" s="172">
        <v>30232</v>
      </c>
      <c r="AN192" s="172">
        <v>0</v>
      </c>
      <c r="AO192" s="172">
        <f t="shared" si="22"/>
        <v>34229</v>
      </c>
      <c r="AP192" s="172">
        <v>0</v>
      </c>
      <c r="AQ192" s="172">
        <f t="shared" si="23"/>
        <v>34232</v>
      </c>
      <c r="AR192" s="172">
        <v>1</v>
      </c>
      <c r="AS192" s="172">
        <v>0</v>
      </c>
      <c r="AT192" s="199">
        <v>78039</v>
      </c>
      <c r="AU192" s="195" t="s">
        <v>189</v>
      </c>
    </row>
    <row r="193" spans="1:47" x14ac:dyDescent="0.2">
      <c r="A193" s="173">
        <v>55039</v>
      </c>
      <c r="B193" s="174" t="s">
        <v>187</v>
      </c>
      <c r="C193" s="172">
        <v>86039</v>
      </c>
      <c r="D193" s="172">
        <v>150039</v>
      </c>
      <c r="E193" s="206" t="s">
        <v>188</v>
      </c>
      <c r="F193" s="207">
        <v>2</v>
      </c>
      <c r="G193" s="172">
        <v>13000</v>
      </c>
      <c r="H193" s="172">
        <v>9000</v>
      </c>
      <c r="I193" s="172">
        <v>10000</v>
      </c>
      <c r="J193" s="172">
        <v>2</v>
      </c>
      <c r="K193" s="190">
        <f>IF($J193=1,INDEX('큐펫&amp;몹 정리(최신)'!P:P,MATCH($E193,'큐펫&amp;몹 정리(최신)'!$B:$B,0))*20,IF($J193=2,INDEX('큐펫&amp;몹 정리(최신)'!P:P,MATCH($E193,'큐펫&amp;몹 정리(최신)'!$B:$B,0))*25,IF($J193=3,INDEX('큐펫&amp;몹 정리(최신)'!P:P,MATCH($E193,'큐펫&amp;몹 정리(최신)'!$B:$B,0))*30,IF($J193=4,INDEX('큐펫&amp;몹 정리(최신)'!P:P,MATCH($E193,'큐펫&amp;몹 정리(최신)'!$B:$B,0))*35,INDEX('큐펫&amp;몹 정리(최신)'!P:P,MATCH($E193,'큐펫&amp;몹 정리(최신)'!$B:$B,0))*40))))</f>
        <v>1125</v>
      </c>
      <c r="L193" s="190">
        <f>IF($J193=1,INDEX('큐펫&amp;몹 정리(최신)'!Q:Q,MATCH($E193,'큐펫&amp;몹 정리(최신)'!$B:$B,0))*20,IF($J193=2,INDEX('큐펫&amp;몹 정리(최신)'!Q:Q,MATCH($E193,'큐펫&amp;몹 정리(최신)'!$B:$B,0))*25,IF($J193=3,INDEX('큐펫&amp;몹 정리(최신)'!Q:Q,MATCH($E193,'큐펫&amp;몹 정리(최신)'!$B:$B,0))*30,IF($J193=4,INDEX('큐펫&amp;몹 정리(최신)'!Q:Q,MATCH($E193,'큐펫&amp;몹 정리(최신)'!$B:$B,0))*35,INDEX('큐펫&amp;몹 정리(최신)'!Q:Q,MATCH($E193,'큐펫&amp;몹 정리(최신)'!$B:$B,0))*40))))</f>
        <v>125</v>
      </c>
      <c r="M193" s="190">
        <f>IF($J193=1,INDEX('큐펫&amp;몹 정리(최신)'!R:R,MATCH($E193,'큐펫&amp;몹 정리(최신)'!$B:$B,0))*20,IF($J193=2,INDEX('큐펫&amp;몹 정리(최신)'!R:R,MATCH($E193,'큐펫&amp;몹 정리(최신)'!$B:$B,0))*25,IF($J193=3,INDEX('큐펫&amp;몹 정리(최신)'!R:R,MATCH($E193,'큐펫&amp;몹 정리(최신)'!$B:$B,0))*30,IF($J193=4,INDEX('큐펫&amp;몹 정리(최신)'!R:R,MATCH($E193,'큐펫&amp;몹 정리(최신)'!$B:$B,0))*35,INDEX('큐펫&amp;몹 정리(최신)'!R:R,MATCH($E193,'큐펫&amp;몹 정리(최신)'!$B:$B,0))*40))))</f>
        <v>175</v>
      </c>
      <c r="N193" s="190">
        <f>IF($J193=1,INDEX('큐펫&amp;몹 정리(최신)'!S:S,MATCH($E193,'큐펫&amp;몹 정리(최신)'!$B:$B,0))*20,IF($J193=2,INDEX('큐펫&amp;몹 정리(최신)'!S:S,MATCH($E193,'큐펫&amp;몹 정리(최신)'!$B:$B,0))*25,IF($J193=3,INDEX('큐펫&amp;몹 정리(최신)'!S:S,MATCH($E193,'큐펫&amp;몹 정리(최신)'!$B:$B,0))*30,IF($J193=4,INDEX('큐펫&amp;몹 정리(최신)'!S:S,MATCH($E193,'큐펫&amp;몹 정리(최신)'!$B:$B,0))*35,INDEX('큐펫&amp;몹 정리(최신)'!S:S,MATCH($E193,'큐펫&amp;몹 정리(최신)'!$B:$B,0))*40))))</f>
        <v>500</v>
      </c>
      <c r="O193" s="190">
        <f>IF($J193=1,INDEX('큐펫&amp;몹 정리(최신)'!T:T,MATCH($E193,'큐펫&amp;몹 정리(최신)'!$B:$B,0))*20,IF($J193=2,INDEX('큐펫&amp;몹 정리(최신)'!T:T,MATCH($E193,'큐펫&amp;몹 정리(최신)'!$B:$B,0))*25,IF($J193=3,INDEX('큐펫&amp;몹 정리(최신)'!T:T,MATCH($E193,'큐펫&amp;몹 정리(최신)'!$B:$B,0))*30,IF($J193=4,INDEX('큐펫&amp;몹 정리(최신)'!T:T,MATCH($E193,'큐펫&amp;몹 정리(최신)'!$B:$B,0))*35,INDEX('큐펫&amp;몹 정리(최신)'!T:T,MATCH($E193,'큐펫&amp;몹 정리(최신)'!$B:$B,0))*40))))</f>
        <v>575</v>
      </c>
      <c r="P193" s="217">
        <v>40</v>
      </c>
      <c r="Q193" s="217">
        <f t="shared" si="16"/>
        <v>70400</v>
      </c>
      <c r="R193" s="217">
        <f t="shared" si="17"/>
        <v>628</v>
      </c>
      <c r="S193" s="217">
        <f t="shared" si="18"/>
        <v>802</v>
      </c>
      <c r="T193" s="217">
        <f t="shared" si="19"/>
        <v>4687</v>
      </c>
      <c r="U193" s="217">
        <f t="shared" si="20"/>
        <v>21009</v>
      </c>
      <c r="V193" s="217">
        <f t="shared" si="21"/>
        <v>12126</v>
      </c>
      <c r="W193" s="217">
        <f>ROUND(AC193+(INDEX(Ref!B$1:B$9,MATCH($AI193,Ref!$A$1:$A$9,0))*P193*0.0001),)</f>
        <v>21</v>
      </c>
      <c r="X193" s="217">
        <f>ROUND(AD193+(INDEX(Ref!C$1:C$9,MATCH($AI193,Ref!$A$1:$A$9,0))*$P193*0.0001),)</f>
        <v>40</v>
      </c>
      <c r="Y193" s="217">
        <f>ROUND(AE193+(INDEX(Ref!D$1:D$9,MATCH($AI193,Ref!$A$1:$A$9,0))*$P193*0.0001),)</f>
        <v>44</v>
      </c>
      <c r="Z193" s="217">
        <f>ROUND(AF193+(INDEX(Ref!E$1:E$9,MATCH($AI193,Ref!$A$1:$A$9,0))*$P193*0.0001),)</f>
        <v>51</v>
      </c>
      <c r="AA193" s="217">
        <f>ROUND(AG193+(INDEX(Ref!F$1:F$9,MATCH($AI193,Ref!$A$1:$A$9,0))*$P193*0.0001),)</f>
        <v>24</v>
      </c>
      <c r="AB193" s="217">
        <f>ROUND(AH193+(INDEX(Ref!G$1:G$9,MATCH($AI193,Ref!$A$1:$A$9,0))*$P193*0.0001),)</f>
        <v>44</v>
      </c>
      <c r="AC193" s="137">
        <v>17</v>
      </c>
      <c r="AD193" s="137">
        <v>32</v>
      </c>
      <c r="AE193" s="137">
        <v>39</v>
      </c>
      <c r="AF193" s="137">
        <v>41</v>
      </c>
      <c r="AG193" s="137">
        <v>19</v>
      </c>
      <c r="AH193" s="137">
        <v>36</v>
      </c>
      <c r="AI193" s="208">
        <v>6</v>
      </c>
      <c r="AJ193" s="172">
        <v>3000</v>
      </c>
      <c r="AK193" s="172">
        <v>30230</v>
      </c>
      <c r="AL193" s="172">
        <v>2000</v>
      </c>
      <c r="AM193" s="172">
        <v>30232</v>
      </c>
      <c r="AN193" s="172">
        <v>0</v>
      </c>
      <c r="AO193" s="172">
        <f t="shared" si="22"/>
        <v>34230</v>
      </c>
      <c r="AP193" s="172">
        <v>0</v>
      </c>
      <c r="AQ193" s="172">
        <f t="shared" si="23"/>
        <v>34232</v>
      </c>
      <c r="AR193" s="172">
        <v>1</v>
      </c>
      <c r="AS193" s="172">
        <v>0</v>
      </c>
      <c r="AT193" s="199">
        <v>78039</v>
      </c>
      <c r="AU193" s="195" t="s">
        <v>189</v>
      </c>
    </row>
    <row r="194" spans="1:47" x14ac:dyDescent="0.2">
      <c r="A194" s="173">
        <v>55039</v>
      </c>
      <c r="B194" s="174" t="s">
        <v>187</v>
      </c>
      <c r="C194" s="172">
        <v>86039</v>
      </c>
      <c r="D194" s="172">
        <v>150039</v>
      </c>
      <c r="E194" s="206" t="s">
        <v>188</v>
      </c>
      <c r="F194" s="207">
        <v>2</v>
      </c>
      <c r="G194" s="172">
        <v>13000</v>
      </c>
      <c r="H194" s="172">
        <v>9000</v>
      </c>
      <c r="I194" s="172">
        <v>10000</v>
      </c>
      <c r="J194" s="172">
        <v>3</v>
      </c>
      <c r="K194" s="190">
        <f>IF($J194=1,INDEX('큐펫&amp;몹 정리(최신)'!P:P,MATCH($E194,'큐펫&amp;몹 정리(최신)'!$B:$B,0))*20,IF($J194=2,INDEX('큐펫&amp;몹 정리(최신)'!P:P,MATCH($E194,'큐펫&amp;몹 정리(최신)'!$B:$B,0))*25,IF($J194=3,INDEX('큐펫&amp;몹 정리(최신)'!P:P,MATCH($E194,'큐펫&amp;몹 정리(최신)'!$B:$B,0))*30,IF($J194=4,INDEX('큐펫&amp;몹 정리(최신)'!P:P,MATCH($E194,'큐펫&amp;몹 정리(최신)'!$B:$B,0))*35,INDEX('큐펫&amp;몹 정리(최신)'!P:P,MATCH($E194,'큐펫&amp;몹 정리(최신)'!$B:$B,0))*40))))</f>
        <v>1350</v>
      </c>
      <c r="L194" s="190">
        <f>IF($J194=1,INDEX('큐펫&amp;몹 정리(최신)'!Q:Q,MATCH($E194,'큐펫&amp;몹 정리(최신)'!$B:$B,0))*20,IF($J194=2,INDEX('큐펫&amp;몹 정리(최신)'!Q:Q,MATCH($E194,'큐펫&amp;몹 정리(최신)'!$B:$B,0))*25,IF($J194=3,INDEX('큐펫&amp;몹 정리(최신)'!Q:Q,MATCH($E194,'큐펫&amp;몹 정리(최신)'!$B:$B,0))*30,IF($J194=4,INDEX('큐펫&amp;몹 정리(최신)'!Q:Q,MATCH($E194,'큐펫&amp;몹 정리(최신)'!$B:$B,0))*35,INDEX('큐펫&amp;몹 정리(최신)'!Q:Q,MATCH($E194,'큐펫&amp;몹 정리(최신)'!$B:$B,0))*40))))</f>
        <v>150</v>
      </c>
      <c r="M194" s="190">
        <f>IF($J194=1,INDEX('큐펫&amp;몹 정리(최신)'!R:R,MATCH($E194,'큐펫&amp;몹 정리(최신)'!$B:$B,0))*20,IF($J194=2,INDEX('큐펫&amp;몹 정리(최신)'!R:R,MATCH($E194,'큐펫&amp;몹 정리(최신)'!$B:$B,0))*25,IF($J194=3,INDEX('큐펫&amp;몹 정리(최신)'!R:R,MATCH($E194,'큐펫&amp;몹 정리(최신)'!$B:$B,0))*30,IF($J194=4,INDEX('큐펫&amp;몹 정리(최신)'!R:R,MATCH($E194,'큐펫&amp;몹 정리(최신)'!$B:$B,0))*35,INDEX('큐펫&amp;몹 정리(최신)'!R:R,MATCH($E194,'큐펫&amp;몹 정리(최신)'!$B:$B,0))*40))))</f>
        <v>210</v>
      </c>
      <c r="N194" s="190">
        <f>IF($J194=1,INDEX('큐펫&amp;몹 정리(최신)'!S:S,MATCH($E194,'큐펫&amp;몹 정리(최신)'!$B:$B,0))*20,IF($J194=2,INDEX('큐펫&amp;몹 정리(최신)'!S:S,MATCH($E194,'큐펫&amp;몹 정리(최신)'!$B:$B,0))*25,IF($J194=3,INDEX('큐펫&amp;몹 정리(최신)'!S:S,MATCH($E194,'큐펫&amp;몹 정리(최신)'!$B:$B,0))*30,IF($J194=4,INDEX('큐펫&amp;몹 정리(최신)'!S:S,MATCH($E194,'큐펫&amp;몹 정리(최신)'!$B:$B,0))*35,INDEX('큐펫&amp;몹 정리(최신)'!S:S,MATCH($E194,'큐펫&amp;몹 정리(최신)'!$B:$B,0))*40))))</f>
        <v>600</v>
      </c>
      <c r="O194" s="190">
        <f>IF($J194=1,INDEX('큐펫&amp;몹 정리(최신)'!T:T,MATCH($E194,'큐펫&amp;몹 정리(최신)'!$B:$B,0))*20,IF($J194=2,INDEX('큐펫&amp;몹 정리(최신)'!T:T,MATCH($E194,'큐펫&amp;몹 정리(최신)'!$B:$B,0))*25,IF($J194=3,INDEX('큐펫&amp;몹 정리(최신)'!T:T,MATCH($E194,'큐펫&amp;몹 정리(최신)'!$B:$B,0))*30,IF($J194=4,INDEX('큐펫&amp;몹 정리(최신)'!T:T,MATCH($E194,'큐펫&amp;몹 정리(최신)'!$B:$B,0))*35,INDEX('큐펫&amp;몹 정리(최신)'!T:T,MATCH($E194,'큐펫&amp;몹 정리(최신)'!$B:$B,0))*40))))</f>
        <v>690</v>
      </c>
      <c r="P194" s="217">
        <v>60</v>
      </c>
      <c r="Q194" s="217">
        <f t="shared" si="16"/>
        <v>128200</v>
      </c>
      <c r="R194" s="217">
        <f t="shared" si="17"/>
        <v>1113</v>
      </c>
      <c r="S194" s="217">
        <f t="shared" si="18"/>
        <v>1279</v>
      </c>
      <c r="T194" s="217">
        <f t="shared" si="19"/>
        <v>7726</v>
      </c>
      <c r="U194" s="217">
        <f t="shared" si="20"/>
        <v>33010</v>
      </c>
      <c r="V194" s="217">
        <f t="shared" si="21"/>
        <v>19035</v>
      </c>
      <c r="W194" s="217">
        <f>ROUND(AC194+(INDEX(Ref!B$1:B$9,MATCH($AI194,Ref!$A$1:$A$9,0))*P194*0.0001),)</f>
        <v>26</v>
      </c>
      <c r="X194" s="217">
        <f>ROUND(AD194+(INDEX(Ref!C$1:C$9,MATCH($AI194,Ref!$A$1:$A$9,0))*$P194*0.0001),)</f>
        <v>47</v>
      </c>
      <c r="Y194" s="217">
        <f>ROUND(AE194+(INDEX(Ref!D$1:D$9,MATCH($AI194,Ref!$A$1:$A$9,0))*$P194*0.0001),)</f>
        <v>50</v>
      </c>
      <c r="Z194" s="217">
        <f>ROUND(AF194+(INDEX(Ref!E$1:E$9,MATCH($AI194,Ref!$A$1:$A$9,0))*$P194*0.0001),)</f>
        <v>60</v>
      </c>
      <c r="AA194" s="217">
        <f>ROUND(AG194+(INDEX(Ref!F$1:F$9,MATCH($AI194,Ref!$A$1:$A$9,0))*$P194*0.0001),)</f>
        <v>28</v>
      </c>
      <c r="AB194" s="217">
        <f>ROUND(AH194+(INDEX(Ref!G$1:G$9,MATCH($AI194,Ref!$A$1:$A$9,0))*$P194*0.0001),)</f>
        <v>53</v>
      </c>
      <c r="AC194" s="137">
        <v>19</v>
      </c>
      <c r="AD194" s="137">
        <v>36</v>
      </c>
      <c r="AE194" s="137">
        <v>42</v>
      </c>
      <c r="AF194" s="137">
        <v>46</v>
      </c>
      <c r="AG194" s="137">
        <v>21</v>
      </c>
      <c r="AH194" s="137">
        <v>40</v>
      </c>
      <c r="AI194" s="208">
        <v>6</v>
      </c>
      <c r="AJ194" s="172">
        <v>3000</v>
      </c>
      <c r="AK194" s="172">
        <v>30230</v>
      </c>
      <c r="AL194" s="172">
        <v>2000</v>
      </c>
      <c r="AM194" s="172">
        <v>30233</v>
      </c>
      <c r="AN194" s="172">
        <v>0</v>
      </c>
      <c r="AO194" s="172">
        <f t="shared" si="22"/>
        <v>34230</v>
      </c>
      <c r="AP194" s="172">
        <v>0</v>
      </c>
      <c r="AQ194" s="172">
        <f t="shared" si="23"/>
        <v>34233</v>
      </c>
      <c r="AR194" s="172">
        <v>1</v>
      </c>
      <c r="AS194" s="172">
        <v>0</v>
      </c>
      <c r="AT194" s="199">
        <v>78039</v>
      </c>
      <c r="AU194" s="195" t="s">
        <v>189</v>
      </c>
    </row>
    <row r="195" spans="1:47" x14ac:dyDescent="0.2">
      <c r="A195" s="173">
        <v>55039</v>
      </c>
      <c r="B195" s="174" t="s">
        <v>187</v>
      </c>
      <c r="C195" s="172">
        <v>86039</v>
      </c>
      <c r="D195" s="172">
        <v>150039</v>
      </c>
      <c r="E195" s="206" t="s">
        <v>188</v>
      </c>
      <c r="F195" s="207">
        <v>2</v>
      </c>
      <c r="G195" s="172">
        <v>13000</v>
      </c>
      <c r="H195" s="172">
        <v>9000</v>
      </c>
      <c r="I195" s="172">
        <v>10000</v>
      </c>
      <c r="J195" s="172">
        <v>4</v>
      </c>
      <c r="K195" s="190">
        <f>IF($J195=1,INDEX('큐펫&amp;몹 정리(최신)'!P:P,MATCH($E195,'큐펫&amp;몹 정리(최신)'!$B:$B,0))*20,IF($J195=2,INDEX('큐펫&amp;몹 정리(최신)'!P:P,MATCH($E195,'큐펫&amp;몹 정리(최신)'!$B:$B,0))*25,IF($J195=3,INDEX('큐펫&amp;몹 정리(최신)'!P:P,MATCH($E195,'큐펫&amp;몹 정리(최신)'!$B:$B,0))*30,IF($J195=4,INDEX('큐펫&amp;몹 정리(최신)'!P:P,MATCH($E195,'큐펫&amp;몹 정리(최신)'!$B:$B,0))*35,INDEX('큐펫&amp;몹 정리(최신)'!P:P,MATCH($E195,'큐펫&amp;몹 정리(최신)'!$B:$B,0))*40))))</f>
        <v>1575</v>
      </c>
      <c r="L195" s="190">
        <f>IF($J195=1,INDEX('큐펫&amp;몹 정리(최신)'!Q:Q,MATCH($E195,'큐펫&amp;몹 정리(최신)'!$B:$B,0))*20,IF($J195=2,INDEX('큐펫&amp;몹 정리(최신)'!Q:Q,MATCH($E195,'큐펫&amp;몹 정리(최신)'!$B:$B,0))*25,IF($J195=3,INDEX('큐펫&amp;몹 정리(최신)'!Q:Q,MATCH($E195,'큐펫&amp;몹 정리(최신)'!$B:$B,0))*30,IF($J195=4,INDEX('큐펫&amp;몹 정리(최신)'!Q:Q,MATCH($E195,'큐펫&amp;몹 정리(최신)'!$B:$B,0))*35,INDEX('큐펫&amp;몹 정리(최신)'!Q:Q,MATCH($E195,'큐펫&amp;몹 정리(최신)'!$B:$B,0))*40))))</f>
        <v>175</v>
      </c>
      <c r="M195" s="190">
        <f>IF($J195=1,INDEX('큐펫&amp;몹 정리(최신)'!R:R,MATCH($E195,'큐펫&amp;몹 정리(최신)'!$B:$B,0))*20,IF($J195=2,INDEX('큐펫&amp;몹 정리(최신)'!R:R,MATCH($E195,'큐펫&amp;몹 정리(최신)'!$B:$B,0))*25,IF($J195=3,INDEX('큐펫&amp;몹 정리(최신)'!R:R,MATCH($E195,'큐펫&amp;몹 정리(최신)'!$B:$B,0))*30,IF($J195=4,INDEX('큐펫&amp;몹 정리(최신)'!R:R,MATCH($E195,'큐펫&amp;몹 정리(최신)'!$B:$B,0))*35,INDEX('큐펫&amp;몹 정리(최신)'!R:R,MATCH($E195,'큐펫&amp;몹 정리(최신)'!$B:$B,0))*40))))</f>
        <v>245</v>
      </c>
      <c r="N195" s="190">
        <f>IF($J195=1,INDEX('큐펫&amp;몹 정리(최신)'!S:S,MATCH($E195,'큐펫&amp;몹 정리(최신)'!$B:$B,0))*20,IF($J195=2,INDEX('큐펫&amp;몹 정리(최신)'!S:S,MATCH($E195,'큐펫&amp;몹 정리(최신)'!$B:$B,0))*25,IF($J195=3,INDEX('큐펫&amp;몹 정리(최신)'!S:S,MATCH($E195,'큐펫&amp;몹 정리(최신)'!$B:$B,0))*30,IF($J195=4,INDEX('큐펫&amp;몹 정리(최신)'!S:S,MATCH($E195,'큐펫&amp;몹 정리(최신)'!$B:$B,0))*35,INDEX('큐펫&amp;몹 정리(최신)'!S:S,MATCH($E195,'큐펫&amp;몹 정리(최신)'!$B:$B,0))*40))))</f>
        <v>700</v>
      </c>
      <c r="O195" s="190">
        <f>IF($J195=1,INDEX('큐펫&amp;몹 정리(최신)'!T:T,MATCH($E195,'큐펫&amp;몹 정리(최신)'!$B:$B,0))*20,IF($J195=2,INDEX('큐펫&amp;몹 정리(최신)'!T:T,MATCH($E195,'큐펫&amp;몹 정리(최신)'!$B:$B,0))*25,IF($J195=3,INDEX('큐펫&amp;몹 정리(최신)'!T:T,MATCH($E195,'큐펫&amp;몹 정리(최신)'!$B:$B,0))*30,IF($J195=4,INDEX('큐펫&amp;몹 정리(최신)'!T:T,MATCH($E195,'큐펫&amp;몹 정리(최신)'!$B:$B,0))*35,INDEX('큐펫&amp;몹 정리(최신)'!T:T,MATCH($E195,'큐펫&amp;몹 정리(최신)'!$B:$B,0))*40))))</f>
        <v>805</v>
      </c>
      <c r="P195" s="217">
        <v>80</v>
      </c>
      <c r="Q195" s="217">
        <f t="shared" ref="Q195:Q258" si="24">ROUNDDOWN((100*QUOTIENT(K195,20))+((P195*K195)*(1+(Y195/100))),)</f>
        <v>201840</v>
      </c>
      <c r="R195" s="217">
        <f t="shared" ref="R195:R258" si="25">ROUNDDOWN((((W195*W195)*L195)/100)+(W195*2)+(AA195/4)+(AB195/5)+(P195/2),)</f>
        <v>1804</v>
      </c>
      <c r="S195" s="217">
        <f t="shared" ref="S195:S258" si="26">ROUNDDOWN((((AA195*AA195)*L195)/100)+(AA195*2)+(W195/4)+(AB195/5)+(P195/2),)</f>
        <v>2150</v>
      </c>
      <c r="T195" s="217">
        <f t="shared" ref="T195:T258" si="27">ROUNDDOWN((((((Z195*Z195)*M195)/100+(Z195*2))+(AB195/4))+(AA195/8))+(P195/2),)</f>
        <v>12204</v>
      </c>
      <c r="U195" s="217">
        <f t="shared" ref="U195:U258" si="28">ROUNDDOWN(((Y195+P195)*N195)/2,)+ROUNDDOWN(W195/4,)+ROUNDDOWN(X195/10,)</f>
        <v>46912</v>
      </c>
      <c r="V195" s="217">
        <f t="shared" ref="V195:V258" si="29">ROUNDDOWN(((Y195+P195)*O195)/4,)+Z195</f>
        <v>27037</v>
      </c>
      <c r="W195" s="217">
        <f>ROUND(AC195+(INDEX(Ref!B$1:B$9,MATCH($AI195,Ref!$A$1:$A$9,0))*P195*0.0001),)</f>
        <v>31</v>
      </c>
      <c r="X195" s="217">
        <f>ROUND(AD195+(INDEX(Ref!C$1:C$9,MATCH($AI195,Ref!$A$1:$A$9,0))*$P195*0.0001),)</f>
        <v>54</v>
      </c>
      <c r="Y195" s="217">
        <f>ROUND(AE195+(INDEX(Ref!D$1:D$9,MATCH($AI195,Ref!$A$1:$A$9,0))*$P195*0.0001),)</f>
        <v>54</v>
      </c>
      <c r="Z195" s="217">
        <f>ROUND(AF195+(INDEX(Ref!E$1:E$9,MATCH($AI195,Ref!$A$1:$A$9,0))*$P195*0.0001),)</f>
        <v>70</v>
      </c>
      <c r="AA195" s="217">
        <f>ROUND(AG195+(INDEX(Ref!F$1:F$9,MATCH($AI195,Ref!$A$1:$A$9,0))*$P195*0.0001),)</f>
        <v>34</v>
      </c>
      <c r="AB195" s="217">
        <f>ROUND(AH195+(INDEX(Ref!G$1:G$9,MATCH($AI195,Ref!$A$1:$A$9,0))*$P195*0.0001),)</f>
        <v>61</v>
      </c>
      <c r="AC195" s="137">
        <v>22</v>
      </c>
      <c r="AD195" s="137">
        <v>39</v>
      </c>
      <c r="AE195" s="137">
        <v>44</v>
      </c>
      <c r="AF195" s="137">
        <v>51</v>
      </c>
      <c r="AG195" s="137">
        <v>24</v>
      </c>
      <c r="AH195" s="137">
        <v>44</v>
      </c>
      <c r="AI195" s="208">
        <v>6</v>
      </c>
      <c r="AJ195" s="172">
        <v>3000</v>
      </c>
      <c r="AK195" s="172">
        <v>30231</v>
      </c>
      <c r="AL195" s="172">
        <v>2000</v>
      </c>
      <c r="AM195" s="172">
        <v>30233</v>
      </c>
      <c r="AN195" s="172">
        <v>0</v>
      </c>
      <c r="AO195" s="172">
        <f t="shared" si="22"/>
        <v>34231</v>
      </c>
      <c r="AP195" s="172">
        <v>0</v>
      </c>
      <c r="AQ195" s="172">
        <f t="shared" si="23"/>
        <v>34233</v>
      </c>
      <c r="AR195" s="172">
        <v>1</v>
      </c>
      <c r="AS195" s="172">
        <v>0</v>
      </c>
      <c r="AT195" s="199">
        <v>78039</v>
      </c>
      <c r="AU195" s="195" t="s">
        <v>189</v>
      </c>
    </row>
    <row r="196" spans="1:47" x14ac:dyDescent="0.2">
      <c r="A196" s="173">
        <v>55039</v>
      </c>
      <c r="B196" s="174" t="s">
        <v>187</v>
      </c>
      <c r="C196" s="172">
        <v>86039</v>
      </c>
      <c r="D196" s="172">
        <v>150039</v>
      </c>
      <c r="E196" s="206" t="s">
        <v>188</v>
      </c>
      <c r="F196" s="207">
        <v>2</v>
      </c>
      <c r="G196" s="172">
        <v>13000</v>
      </c>
      <c r="H196" s="172">
        <v>9000</v>
      </c>
      <c r="I196" s="172">
        <v>10000</v>
      </c>
      <c r="J196" s="172">
        <v>5</v>
      </c>
      <c r="K196" s="190">
        <f>IF($J196=1,INDEX('큐펫&amp;몹 정리(최신)'!P:P,MATCH($E196,'큐펫&amp;몹 정리(최신)'!$B:$B,0))*20,IF($J196=2,INDEX('큐펫&amp;몹 정리(최신)'!P:P,MATCH($E196,'큐펫&amp;몹 정리(최신)'!$B:$B,0))*25,IF($J196=3,INDEX('큐펫&amp;몹 정리(최신)'!P:P,MATCH($E196,'큐펫&amp;몹 정리(최신)'!$B:$B,0))*30,IF($J196=4,INDEX('큐펫&amp;몹 정리(최신)'!P:P,MATCH($E196,'큐펫&amp;몹 정리(최신)'!$B:$B,0))*35,INDEX('큐펫&amp;몹 정리(최신)'!P:P,MATCH($E196,'큐펫&amp;몹 정리(최신)'!$B:$B,0))*40))))</f>
        <v>1800</v>
      </c>
      <c r="L196" s="190">
        <f>IF($J196=1,INDEX('큐펫&amp;몹 정리(최신)'!Q:Q,MATCH($E196,'큐펫&amp;몹 정리(최신)'!$B:$B,0))*20,IF($J196=2,INDEX('큐펫&amp;몹 정리(최신)'!Q:Q,MATCH($E196,'큐펫&amp;몹 정리(최신)'!$B:$B,0))*25,IF($J196=3,INDEX('큐펫&amp;몹 정리(최신)'!Q:Q,MATCH($E196,'큐펫&amp;몹 정리(최신)'!$B:$B,0))*30,IF($J196=4,INDEX('큐펫&amp;몹 정리(최신)'!Q:Q,MATCH($E196,'큐펫&amp;몹 정리(최신)'!$B:$B,0))*35,INDEX('큐펫&amp;몹 정리(최신)'!Q:Q,MATCH($E196,'큐펫&amp;몹 정리(최신)'!$B:$B,0))*40))))</f>
        <v>200</v>
      </c>
      <c r="M196" s="190">
        <f>IF($J196=1,INDEX('큐펫&amp;몹 정리(최신)'!R:R,MATCH($E196,'큐펫&amp;몹 정리(최신)'!$B:$B,0))*20,IF($J196=2,INDEX('큐펫&amp;몹 정리(최신)'!R:R,MATCH($E196,'큐펫&amp;몹 정리(최신)'!$B:$B,0))*25,IF($J196=3,INDEX('큐펫&amp;몹 정리(최신)'!R:R,MATCH($E196,'큐펫&amp;몹 정리(최신)'!$B:$B,0))*30,IF($J196=4,INDEX('큐펫&amp;몹 정리(최신)'!R:R,MATCH($E196,'큐펫&amp;몹 정리(최신)'!$B:$B,0))*35,INDEX('큐펫&amp;몹 정리(최신)'!R:R,MATCH($E196,'큐펫&amp;몹 정리(최신)'!$B:$B,0))*40))))</f>
        <v>280</v>
      </c>
      <c r="N196" s="190">
        <f>IF($J196=1,INDEX('큐펫&amp;몹 정리(최신)'!S:S,MATCH($E196,'큐펫&amp;몹 정리(최신)'!$B:$B,0))*20,IF($J196=2,INDEX('큐펫&amp;몹 정리(최신)'!S:S,MATCH($E196,'큐펫&amp;몹 정리(최신)'!$B:$B,0))*25,IF($J196=3,INDEX('큐펫&amp;몹 정리(최신)'!S:S,MATCH($E196,'큐펫&amp;몹 정리(최신)'!$B:$B,0))*30,IF($J196=4,INDEX('큐펫&amp;몹 정리(최신)'!S:S,MATCH($E196,'큐펫&amp;몹 정리(최신)'!$B:$B,0))*35,INDEX('큐펫&amp;몹 정리(최신)'!S:S,MATCH($E196,'큐펫&amp;몹 정리(최신)'!$B:$B,0))*40))))</f>
        <v>800</v>
      </c>
      <c r="O196" s="190">
        <f>IF($J196=1,INDEX('큐펫&amp;몹 정리(최신)'!T:T,MATCH($E196,'큐펫&amp;몹 정리(최신)'!$B:$B,0))*20,IF($J196=2,INDEX('큐펫&amp;몹 정리(최신)'!T:T,MATCH($E196,'큐펫&amp;몹 정리(최신)'!$B:$B,0))*25,IF($J196=3,INDEX('큐펫&amp;몹 정리(최신)'!T:T,MATCH($E196,'큐펫&amp;몹 정리(최신)'!$B:$B,0))*30,IF($J196=4,INDEX('큐펫&amp;몹 정리(최신)'!T:T,MATCH($E196,'큐펫&amp;몹 정리(최신)'!$B:$B,0))*35,INDEX('큐펫&amp;몹 정리(최신)'!T:T,MATCH($E196,'큐펫&amp;몹 정리(최신)'!$B:$B,0))*40))))</f>
        <v>920</v>
      </c>
      <c r="P196" s="217">
        <v>100</v>
      </c>
      <c r="Q196" s="217">
        <f t="shared" si="24"/>
        <v>297000</v>
      </c>
      <c r="R196" s="217">
        <f t="shared" si="25"/>
        <v>2593</v>
      </c>
      <c r="S196" s="217">
        <f t="shared" si="26"/>
        <v>3036</v>
      </c>
      <c r="T196" s="217">
        <f t="shared" si="27"/>
        <v>18152</v>
      </c>
      <c r="U196" s="217">
        <f t="shared" si="28"/>
        <v>64014</v>
      </c>
      <c r="V196" s="217">
        <f t="shared" si="29"/>
        <v>36880</v>
      </c>
      <c r="W196" s="217">
        <f>ROUND(AC196+(INDEX(Ref!B$1:B$9,MATCH($AI196,Ref!$A$1:$A$9,0))*P196*0.0001),)</f>
        <v>35</v>
      </c>
      <c r="X196" s="217">
        <f>ROUND(AD196+(INDEX(Ref!C$1:C$9,MATCH($AI196,Ref!$A$1:$A$9,0))*$P196*0.0001),)</f>
        <v>62</v>
      </c>
      <c r="Y196" s="217">
        <f>ROUND(AE196+(INDEX(Ref!D$1:D$9,MATCH($AI196,Ref!$A$1:$A$9,0))*$P196*0.0001),)</f>
        <v>60</v>
      </c>
      <c r="Z196" s="217">
        <f>ROUND(AF196+(INDEX(Ref!E$1:E$9,MATCH($AI196,Ref!$A$1:$A$9,0))*$P196*0.0001),)</f>
        <v>80</v>
      </c>
      <c r="AA196" s="217">
        <f>ROUND(AG196+(INDEX(Ref!F$1:F$9,MATCH($AI196,Ref!$A$1:$A$9,0))*$P196*0.0001),)</f>
        <v>38</v>
      </c>
      <c r="AB196" s="217">
        <f>ROUND(AH196+(INDEX(Ref!G$1:G$9,MATCH($AI196,Ref!$A$1:$A$9,0))*$P196*0.0001),)</f>
        <v>69</v>
      </c>
      <c r="AC196" s="137">
        <v>24</v>
      </c>
      <c r="AD196" s="137">
        <v>43</v>
      </c>
      <c r="AE196" s="137">
        <v>47</v>
      </c>
      <c r="AF196" s="137">
        <v>56</v>
      </c>
      <c r="AG196" s="137">
        <v>26</v>
      </c>
      <c r="AH196" s="137">
        <v>48</v>
      </c>
      <c r="AI196" s="208">
        <v>6</v>
      </c>
      <c r="AJ196" s="172">
        <v>3000</v>
      </c>
      <c r="AK196" s="172">
        <v>30231</v>
      </c>
      <c r="AL196" s="172">
        <v>2000</v>
      </c>
      <c r="AM196" s="172">
        <v>30234</v>
      </c>
      <c r="AN196" s="172">
        <v>0</v>
      </c>
      <c r="AO196" s="172">
        <f t="shared" si="22"/>
        <v>34231</v>
      </c>
      <c r="AP196" s="172">
        <v>0</v>
      </c>
      <c r="AQ196" s="172">
        <f t="shared" si="23"/>
        <v>34234</v>
      </c>
      <c r="AR196" s="172">
        <v>1</v>
      </c>
      <c r="AS196" s="172">
        <v>0</v>
      </c>
      <c r="AT196" s="199">
        <v>78039</v>
      </c>
      <c r="AU196" s="195" t="s">
        <v>189</v>
      </c>
    </row>
    <row r="197" spans="1:47" x14ac:dyDescent="0.2">
      <c r="A197" s="173">
        <v>55040</v>
      </c>
      <c r="B197" s="174" t="s">
        <v>190</v>
      </c>
      <c r="C197" s="172">
        <v>86040</v>
      </c>
      <c r="D197" s="172">
        <v>150040</v>
      </c>
      <c r="E197" s="206" t="s">
        <v>191</v>
      </c>
      <c r="F197" s="207">
        <v>6</v>
      </c>
      <c r="G197" s="173">
        <v>11500</v>
      </c>
      <c r="H197" s="173">
        <v>9500</v>
      </c>
      <c r="I197" s="172">
        <v>10000</v>
      </c>
      <c r="J197" s="172">
        <v>1</v>
      </c>
      <c r="K197" s="190">
        <f>IF($J197=1,INDEX('큐펫&amp;몹 정리(최신)'!P:P,MATCH($E197,'큐펫&amp;몹 정리(최신)'!$B:$B,0))*20,IF($J197=2,INDEX('큐펫&amp;몹 정리(최신)'!P:P,MATCH($E197,'큐펫&amp;몹 정리(최신)'!$B:$B,0))*25,IF($J197=3,INDEX('큐펫&amp;몹 정리(최신)'!P:P,MATCH($E197,'큐펫&amp;몹 정리(최신)'!$B:$B,0))*30,IF($J197=4,INDEX('큐펫&amp;몹 정리(최신)'!P:P,MATCH($E197,'큐펫&amp;몹 정리(최신)'!$B:$B,0))*35,INDEX('큐펫&amp;몹 정리(최신)'!P:P,MATCH($E197,'큐펫&amp;몹 정리(최신)'!$B:$B,0))*40))))</f>
        <v>700</v>
      </c>
      <c r="L197" s="190">
        <f>IF($J197=1,INDEX('큐펫&amp;몹 정리(최신)'!Q:Q,MATCH($E197,'큐펫&amp;몹 정리(최신)'!$B:$B,0))*20,IF($J197=2,INDEX('큐펫&amp;몹 정리(최신)'!Q:Q,MATCH($E197,'큐펫&amp;몹 정리(최신)'!$B:$B,0))*25,IF($J197=3,INDEX('큐펫&amp;몹 정리(최신)'!Q:Q,MATCH($E197,'큐펫&amp;몹 정리(최신)'!$B:$B,0))*30,IF($J197=4,INDEX('큐펫&amp;몹 정리(최신)'!Q:Q,MATCH($E197,'큐펫&amp;몹 정리(최신)'!$B:$B,0))*35,INDEX('큐펫&amp;몹 정리(최신)'!Q:Q,MATCH($E197,'큐펫&amp;몹 정리(최신)'!$B:$B,0))*40))))</f>
        <v>420</v>
      </c>
      <c r="M197" s="190">
        <f>IF($J197=1,INDEX('큐펫&amp;몹 정리(최신)'!R:R,MATCH($E197,'큐펫&amp;몹 정리(최신)'!$B:$B,0))*20,IF($J197=2,INDEX('큐펫&amp;몹 정리(최신)'!R:R,MATCH($E197,'큐펫&amp;몹 정리(최신)'!$B:$B,0))*25,IF($J197=3,INDEX('큐펫&amp;몹 정리(최신)'!R:R,MATCH($E197,'큐펫&amp;몹 정리(최신)'!$B:$B,0))*30,IF($J197=4,INDEX('큐펫&amp;몹 정리(최신)'!R:R,MATCH($E197,'큐펫&amp;몹 정리(최신)'!$B:$B,0))*35,INDEX('큐펫&amp;몹 정리(최신)'!R:R,MATCH($E197,'큐펫&amp;몹 정리(최신)'!$B:$B,0))*40))))</f>
        <v>120</v>
      </c>
      <c r="N197" s="190">
        <f>IF($J197=1,INDEX('큐펫&amp;몹 정리(최신)'!S:S,MATCH($E197,'큐펫&amp;몹 정리(최신)'!$B:$B,0))*20,IF($J197=2,INDEX('큐펫&amp;몹 정리(최신)'!S:S,MATCH($E197,'큐펫&amp;몹 정리(최신)'!$B:$B,0))*25,IF($J197=3,INDEX('큐펫&amp;몹 정리(최신)'!S:S,MATCH($E197,'큐펫&amp;몹 정리(최신)'!$B:$B,0))*30,IF($J197=4,INDEX('큐펫&amp;몹 정리(최신)'!S:S,MATCH($E197,'큐펫&amp;몹 정리(최신)'!$B:$B,0))*35,INDEX('큐펫&amp;몹 정리(최신)'!S:S,MATCH($E197,'큐펫&amp;몹 정리(최신)'!$B:$B,0))*40))))</f>
        <v>360</v>
      </c>
      <c r="O197" s="190">
        <f>IF($J197=1,INDEX('큐펫&amp;몹 정리(최신)'!T:T,MATCH($E197,'큐펫&amp;몹 정리(최신)'!$B:$B,0))*20,IF($J197=2,INDEX('큐펫&amp;몹 정리(최신)'!T:T,MATCH($E197,'큐펫&amp;몹 정리(최신)'!$B:$B,0))*25,IF($J197=3,INDEX('큐펫&amp;몹 정리(최신)'!T:T,MATCH($E197,'큐펫&amp;몹 정리(최신)'!$B:$B,0))*30,IF($J197=4,INDEX('큐펫&amp;몹 정리(최신)'!T:T,MATCH($E197,'큐펫&amp;몹 정리(최신)'!$B:$B,0))*35,INDEX('큐펫&amp;몹 정리(최신)'!T:T,MATCH($E197,'큐펫&amp;몹 정리(최신)'!$B:$B,0))*40))))</f>
        <v>400</v>
      </c>
      <c r="P197" s="217">
        <v>20</v>
      </c>
      <c r="Q197" s="217">
        <f t="shared" si="24"/>
        <v>24780</v>
      </c>
      <c r="R197" s="217">
        <f t="shared" si="25"/>
        <v>7871</v>
      </c>
      <c r="S197" s="217">
        <f t="shared" si="26"/>
        <v>2292</v>
      </c>
      <c r="T197" s="217">
        <f t="shared" si="27"/>
        <v>489</v>
      </c>
      <c r="U197" s="217">
        <f t="shared" si="28"/>
        <v>12972</v>
      </c>
      <c r="V197" s="217">
        <f t="shared" si="29"/>
        <v>7219</v>
      </c>
      <c r="W197" s="217">
        <f>ROUND(AC197+(INDEX(Ref!B$1:B$9,MATCH($AI197,Ref!$A$1:$A$9,0))*P197*0.0001),)</f>
        <v>43</v>
      </c>
      <c r="X197" s="217">
        <f>ROUND(AD197+(INDEX(Ref!C$1:C$9,MATCH($AI197,Ref!$A$1:$A$9,0))*$P197*0.0001),)</f>
        <v>26</v>
      </c>
      <c r="Y197" s="217">
        <f>ROUND(AE197+(INDEX(Ref!D$1:D$9,MATCH($AI197,Ref!$A$1:$A$9,0))*$P197*0.0001),)</f>
        <v>52</v>
      </c>
      <c r="Z197" s="217">
        <f>ROUND(AF197+(INDEX(Ref!E$1:E$9,MATCH($AI197,Ref!$A$1:$A$9,0))*$P197*0.0001),)</f>
        <v>19</v>
      </c>
      <c r="AA197" s="217">
        <f>ROUND(AG197+(INDEX(Ref!F$1:F$9,MATCH($AI197,Ref!$A$1:$A$9,0))*$P197*0.0001),)</f>
        <v>23</v>
      </c>
      <c r="AB197" s="217">
        <f>ROUND(AH197+(INDEX(Ref!G$1:G$9,MATCH($AI197,Ref!$A$1:$A$9,0))*$P197*0.0001),)</f>
        <v>21</v>
      </c>
      <c r="AC197" s="137">
        <v>38</v>
      </c>
      <c r="AD197" s="137">
        <v>23</v>
      </c>
      <c r="AE197" s="137">
        <v>48</v>
      </c>
      <c r="AF197" s="137">
        <v>17</v>
      </c>
      <c r="AG197" s="137">
        <v>20</v>
      </c>
      <c r="AH197" s="137">
        <v>18</v>
      </c>
      <c r="AI197" s="208">
        <v>1</v>
      </c>
      <c r="AJ197" s="172">
        <v>3000</v>
      </c>
      <c r="AK197" s="172">
        <v>30235</v>
      </c>
      <c r="AL197" s="172">
        <v>2000</v>
      </c>
      <c r="AM197" s="172">
        <v>30238</v>
      </c>
      <c r="AN197" s="172">
        <v>0</v>
      </c>
      <c r="AO197" s="172">
        <f t="shared" si="22"/>
        <v>34235</v>
      </c>
      <c r="AP197" s="172">
        <v>0</v>
      </c>
      <c r="AQ197" s="172">
        <f t="shared" si="23"/>
        <v>34238</v>
      </c>
      <c r="AR197" s="172">
        <v>1</v>
      </c>
      <c r="AS197" s="172">
        <v>0</v>
      </c>
      <c r="AT197" s="199">
        <v>78040</v>
      </c>
      <c r="AU197" s="195" t="s">
        <v>192</v>
      </c>
    </row>
    <row r="198" spans="1:47" x14ac:dyDescent="0.2">
      <c r="A198" s="173">
        <v>55040</v>
      </c>
      <c r="B198" s="174" t="s">
        <v>190</v>
      </c>
      <c r="C198" s="172">
        <v>86040</v>
      </c>
      <c r="D198" s="172">
        <v>150040</v>
      </c>
      <c r="E198" s="206" t="s">
        <v>191</v>
      </c>
      <c r="F198" s="207">
        <v>6</v>
      </c>
      <c r="G198" s="173">
        <v>11500</v>
      </c>
      <c r="H198" s="173">
        <v>9500</v>
      </c>
      <c r="I198" s="172">
        <v>10000</v>
      </c>
      <c r="J198" s="172">
        <v>2</v>
      </c>
      <c r="K198" s="190">
        <f>IF($J198=1,INDEX('큐펫&amp;몹 정리(최신)'!P:P,MATCH($E198,'큐펫&amp;몹 정리(최신)'!$B:$B,0))*20,IF($J198=2,INDEX('큐펫&amp;몹 정리(최신)'!P:P,MATCH($E198,'큐펫&amp;몹 정리(최신)'!$B:$B,0))*25,IF($J198=3,INDEX('큐펫&amp;몹 정리(최신)'!P:P,MATCH($E198,'큐펫&amp;몹 정리(최신)'!$B:$B,0))*30,IF($J198=4,INDEX('큐펫&amp;몹 정리(최신)'!P:P,MATCH($E198,'큐펫&amp;몹 정리(최신)'!$B:$B,0))*35,INDEX('큐펫&amp;몹 정리(최신)'!P:P,MATCH($E198,'큐펫&amp;몹 정리(최신)'!$B:$B,0))*40))))</f>
        <v>875</v>
      </c>
      <c r="L198" s="190">
        <f>IF($J198=1,INDEX('큐펫&amp;몹 정리(최신)'!Q:Q,MATCH($E198,'큐펫&amp;몹 정리(최신)'!$B:$B,0))*20,IF($J198=2,INDEX('큐펫&amp;몹 정리(최신)'!Q:Q,MATCH($E198,'큐펫&amp;몹 정리(최신)'!$B:$B,0))*25,IF($J198=3,INDEX('큐펫&amp;몹 정리(최신)'!Q:Q,MATCH($E198,'큐펫&amp;몹 정리(최신)'!$B:$B,0))*30,IF($J198=4,INDEX('큐펫&amp;몹 정리(최신)'!Q:Q,MATCH($E198,'큐펫&amp;몹 정리(최신)'!$B:$B,0))*35,INDEX('큐펫&amp;몹 정리(최신)'!Q:Q,MATCH($E198,'큐펫&amp;몹 정리(최신)'!$B:$B,0))*40))))</f>
        <v>525</v>
      </c>
      <c r="M198" s="190">
        <f>IF($J198=1,INDEX('큐펫&amp;몹 정리(최신)'!R:R,MATCH($E198,'큐펫&amp;몹 정리(최신)'!$B:$B,0))*20,IF($J198=2,INDEX('큐펫&amp;몹 정리(최신)'!R:R,MATCH($E198,'큐펫&amp;몹 정리(최신)'!$B:$B,0))*25,IF($J198=3,INDEX('큐펫&amp;몹 정리(최신)'!R:R,MATCH($E198,'큐펫&amp;몹 정리(최신)'!$B:$B,0))*30,IF($J198=4,INDEX('큐펫&amp;몹 정리(최신)'!R:R,MATCH($E198,'큐펫&amp;몹 정리(최신)'!$B:$B,0))*35,INDEX('큐펫&amp;몹 정리(최신)'!R:R,MATCH($E198,'큐펫&amp;몹 정리(최신)'!$B:$B,0))*40))))</f>
        <v>150</v>
      </c>
      <c r="N198" s="190">
        <f>IF($J198=1,INDEX('큐펫&amp;몹 정리(최신)'!S:S,MATCH($E198,'큐펫&amp;몹 정리(최신)'!$B:$B,0))*20,IF($J198=2,INDEX('큐펫&amp;몹 정리(최신)'!S:S,MATCH($E198,'큐펫&amp;몹 정리(최신)'!$B:$B,0))*25,IF($J198=3,INDEX('큐펫&amp;몹 정리(최신)'!S:S,MATCH($E198,'큐펫&amp;몹 정리(최신)'!$B:$B,0))*30,IF($J198=4,INDEX('큐펫&amp;몹 정리(최신)'!S:S,MATCH($E198,'큐펫&amp;몹 정리(최신)'!$B:$B,0))*35,INDEX('큐펫&amp;몹 정리(최신)'!S:S,MATCH($E198,'큐펫&amp;몹 정리(최신)'!$B:$B,0))*40))))</f>
        <v>450</v>
      </c>
      <c r="O198" s="190">
        <f>IF($J198=1,INDEX('큐펫&amp;몹 정리(최신)'!T:T,MATCH($E198,'큐펫&amp;몹 정리(최신)'!$B:$B,0))*20,IF($J198=2,INDEX('큐펫&amp;몹 정리(최신)'!T:T,MATCH($E198,'큐펫&amp;몹 정리(최신)'!$B:$B,0))*25,IF($J198=3,INDEX('큐펫&amp;몹 정리(최신)'!T:T,MATCH($E198,'큐펫&amp;몹 정리(최신)'!$B:$B,0))*30,IF($J198=4,INDEX('큐펫&amp;몹 정리(최신)'!T:T,MATCH($E198,'큐펫&amp;몹 정리(최신)'!$B:$B,0))*35,INDEX('큐펫&amp;몹 정리(최신)'!T:T,MATCH($E198,'큐펫&amp;몹 정리(최신)'!$B:$B,0))*40))))</f>
        <v>500</v>
      </c>
      <c r="P198" s="217">
        <v>40</v>
      </c>
      <c r="Q198" s="217">
        <f t="shared" si="24"/>
        <v>60300</v>
      </c>
      <c r="R198" s="217">
        <f t="shared" si="25"/>
        <v>14885</v>
      </c>
      <c r="S198" s="217">
        <f t="shared" si="26"/>
        <v>4511</v>
      </c>
      <c r="T198" s="217">
        <f t="shared" si="27"/>
        <v>942</v>
      </c>
      <c r="U198" s="217">
        <f t="shared" si="28"/>
        <v>22516</v>
      </c>
      <c r="V198" s="217">
        <f t="shared" si="29"/>
        <v>12524</v>
      </c>
      <c r="W198" s="217">
        <f>ROUND(AC198+(INDEX(Ref!B$1:B$9,MATCH($AI198,Ref!$A$1:$A$9,0))*P198*0.0001),)</f>
        <v>53</v>
      </c>
      <c r="X198" s="217">
        <f>ROUND(AD198+(INDEX(Ref!C$1:C$9,MATCH($AI198,Ref!$A$1:$A$9,0))*$P198*0.0001),)</f>
        <v>32</v>
      </c>
      <c r="Y198" s="217">
        <f>ROUND(AE198+(INDEX(Ref!D$1:D$9,MATCH($AI198,Ref!$A$1:$A$9,0))*$P198*0.0001),)</f>
        <v>60</v>
      </c>
      <c r="Z198" s="217">
        <f>ROUND(AF198+(INDEX(Ref!E$1:E$9,MATCH($AI198,Ref!$A$1:$A$9,0))*$P198*0.0001),)</f>
        <v>24</v>
      </c>
      <c r="AA198" s="217">
        <f>ROUND(AG198+(INDEX(Ref!F$1:F$9,MATCH($AI198,Ref!$A$1:$A$9,0))*$P198*0.0001),)</f>
        <v>29</v>
      </c>
      <c r="AB198" s="217">
        <f>ROUND(AH198+(INDEX(Ref!G$1:G$9,MATCH($AI198,Ref!$A$1:$A$9,0))*$P198*0.0001),)</f>
        <v>26</v>
      </c>
      <c r="AC198" s="137">
        <v>43</v>
      </c>
      <c r="AD198" s="137">
        <v>26</v>
      </c>
      <c r="AE198" s="137">
        <v>52</v>
      </c>
      <c r="AF198" s="137">
        <v>19</v>
      </c>
      <c r="AG198" s="137">
        <v>23</v>
      </c>
      <c r="AH198" s="137">
        <v>21</v>
      </c>
      <c r="AI198" s="208">
        <v>1</v>
      </c>
      <c r="AJ198" s="172">
        <v>3000</v>
      </c>
      <c r="AK198" s="172">
        <v>30236</v>
      </c>
      <c r="AL198" s="172">
        <v>2000</v>
      </c>
      <c r="AM198" s="172">
        <v>30238</v>
      </c>
      <c r="AN198" s="172">
        <v>0</v>
      </c>
      <c r="AO198" s="172">
        <f t="shared" si="22"/>
        <v>34236</v>
      </c>
      <c r="AP198" s="172">
        <v>0</v>
      </c>
      <c r="AQ198" s="172">
        <f t="shared" si="23"/>
        <v>34238</v>
      </c>
      <c r="AR198" s="172">
        <v>1</v>
      </c>
      <c r="AS198" s="172">
        <v>0</v>
      </c>
      <c r="AT198" s="199">
        <v>78040</v>
      </c>
      <c r="AU198" s="195" t="s">
        <v>192</v>
      </c>
    </row>
    <row r="199" spans="1:47" x14ac:dyDescent="0.2">
      <c r="A199" s="173">
        <v>55040</v>
      </c>
      <c r="B199" s="174" t="s">
        <v>190</v>
      </c>
      <c r="C199" s="172">
        <v>86040</v>
      </c>
      <c r="D199" s="172">
        <v>150040</v>
      </c>
      <c r="E199" s="206" t="s">
        <v>191</v>
      </c>
      <c r="F199" s="207">
        <v>6</v>
      </c>
      <c r="G199" s="173">
        <v>11500</v>
      </c>
      <c r="H199" s="173">
        <v>9500</v>
      </c>
      <c r="I199" s="172">
        <v>10000</v>
      </c>
      <c r="J199" s="172">
        <v>3</v>
      </c>
      <c r="K199" s="190">
        <f>IF($J199=1,INDEX('큐펫&amp;몹 정리(최신)'!P:P,MATCH($E199,'큐펫&amp;몹 정리(최신)'!$B:$B,0))*20,IF($J199=2,INDEX('큐펫&amp;몹 정리(최신)'!P:P,MATCH($E199,'큐펫&amp;몹 정리(최신)'!$B:$B,0))*25,IF($J199=3,INDEX('큐펫&amp;몹 정리(최신)'!P:P,MATCH($E199,'큐펫&amp;몹 정리(최신)'!$B:$B,0))*30,IF($J199=4,INDEX('큐펫&amp;몹 정리(최신)'!P:P,MATCH($E199,'큐펫&amp;몹 정리(최신)'!$B:$B,0))*35,INDEX('큐펫&amp;몹 정리(최신)'!P:P,MATCH($E199,'큐펫&amp;몹 정리(최신)'!$B:$B,0))*40))))</f>
        <v>1050</v>
      </c>
      <c r="L199" s="190">
        <f>IF($J199=1,INDEX('큐펫&amp;몹 정리(최신)'!Q:Q,MATCH($E199,'큐펫&amp;몹 정리(최신)'!$B:$B,0))*20,IF($J199=2,INDEX('큐펫&amp;몹 정리(최신)'!Q:Q,MATCH($E199,'큐펫&amp;몹 정리(최신)'!$B:$B,0))*25,IF($J199=3,INDEX('큐펫&amp;몹 정리(최신)'!Q:Q,MATCH($E199,'큐펫&amp;몹 정리(최신)'!$B:$B,0))*30,IF($J199=4,INDEX('큐펫&amp;몹 정리(최신)'!Q:Q,MATCH($E199,'큐펫&amp;몹 정리(최신)'!$B:$B,0))*35,INDEX('큐펫&amp;몹 정리(최신)'!Q:Q,MATCH($E199,'큐펫&amp;몹 정리(최신)'!$B:$B,0))*40))))</f>
        <v>630</v>
      </c>
      <c r="M199" s="190">
        <f>IF($J199=1,INDEX('큐펫&amp;몹 정리(최신)'!R:R,MATCH($E199,'큐펫&amp;몹 정리(최신)'!$B:$B,0))*20,IF($J199=2,INDEX('큐펫&amp;몹 정리(최신)'!R:R,MATCH($E199,'큐펫&amp;몹 정리(최신)'!$B:$B,0))*25,IF($J199=3,INDEX('큐펫&amp;몹 정리(최신)'!R:R,MATCH($E199,'큐펫&amp;몹 정리(최신)'!$B:$B,0))*30,IF($J199=4,INDEX('큐펫&amp;몹 정리(최신)'!R:R,MATCH($E199,'큐펫&amp;몹 정리(최신)'!$B:$B,0))*35,INDEX('큐펫&amp;몹 정리(최신)'!R:R,MATCH($E199,'큐펫&amp;몹 정리(최신)'!$B:$B,0))*40))))</f>
        <v>180</v>
      </c>
      <c r="N199" s="190">
        <f>IF($J199=1,INDEX('큐펫&amp;몹 정리(최신)'!S:S,MATCH($E199,'큐펫&amp;몹 정리(최신)'!$B:$B,0))*20,IF($J199=2,INDEX('큐펫&amp;몹 정리(최신)'!S:S,MATCH($E199,'큐펫&amp;몹 정리(최신)'!$B:$B,0))*25,IF($J199=3,INDEX('큐펫&amp;몹 정리(최신)'!S:S,MATCH($E199,'큐펫&amp;몹 정리(최신)'!$B:$B,0))*30,IF($J199=4,INDEX('큐펫&amp;몹 정리(최신)'!S:S,MATCH($E199,'큐펫&amp;몹 정리(최신)'!$B:$B,0))*35,INDEX('큐펫&amp;몹 정리(최신)'!S:S,MATCH($E199,'큐펫&amp;몹 정리(최신)'!$B:$B,0))*40))))</f>
        <v>540</v>
      </c>
      <c r="O199" s="190">
        <f>IF($J199=1,INDEX('큐펫&amp;몹 정리(최신)'!T:T,MATCH($E199,'큐펫&amp;몹 정리(최신)'!$B:$B,0))*20,IF($J199=2,INDEX('큐펫&amp;몹 정리(최신)'!T:T,MATCH($E199,'큐펫&amp;몹 정리(최신)'!$B:$B,0))*25,IF($J199=3,INDEX('큐펫&amp;몹 정리(최신)'!T:T,MATCH($E199,'큐펫&amp;몹 정리(최신)'!$B:$B,0))*30,IF($J199=4,INDEX('큐펫&amp;몹 정리(최신)'!T:T,MATCH($E199,'큐펫&amp;몹 정리(최신)'!$B:$B,0))*35,INDEX('큐펫&amp;몹 정리(최신)'!T:T,MATCH($E199,'큐펫&amp;몹 정리(최신)'!$B:$B,0))*40))))</f>
        <v>600</v>
      </c>
      <c r="P199" s="217">
        <v>60</v>
      </c>
      <c r="Q199" s="217">
        <f t="shared" si="24"/>
        <v>111040</v>
      </c>
      <c r="R199" s="217">
        <f t="shared" si="25"/>
        <v>25175</v>
      </c>
      <c r="S199" s="217">
        <f t="shared" si="26"/>
        <v>7402</v>
      </c>
      <c r="T199" s="217">
        <f t="shared" si="27"/>
        <v>1509</v>
      </c>
      <c r="U199" s="217">
        <f t="shared" si="28"/>
        <v>34579</v>
      </c>
      <c r="V199" s="217">
        <f t="shared" si="29"/>
        <v>19228</v>
      </c>
      <c r="W199" s="217">
        <f>ROUND(AC199+(INDEX(Ref!B$1:B$9,MATCH($AI199,Ref!$A$1:$A$9,0))*P199*0.0001),)</f>
        <v>63</v>
      </c>
      <c r="X199" s="217">
        <f>ROUND(AD199+(INDEX(Ref!C$1:C$9,MATCH($AI199,Ref!$A$1:$A$9,0))*$P199*0.0001),)</f>
        <v>40</v>
      </c>
      <c r="Y199" s="217">
        <f>ROUND(AE199+(INDEX(Ref!D$1:D$9,MATCH($AI199,Ref!$A$1:$A$9,0))*$P199*0.0001),)</f>
        <v>68</v>
      </c>
      <c r="Z199" s="217">
        <f>ROUND(AF199+(INDEX(Ref!E$1:E$9,MATCH($AI199,Ref!$A$1:$A$9,0))*$P199*0.0001),)</f>
        <v>28</v>
      </c>
      <c r="AA199" s="217">
        <f>ROUND(AG199+(INDEX(Ref!F$1:F$9,MATCH($AI199,Ref!$A$1:$A$9,0))*$P199*0.0001),)</f>
        <v>34</v>
      </c>
      <c r="AB199" s="217">
        <f>ROUND(AH199+(INDEX(Ref!G$1:G$9,MATCH($AI199,Ref!$A$1:$A$9,0))*$P199*0.0001),)</f>
        <v>31</v>
      </c>
      <c r="AC199" s="137">
        <v>48.000000000000007</v>
      </c>
      <c r="AD199" s="137">
        <v>30</v>
      </c>
      <c r="AE199" s="137">
        <v>56</v>
      </c>
      <c r="AF199" s="137">
        <v>21</v>
      </c>
      <c r="AG199" s="137">
        <v>26</v>
      </c>
      <c r="AH199" s="137">
        <v>23</v>
      </c>
      <c r="AI199" s="208">
        <v>1</v>
      </c>
      <c r="AJ199" s="172">
        <v>3000</v>
      </c>
      <c r="AK199" s="172">
        <v>30236</v>
      </c>
      <c r="AL199" s="172">
        <v>2000</v>
      </c>
      <c r="AM199" s="172">
        <v>30239</v>
      </c>
      <c r="AN199" s="172">
        <v>0</v>
      </c>
      <c r="AO199" s="172">
        <f t="shared" si="22"/>
        <v>34236</v>
      </c>
      <c r="AP199" s="172">
        <v>0</v>
      </c>
      <c r="AQ199" s="172">
        <f t="shared" si="23"/>
        <v>34239</v>
      </c>
      <c r="AR199" s="172">
        <v>1</v>
      </c>
      <c r="AS199" s="172">
        <v>0</v>
      </c>
      <c r="AT199" s="199">
        <v>78040</v>
      </c>
      <c r="AU199" s="195" t="s">
        <v>192</v>
      </c>
    </row>
    <row r="200" spans="1:47" x14ac:dyDescent="0.2">
      <c r="A200" s="173">
        <v>55040</v>
      </c>
      <c r="B200" s="174" t="s">
        <v>190</v>
      </c>
      <c r="C200" s="172">
        <v>86040</v>
      </c>
      <c r="D200" s="172">
        <v>150040</v>
      </c>
      <c r="E200" s="206" t="s">
        <v>191</v>
      </c>
      <c r="F200" s="207">
        <v>6</v>
      </c>
      <c r="G200" s="173">
        <v>11500</v>
      </c>
      <c r="H200" s="173">
        <v>9500</v>
      </c>
      <c r="I200" s="172">
        <v>10000</v>
      </c>
      <c r="J200" s="172">
        <v>4</v>
      </c>
      <c r="K200" s="190">
        <f>IF($J200=1,INDEX('큐펫&amp;몹 정리(최신)'!P:P,MATCH($E200,'큐펫&amp;몹 정리(최신)'!$B:$B,0))*20,IF($J200=2,INDEX('큐펫&amp;몹 정리(최신)'!P:P,MATCH($E200,'큐펫&amp;몹 정리(최신)'!$B:$B,0))*25,IF($J200=3,INDEX('큐펫&amp;몹 정리(최신)'!P:P,MATCH($E200,'큐펫&amp;몹 정리(최신)'!$B:$B,0))*30,IF($J200=4,INDEX('큐펫&amp;몹 정리(최신)'!P:P,MATCH($E200,'큐펫&amp;몹 정리(최신)'!$B:$B,0))*35,INDEX('큐펫&amp;몹 정리(최신)'!P:P,MATCH($E200,'큐펫&amp;몹 정리(최신)'!$B:$B,0))*40))))</f>
        <v>1225</v>
      </c>
      <c r="L200" s="190">
        <f>IF($J200=1,INDEX('큐펫&amp;몹 정리(최신)'!Q:Q,MATCH($E200,'큐펫&amp;몹 정리(최신)'!$B:$B,0))*20,IF($J200=2,INDEX('큐펫&amp;몹 정리(최신)'!Q:Q,MATCH($E200,'큐펫&amp;몹 정리(최신)'!$B:$B,0))*25,IF($J200=3,INDEX('큐펫&amp;몹 정리(최신)'!Q:Q,MATCH($E200,'큐펫&amp;몹 정리(최신)'!$B:$B,0))*30,IF($J200=4,INDEX('큐펫&amp;몹 정리(최신)'!Q:Q,MATCH($E200,'큐펫&amp;몹 정리(최신)'!$B:$B,0))*35,INDEX('큐펫&amp;몹 정리(최신)'!Q:Q,MATCH($E200,'큐펫&amp;몹 정리(최신)'!$B:$B,0))*40))))</f>
        <v>735</v>
      </c>
      <c r="M200" s="190">
        <f>IF($J200=1,INDEX('큐펫&amp;몹 정리(최신)'!R:R,MATCH($E200,'큐펫&amp;몹 정리(최신)'!$B:$B,0))*20,IF($J200=2,INDEX('큐펫&amp;몹 정리(최신)'!R:R,MATCH($E200,'큐펫&amp;몹 정리(최신)'!$B:$B,0))*25,IF($J200=3,INDEX('큐펫&amp;몹 정리(최신)'!R:R,MATCH($E200,'큐펫&amp;몹 정리(최신)'!$B:$B,0))*30,IF($J200=4,INDEX('큐펫&amp;몹 정리(최신)'!R:R,MATCH($E200,'큐펫&amp;몹 정리(최신)'!$B:$B,0))*35,INDEX('큐펫&amp;몹 정리(최신)'!R:R,MATCH($E200,'큐펫&amp;몹 정리(최신)'!$B:$B,0))*40))))</f>
        <v>210</v>
      </c>
      <c r="N200" s="190">
        <f>IF($J200=1,INDEX('큐펫&amp;몹 정리(최신)'!S:S,MATCH($E200,'큐펫&amp;몹 정리(최신)'!$B:$B,0))*20,IF($J200=2,INDEX('큐펫&amp;몹 정리(최신)'!S:S,MATCH($E200,'큐펫&amp;몹 정리(최신)'!$B:$B,0))*25,IF($J200=3,INDEX('큐펫&amp;몹 정리(최신)'!S:S,MATCH($E200,'큐펫&amp;몹 정리(최신)'!$B:$B,0))*30,IF($J200=4,INDEX('큐펫&amp;몹 정리(최신)'!S:S,MATCH($E200,'큐펫&amp;몹 정리(최신)'!$B:$B,0))*35,INDEX('큐펫&amp;몹 정리(최신)'!S:S,MATCH($E200,'큐펫&amp;몹 정리(최신)'!$B:$B,0))*40))))</f>
        <v>630</v>
      </c>
      <c r="O200" s="190">
        <f>IF($J200=1,INDEX('큐펫&amp;몹 정리(최신)'!T:T,MATCH($E200,'큐펫&amp;몹 정리(최신)'!$B:$B,0))*20,IF($J200=2,INDEX('큐펫&amp;몹 정리(최신)'!T:T,MATCH($E200,'큐펫&amp;몹 정리(최신)'!$B:$B,0))*25,IF($J200=3,INDEX('큐펫&amp;몹 정리(최신)'!T:T,MATCH($E200,'큐펫&amp;몹 정리(최신)'!$B:$B,0))*30,IF($J200=4,INDEX('큐펫&amp;몹 정리(최신)'!T:T,MATCH($E200,'큐펫&amp;몹 정리(최신)'!$B:$B,0))*35,INDEX('큐펫&amp;몹 정리(최신)'!T:T,MATCH($E200,'큐펫&amp;몹 정리(최신)'!$B:$B,0))*40))))</f>
        <v>700</v>
      </c>
      <c r="P200" s="217">
        <v>80</v>
      </c>
      <c r="Q200" s="217">
        <f t="shared" si="24"/>
        <v>178580</v>
      </c>
      <c r="R200" s="217">
        <f t="shared" si="25"/>
        <v>39371</v>
      </c>
      <c r="S200" s="217">
        <f t="shared" si="26"/>
        <v>11322</v>
      </c>
      <c r="T200" s="217">
        <f t="shared" si="27"/>
        <v>2549</v>
      </c>
      <c r="U200" s="217">
        <f t="shared" si="28"/>
        <v>49162</v>
      </c>
      <c r="V200" s="217">
        <f t="shared" si="29"/>
        <v>27334</v>
      </c>
      <c r="W200" s="217">
        <f>ROUND(AC200+(INDEX(Ref!B$1:B$9,MATCH($AI200,Ref!$A$1:$A$9,0))*P200*0.0001),)</f>
        <v>73</v>
      </c>
      <c r="X200" s="217">
        <f>ROUND(AD200+(INDEX(Ref!C$1:C$9,MATCH($AI200,Ref!$A$1:$A$9,0))*$P200*0.0001),)</f>
        <v>46</v>
      </c>
      <c r="Y200" s="217">
        <f>ROUND(AE200+(INDEX(Ref!D$1:D$9,MATCH($AI200,Ref!$A$1:$A$9,0))*$P200*0.0001),)</f>
        <v>76</v>
      </c>
      <c r="Z200" s="217">
        <f>ROUND(AF200+(INDEX(Ref!E$1:E$9,MATCH($AI200,Ref!$A$1:$A$9,0))*$P200*0.0001),)</f>
        <v>34</v>
      </c>
      <c r="AA200" s="217">
        <f>ROUND(AG200+(INDEX(Ref!F$1:F$9,MATCH($AI200,Ref!$A$1:$A$9,0))*$P200*0.0001),)</f>
        <v>39</v>
      </c>
      <c r="AB200" s="217">
        <f>ROUND(AH200+(INDEX(Ref!G$1:G$9,MATCH($AI200,Ref!$A$1:$A$9,0))*$P200*0.0001),)</f>
        <v>36</v>
      </c>
      <c r="AC200" s="137">
        <v>53</v>
      </c>
      <c r="AD200" s="137">
        <v>33</v>
      </c>
      <c r="AE200" s="137">
        <v>60</v>
      </c>
      <c r="AF200" s="137">
        <v>24</v>
      </c>
      <c r="AG200" s="137">
        <v>28</v>
      </c>
      <c r="AH200" s="137">
        <v>26</v>
      </c>
      <c r="AI200" s="208">
        <v>1</v>
      </c>
      <c r="AJ200" s="172">
        <v>3000</v>
      </c>
      <c r="AK200" s="172">
        <v>30237</v>
      </c>
      <c r="AL200" s="172">
        <v>2000</v>
      </c>
      <c r="AM200" s="172">
        <v>30239</v>
      </c>
      <c r="AN200" s="172">
        <v>0</v>
      </c>
      <c r="AO200" s="172">
        <f t="shared" si="22"/>
        <v>34237</v>
      </c>
      <c r="AP200" s="172">
        <v>0</v>
      </c>
      <c r="AQ200" s="172">
        <f t="shared" si="23"/>
        <v>34239</v>
      </c>
      <c r="AR200" s="172">
        <v>1</v>
      </c>
      <c r="AS200" s="172">
        <v>0</v>
      </c>
      <c r="AT200" s="199">
        <v>78040</v>
      </c>
      <c r="AU200" s="195" t="s">
        <v>192</v>
      </c>
    </row>
    <row r="201" spans="1:47" x14ac:dyDescent="0.2">
      <c r="A201" s="173">
        <v>55040</v>
      </c>
      <c r="B201" s="174" t="s">
        <v>190</v>
      </c>
      <c r="C201" s="172">
        <v>86040</v>
      </c>
      <c r="D201" s="172">
        <v>150040</v>
      </c>
      <c r="E201" s="206" t="s">
        <v>191</v>
      </c>
      <c r="F201" s="207">
        <v>6</v>
      </c>
      <c r="G201" s="173">
        <v>11500</v>
      </c>
      <c r="H201" s="173">
        <v>9500</v>
      </c>
      <c r="I201" s="172">
        <v>10000</v>
      </c>
      <c r="J201" s="172">
        <v>5</v>
      </c>
      <c r="K201" s="190">
        <f>IF($J201=1,INDEX('큐펫&amp;몹 정리(최신)'!P:P,MATCH($E201,'큐펫&amp;몹 정리(최신)'!$B:$B,0))*20,IF($J201=2,INDEX('큐펫&amp;몹 정리(최신)'!P:P,MATCH($E201,'큐펫&amp;몹 정리(최신)'!$B:$B,0))*25,IF($J201=3,INDEX('큐펫&amp;몹 정리(최신)'!P:P,MATCH($E201,'큐펫&amp;몹 정리(최신)'!$B:$B,0))*30,IF($J201=4,INDEX('큐펫&amp;몹 정리(최신)'!P:P,MATCH($E201,'큐펫&amp;몹 정리(최신)'!$B:$B,0))*35,INDEX('큐펫&amp;몹 정리(최신)'!P:P,MATCH($E201,'큐펫&amp;몹 정리(최신)'!$B:$B,0))*40))))</f>
        <v>1400</v>
      </c>
      <c r="L201" s="190">
        <f>IF($J201=1,INDEX('큐펫&amp;몹 정리(최신)'!Q:Q,MATCH($E201,'큐펫&amp;몹 정리(최신)'!$B:$B,0))*20,IF($J201=2,INDEX('큐펫&amp;몹 정리(최신)'!Q:Q,MATCH($E201,'큐펫&amp;몹 정리(최신)'!$B:$B,0))*25,IF($J201=3,INDEX('큐펫&amp;몹 정리(최신)'!Q:Q,MATCH($E201,'큐펫&amp;몹 정리(최신)'!$B:$B,0))*30,IF($J201=4,INDEX('큐펫&amp;몹 정리(최신)'!Q:Q,MATCH($E201,'큐펫&amp;몹 정리(최신)'!$B:$B,0))*35,INDEX('큐펫&amp;몹 정리(최신)'!Q:Q,MATCH($E201,'큐펫&amp;몹 정리(최신)'!$B:$B,0))*40))))</f>
        <v>840</v>
      </c>
      <c r="M201" s="190">
        <f>IF($J201=1,INDEX('큐펫&amp;몹 정리(최신)'!R:R,MATCH($E201,'큐펫&amp;몹 정리(최신)'!$B:$B,0))*20,IF($J201=2,INDEX('큐펫&amp;몹 정리(최신)'!R:R,MATCH($E201,'큐펫&amp;몹 정리(최신)'!$B:$B,0))*25,IF($J201=3,INDEX('큐펫&amp;몹 정리(최신)'!R:R,MATCH($E201,'큐펫&amp;몹 정리(최신)'!$B:$B,0))*30,IF($J201=4,INDEX('큐펫&amp;몹 정리(최신)'!R:R,MATCH($E201,'큐펫&amp;몹 정리(최신)'!$B:$B,0))*35,INDEX('큐펫&amp;몹 정리(최신)'!R:R,MATCH($E201,'큐펫&amp;몹 정리(최신)'!$B:$B,0))*40))))</f>
        <v>240</v>
      </c>
      <c r="N201" s="190">
        <f>IF($J201=1,INDEX('큐펫&amp;몹 정리(최신)'!S:S,MATCH($E201,'큐펫&amp;몹 정리(최신)'!$B:$B,0))*20,IF($J201=2,INDEX('큐펫&amp;몹 정리(최신)'!S:S,MATCH($E201,'큐펫&amp;몹 정리(최신)'!$B:$B,0))*25,IF($J201=3,INDEX('큐펫&amp;몹 정리(최신)'!S:S,MATCH($E201,'큐펫&amp;몹 정리(최신)'!$B:$B,0))*30,IF($J201=4,INDEX('큐펫&amp;몹 정리(최신)'!S:S,MATCH($E201,'큐펫&amp;몹 정리(최신)'!$B:$B,0))*35,INDEX('큐펫&amp;몹 정리(최신)'!S:S,MATCH($E201,'큐펫&amp;몹 정리(최신)'!$B:$B,0))*40))))</f>
        <v>720</v>
      </c>
      <c r="O201" s="190">
        <f>IF($J201=1,INDEX('큐펫&amp;몹 정리(최신)'!T:T,MATCH($E201,'큐펫&amp;몹 정리(최신)'!$B:$B,0))*20,IF($J201=2,INDEX('큐펫&amp;몹 정리(최신)'!T:T,MATCH($E201,'큐펫&amp;몹 정리(최신)'!$B:$B,0))*25,IF($J201=3,INDEX('큐펫&amp;몹 정리(최신)'!T:T,MATCH($E201,'큐펫&amp;몹 정리(최신)'!$B:$B,0))*30,IF($J201=4,INDEX('큐펫&amp;몹 정리(최신)'!T:T,MATCH($E201,'큐펫&amp;몹 정리(최신)'!$B:$B,0))*35,INDEX('큐펫&amp;몹 정리(최신)'!T:T,MATCH($E201,'큐펫&amp;몹 정리(최신)'!$B:$B,0))*40))))</f>
        <v>800</v>
      </c>
      <c r="P201" s="217">
        <v>100</v>
      </c>
      <c r="Q201" s="217">
        <f t="shared" si="24"/>
        <v>264600</v>
      </c>
      <c r="R201" s="217">
        <f t="shared" si="25"/>
        <v>58103</v>
      </c>
      <c r="S201" s="217">
        <f t="shared" si="26"/>
        <v>17179</v>
      </c>
      <c r="T201" s="217">
        <f t="shared" si="27"/>
        <v>3607</v>
      </c>
      <c r="U201" s="217">
        <f t="shared" si="28"/>
        <v>66265</v>
      </c>
      <c r="V201" s="217">
        <f t="shared" si="29"/>
        <v>36838</v>
      </c>
      <c r="W201" s="217">
        <f>ROUND(AC201+(INDEX(Ref!B$1:B$9,MATCH($AI201,Ref!$A$1:$A$9,0))*P201*0.0001),)</f>
        <v>83</v>
      </c>
      <c r="X201" s="217">
        <f>ROUND(AD201+(INDEX(Ref!C$1:C$9,MATCH($AI201,Ref!$A$1:$A$9,0))*$P201*0.0001),)</f>
        <v>52</v>
      </c>
      <c r="Y201" s="217">
        <f>ROUND(AE201+(INDEX(Ref!D$1:D$9,MATCH($AI201,Ref!$A$1:$A$9,0))*$P201*0.0001),)</f>
        <v>84</v>
      </c>
      <c r="Z201" s="217">
        <f>ROUND(AF201+(INDEX(Ref!E$1:E$9,MATCH($AI201,Ref!$A$1:$A$9,0))*$P201*0.0001),)</f>
        <v>38</v>
      </c>
      <c r="AA201" s="217">
        <f>ROUND(AG201+(INDEX(Ref!F$1:F$9,MATCH($AI201,Ref!$A$1:$A$9,0))*$P201*0.0001),)</f>
        <v>45</v>
      </c>
      <c r="AB201" s="217">
        <f>ROUND(AH201+(INDEX(Ref!G$1:G$9,MATCH($AI201,Ref!$A$1:$A$9,0))*$P201*0.0001),)</f>
        <v>42</v>
      </c>
      <c r="AC201" s="137">
        <v>58.000000000000007</v>
      </c>
      <c r="AD201" s="137">
        <v>36</v>
      </c>
      <c r="AE201" s="137">
        <v>64</v>
      </c>
      <c r="AF201" s="137">
        <v>26</v>
      </c>
      <c r="AG201" s="137">
        <v>31</v>
      </c>
      <c r="AH201" s="137">
        <v>29</v>
      </c>
      <c r="AI201" s="208">
        <v>1</v>
      </c>
      <c r="AJ201" s="172">
        <v>3000</v>
      </c>
      <c r="AK201" s="172">
        <v>30237</v>
      </c>
      <c r="AL201" s="172">
        <v>2000</v>
      </c>
      <c r="AM201" s="172">
        <v>30240</v>
      </c>
      <c r="AN201" s="172">
        <v>0</v>
      </c>
      <c r="AO201" s="172">
        <f t="shared" si="22"/>
        <v>34237</v>
      </c>
      <c r="AP201" s="172">
        <v>0</v>
      </c>
      <c r="AQ201" s="172">
        <f t="shared" si="23"/>
        <v>34240</v>
      </c>
      <c r="AR201" s="172">
        <v>1</v>
      </c>
      <c r="AS201" s="172">
        <v>0</v>
      </c>
      <c r="AT201" s="199">
        <v>78040</v>
      </c>
      <c r="AU201" s="195" t="s">
        <v>192</v>
      </c>
    </row>
    <row r="202" spans="1:47" x14ac:dyDescent="0.2">
      <c r="A202" s="173">
        <v>55041</v>
      </c>
      <c r="B202" s="174" t="s">
        <v>193</v>
      </c>
      <c r="C202" s="172">
        <v>86041</v>
      </c>
      <c r="D202" s="172">
        <v>150041</v>
      </c>
      <c r="E202" s="206" t="s">
        <v>194</v>
      </c>
      <c r="F202" s="207">
        <v>6</v>
      </c>
      <c r="G202" s="173">
        <v>11500</v>
      </c>
      <c r="H202" s="173">
        <v>9500</v>
      </c>
      <c r="I202" s="172">
        <v>10000</v>
      </c>
      <c r="J202" s="172">
        <v>1</v>
      </c>
      <c r="K202" s="190">
        <f>IF($J202=1,INDEX('큐펫&amp;몹 정리(최신)'!P:P,MATCH($E202,'큐펫&amp;몹 정리(최신)'!$B:$B,0))*20,IF($J202=2,INDEX('큐펫&amp;몹 정리(최신)'!P:P,MATCH($E202,'큐펫&amp;몹 정리(최신)'!$B:$B,0))*25,IF($J202=3,INDEX('큐펫&amp;몹 정리(최신)'!P:P,MATCH($E202,'큐펫&amp;몹 정리(최신)'!$B:$B,0))*30,IF($J202=4,INDEX('큐펫&amp;몹 정리(최신)'!P:P,MATCH($E202,'큐펫&amp;몹 정리(최신)'!$B:$B,0))*35,INDEX('큐펫&amp;몹 정리(최신)'!P:P,MATCH($E202,'큐펫&amp;몹 정리(최신)'!$B:$B,0))*40))))</f>
        <v>700</v>
      </c>
      <c r="L202" s="190">
        <f>IF($J202=1,INDEX('큐펫&amp;몹 정리(최신)'!Q:Q,MATCH($E202,'큐펫&amp;몹 정리(최신)'!$B:$B,0))*20,IF($J202=2,INDEX('큐펫&amp;몹 정리(최신)'!Q:Q,MATCH($E202,'큐펫&amp;몹 정리(최신)'!$B:$B,0))*25,IF($J202=3,INDEX('큐펫&amp;몹 정리(최신)'!Q:Q,MATCH($E202,'큐펫&amp;몹 정리(최신)'!$B:$B,0))*30,IF($J202=4,INDEX('큐펫&amp;몹 정리(최신)'!Q:Q,MATCH($E202,'큐펫&amp;몹 정리(최신)'!$B:$B,0))*35,INDEX('큐펫&amp;몹 정리(최신)'!Q:Q,MATCH($E202,'큐펫&amp;몹 정리(최신)'!$B:$B,0))*40))))</f>
        <v>120</v>
      </c>
      <c r="M202" s="190">
        <f>IF($J202=1,INDEX('큐펫&amp;몹 정리(최신)'!R:R,MATCH($E202,'큐펫&amp;몹 정리(최신)'!$B:$B,0))*20,IF($J202=2,INDEX('큐펫&amp;몹 정리(최신)'!R:R,MATCH($E202,'큐펫&amp;몹 정리(최신)'!$B:$B,0))*25,IF($J202=3,INDEX('큐펫&amp;몹 정리(최신)'!R:R,MATCH($E202,'큐펫&amp;몹 정리(최신)'!$B:$B,0))*30,IF($J202=4,INDEX('큐펫&amp;몹 정리(최신)'!R:R,MATCH($E202,'큐펫&amp;몹 정리(최신)'!$B:$B,0))*35,INDEX('큐펫&amp;몹 정리(최신)'!R:R,MATCH($E202,'큐펫&amp;몹 정리(최신)'!$B:$B,0))*40))))</f>
        <v>420</v>
      </c>
      <c r="N202" s="190">
        <f>IF($J202=1,INDEX('큐펫&amp;몹 정리(최신)'!S:S,MATCH($E202,'큐펫&amp;몹 정리(최신)'!$B:$B,0))*20,IF($J202=2,INDEX('큐펫&amp;몹 정리(최신)'!S:S,MATCH($E202,'큐펫&amp;몹 정리(최신)'!$B:$B,0))*25,IF($J202=3,INDEX('큐펫&amp;몹 정리(최신)'!S:S,MATCH($E202,'큐펫&amp;몹 정리(최신)'!$B:$B,0))*30,IF($J202=4,INDEX('큐펫&amp;몹 정리(최신)'!S:S,MATCH($E202,'큐펫&amp;몹 정리(최신)'!$B:$B,0))*35,INDEX('큐펫&amp;몹 정리(최신)'!S:S,MATCH($E202,'큐펫&amp;몹 정리(최신)'!$B:$B,0))*40))))</f>
        <v>360</v>
      </c>
      <c r="O202" s="190">
        <f>IF($J202=1,INDEX('큐펫&amp;몹 정리(최신)'!T:T,MATCH($E202,'큐펫&amp;몹 정리(최신)'!$B:$B,0))*20,IF($J202=2,INDEX('큐펫&amp;몹 정리(최신)'!T:T,MATCH($E202,'큐펫&amp;몹 정리(최신)'!$B:$B,0))*25,IF($J202=3,INDEX('큐펫&amp;몹 정리(최신)'!T:T,MATCH($E202,'큐펫&amp;몹 정리(최신)'!$B:$B,0))*30,IF($J202=4,INDEX('큐펫&amp;몹 정리(최신)'!T:T,MATCH($E202,'큐펫&amp;몹 정리(최신)'!$B:$B,0))*35,INDEX('큐펫&amp;몹 정리(최신)'!T:T,MATCH($E202,'큐펫&amp;몹 정리(최신)'!$B:$B,0))*40))))</f>
        <v>400</v>
      </c>
      <c r="P202" s="217">
        <v>20</v>
      </c>
      <c r="Q202" s="217">
        <f t="shared" si="24"/>
        <v>24780</v>
      </c>
      <c r="R202" s="217">
        <f t="shared" si="25"/>
        <v>491</v>
      </c>
      <c r="S202" s="217">
        <f t="shared" si="26"/>
        <v>699</v>
      </c>
      <c r="T202" s="217">
        <f t="shared" si="27"/>
        <v>7869</v>
      </c>
      <c r="U202" s="217">
        <f t="shared" si="28"/>
        <v>12966</v>
      </c>
      <c r="V202" s="217">
        <f t="shared" si="29"/>
        <v>7243</v>
      </c>
      <c r="W202" s="217">
        <f>ROUND(AC202+(INDEX(Ref!B$1:B$9,MATCH($AI202,Ref!$A$1:$A$9,0))*P202*0.0001),)</f>
        <v>19</v>
      </c>
      <c r="X202" s="217">
        <f>ROUND(AD202+(INDEX(Ref!C$1:C$9,MATCH($AI202,Ref!$A$1:$A$9,0))*$P202*0.0001),)</f>
        <v>26</v>
      </c>
      <c r="Y202" s="217">
        <f>ROUND(AE202+(INDEX(Ref!D$1:D$9,MATCH($AI202,Ref!$A$1:$A$9,0))*$P202*0.0001),)</f>
        <v>52</v>
      </c>
      <c r="Z202" s="217">
        <f>ROUND(AF202+(INDEX(Ref!E$1:E$9,MATCH($AI202,Ref!$A$1:$A$9,0))*$P202*0.0001),)</f>
        <v>43</v>
      </c>
      <c r="AA202" s="217">
        <f>ROUND(AG202+(INDEX(Ref!F$1:F$9,MATCH($AI202,Ref!$A$1:$A$9,0))*$P202*0.0001),)</f>
        <v>23</v>
      </c>
      <c r="AB202" s="217">
        <f>ROUND(AH202+(INDEX(Ref!G$1:G$9,MATCH($AI202,Ref!$A$1:$A$9,0))*$P202*0.0001),)</f>
        <v>21</v>
      </c>
      <c r="AC202" s="137">
        <v>17</v>
      </c>
      <c r="AD202" s="137">
        <v>23</v>
      </c>
      <c r="AE202" s="137">
        <v>48</v>
      </c>
      <c r="AF202" s="137">
        <v>38</v>
      </c>
      <c r="AG202" s="137">
        <v>20</v>
      </c>
      <c r="AH202" s="137">
        <v>18</v>
      </c>
      <c r="AI202" s="208">
        <v>2</v>
      </c>
      <c r="AJ202" s="172">
        <v>3000</v>
      </c>
      <c r="AK202" s="172">
        <v>30241</v>
      </c>
      <c r="AL202" s="172">
        <v>2000</v>
      </c>
      <c r="AM202" s="172">
        <v>30244</v>
      </c>
      <c r="AN202" s="172">
        <v>0</v>
      </c>
      <c r="AO202" s="172">
        <f t="shared" si="22"/>
        <v>34241</v>
      </c>
      <c r="AP202" s="172">
        <v>0</v>
      </c>
      <c r="AQ202" s="172">
        <f t="shared" si="23"/>
        <v>34244</v>
      </c>
      <c r="AR202" s="172">
        <v>1</v>
      </c>
      <c r="AS202" s="172">
        <v>0</v>
      </c>
      <c r="AT202" s="199">
        <v>78041</v>
      </c>
      <c r="AU202" s="195" t="s">
        <v>195</v>
      </c>
    </row>
    <row r="203" spans="1:47" x14ac:dyDescent="0.2">
      <c r="A203" s="173">
        <v>55041</v>
      </c>
      <c r="B203" s="174" t="s">
        <v>193</v>
      </c>
      <c r="C203" s="172">
        <v>86041</v>
      </c>
      <c r="D203" s="172">
        <v>150041</v>
      </c>
      <c r="E203" s="206" t="s">
        <v>194</v>
      </c>
      <c r="F203" s="207">
        <v>6</v>
      </c>
      <c r="G203" s="173">
        <v>11500</v>
      </c>
      <c r="H203" s="173">
        <v>9500</v>
      </c>
      <c r="I203" s="172">
        <v>10000</v>
      </c>
      <c r="J203" s="172">
        <v>2</v>
      </c>
      <c r="K203" s="190">
        <f>IF($J203=1,INDEX('큐펫&amp;몹 정리(최신)'!P:P,MATCH($E203,'큐펫&amp;몹 정리(최신)'!$B:$B,0))*20,IF($J203=2,INDEX('큐펫&amp;몹 정리(최신)'!P:P,MATCH($E203,'큐펫&amp;몹 정리(최신)'!$B:$B,0))*25,IF($J203=3,INDEX('큐펫&amp;몹 정리(최신)'!P:P,MATCH($E203,'큐펫&amp;몹 정리(최신)'!$B:$B,0))*30,IF($J203=4,INDEX('큐펫&amp;몹 정리(최신)'!P:P,MATCH($E203,'큐펫&amp;몹 정리(최신)'!$B:$B,0))*35,INDEX('큐펫&amp;몹 정리(최신)'!P:P,MATCH($E203,'큐펫&amp;몹 정리(최신)'!$B:$B,0))*40))))</f>
        <v>875</v>
      </c>
      <c r="L203" s="190">
        <f>IF($J203=1,INDEX('큐펫&amp;몹 정리(최신)'!Q:Q,MATCH($E203,'큐펫&amp;몹 정리(최신)'!$B:$B,0))*20,IF($J203=2,INDEX('큐펫&amp;몹 정리(최신)'!Q:Q,MATCH($E203,'큐펫&amp;몹 정리(최신)'!$B:$B,0))*25,IF($J203=3,INDEX('큐펫&amp;몹 정리(최신)'!Q:Q,MATCH($E203,'큐펫&amp;몹 정리(최신)'!$B:$B,0))*30,IF($J203=4,INDEX('큐펫&amp;몹 정리(최신)'!Q:Q,MATCH($E203,'큐펫&amp;몹 정리(최신)'!$B:$B,0))*35,INDEX('큐펫&amp;몹 정리(최신)'!Q:Q,MATCH($E203,'큐펫&amp;몹 정리(최신)'!$B:$B,0))*40))))</f>
        <v>150</v>
      </c>
      <c r="M203" s="190">
        <f>IF($J203=1,INDEX('큐펫&amp;몹 정리(최신)'!R:R,MATCH($E203,'큐펫&amp;몹 정리(최신)'!$B:$B,0))*20,IF($J203=2,INDEX('큐펫&amp;몹 정리(최신)'!R:R,MATCH($E203,'큐펫&amp;몹 정리(최신)'!$B:$B,0))*25,IF($J203=3,INDEX('큐펫&amp;몹 정리(최신)'!R:R,MATCH($E203,'큐펫&amp;몹 정리(최신)'!$B:$B,0))*30,IF($J203=4,INDEX('큐펫&amp;몹 정리(최신)'!R:R,MATCH($E203,'큐펫&amp;몹 정리(최신)'!$B:$B,0))*35,INDEX('큐펫&amp;몹 정리(최신)'!R:R,MATCH($E203,'큐펫&amp;몹 정리(최신)'!$B:$B,0))*40))))</f>
        <v>525</v>
      </c>
      <c r="N203" s="190">
        <f>IF($J203=1,INDEX('큐펫&amp;몹 정리(최신)'!S:S,MATCH($E203,'큐펫&amp;몹 정리(최신)'!$B:$B,0))*20,IF($J203=2,INDEX('큐펫&amp;몹 정리(최신)'!S:S,MATCH($E203,'큐펫&amp;몹 정리(최신)'!$B:$B,0))*25,IF($J203=3,INDEX('큐펫&amp;몹 정리(최신)'!S:S,MATCH($E203,'큐펫&amp;몹 정리(최신)'!$B:$B,0))*30,IF($J203=4,INDEX('큐펫&amp;몹 정리(최신)'!S:S,MATCH($E203,'큐펫&amp;몹 정리(최신)'!$B:$B,0))*35,INDEX('큐펫&amp;몹 정리(최신)'!S:S,MATCH($E203,'큐펫&amp;몹 정리(최신)'!$B:$B,0))*40))))</f>
        <v>450</v>
      </c>
      <c r="O203" s="190">
        <f>IF($J203=1,INDEX('큐펫&amp;몹 정리(최신)'!T:T,MATCH($E203,'큐펫&amp;몹 정리(최신)'!$B:$B,0))*20,IF($J203=2,INDEX('큐펫&amp;몹 정리(최신)'!T:T,MATCH($E203,'큐펫&amp;몹 정리(최신)'!$B:$B,0))*25,IF($J203=3,INDEX('큐펫&amp;몹 정리(최신)'!T:T,MATCH($E203,'큐펫&amp;몹 정리(최신)'!$B:$B,0))*30,IF($J203=4,INDEX('큐펫&amp;몹 정리(최신)'!T:T,MATCH($E203,'큐펫&amp;몹 정리(최신)'!$B:$B,0))*35,INDEX('큐펫&amp;몹 정리(최신)'!T:T,MATCH($E203,'큐펫&amp;몹 정리(최신)'!$B:$B,0))*40))))</f>
        <v>500</v>
      </c>
      <c r="P203" s="217">
        <v>40</v>
      </c>
      <c r="Q203" s="217">
        <f t="shared" si="24"/>
        <v>60300</v>
      </c>
      <c r="R203" s="217">
        <f t="shared" si="25"/>
        <v>944</v>
      </c>
      <c r="S203" s="217">
        <f t="shared" si="26"/>
        <v>1350</v>
      </c>
      <c r="T203" s="217">
        <f t="shared" si="27"/>
        <v>14883</v>
      </c>
      <c r="U203" s="217">
        <f t="shared" si="28"/>
        <v>22509</v>
      </c>
      <c r="V203" s="217">
        <f t="shared" si="29"/>
        <v>12553</v>
      </c>
      <c r="W203" s="217">
        <f>ROUND(AC203+(INDEX(Ref!B$1:B$9,MATCH($AI203,Ref!$A$1:$A$9,0))*P203*0.0001),)</f>
        <v>24</v>
      </c>
      <c r="X203" s="217">
        <f>ROUND(AD203+(INDEX(Ref!C$1:C$9,MATCH($AI203,Ref!$A$1:$A$9,0))*$P203*0.0001),)</f>
        <v>32</v>
      </c>
      <c r="Y203" s="217">
        <f>ROUND(AE203+(INDEX(Ref!D$1:D$9,MATCH($AI203,Ref!$A$1:$A$9,0))*$P203*0.0001),)</f>
        <v>60</v>
      </c>
      <c r="Z203" s="217">
        <f>ROUND(AF203+(INDEX(Ref!E$1:E$9,MATCH($AI203,Ref!$A$1:$A$9,0))*$P203*0.0001),)</f>
        <v>53</v>
      </c>
      <c r="AA203" s="217">
        <f>ROUND(AG203+(INDEX(Ref!F$1:F$9,MATCH($AI203,Ref!$A$1:$A$9,0))*$P203*0.0001),)</f>
        <v>29</v>
      </c>
      <c r="AB203" s="217">
        <f>ROUND(AH203+(INDEX(Ref!G$1:G$9,MATCH($AI203,Ref!$A$1:$A$9,0))*$P203*0.0001),)</f>
        <v>26</v>
      </c>
      <c r="AC203" s="137">
        <v>19</v>
      </c>
      <c r="AD203" s="137">
        <v>26</v>
      </c>
      <c r="AE203" s="137">
        <v>52</v>
      </c>
      <c r="AF203" s="137">
        <v>43</v>
      </c>
      <c r="AG203" s="137">
        <v>23</v>
      </c>
      <c r="AH203" s="137">
        <v>21</v>
      </c>
      <c r="AI203" s="208">
        <v>2</v>
      </c>
      <c r="AJ203" s="172">
        <v>3000</v>
      </c>
      <c r="AK203" s="172">
        <v>30242</v>
      </c>
      <c r="AL203" s="172">
        <v>2000</v>
      </c>
      <c r="AM203" s="172">
        <v>30244</v>
      </c>
      <c r="AN203" s="172">
        <v>0</v>
      </c>
      <c r="AO203" s="172">
        <f t="shared" si="22"/>
        <v>34242</v>
      </c>
      <c r="AP203" s="172">
        <v>0</v>
      </c>
      <c r="AQ203" s="172">
        <f t="shared" si="23"/>
        <v>34244</v>
      </c>
      <c r="AR203" s="172">
        <v>1</v>
      </c>
      <c r="AS203" s="172">
        <v>0</v>
      </c>
      <c r="AT203" s="199">
        <v>78041</v>
      </c>
      <c r="AU203" s="195" t="s">
        <v>195</v>
      </c>
    </row>
    <row r="204" spans="1:47" x14ac:dyDescent="0.2">
      <c r="A204" s="173">
        <v>55041</v>
      </c>
      <c r="B204" s="174" t="s">
        <v>193</v>
      </c>
      <c r="C204" s="172">
        <v>86041</v>
      </c>
      <c r="D204" s="172">
        <v>150041</v>
      </c>
      <c r="E204" s="206" t="s">
        <v>194</v>
      </c>
      <c r="F204" s="207">
        <v>6</v>
      </c>
      <c r="G204" s="173">
        <v>11500</v>
      </c>
      <c r="H204" s="173">
        <v>9500</v>
      </c>
      <c r="I204" s="172">
        <v>10000</v>
      </c>
      <c r="J204" s="172">
        <v>3</v>
      </c>
      <c r="K204" s="190">
        <f>IF($J204=1,INDEX('큐펫&amp;몹 정리(최신)'!P:P,MATCH($E204,'큐펫&amp;몹 정리(최신)'!$B:$B,0))*20,IF($J204=2,INDEX('큐펫&amp;몹 정리(최신)'!P:P,MATCH($E204,'큐펫&amp;몹 정리(최신)'!$B:$B,0))*25,IF($J204=3,INDEX('큐펫&amp;몹 정리(최신)'!P:P,MATCH($E204,'큐펫&amp;몹 정리(최신)'!$B:$B,0))*30,IF($J204=4,INDEX('큐펫&amp;몹 정리(최신)'!P:P,MATCH($E204,'큐펫&amp;몹 정리(최신)'!$B:$B,0))*35,INDEX('큐펫&amp;몹 정리(최신)'!P:P,MATCH($E204,'큐펫&amp;몹 정리(최신)'!$B:$B,0))*40))))</f>
        <v>1050</v>
      </c>
      <c r="L204" s="190">
        <f>IF($J204=1,INDEX('큐펫&amp;몹 정리(최신)'!Q:Q,MATCH($E204,'큐펫&amp;몹 정리(최신)'!$B:$B,0))*20,IF($J204=2,INDEX('큐펫&amp;몹 정리(최신)'!Q:Q,MATCH($E204,'큐펫&amp;몹 정리(최신)'!$B:$B,0))*25,IF($J204=3,INDEX('큐펫&amp;몹 정리(최신)'!Q:Q,MATCH($E204,'큐펫&amp;몹 정리(최신)'!$B:$B,0))*30,IF($J204=4,INDEX('큐펫&amp;몹 정리(최신)'!Q:Q,MATCH($E204,'큐펫&amp;몹 정리(최신)'!$B:$B,0))*35,INDEX('큐펫&amp;몹 정리(최신)'!Q:Q,MATCH($E204,'큐펫&amp;몹 정리(최신)'!$B:$B,0))*40))))</f>
        <v>180</v>
      </c>
      <c r="M204" s="190">
        <f>IF($J204=1,INDEX('큐펫&amp;몹 정리(최신)'!R:R,MATCH($E204,'큐펫&amp;몹 정리(최신)'!$B:$B,0))*20,IF($J204=2,INDEX('큐펫&amp;몹 정리(최신)'!R:R,MATCH($E204,'큐펫&amp;몹 정리(최신)'!$B:$B,0))*25,IF($J204=3,INDEX('큐펫&amp;몹 정리(최신)'!R:R,MATCH($E204,'큐펫&amp;몹 정리(최신)'!$B:$B,0))*30,IF($J204=4,INDEX('큐펫&amp;몹 정리(최신)'!R:R,MATCH($E204,'큐펫&amp;몹 정리(최신)'!$B:$B,0))*35,INDEX('큐펫&amp;몹 정리(최신)'!R:R,MATCH($E204,'큐펫&amp;몹 정리(최신)'!$B:$B,0))*40))))</f>
        <v>630</v>
      </c>
      <c r="N204" s="190">
        <f>IF($J204=1,INDEX('큐펫&amp;몹 정리(최신)'!S:S,MATCH($E204,'큐펫&amp;몹 정리(최신)'!$B:$B,0))*20,IF($J204=2,INDEX('큐펫&amp;몹 정리(최신)'!S:S,MATCH($E204,'큐펫&amp;몹 정리(최신)'!$B:$B,0))*25,IF($J204=3,INDEX('큐펫&amp;몹 정리(최신)'!S:S,MATCH($E204,'큐펫&amp;몹 정리(최신)'!$B:$B,0))*30,IF($J204=4,INDEX('큐펫&amp;몹 정리(최신)'!S:S,MATCH($E204,'큐펫&amp;몹 정리(최신)'!$B:$B,0))*35,INDEX('큐펫&amp;몹 정리(최신)'!S:S,MATCH($E204,'큐펫&amp;몹 정리(최신)'!$B:$B,0))*40))))</f>
        <v>540</v>
      </c>
      <c r="O204" s="190">
        <f>IF($J204=1,INDEX('큐펫&amp;몹 정리(최신)'!T:T,MATCH($E204,'큐펫&amp;몹 정리(최신)'!$B:$B,0))*20,IF($J204=2,INDEX('큐펫&amp;몹 정리(최신)'!T:T,MATCH($E204,'큐펫&amp;몹 정리(최신)'!$B:$B,0))*25,IF($J204=3,INDEX('큐펫&amp;몹 정리(최신)'!T:T,MATCH($E204,'큐펫&amp;몹 정리(최신)'!$B:$B,0))*30,IF($J204=4,INDEX('큐펫&amp;몹 정리(최신)'!T:T,MATCH($E204,'큐펫&amp;몹 정리(최신)'!$B:$B,0))*35,INDEX('큐펫&amp;몹 정리(최신)'!T:T,MATCH($E204,'큐펫&amp;몹 정리(최신)'!$B:$B,0))*40))))</f>
        <v>600</v>
      </c>
      <c r="P204" s="217">
        <v>60</v>
      </c>
      <c r="Q204" s="217">
        <f t="shared" si="24"/>
        <v>111040</v>
      </c>
      <c r="R204" s="217">
        <f t="shared" si="25"/>
        <v>1511</v>
      </c>
      <c r="S204" s="217">
        <f t="shared" si="26"/>
        <v>2192</v>
      </c>
      <c r="T204" s="217">
        <f t="shared" si="27"/>
        <v>25172</v>
      </c>
      <c r="U204" s="217">
        <f t="shared" si="28"/>
        <v>34571</v>
      </c>
      <c r="V204" s="217">
        <f t="shared" si="29"/>
        <v>19263</v>
      </c>
      <c r="W204" s="217">
        <f>ROUND(AC204+(INDEX(Ref!B$1:B$9,MATCH($AI204,Ref!$A$1:$A$9,0))*P204*0.0001),)</f>
        <v>28</v>
      </c>
      <c r="X204" s="217">
        <f>ROUND(AD204+(INDEX(Ref!C$1:C$9,MATCH($AI204,Ref!$A$1:$A$9,0))*$P204*0.0001),)</f>
        <v>40</v>
      </c>
      <c r="Y204" s="217">
        <f>ROUND(AE204+(INDEX(Ref!D$1:D$9,MATCH($AI204,Ref!$A$1:$A$9,0))*$P204*0.0001),)</f>
        <v>68</v>
      </c>
      <c r="Z204" s="217">
        <f>ROUND(AF204+(INDEX(Ref!E$1:E$9,MATCH($AI204,Ref!$A$1:$A$9,0))*$P204*0.0001),)</f>
        <v>63</v>
      </c>
      <c r="AA204" s="217">
        <f>ROUND(AG204+(INDEX(Ref!F$1:F$9,MATCH($AI204,Ref!$A$1:$A$9,0))*$P204*0.0001),)</f>
        <v>34</v>
      </c>
      <c r="AB204" s="217">
        <f>ROUND(AH204+(INDEX(Ref!G$1:G$9,MATCH($AI204,Ref!$A$1:$A$9,0))*$P204*0.0001),)</f>
        <v>31</v>
      </c>
      <c r="AC204" s="137">
        <v>21</v>
      </c>
      <c r="AD204" s="137">
        <v>30</v>
      </c>
      <c r="AE204" s="137">
        <v>56</v>
      </c>
      <c r="AF204" s="137">
        <v>48.000000000000007</v>
      </c>
      <c r="AG204" s="137">
        <v>26</v>
      </c>
      <c r="AH204" s="137">
        <v>23</v>
      </c>
      <c r="AI204" s="208">
        <v>2</v>
      </c>
      <c r="AJ204" s="172">
        <v>3000</v>
      </c>
      <c r="AK204" s="172">
        <v>30242</v>
      </c>
      <c r="AL204" s="172">
        <v>2000</v>
      </c>
      <c r="AM204" s="172">
        <v>30245</v>
      </c>
      <c r="AN204" s="172">
        <v>0</v>
      </c>
      <c r="AO204" s="172">
        <f t="shared" si="22"/>
        <v>34242</v>
      </c>
      <c r="AP204" s="172">
        <v>0</v>
      </c>
      <c r="AQ204" s="172">
        <f t="shared" si="23"/>
        <v>34245</v>
      </c>
      <c r="AR204" s="172">
        <v>1</v>
      </c>
      <c r="AS204" s="172">
        <v>0</v>
      </c>
      <c r="AT204" s="199">
        <v>78041</v>
      </c>
      <c r="AU204" s="195" t="s">
        <v>195</v>
      </c>
    </row>
    <row r="205" spans="1:47" x14ac:dyDescent="0.2">
      <c r="A205" s="173">
        <v>55041</v>
      </c>
      <c r="B205" s="174" t="s">
        <v>193</v>
      </c>
      <c r="C205" s="172">
        <v>86041</v>
      </c>
      <c r="D205" s="172">
        <v>150041</v>
      </c>
      <c r="E205" s="206" t="s">
        <v>194</v>
      </c>
      <c r="F205" s="207">
        <v>6</v>
      </c>
      <c r="G205" s="173">
        <v>11500</v>
      </c>
      <c r="H205" s="173">
        <v>9500</v>
      </c>
      <c r="I205" s="172">
        <v>10000</v>
      </c>
      <c r="J205" s="172">
        <v>4</v>
      </c>
      <c r="K205" s="190">
        <f>IF($J205=1,INDEX('큐펫&amp;몹 정리(최신)'!P:P,MATCH($E205,'큐펫&amp;몹 정리(최신)'!$B:$B,0))*20,IF($J205=2,INDEX('큐펫&amp;몹 정리(최신)'!P:P,MATCH($E205,'큐펫&amp;몹 정리(최신)'!$B:$B,0))*25,IF($J205=3,INDEX('큐펫&amp;몹 정리(최신)'!P:P,MATCH($E205,'큐펫&amp;몹 정리(최신)'!$B:$B,0))*30,IF($J205=4,INDEX('큐펫&amp;몹 정리(최신)'!P:P,MATCH($E205,'큐펫&amp;몹 정리(최신)'!$B:$B,0))*35,INDEX('큐펫&amp;몹 정리(최신)'!P:P,MATCH($E205,'큐펫&amp;몹 정리(최신)'!$B:$B,0))*40))))</f>
        <v>1225</v>
      </c>
      <c r="L205" s="190">
        <f>IF($J205=1,INDEX('큐펫&amp;몹 정리(최신)'!Q:Q,MATCH($E205,'큐펫&amp;몹 정리(최신)'!$B:$B,0))*20,IF($J205=2,INDEX('큐펫&amp;몹 정리(최신)'!Q:Q,MATCH($E205,'큐펫&amp;몹 정리(최신)'!$B:$B,0))*25,IF($J205=3,INDEX('큐펫&amp;몹 정리(최신)'!Q:Q,MATCH($E205,'큐펫&amp;몹 정리(최신)'!$B:$B,0))*30,IF($J205=4,INDEX('큐펫&amp;몹 정리(최신)'!Q:Q,MATCH($E205,'큐펫&amp;몹 정리(최신)'!$B:$B,0))*35,INDEX('큐펫&amp;몹 정리(최신)'!Q:Q,MATCH($E205,'큐펫&amp;몹 정리(최신)'!$B:$B,0))*40))))</f>
        <v>210</v>
      </c>
      <c r="M205" s="190">
        <f>IF($J205=1,INDEX('큐펫&amp;몹 정리(최신)'!R:R,MATCH($E205,'큐펫&amp;몹 정리(최신)'!$B:$B,0))*20,IF($J205=2,INDEX('큐펫&amp;몹 정리(최신)'!R:R,MATCH($E205,'큐펫&amp;몹 정리(최신)'!$B:$B,0))*25,IF($J205=3,INDEX('큐펫&amp;몹 정리(최신)'!R:R,MATCH($E205,'큐펫&amp;몹 정리(최신)'!$B:$B,0))*30,IF($J205=4,INDEX('큐펫&amp;몹 정리(최신)'!R:R,MATCH($E205,'큐펫&amp;몹 정리(최신)'!$B:$B,0))*35,INDEX('큐펫&amp;몹 정리(최신)'!R:R,MATCH($E205,'큐펫&amp;몹 정리(최신)'!$B:$B,0))*40))))</f>
        <v>735</v>
      </c>
      <c r="N205" s="190">
        <f>IF($J205=1,INDEX('큐펫&amp;몹 정리(최신)'!S:S,MATCH($E205,'큐펫&amp;몹 정리(최신)'!$B:$B,0))*20,IF($J205=2,INDEX('큐펫&amp;몹 정리(최신)'!S:S,MATCH($E205,'큐펫&amp;몹 정리(최신)'!$B:$B,0))*25,IF($J205=3,INDEX('큐펫&amp;몹 정리(최신)'!S:S,MATCH($E205,'큐펫&amp;몹 정리(최신)'!$B:$B,0))*30,IF($J205=4,INDEX('큐펫&amp;몹 정리(최신)'!S:S,MATCH($E205,'큐펫&amp;몹 정리(최신)'!$B:$B,0))*35,INDEX('큐펫&amp;몹 정리(최신)'!S:S,MATCH($E205,'큐펫&amp;몹 정리(최신)'!$B:$B,0))*40))))</f>
        <v>630</v>
      </c>
      <c r="O205" s="190">
        <f>IF($J205=1,INDEX('큐펫&amp;몹 정리(최신)'!T:T,MATCH($E205,'큐펫&amp;몹 정리(최신)'!$B:$B,0))*20,IF($J205=2,INDEX('큐펫&amp;몹 정리(최신)'!T:T,MATCH($E205,'큐펫&amp;몹 정리(최신)'!$B:$B,0))*25,IF($J205=3,INDEX('큐펫&amp;몹 정리(최신)'!T:T,MATCH($E205,'큐펫&amp;몹 정리(최신)'!$B:$B,0))*30,IF($J205=4,INDEX('큐펫&amp;몹 정리(최신)'!T:T,MATCH($E205,'큐펫&amp;몹 정리(최신)'!$B:$B,0))*35,INDEX('큐펫&amp;몹 정리(최신)'!T:T,MATCH($E205,'큐펫&amp;몹 정리(최신)'!$B:$B,0))*40))))</f>
        <v>700</v>
      </c>
      <c r="P205" s="217">
        <v>80</v>
      </c>
      <c r="Q205" s="217">
        <f t="shared" si="24"/>
        <v>178580</v>
      </c>
      <c r="R205" s="217">
        <f t="shared" si="25"/>
        <v>2552</v>
      </c>
      <c r="S205" s="217">
        <f t="shared" si="26"/>
        <v>3327</v>
      </c>
      <c r="T205" s="217">
        <f t="shared" si="27"/>
        <v>39368</v>
      </c>
      <c r="U205" s="217">
        <f t="shared" si="28"/>
        <v>49152</v>
      </c>
      <c r="V205" s="217">
        <f t="shared" si="29"/>
        <v>27373</v>
      </c>
      <c r="W205" s="217">
        <f>ROUND(AC205+(INDEX(Ref!B$1:B$9,MATCH($AI205,Ref!$A$1:$A$9,0))*P205*0.0001),)</f>
        <v>34</v>
      </c>
      <c r="X205" s="217">
        <f>ROUND(AD205+(INDEX(Ref!C$1:C$9,MATCH($AI205,Ref!$A$1:$A$9,0))*$P205*0.0001),)</f>
        <v>46</v>
      </c>
      <c r="Y205" s="217">
        <f>ROUND(AE205+(INDEX(Ref!D$1:D$9,MATCH($AI205,Ref!$A$1:$A$9,0))*$P205*0.0001),)</f>
        <v>76</v>
      </c>
      <c r="Z205" s="217">
        <f>ROUND(AF205+(INDEX(Ref!E$1:E$9,MATCH($AI205,Ref!$A$1:$A$9,0))*$P205*0.0001),)</f>
        <v>73</v>
      </c>
      <c r="AA205" s="217">
        <f>ROUND(AG205+(INDEX(Ref!F$1:F$9,MATCH($AI205,Ref!$A$1:$A$9,0))*$P205*0.0001),)</f>
        <v>39</v>
      </c>
      <c r="AB205" s="217">
        <f>ROUND(AH205+(INDEX(Ref!G$1:G$9,MATCH($AI205,Ref!$A$1:$A$9,0))*$P205*0.0001),)</f>
        <v>36</v>
      </c>
      <c r="AC205" s="137">
        <v>24</v>
      </c>
      <c r="AD205" s="137">
        <v>33</v>
      </c>
      <c r="AE205" s="137">
        <v>60</v>
      </c>
      <c r="AF205" s="137">
        <v>53</v>
      </c>
      <c r="AG205" s="137">
        <v>28</v>
      </c>
      <c r="AH205" s="137">
        <v>26</v>
      </c>
      <c r="AI205" s="208">
        <v>2</v>
      </c>
      <c r="AJ205" s="172">
        <v>3000</v>
      </c>
      <c r="AK205" s="172">
        <v>30243</v>
      </c>
      <c r="AL205" s="172">
        <v>2000</v>
      </c>
      <c r="AM205" s="172">
        <v>30245</v>
      </c>
      <c r="AN205" s="172">
        <v>0</v>
      </c>
      <c r="AO205" s="172">
        <f t="shared" ref="AO205:AO268" si="30">AK205+4000</f>
        <v>34243</v>
      </c>
      <c r="AP205" s="172">
        <v>0</v>
      </c>
      <c r="AQ205" s="172">
        <f t="shared" ref="AQ205:AQ268" si="31">AM205+4000</f>
        <v>34245</v>
      </c>
      <c r="AR205" s="172">
        <v>1</v>
      </c>
      <c r="AS205" s="172">
        <v>0</v>
      </c>
      <c r="AT205" s="199">
        <v>78041</v>
      </c>
      <c r="AU205" s="195" t="s">
        <v>195</v>
      </c>
    </row>
    <row r="206" spans="1:47" x14ac:dyDescent="0.2">
      <c r="A206" s="173">
        <v>55041</v>
      </c>
      <c r="B206" s="174" t="s">
        <v>193</v>
      </c>
      <c r="C206" s="172">
        <v>86041</v>
      </c>
      <c r="D206" s="172">
        <v>150041</v>
      </c>
      <c r="E206" s="206" t="s">
        <v>194</v>
      </c>
      <c r="F206" s="207">
        <v>6</v>
      </c>
      <c r="G206" s="173">
        <v>11500</v>
      </c>
      <c r="H206" s="173">
        <v>9500</v>
      </c>
      <c r="I206" s="172">
        <v>10000</v>
      </c>
      <c r="J206" s="172">
        <v>5</v>
      </c>
      <c r="K206" s="190">
        <f>IF($J206=1,INDEX('큐펫&amp;몹 정리(최신)'!P:P,MATCH($E206,'큐펫&amp;몹 정리(최신)'!$B:$B,0))*20,IF($J206=2,INDEX('큐펫&amp;몹 정리(최신)'!P:P,MATCH($E206,'큐펫&amp;몹 정리(최신)'!$B:$B,0))*25,IF($J206=3,INDEX('큐펫&amp;몹 정리(최신)'!P:P,MATCH($E206,'큐펫&amp;몹 정리(최신)'!$B:$B,0))*30,IF($J206=4,INDEX('큐펫&amp;몹 정리(최신)'!P:P,MATCH($E206,'큐펫&amp;몹 정리(최신)'!$B:$B,0))*35,INDEX('큐펫&amp;몹 정리(최신)'!P:P,MATCH($E206,'큐펫&amp;몹 정리(최신)'!$B:$B,0))*40))))</f>
        <v>1400</v>
      </c>
      <c r="L206" s="190">
        <f>IF($J206=1,INDEX('큐펫&amp;몹 정리(최신)'!Q:Q,MATCH($E206,'큐펫&amp;몹 정리(최신)'!$B:$B,0))*20,IF($J206=2,INDEX('큐펫&amp;몹 정리(최신)'!Q:Q,MATCH($E206,'큐펫&amp;몹 정리(최신)'!$B:$B,0))*25,IF($J206=3,INDEX('큐펫&amp;몹 정리(최신)'!Q:Q,MATCH($E206,'큐펫&amp;몹 정리(최신)'!$B:$B,0))*30,IF($J206=4,INDEX('큐펫&amp;몹 정리(최신)'!Q:Q,MATCH($E206,'큐펫&amp;몹 정리(최신)'!$B:$B,0))*35,INDEX('큐펫&amp;몹 정리(최신)'!Q:Q,MATCH($E206,'큐펫&amp;몹 정리(최신)'!$B:$B,0))*40))))</f>
        <v>240</v>
      </c>
      <c r="M206" s="190">
        <f>IF($J206=1,INDEX('큐펫&amp;몹 정리(최신)'!R:R,MATCH($E206,'큐펫&amp;몹 정리(최신)'!$B:$B,0))*20,IF($J206=2,INDEX('큐펫&amp;몹 정리(최신)'!R:R,MATCH($E206,'큐펫&amp;몹 정리(최신)'!$B:$B,0))*25,IF($J206=3,INDEX('큐펫&amp;몹 정리(최신)'!R:R,MATCH($E206,'큐펫&amp;몹 정리(최신)'!$B:$B,0))*30,IF($J206=4,INDEX('큐펫&amp;몹 정리(최신)'!R:R,MATCH($E206,'큐펫&amp;몹 정리(최신)'!$B:$B,0))*35,INDEX('큐펫&amp;몹 정리(최신)'!R:R,MATCH($E206,'큐펫&amp;몹 정리(최신)'!$B:$B,0))*40))))</f>
        <v>840</v>
      </c>
      <c r="N206" s="190">
        <f>IF($J206=1,INDEX('큐펫&amp;몹 정리(최신)'!S:S,MATCH($E206,'큐펫&amp;몹 정리(최신)'!$B:$B,0))*20,IF($J206=2,INDEX('큐펫&amp;몹 정리(최신)'!S:S,MATCH($E206,'큐펫&amp;몹 정리(최신)'!$B:$B,0))*25,IF($J206=3,INDEX('큐펫&amp;몹 정리(최신)'!S:S,MATCH($E206,'큐펫&amp;몹 정리(최신)'!$B:$B,0))*30,IF($J206=4,INDEX('큐펫&amp;몹 정리(최신)'!S:S,MATCH($E206,'큐펫&amp;몹 정리(최신)'!$B:$B,0))*35,INDEX('큐펫&amp;몹 정리(최신)'!S:S,MATCH($E206,'큐펫&amp;몹 정리(최신)'!$B:$B,0))*40))))</f>
        <v>720</v>
      </c>
      <c r="O206" s="190">
        <f>IF($J206=1,INDEX('큐펫&amp;몹 정리(최신)'!T:T,MATCH($E206,'큐펫&amp;몹 정리(최신)'!$B:$B,0))*20,IF($J206=2,INDEX('큐펫&amp;몹 정리(최신)'!T:T,MATCH($E206,'큐펫&amp;몹 정리(최신)'!$B:$B,0))*25,IF($J206=3,INDEX('큐펫&amp;몹 정리(최신)'!T:T,MATCH($E206,'큐펫&amp;몹 정리(최신)'!$B:$B,0))*30,IF($J206=4,INDEX('큐펫&amp;몹 정리(최신)'!T:T,MATCH($E206,'큐펫&amp;몹 정리(최신)'!$B:$B,0))*35,INDEX('큐펫&amp;몹 정리(최신)'!T:T,MATCH($E206,'큐펫&amp;몹 정리(최신)'!$B:$B,0))*40))))</f>
        <v>800</v>
      </c>
      <c r="P206" s="217">
        <v>100</v>
      </c>
      <c r="Q206" s="217">
        <f t="shared" si="24"/>
        <v>264600</v>
      </c>
      <c r="R206" s="217">
        <f t="shared" si="25"/>
        <v>3611</v>
      </c>
      <c r="S206" s="217">
        <f t="shared" si="26"/>
        <v>5017</v>
      </c>
      <c r="T206" s="217">
        <f t="shared" si="27"/>
        <v>58099</v>
      </c>
      <c r="U206" s="217">
        <f t="shared" si="28"/>
        <v>66254</v>
      </c>
      <c r="V206" s="217">
        <f t="shared" si="29"/>
        <v>36883</v>
      </c>
      <c r="W206" s="217">
        <f>ROUND(AC206+(INDEX(Ref!B$1:B$9,MATCH($AI206,Ref!$A$1:$A$9,0))*P206*0.0001),)</f>
        <v>38</v>
      </c>
      <c r="X206" s="217">
        <f>ROUND(AD206+(INDEX(Ref!C$1:C$9,MATCH($AI206,Ref!$A$1:$A$9,0))*$P206*0.0001),)</f>
        <v>52</v>
      </c>
      <c r="Y206" s="217">
        <f>ROUND(AE206+(INDEX(Ref!D$1:D$9,MATCH($AI206,Ref!$A$1:$A$9,0))*$P206*0.0001),)</f>
        <v>84</v>
      </c>
      <c r="Z206" s="217">
        <f>ROUND(AF206+(INDEX(Ref!E$1:E$9,MATCH($AI206,Ref!$A$1:$A$9,0))*$P206*0.0001),)</f>
        <v>83</v>
      </c>
      <c r="AA206" s="217">
        <f>ROUND(AG206+(INDEX(Ref!F$1:F$9,MATCH($AI206,Ref!$A$1:$A$9,0))*$P206*0.0001),)</f>
        <v>45</v>
      </c>
      <c r="AB206" s="217">
        <f>ROUND(AH206+(INDEX(Ref!G$1:G$9,MATCH($AI206,Ref!$A$1:$A$9,0))*$P206*0.0001),)</f>
        <v>42</v>
      </c>
      <c r="AC206" s="137">
        <v>26</v>
      </c>
      <c r="AD206" s="137">
        <v>36</v>
      </c>
      <c r="AE206" s="137">
        <v>64</v>
      </c>
      <c r="AF206" s="137">
        <v>58.000000000000007</v>
      </c>
      <c r="AG206" s="137">
        <v>31</v>
      </c>
      <c r="AH206" s="137">
        <v>29</v>
      </c>
      <c r="AI206" s="208">
        <v>2</v>
      </c>
      <c r="AJ206" s="172">
        <v>3000</v>
      </c>
      <c r="AK206" s="172">
        <v>30243</v>
      </c>
      <c r="AL206" s="172">
        <v>2000</v>
      </c>
      <c r="AM206" s="172">
        <v>30246</v>
      </c>
      <c r="AN206" s="172">
        <v>0</v>
      </c>
      <c r="AO206" s="172">
        <f t="shared" si="30"/>
        <v>34243</v>
      </c>
      <c r="AP206" s="172">
        <v>0</v>
      </c>
      <c r="AQ206" s="172">
        <f t="shared" si="31"/>
        <v>34246</v>
      </c>
      <c r="AR206" s="172">
        <v>1</v>
      </c>
      <c r="AS206" s="172">
        <v>0</v>
      </c>
      <c r="AT206" s="199">
        <v>78041</v>
      </c>
      <c r="AU206" s="195" t="s">
        <v>195</v>
      </c>
    </row>
    <row r="207" spans="1:47" x14ac:dyDescent="0.2">
      <c r="A207" s="173">
        <v>55042</v>
      </c>
      <c r="B207" s="174" t="s">
        <v>196</v>
      </c>
      <c r="C207" s="172">
        <v>86042</v>
      </c>
      <c r="D207" s="172">
        <v>150042</v>
      </c>
      <c r="E207" s="206" t="s">
        <v>197</v>
      </c>
      <c r="F207" s="207">
        <v>3</v>
      </c>
      <c r="G207" s="172">
        <v>13000</v>
      </c>
      <c r="H207" s="172">
        <v>9000</v>
      </c>
      <c r="I207" s="172">
        <v>10000</v>
      </c>
      <c r="J207" s="172">
        <v>1</v>
      </c>
      <c r="K207" s="190">
        <f>IF($J207=1,INDEX('큐펫&amp;몹 정리(최신)'!P:P,MATCH($E207,'큐펫&amp;몹 정리(최신)'!$B:$B,0))*20,IF($J207=2,INDEX('큐펫&amp;몹 정리(최신)'!P:P,MATCH($E207,'큐펫&amp;몹 정리(최신)'!$B:$B,0))*25,IF($J207=3,INDEX('큐펫&amp;몹 정리(최신)'!P:P,MATCH($E207,'큐펫&amp;몹 정리(최신)'!$B:$B,0))*30,IF($J207=4,INDEX('큐펫&amp;몹 정리(최신)'!P:P,MATCH($E207,'큐펫&amp;몹 정리(최신)'!$B:$B,0))*35,INDEX('큐펫&amp;몹 정리(최신)'!P:P,MATCH($E207,'큐펫&amp;몹 정리(최신)'!$B:$B,0))*40))))</f>
        <v>1000</v>
      </c>
      <c r="L207" s="190">
        <f>IF($J207=1,INDEX('큐펫&amp;몹 정리(최신)'!Q:Q,MATCH($E207,'큐펫&amp;몹 정리(최신)'!$B:$B,0))*20,IF($J207=2,INDEX('큐펫&amp;몹 정리(최신)'!Q:Q,MATCH($E207,'큐펫&amp;몹 정리(최신)'!$B:$B,0))*25,IF($J207=3,INDEX('큐펫&amp;몹 정리(최신)'!Q:Q,MATCH($E207,'큐펫&amp;몹 정리(최신)'!$B:$B,0))*30,IF($J207=4,INDEX('큐펫&amp;몹 정리(최신)'!Q:Q,MATCH($E207,'큐펫&amp;몹 정리(최신)'!$B:$B,0))*35,INDEX('큐펫&amp;몹 정리(최신)'!Q:Q,MATCH($E207,'큐펫&amp;몹 정리(최신)'!$B:$B,0))*40))))</f>
        <v>120</v>
      </c>
      <c r="M207" s="190">
        <f>IF($J207=1,INDEX('큐펫&amp;몹 정리(최신)'!R:R,MATCH($E207,'큐펫&amp;몹 정리(최신)'!$B:$B,0))*20,IF($J207=2,INDEX('큐펫&amp;몹 정리(최신)'!R:R,MATCH($E207,'큐펫&amp;몹 정리(최신)'!$B:$B,0))*25,IF($J207=3,INDEX('큐펫&amp;몹 정리(최신)'!R:R,MATCH($E207,'큐펫&amp;몹 정리(최신)'!$B:$B,0))*30,IF($J207=4,INDEX('큐펫&amp;몹 정리(최신)'!R:R,MATCH($E207,'큐펫&amp;몹 정리(최신)'!$B:$B,0))*35,INDEX('큐펫&amp;몹 정리(최신)'!R:R,MATCH($E207,'큐펫&amp;몹 정리(최신)'!$B:$B,0))*40))))</f>
        <v>120</v>
      </c>
      <c r="N207" s="190">
        <f>IF($J207=1,INDEX('큐펫&amp;몹 정리(최신)'!S:S,MATCH($E207,'큐펫&amp;몹 정리(최신)'!$B:$B,0))*20,IF($J207=2,INDEX('큐펫&amp;몹 정리(최신)'!S:S,MATCH($E207,'큐펫&amp;몹 정리(최신)'!$B:$B,0))*25,IF($J207=3,INDEX('큐펫&amp;몹 정리(최신)'!S:S,MATCH($E207,'큐펫&amp;몹 정리(최신)'!$B:$B,0))*30,IF($J207=4,INDEX('큐펫&amp;몹 정리(최신)'!S:S,MATCH($E207,'큐펫&amp;몹 정리(최신)'!$B:$B,0))*35,INDEX('큐펫&amp;몹 정리(최신)'!S:S,MATCH($E207,'큐펫&amp;몹 정리(최신)'!$B:$B,0))*40))))</f>
        <v>300</v>
      </c>
      <c r="O207" s="190">
        <f>IF($J207=1,INDEX('큐펫&amp;몹 정리(최신)'!T:T,MATCH($E207,'큐펫&amp;몹 정리(최신)'!$B:$B,0))*20,IF($J207=2,INDEX('큐펫&amp;몹 정리(최신)'!T:T,MATCH($E207,'큐펫&amp;몹 정리(최신)'!$B:$B,0))*25,IF($J207=3,INDEX('큐펫&amp;몹 정리(최신)'!T:T,MATCH($E207,'큐펫&amp;몹 정리(최신)'!$B:$B,0))*30,IF($J207=4,INDEX('큐펫&amp;몹 정리(최신)'!T:T,MATCH($E207,'큐펫&amp;몹 정리(최신)'!$B:$B,0))*35,INDEX('큐펫&amp;몹 정리(최신)'!T:T,MATCH($E207,'큐펫&amp;몹 정리(최신)'!$B:$B,0))*40))))</f>
        <v>460</v>
      </c>
      <c r="P207" s="217">
        <v>20</v>
      </c>
      <c r="Q207" s="217">
        <f t="shared" si="24"/>
        <v>32800</v>
      </c>
      <c r="R207" s="217">
        <f t="shared" si="25"/>
        <v>408</v>
      </c>
      <c r="S207" s="217">
        <f t="shared" si="26"/>
        <v>2120</v>
      </c>
      <c r="T207" s="217">
        <f t="shared" si="27"/>
        <v>495</v>
      </c>
      <c r="U207" s="217">
        <f t="shared" si="28"/>
        <v>8857</v>
      </c>
      <c r="V207" s="217">
        <f t="shared" si="29"/>
        <v>6804</v>
      </c>
      <c r="W207" s="217">
        <f>ROUND(AC207+(INDEX(Ref!B$1:B$9,MATCH($AI207,Ref!$A$1:$A$9,0))*P207*0.0001),)</f>
        <v>17</v>
      </c>
      <c r="X207" s="217">
        <f>ROUND(AD207+(INDEX(Ref!C$1:C$9,MATCH($AI207,Ref!$A$1:$A$9,0))*$P207*0.0001),)</f>
        <v>32</v>
      </c>
      <c r="Y207" s="217">
        <f>ROUND(AE207+(INDEX(Ref!D$1:D$9,MATCH($AI207,Ref!$A$1:$A$9,0))*$P207*0.0001),)</f>
        <v>39</v>
      </c>
      <c r="Z207" s="217">
        <f>ROUND(AF207+(INDEX(Ref!E$1:E$9,MATCH($AI207,Ref!$A$1:$A$9,0))*$P207*0.0001),)</f>
        <v>19</v>
      </c>
      <c r="AA207" s="217">
        <f>ROUND(AG207+(INDEX(Ref!F$1:F$9,MATCH($AI207,Ref!$A$1:$A$9,0))*$P207*0.0001),)</f>
        <v>41</v>
      </c>
      <c r="AB207" s="217">
        <f>ROUND(AH207+(INDEX(Ref!G$1:G$9,MATCH($AI207,Ref!$A$1:$A$9,0))*$P207*0.0001),)</f>
        <v>36</v>
      </c>
      <c r="AC207" s="137">
        <v>15</v>
      </c>
      <c r="AD207" s="137">
        <v>28</v>
      </c>
      <c r="AE207" s="137">
        <v>36</v>
      </c>
      <c r="AF207" s="137">
        <v>17</v>
      </c>
      <c r="AG207" s="137">
        <v>36</v>
      </c>
      <c r="AH207" s="137">
        <v>32</v>
      </c>
      <c r="AI207" s="208">
        <v>5</v>
      </c>
      <c r="AJ207" s="172">
        <v>3000</v>
      </c>
      <c r="AK207" s="172">
        <v>30247</v>
      </c>
      <c r="AL207" s="172">
        <v>2000</v>
      </c>
      <c r="AM207" s="172">
        <v>30250</v>
      </c>
      <c r="AN207" s="172">
        <v>0</v>
      </c>
      <c r="AO207" s="172">
        <f t="shared" si="30"/>
        <v>34247</v>
      </c>
      <c r="AP207" s="172">
        <v>0</v>
      </c>
      <c r="AQ207" s="172">
        <f t="shared" si="31"/>
        <v>34250</v>
      </c>
      <c r="AR207" s="172">
        <v>1</v>
      </c>
      <c r="AS207" s="172">
        <v>0</v>
      </c>
      <c r="AT207" s="199">
        <v>78042</v>
      </c>
      <c r="AU207" s="195" t="s">
        <v>198</v>
      </c>
    </row>
    <row r="208" spans="1:47" x14ac:dyDescent="0.2">
      <c r="A208" s="173">
        <v>55042</v>
      </c>
      <c r="B208" s="174" t="s">
        <v>196</v>
      </c>
      <c r="C208" s="172">
        <v>86042</v>
      </c>
      <c r="D208" s="172">
        <v>150042</v>
      </c>
      <c r="E208" s="206" t="s">
        <v>197</v>
      </c>
      <c r="F208" s="207">
        <v>3</v>
      </c>
      <c r="G208" s="172">
        <v>13000</v>
      </c>
      <c r="H208" s="172">
        <v>9000</v>
      </c>
      <c r="I208" s="172">
        <v>10000</v>
      </c>
      <c r="J208" s="172">
        <v>2</v>
      </c>
      <c r="K208" s="190">
        <f>IF($J208=1,INDEX('큐펫&amp;몹 정리(최신)'!P:P,MATCH($E208,'큐펫&amp;몹 정리(최신)'!$B:$B,0))*20,IF($J208=2,INDEX('큐펫&amp;몹 정리(최신)'!P:P,MATCH($E208,'큐펫&amp;몹 정리(최신)'!$B:$B,0))*25,IF($J208=3,INDEX('큐펫&amp;몹 정리(최신)'!P:P,MATCH($E208,'큐펫&amp;몹 정리(최신)'!$B:$B,0))*30,IF($J208=4,INDEX('큐펫&amp;몹 정리(최신)'!P:P,MATCH($E208,'큐펫&amp;몹 정리(최신)'!$B:$B,0))*35,INDEX('큐펫&amp;몹 정리(최신)'!P:P,MATCH($E208,'큐펫&amp;몹 정리(최신)'!$B:$B,0))*40))))</f>
        <v>1250</v>
      </c>
      <c r="L208" s="190">
        <f>IF($J208=1,INDEX('큐펫&amp;몹 정리(최신)'!Q:Q,MATCH($E208,'큐펫&amp;몹 정리(최신)'!$B:$B,0))*20,IF($J208=2,INDEX('큐펫&amp;몹 정리(최신)'!Q:Q,MATCH($E208,'큐펫&amp;몹 정리(최신)'!$B:$B,0))*25,IF($J208=3,INDEX('큐펫&amp;몹 정리(최신)'!Q:Q,MATCH($E208,'큐펫&amp;몹 정리(최신)'!$B:$B,0))*30,IF($J208=4,INDEX('큐펫&amp;몹 정리(최신)'!Q:Q,MATCH($E208,'큐펫&amp;몹 정리(최신)'!$B:$B,0))*35,INDEX('큐펫&amp;몹 정리(최신)'!Q:Q,MATCH($E208,'큐펫&amp;몹 정리(최신)'!$B:$B,0))*40))))</f>
        <v>150</v>
      </c>
      <c r="M208" s="190">
        <f>IF($J208=1,INDEX('큐펫&amp;몹 정리(최신)'!R:R,MATCH($E208,'큐펫&amp;몹 정리(최신)'!$B:$B,0))*20,IF($J208=2,INDEX('큐펫&amp;몹 정리(최신)'!R:R,MATCH($E208,'큐펫&amp;몹 정리(최신)'!$B:$B,0))*25,IF($J208=3,INDEX('큐펫&amp;몹 정리(최신)'!R:R,MATCH($E208,'큐펫&amp;몹 정리(최신)'!$B:$B,0))*30,IF($J208=4,INDEX('큐펫&amp;몹 정리(최신)'!R:R,MATCH($E208,'큐펫&amp;몹 정리(최신)'!$B:$B,0))*35,INDEX('큐펫&amp;몹 정리(최신)'!R:R,MATCH($E208,'큐펫&amp;몹 정리(최신)'!$B:$B,0))*40))))</f>
        <v>150</v>
      </c>
      <c r="N208" s="190">
        <f>IF($J208=1,INDEX('큐펫&amp;몹 정리(최신)'!S:S,MATCH($E208,'큐펫&amp;몹 정리(최신)'!$B:$B,0))*20,IF($J208=2,INDEX('큐펫&amp;몹 정리(최신)'!S:S,MATCH($E208,'큐펫&amp;몹 정리(최신)'!$B:$B,0))*25,IF($J208=3,INDEX('큐펫&amp;몹 정리(최신)'!S:S,MATCH($E208,'큐펫&amp;몹 정리(최신)'!$B:$B,0))*30,IF($J208=4,INDEX('큐펫&amp;몹 정리(최신)'!S:S,MATCH($E208,'큐펫&amp;몹 정리(최신)'!$B:$B,0))*35,INDEX('큐펫&amp;몹 정리(최신)'!S:S,MATCH($E208,'큐펫&amp;몹 정리(최신)'!$B:$B,0))*40))))</f>
        <v>375</v>
      </c>
      <c r="O208" s="190">
        <f>IF($J208=1,INDEX('큐펫&amp;몹 정리(최신)'!T:T,MATCH($E208,'큐펫&amp;몹 정리(최신)'!$B:$B,0))*20,IF($J208=2,INDEX('큐펫&amp;몹 정리(최신)'!T:T,MATCH($E208,'큐펫&amp;몹 정리(최신)'!$B:$B,0))*25,IF($J208=3,INDEX('큐펫&amp;몹 정리(최신)'!T:T,MATCH($E208,'큐펫&amp;몹 정리(최신)'!$B:$B,0))*30,IF($J208=4,INDEX('큐펫&amp;몹 정리(최신)'!T:T,MATCH($E208,'큐펫&amp;몹 정리(최신)'!$B:$B,0))*35,INDEX('큐펫&amp;몹 정리(최신)'!T:T,MATCH($E208,'큐펫&amp;몹 정리(최신)'!$B:$B,0))*40))))</f>
        <v>575</v>
      </c>
      <c r="P208" s="217">
        <v>40</v>
      </c>
      <c r="Q208" s="217">
        <f t="shared" si="24"/>
        <v>78200</v>
      </c>
      <c r="R208" s="217">
        <f t="shared" si="25"/>
        <v>745</v>
      </c>
      <c r="S208" s="217">
        <f t="shared" si="26"/>
        <v>4037</v>
      </c>
      <c r="T208" s="217">
        <f t="shared" si="27"/>
        <v>949</v>
      </c>
      <c r="U208" s="217">
        <f t="shared" si="28"/>
        <v>15759</v>
      </c>
      <c r="V208" s="217">
        <f t="shared" si="29"/>
        <v>12099</v>
      </c>
      <c r="W208" s="217">
        <f>ROUND(AC208+(INDEX(Ref!B$1:B$9,MATCH($AI208,Ref!$A$1:$A$9,0))*P208*0.0001),)</f>
        <v>21</v>
      </c>
      <c r="X208" s="217">
        <f>ROUND(AD208+(INDEX(Ref!C$1:C$9,MATCH($AI208,Ref!$A$1:$A$9,0))*$P208*0.0001),)</f>
        <v>40</v>
      </c>
      <c r="Y208" s="217">
        <f>ROUND(AE208+(INDEX(Ref!D$1:D$9,MATCH($AI208,Ref!$A$1:$A$9,0))*$P208*0.0001),)</f>
        <v>44</v>
      </c>
      <c r="Z208" s="217">
        <f>ROUND(AF208+(INDEX(Ref!E$1:E$9,MATCH($AI208,Ref!$A$1:$A$9,0))*$P208*0.0001),)</f>
        <v>24</v>
      </c>
      <c r="AA208" s="217">
        <f>ROUND(AG208+(INDEX(Ref!F$1:F$9,MATCH($AI208,Ref!$A$1:$A$9,0))*$P208*0.0001),)</f>
        <v>51</v>
      </c>
      <c r="AB208" s="217">
        <f>ROUND(AH208+(INDEX(Ref!G$1:G$9,MATCH($AI208,Ref!$A$1:$A$9,0))*$P208*0.0001),)</f>
        <v>44</v>
      </c>
      <c r="AC208" s="137">
        <v>17</v>
      </c>
      <c r="AD208" s="137">
        <v>32</v>
      </c>
      <c r="AE208" s="137">
        <v>39</v>
      </c>
      <c r="AF208" s="137">
        <v>19</v>
      </c>
      <c r="AG208" s="137">
        <v>41</v>
      </c>
      <c r="AH208" s="137">
        <v>36</v>
      </c>
      <c r="AI208" s="208">
        <v>5</v>
      </c>
      <c r="AJ208" s="172">
        <v>3000</v>
      </c>
      <c r="AK208" s="172">
        <v>30248</v>
      </c>
      <c r="AL208" s="172">
        <v>2000</v>
      </c>
      <c r="AM208" s="172">
        <v>30250</v>
      </c>
      <c r="AN208" s="172">
        <v>0</v>
      </c>
      <c r="AO208" s="172">
        <f t="shared" si="30"/>
        <v>34248</v>
      </c>
      <c r="AP208" s="172">
        <v>0</v>
      </c>
      <c r="AQ208" s="172">
        <f t="shared" si="31"/>
        <v>34250</v>
      </c>
      <c r="AR208" s="172">
        <v>1</v>
      </c>
      <c r="AS208" s="172">
        <v>0</v>
      </c>
      <c r="AT208" s="199">
        <v>78042</v>
      </c>
      <c r="AU208" s="195" t="s">
        <v>198</v>
      </c>
    </row>
    <row r="209" spans="1:47" x14ac:dyDescent="0.2">
      <c r="A209" s="173">
        <v>55042</v>
      </c>
      <c r="B209" s="174" t="s">
        <v>196</v>
      </c>
      <c r="C209" s="172">
        <v>86042</v>
      </c>
      <c r="D209" s="172">
        <v>150042</v>
      </c>
      <c r="E209" s="206" t="s">
        <v>197</v>
      </c>
      <c r="F209" s="207">
        <v>3</v>
      </c>
      <c r="G209" s="172">
        <v>13000</v>
      </c>
      <c r="H209" s="172">
        <v>9000</v>
      </c>
      <c r="I209" s="172">
        <v>10000</v>
      </c>
      <c r="J209" s="172">
        <v>3</v>
      </c>
      <c r="K209" s="190">
        <f>IF($J209=1,INDEX('큐펫&amp;몹 정리(최신)'!P:P,MATCH($E209,'큐펫&amp;몹 정리(최신)'!$B:$B,0))*20,IF($J209=2,INDEX('큐펫&amp;몹 정리(최신)'!P:P,MATCH($E209,'큐펫&amp;몹 정리(최신)'!$B:$B,0))*25,IF($J209=3,INDEX('큐펫&amp;몹 정리(최신)'!P:P,MATCH($E209,'큐펫&amp;몹 정리(최신)'!$B:$B,0))*30,IF($J209=4,INDEX('큐펫&amp;몹 정리(최신)'!P:P,MATCH($E209,'큐펫&amp;몹 정리(최신)'!$B:$B,0))*35,INDEX('큐펫&amp;몹 정리(최신)'!P:P,MATCH($E209,'큐펫&amp;몹 정리(최신)'!$B:$B,0))*40))))</f>
        <v>1500</v>
      </c>
      <c r="L209" s="190">
        <f>IF($J209=1,INDEX('큐펫&amp;몹 정리(최신)'!Q:Q,MATCH($E209,'큐펫&amp;몹 정리(최신)'!$B:$B,0))*20,IF($J209=2,INDEX('큐펫&amp;몹 정리(최신)'!Q:Q,MATCH($E209,'큐펫&amp;몹 정리(최신)'!$B:$B,0))*25,IF($J209=3,INDEX('큐펫&amp;몹 정리(최신)'!Q:Q,MATCH($E209,'큐펫&amp;몹 정리(최신)'!$B:$B,0))*30,IF($J209=4,INDEX('큐펫&amp;몹 정리(최신)'!Q:Q,MATCH($E209,'큐펫&amp;몹 정리(최신)'!$B:$B,0))*35,INDEX('큐펫&amp;몹 정리(최신)'!Q:Q,MATCH($E209,'큐펫&amp;몹 정리(최신)'!$B:$B,0))*40))))</f>
        <v>180</v>
      </c>
      <c r="M209" s="190">
        <f>IF($J209=1,INDEX('큐펫&amp;몹 정리(최신)'!R:R,MATCH($E209,'큐펫&amp;몹 정리(최신)'!$B:$B,0))*20,IF($J209=2,INDEX('큐펫&amp;몹 정리(최신)'!R:R,MATCH($E209,'큐펫&amp;몹 정리(최신)'!$B:$B,0))*25,IF($J209=3,INDEX('큐펫&amp;몹 정리(최신)'!R:R,MATCH($E209,'큐펫&amp;몹 정리(최신)'!$B:$B,0))*30,IF($J209=4,INDEX('큐펫&amp;몹 정리(최신)'!R:R,MATCH($E209,'큐펫&amp;몹 정리(최신)'!$B:$B,0))*35,INDEX('큐펫&amp;몹 정리(최신)'!R:R,MATCH($E209,'큐펫&amp;몹 정리(최신)'!$B:$B,0))*40))))</f>
        <v>180</v>
      </c>
      <c r="N209" s="190">
        <f>IF($J209=1,INDEX('큐펫&amp;몹 정리(최신)'!S:S,MATCH($E209,'큐펫&amp;몹 정리(최신)'!$B:$B,0))*20,IF($J209=2,INDEX('큐펫&amp;몹 정리(최신)'!S:S,MATCH($E209,'큐펫&amp;몹 정리(최신)'!$B:$B,0))*25,IF($J209=3,INDEX('큐펫&amp;몹 정리(최신)'!S:S,MATCH($E209,'큐펫&amp;몹 정리(최신)'!$B:$B,0))*30,IF($J209=4,INDEX('큐펫&amp;몹 정리(최신)'!S:S,MATCH($E209,'큐펫&amp;몹 정리(최신)'!$B:$B,0))*35,INDEX('큐펫&amp;몹 정리(최신)'!S:S,MATCH($E209,'큐펫&amp;몹 정리(최신)'!$B:$B,0))*40))))</f>
        <v>450</v>
      </c>
      <c r="O209" s="190">
        <f>IF($J209=1,INDEX('큐펫&amp;몹 정리(최신)'!T:T,MATCH($E209,'큐펫&amp;몹 정리(최신)'!$B:$B,0))*20,IF($J209=2,INDEX('큐펫&amp;몹 정리(최신)'!T:T,MATCH($E209,'큐펫&amp;몹 정리(최신)'!$B:$B,0))*25,IF($J209=3,INDEX('큐펫&amp;몹 정리(최신)'!T:T,MATCH($E209,'큐펫&amp;몹 정리(최신)'!$B:$B,0))*30,IF($J209=4,INDEX('큐펫&amp;몹 정리(최신)'!T:T,MATCH($E209,'큐펫&amp;몹 정리(최신)'!$B:$B,0))*35,INDEX('큐펫&amp;몹 정리(최신)'!T:T,MATCH($E209,'큐펫&amp;몹 정리(최신)'!$B:$B,0))*40))))</f>
        <v>690</v>
      </c>
      <c r="P209" s="217">
        <v>60</v>
      </c>
      <c r="Q209" s="217">
        <f t="shared" si="24"/>
        <v>142500</v>
      </c>
      <c r="R209" s="217">
        <f t="shared" si="25"/>
        <v>1324</v>
      </c>
      <c r="S209" s="217">
        <f t="shared" si="26"/>
        <v>6647</v>
      </c>
      <c r="T209" s="217">
        <f t="shared" si="27"/>
        <v>1517</v>
      </c>
      <c r="U209" s="217">
        <f t="shared" si="28"/>
        <v>24760</v>
      </c>
      <c r="V209" s="217">
        <f t="shared" si="29"/>
        <v>19003</v>
      </c>
      <c r="W209" s="217">
        <f>ROUND(AC209+(INDEX(Ref!B$1:B$9,MATCH($AI209,Ref!$A$1:$A$9,0))*P209*0.0001),)</f>
        <v>26</v>
      </c>
      <c r="X209" s="217">
        <f>ROUND(AD209+(INDEX(Ref!C$1:C$9,MATCH($AI209,Ref!$A$1:$A$9,0))*$P209*0.0001),)</f>
        <v>47</v>
      </c>
      <c r="Y209" s="217">
        <f>ROUND(AE209+(INDEX(Ref!D$1:D$9,MATCH($AI209,Ref!$A$1:$A$9,0))*$P209*0.0001),)</f>
        <v>50</v>
      </c>
      <c r="Z209" s="217">
        <f>ROUND(AF209+(INDEX(Ref!E$1:E$9,MATCH($AI209,Ref!$A$1:$A$9,0))*$P209*0.0001),)</f>
        <v>28</v>
      </c>
      <c r="AA209" s="217">
        <f>ROUND(AG209+(INDEX(Ref!F$1:F$9,MATCH($AI209,Ref!$A$1:$A$9,0))*$P209*0.0001),)</f>
        <v>60</v>
      </c>
      <c r="AB209" s="217">
        <f>ROUND(AH209+(INDEX(Ref!G$1:G$9,MATCH($AI209,Ref!$A$1:$A$9,0))*$P209*0.0001),)</f>
        <v>53</v>
      </c>
      <c r="AC209" s="137">
        <v>19</v>
      </c>
      <c r="AD209" s="137">
        <v>36</v>
      </c>
      <c r="AE209" s="137">
        <v>42</v>
      </c>
      <c r="AF209" s="137">
        <v>21</v>
      </c>
      <c r="AG209" s="137">
        <v>46</v>
      </c>
      <c r="AH209" s="137">
        <v>40</v>
      </c>
      <c r="AI209" s="208">
        <v>5</v>
      </c>
      <c r="AJ209" s="172">
        <v>3000</v>
      </c>
      <c r="AK209" s="172">
        <v>30248</v>
      </c>
      <c r="AL209" s="172">
        <v>2000</v>
      </c>
      <c r="AM209" s="172">
        <v>30251</v>
      </c>
      <c r="AN209" s="172">
        <v>0</v>
      </c>
      <c r="AO209" s="172">
        <f t="shared" si="30"/>
        <v>34248</v>
      </c>
      <c r="AP209" s="172">
        <v>0</v>
      </c>
      <c r="AQ209" s="172">
        <f t="shared" si="31"/>
        <v>34251</v>
      </c>
      <c r="AR209" s="172">
        <v>1</v>
      </c>
      <c r="AS209" s="172">
        <v>0</v>
      </c>
      <c r="AT209" s="199">
        <v>78042</v>
      </c>
      <c r="AU209" s="195" t="s">
        <v>198</v>
      </c>
    </row>
    <row r="210" spans="1:47" x14ac:dyDescent="0.2">
      <c r="A210" s="173">
        <v>55042</v>
      </c>
      <c r="B210" s="174" t="s">
        <v>196</v>
      </c>
      <c r="C210" s="172">
        <v>86042</v>
      </c>
      <c r="D210" s="172">
        <v>150042</v>
      </c>
      <c r="E210" s="206" t="s">
        <v>197</v>
      </c>
      <c r="F210" s="207">
        <v>3</v>
      </c>
      <c r="G210" s="172">
        <v>13000</v>
      </c>
      <c r="H210" s="172">
        <v>9000</v>
      </c>
      <c r="I210" s="172">
        <v>10000</v>
      </c>
      <c r="J210" s="172">
        <v>4</v>
      </c>
      <c r="K210" s="190">
        <f>IF($J210=1,INDEX('큐펫&amp;몹 정리(최신)'!P:P,MATCH($E210,'큐펫&amp;몹 정리(최신)'!$B:$B,0))*20,IF($J210=2,INDEX('큐펫&amp;몹 정리(최신)'!P:P,MATCH($E210,'큐펫&amp;몹 정리(최신)'!$B:$B,0))*25,IF($J210=3,INDEX('큐펫&amp;몹 정리(최신)'!P:P,MATCH($E210,'큐펫&amp;몹 정리(최신)'!$B:$B,0))*30,IF($J210=4,INDEX('큐펫&amp;몹 정리(최신)'!P:P,MATCH($E210,'큐펫&amp;몹 정리(최신)'!$B:$B,0))*35,INDEX('큐펫&amp;몹 정리(최신)'!P:P,MATCH($E210,'큐펫&amp;몹 정리(최신)'!$B:$B,0))*40))))</f>
        <v>1750</v>
      </c>
      <c r="L210" s="190">
        <f>IF($J210=1,INDEX('큐펫&amp;몹 정리(최신)'!Q:Q,MATCH($E210,'큐펫&amp;몹 정리(최신)'!$B:$B,0))*20,IF($J210=2,INDEX('큐펫&amp;몹 정리(최신)'!Q:Q,MATCH($E210,'큐펫&amp;몹 정리(최신)'!$B:$B,0))*25,IF($J210=3,INDEX('큐펫&amp;몹 정리(최신)'!Q:Q,MATCH($E210,'큐펫&amp;몹 정리(최신)'!$B:$B,0))*30,IF($J210=4,INDEX('큐펫&amp;몹 정리(최신)'!Q:Q,MATCH($E210,'큐펫&amp;몹 정리(최신)'!$B:$B,0))*35,INDEX('큐펫&amp;몹 정리(최신)'!Q:Q,MATCH($E210,'큐펫&amp;몹 정리(최신)'!$B:$B,0))*40))))</f>
        <v>210</v>
      </c>
      <c r="M210" s="190">
        <f>IF($J210=1,INDEX('큐펫&amp;몹 정리(최신)'!R:R,MATCH($E210,'큐펫&amp;몹 정리(최신)'!$B:$B,0))*20,IF($J210=2,INDEX('큐펫&amp;몹 정리(최신)'!R:R,MATCH($E210,'큐펫&amp;몹 정리(최신)'!$B:$B,0))*25,IF($J210=3,INDEX('큐펫&amp;몹 정리(최신)'!R:R,MATCH($E210,'큐펫&amp;몹 정리(최신)'!$B:$B,0))*30,IF($J210=4,INDEX('큐펫&amp;몹 정리(최신)'!R:R,MATCH($E210,'큐펫&amp;몹 정리(최신)'!$B:$B,0))*35,INDEX('큐펫&amp;몹 정리(최신)'!R:R,MATCH($E210,'큐펫&amp;몹 정리(최신)'!$B:$B,0))*40))))</f>
        <v>210</v>
      </c>
      <c r="N210" s="190">
        <f>IF($J210=1,INDEX('큐펫&amp;몹 정리(최신)'!S:S,MATCH($E210,'큐펫&amp;몹 정리(최신)'!$B:$B,0))*20,IF($J210=2,INDEX('큐펫&amp;몹 정리(최신)'!S:S,MATCH($E210,'큐펫&amp;몹 정리(최신)'!$B:$B,0))*25,IF($J210=3,INDEX('큐펫&amp;몹 정리(최신)'!S:S,MATCH($E210,'큐펫&amp;몹 정리(최신)'!$B:$B,0))*30,IF($J210=4,INDEX('큐펫&amp;몹 정리(최신)'!S:S,MATCH($E210,'큐펫&amp;몹 정리(최신)'!$B:$B,0))*35,INDEX('큐펫&amp;몹 정리(최신)'!S:S,MATCH($E210,'큐펫&amp;몹 정리(최신)'!$B:$B,0))*40))))</f>
        <v>525</v>
      </c>
      <c r="O210" s="190">
        <f>IF($J210=1,INDEX('큐펫&amp;몹 정리(최신)'!T:T,MATCH($E210,'큐펫&amp;몹 정리(최신)'!$B:$B,0))*20,IF($J210=2,INDEX('큐펫&amp;몹 정리(최신)'!T:T,MATCH($E210,'큐펫&amp;몹 정리(최신)'!$B:$B,0))*25,IF($J210=3,INDEX('큐펫&amp;몹 정리(최신)'!T:T,MATCH($E210,'큐펫&amp;몹 정리(최신)'!$B:$B,0))*30,IF($J210=4,INDEX('큐펫&amp;몹 정리(최신)'!T:T,MATCH($E210,'큐펫&amp;몹 정리(최신)'!$B:$B,0))*35,INDEX('큐펫&amp;몹 정리(최신)'!T:T,MATCH($E210,'큐펫&amp;몹 정리(최신)'!$B:$B,0))*40))))</f>
        <v>805</v>
      </c>
      <c r="P210" s="217">
        <v>80</v>
      </c>
      <c r="Q210" s="217">
        <f t="shared" si="24"/>
        <v>224300</v>
      </c>
      <c r="R210" s="217">
        <f t="shared" si="25"/>
        <v>2149</v>
      </c>
      <c r="S210" s="217">
        <f t="shared" si="26"/>
        <v>10489</v>
      </c>
      <c r="T210" s="217">
        <f t="shared" si="27"/>
        <v>2559</v>
      </c>
      <c r="U210" s="217">
        <f t="shared" si="28"/>
        <v>35187</v>
      </c>
      <c r="V210" s="217">
        <f t="shared" si="29"/>
        <v>27001</v>
      </c>
      <c r="W210" s="217">
        <f>ROUND(AC210+(INDEX(Ref!B$1:B$9,MATCH($AI210,Ref!$A$1:$A$9,0))*P210*0.0001),)</f>
        <v>31</v>
      </c>
      <c r="X210" s="217">
        <f>ROUND(AD210+(INDEX(Ref!C$1:C$9,MATCH($AI210,Ref!$A$1:$A$9,0))*$P210*0.0001),)</f>
        <v>54</v>
      </c>
      <c r="Y210" s="217">
        <f>ROUND(AE210+(INDEX(Ref!D$1:D$9,MATCH($AI210,Ref!$A$1:$A$9,0))*$P210*0.0001),)</f>
        <v>54</v>
      </c>
      <c r="Z210" s="217">
        <f>ROUND(AF210+(INDEX(Ref!E$1:E$9,MATCH($AI210,Ref!$A$1:$A$9,0))*$P210*0.0001),)</f>
        <v>34</v>
      </c>
      <c r="AA210" s="217">
        <f>ROUND(AG210+(INDEX(Ref!F$1:F$9,MATCH($AI210,Ref!$A$1:$A$9,0))*$P210*0.0001),)</f>
        <v>70</v>
      </c>
      <c r="AB210" s="217">
        <f>ROUND(AH210+(INDEX(Ref!G$1:G$9,MATCH($AI210,Ref!$A$1:$A$9,0))*$P210*0.0001),)</f>
        <v>61</v>
      </c>
      <c r="AC210" s="137">
        <v>22</v>
      </c>
      <c r="AD210" s="137">
        <v>39</v>
      </c>
      <c r="AE210" s="137">
        <v>44</v>
      </c>
      <c r="AF210" s="137">
        <v>24</v>
      </c>
      <c r="AG210" s="137">
        <v>51</v>
      </c>
      <c r="AH210" s="137">
        <v>44</v>
      </c>
      <c r="AI210" s="208">
        <v>5</v>
      </c>
      <c r="AJ210" s="172">
        <v>3000</v>
      </c>
      <c r="AK210" s="172">
        <v>30249</v>
      </c>
      <c r="AL210" s="172">
        <v>2000</v>
      </c>
      <c r="AM210" s="172">
        <v>30251</v>
      </c>
      <c r="AN210" s="172">
        <v>0</v>
      </c>
      <c r="AO210" s="172">
        <f t="shared" si="30"/>
        <v>34249</v>
      </c>
      <c r="AP210" s="172">
        <v>0</v>
      </c>
      <c r="AQ210" s="172">
        <f t="shared" si="31"/>
        <v>34251</v>
      </c>
      <c r="AR210" s="172">
        <v>1</v>
      </c>
      <c r="AS210" s="172">
        <v>0</v>
      </c>
      <c r="AT210" s="199">
        <v>78042</v>
      </c>
      <c r="AU210" s="195" t="s">
        <v>198</v>
      </c>
    </row>
    <row r="211" spans="1:47" x14ac:dyDescent="0.2">
      <c r="A211" s="173">
        <v>55042</v>
      </c>
      <c r="B211" s="174" t="s">
        <v>196</v>
      </c>
      <c r="C211" s="172">
        <v>86042</v>
      </c>
      <c r="D211" s="172">
        <v>150042</v>
      </c>
      <c r="E211" s="206" t="s">
        <v>197</v>
      </c>
      <c r="F211" s="207">
        <v>3</v>
      </c>
      <c r="G211" s="172">
        <v>13000</v>
      </c>
      <c r="H211" s="172">
        <v>9000</v>
      </c>
      <c r="I211" s="172">
        <v>10000</v>
      </c>
      <c r="J211" s="172">
        <v>5</v>
      </c>
      <c r="K211" s="190">
        <f>IF($J211=1,INDEX('큐펫&amp;몹 정리(최신)'!P:P,MATCH($E211,'큐펫&amp;몹 정리(최신)'!$B:$B,0))*20,IF($J211=2,INDEX('큐펫&amp;몹 정리(최신)'!P:P,MATCH($E211,'큐펫&amp;몹 정리(최신)'!$B:$B,0))*25,IF($J211=3,INDEX('큐펫&amp;몹 정리(최신)'!P:P,MATCH($E211,'큐펫&amp;몹 정리(최신)'!$B:$B,0))*30,IF($J211=4,INDEX('큐펫&amp;몹 정리(최신)'!P:P,MATCH($E211,'큐펫&amp;몹 정리(최신)'!$B:$B,0))*35,INDEX('큐펫&amp;몹 정리(최신)'!P:P,MATCH($E211,'큐펫&amp;몹 정리(최신)'!$B:$B,0))*40))))</f>
        <v>2000</v>
      </c>
      <c r="L211" s="190">
        <f>IF($J211=1,INDEX('큐펫&amp;몹 정리(최신)'!Q:Q,MATCH($E211,'큐펫&amp;몹 정리(최신)'!$B:$B,0))*20,IF($J211=2,INDEX('큐펫&amp;몹 정리(최신)'!Q:Q,MATCH($E211,'큐펫&amp;몹 정리(최신)'!$B:$B,0))*25,IF($J211=3,INDEX('큐펫&amp;몹 정리(최신)'!Q:Q,MATCH($E211,'큐펫&amp;몹 정리(최신)'!$B:$B,0))*30,IF($J211=4,INDEX('큐펫&amp;몹 정리(최신)'!Q:Q,MATCH($E211,'큐펫&amp;몹 정리(최신)'!$B:$B,0))*35,INDEX('큐펫&amp;몹 정리(최신)'!Q:Q,MATCH($E211,'큐펫&amp;몹 정리(최신)'!$B:$B,0))*40))))</f>
        <v>240</v>
      </c>
      <c r="M211" s="190">
        <f>IF($J211=1,INDEX('큐펫&amp;몹 정리(최신)'!R:R,MATCH($E211,'큐펫&amp;몹 정리(최신)'!$B:$B,0))*20,IF($J211=2,INDEX('큐펫&amp;몹 정리(최신)'!R:R,MATCH($E211,'큐펫&amp;몹 정리(최신)'!$B:$B,0))*25,IF($J211=3,INDEX('큐펫&amp;몹 정리(최신)'!R:R,MATCH($E211,'큐펫&amp;몹 정리(최신)'!$B:$B,0))*30,IF($J211=4,INDEX('큐펫&amp;몹 정리(최신)'!R:R,MATCH($E211,'큐펫&amp;몹 정리(최신)'!$B:$B,0))*35,INDEX('큐펫&amp;몹 정리(최신)'!R:R,MATCH($E211,'큐펫&amp;몹 정리(최신)'!$B:$B,0))*40))))</f>
        <v>240</v>
      </c>
      <c r="N211" s="190">
        <f>IF($J211=1,INDEX('큐펫&amp;몹 정리(최신)'!S:S,MATCH($E211,'큐펫&amp;몹 정리(최신)'!$B:$B,0))*20,IF($J211=2,INDEX('큐펫&amp;몹 정리(최신)'!S:S,MATCH($E211,'큐펫&amp;몹 정리(최신)'!$B:$B,0))*25,IF($J211=3,INDEX('큐펫&amp;몹 정리(최신)'!S:S,MATCH($E211,'큐펫&amp;몹 정리(최신)'!$B:$B,0))*30,IF($J211=4,INDEX('큐펫&amp;몹 정리(최신)'!S:S,MATCH($E211,'큐펫&amp;몹 정리(최신)'!$B:$B,0))*35,INDEX('큐펫&amp;몹 정리(최신)'!S:S,MATCH($E211,'큐펫&amp;몹 정리(최신)'!$B:$B,0))*40))))</f>
        <v>600</v>
      </c>
      <c r="O211" s="190">
        <f>IF($J211=1,INDEX('큐펫&amp;몹 정리(최신)'!T:T,MATCH($E211,'큐펫&amp;몹 정리(최신)'!$B:$B,0))*20,IF($J211=2,INDEX('큐펫&amp;몹 정리(최신)'!T:T,MATCH($E211,'큐펫&amp;몹 정리(최신)'!$B:$B,0))*25,IF($J211=3,INDEX('큐펫&amp;몹 정리(최신)'!T:T,MATCH($E211,'큐펫&amp;몹 정리(최신)'!$B:$B,0))*30,IF($J211=4,INDEX('큐펫&amp;몹 정리(최신)'!T:T,MATCH($E211,'큐펫&amp;몹 정리(최신)'!$B:$B,0))*35,INDEX('큐펫&amp;몹 정리(최신)'!T:T,MATCH($E211,'큐펫&amp;몹 정리(최신)'!$B:$B,0))*40))))</f>
        <v>920</v>
      </c>
      <c r="P211" s="217">
        <v>100</v>
      </c>
      <c r="Q211" s="217">
        <f t="shared" si="24"/>
        <v>330000</v>
      </c>
      <c r="R211" s="217">
        <f t="shared" si="25"/>
        <v>3093</v>
      </c>
      <c r="S211" s="217">
        <f t="shared" si="26"/>
        <v>15592</v>
      </c>
      <c r="T211" s="217">
        <f t="shared" si="27"/>
        <v>3618</v>
      </c>
      <c r="U211" s="217">
        <f t="shared" si="28"/>
        <v>48014</v>
      </c>
      <c r="V211" s="217">
        <f t="shared" si="29"/>
        <v>36838</v>
      </c>
      <c r="W211" s="217">
        <f>ROUND(AC211+(INDEX(Ref!B$1:B$9,MATCH($AI211,Ref!$A$1:$A$9,0))*P211*0.0001),)</f>
        <v>35</v>
      </c>
      <c r="X211" s="217">
        <f>ROUND(AD211+(INDEX(Ref!C$1:C$9,MATCH($AI211,Ref!$A$1:$A$9,0))*$P211*0.0001),)</f>
        <v>62</v>
      </c>
      <c r="Y211" s="217">
        <f>ROUND(AE211+(INDEX(Ref!D$1:D$9,MATCH($AI211,Ref!$A$1:$A$9,0))*$P211*0.0001),)</f>
        <v>60</v>
      </c>
      <c r="Z211" s="217">
        <f>ROUND(AF211+(INDEX(Ref!E$1:E$9,MATCH($AI211,Ref!$A$1:$A$9,0))*$P211*0.0001),)</f>
        <v>38</v>
      </c>
      <c r="AA211" s="217">
        <f>ROUND(AG211+(INDEX(Ref!F$1:F$9,MATCH($AI211,Ref!$A$1:$A$9,0))*$P211*0.0001),)</f>
        <v>80</v>
      </c>
      <c r="AB211" s="217">
        <f>ROUND(AH211+(INDEX(Ref!G$1:G$9,MATCH($AI211,Ref!$A$1:$A$9,0))*$P211*0.0001),)</f>
        <v>69</v>
      </c>
      <c r="AC211" s="137">
        <v>24</v>
      </c>
      <c r="AD211" s="137">
        <v>43</v>
      </c>
      <c r="AE211" s="137">
        <v>47</v>
      </c>
      <c r="AF211" s="137">
        <v>26</v>
      </c>
      <c r="AG211" s="137">
        <v>56</v>
      </c>
      <c r="AH211" s="137">
        <v>48</v>
      </c>
      <c r="AI211" s="208">
        <v>5</v>
      </c>
      <c r="AJ211" s="172">
        <v>3000</v>
      </c>
      <c r="AK211" s="172">
        <v>30249</v>
      </c>
      <c r="AL211" s="172">
        <v>2000</v>
      </c>
      <c r="AM211" s="172">
        <v>30252</v>
      </c>
      <c r="AN211" s="172">
        <v>0</v>
      </c>
      <c r="AO211" s="172">
        <f t="shared" si="30"/>
        <v>34249</v>
      </c>
      <c r="AP211" s="172">
        <v>0</v>
      </c>
      <c r="AQ211" s="172">
        <f t="shared" si="31"/>
        <v>34252</v>
      </c>
      <c r="AR211" s="172">
        <v>1</v>
      </c>
      <c r="AS211" s="172">
        <v>0</v>
      </c>
      <c r="AT211" s="199">
        <v>78042</v>
      </c>
      <c r="AU211" s="195" t="s">
        <v>198</v>
      </c>
    </row>
    <row r="212" spans="1:47" x14ac:dyDescent="0.2">
      <c r="A212" s="173">
        <v>55043</v>
      </c>
      <c r="B212" s="174" t="s">
        <v>199</v>
      </c>
      <c r="C212" s="172">
        <v>86043</v>
      </c>
      <c r="D212" s="172">
        <v>150043</v>
      </c>
      <c r="E212" s="206" t="s">
        <v>200</v>
      </c>
      <c r="F212" s="207">
        <v>5</v>
      </c>
      <c r="G212" s="172">
        <v>13000</v>
      </c>
      <c r="H212" s="172">
        <v>9000</v>
      </c>
      <c r="I212" s="172">
        <v>10000</v>
      </c>
      <c r="J212" s="172">
        <v>1</v>
      </c>
      <c r="K212" s="190">
        <f>IF($J212=1,INDEX('큐펫&amp;몹 정리(최신)'!P:P,MATCH($E212,'큐펫&amp;몹 정리(최신)'!$B:$B,0))*20,IF($J212=2,INDEX('큐펫&amp;몹 정리(최신)'!P:P,MATCH($E212,'큐펫&amp;몹 정리(최신)'!$B:$B,0))*25,IF($J212=3,INDEX('큐펫&amp;몹 정리(최신)'!P:P,MATCH($E212,'큐펫&amp;몹 정리(최신)'!$B:$B,0))*30,IF($J212=4,INDEX('큐펫&amp;몹 정리(최신)'!P:P,MATCH($E212,'큐펫&amp;몹 정리(최신)'!$B:$B,0))*35,INDEX('큐펫&amp;몹 정리(최신)'!P:P,MATCH($E212,'큐펫&amp;몹 정리(최신)'!$B:$B,0))*40))))</f>
        <v>1000</v>
      </c>
      <c r="L212" s="190">
        <f>IF($J212=1,INDEX('큐펫&amp;몹 정리(최신)'!Q:Q,MATCH($E212,'큐펫&amp;몹 정리(최신)'!$B:$B,0))*20,IF($J212=2,INDEX('큐펫&amp;몹 정리(최신)'!Q:Q,MATCH($E212,'큐펫&amp;몹 정리(최신)'!$B:$B,0))*25,IF($J212=3,INDEX('큐펫&amp;몹 정리(최신)'!Q:Q,MATCH($E212,'큐펫&amp;몹 정리(최신)'!$B:$B,0))*30,IF($J212=4,INDEX('큐펫&amp;몹 정리(최신)'!Q:Q,MATCH($E212,'큐펫&amp;몹 정리(최신)'!$B:$B,0))*35,INDEX('큐펫&amp;몹 정리(최신)'!Q:Q,MATCH($E212,'큐펫&amp;몹 정리(최신)'!$B:$B,0))*40))))</f>
        <v>100</v>
      </c>
      <c r="M212" s="190">
        <f>IF($J212=1,INDEX('큐펫&amp;몹 정리(최신)'!R:R,MATCH($E212,'큐펫&amp;몹 정리(최신)'!$B:$B,0))*20,IF($J212=2,INDEX('큐펫&amp;몹 정리(최신)'!R:R,MATCH($E212,'큐펫&amp;몹 정리(최신)'!$B:$B,0))*25,IF($J212=3,INDEX('큐펫&amp;몹 정리(최신)'!R:R,MATCH($E212,'큐펫&amp;몹 정리(최신)'!$B:$B,0))*30,IF($J212=4,INDEX('큐펫&amp;몹 정리(최신)'!R:R,MATCH($E212,'큐펫&amp;몹 정리(최신)'!$B:$B,0))*35,INDEX('큐펫&amp;몹 정리(최신)'!R:R,MATCH($E212,'큐펫&amp;몹 정리(최신)'!$B:$B,0))*40))))</f>
        <v>140</v>
      </c>
      <c r="N212" s="190">
        <f>IF($J212=1,INDEX('큐펫&amp;몹 정리(최신)'!S:S,MATCH($E212,'큐펫&amp;몹 정리(최신)'!$B:$B,0))*20,IF($J212=2,INDEX('큐펫&amp;몹 정리(최신)'!S:S,MATCH($E212,'큐펫&amp;몹 정리(최신)'!$B:$B,0))*25,IF($J212=3,INDEX('큐펫&amp;몹 정리(최신)'!S:S,MATCH($E212,'큐펫&amp;몹 정리(최신)'!$B:$B,0))*30,IF($J212=4,INDEX('큐펫&amp;몹 정리(최신)'!S:S,MATCH($E212,'큐펫&amp;몹 정리(최신)'!$B:$B,0))*35,INDEX('큐펫&amp;몹 정리(최신)'!S:S,MATCH($E212,'큐펫&amp;몹 정리(최신)'!$B:$B,0))*40))))</f>
        <v>300</v>
      </c>
      <c r="O212" s="190">
        <f>IF($J212=1,INDEX('큐펫&amp;몹 정리(최신)'!T:T,MATCH($E212,'큐펫&amp;몹 정리(최신)'!$B:$B,0))*20,IF($J212=2,INDEX('큐펫&amp;몹 정리(최신)'!T:T,MATCH($E212,'큐펫&amp;몹 정리(최신)'!$B:$B,0))*25,IF($J212=3,INDEX('큐펫&amp;몹 정리(최신)'!T:T,MATCH($E212,'큐펫&amp;몹 정리(최신)'!$B:$B,0))*30,IF($J212=4,INDEX('큐펫&amp;몹 정리(최신)'!T:T,MATCH($E212,'큐펫&amp;몹 정리(최신)'!$B:$B,0))*35,INDEX('큐펫&amp;몹 정리(최신)'!T:T,MATCH($E212,'큐펫&amp;몹 정리(최신)'!$B:$B,0))*40))))</f>
        <v>460</v>
      </c>
      <c r="P212" s="217">
        <v>20</v>
      </c>
      <c r="Q212" s="217">
        <f t="shared" si="24"/>
        <v>32800</v>
      </c>
      <c r="R212" s="217">
        <f t="shared" si="25"/>
        <v>344</v>
      </c>
      <c r="S212" s="217">
        <f t="shared" si="26"/>
        <v>420</v>
      </c>
      <c r="T212" s="217">
        <f t="shared" si="27"/>
        <v>2456</v>
      </c>
      <c r="U212" s="217">
        <f t="shared" si="28"/>
        <v>8857</v>
      </c>
      <c r="V212" s="217">
        <f t="shared" si="29"/>
        <v>6826</v>
      </c>
      <c r="W212" s="217">
        <f>ROUND(AC212+(INDEX(Ref!B$1:B$9,MATCH($AI212,Ref!$A$1:$A$9,0))*P212*0.0001),)</f>
        <v>17</v>
      </c>
      <c r="X212" s="217">
        <f>ROUND(AD212+(INDEX(Ref!C$1:C$9,MATCH($AI212,Ref!$A$1:$A$9,0))*$P212*0.0001),)</f>
        <v>32</v>
      </c>
      <c r="Y212" s="217">
        <f>ROUND(AE212+(INDEX(Ref!D$1:D$9,MATCH($AI212,Ref!$A$1:$A$9,0))*$P212*0.0001),)</f>
        <v>39</v>
      </c>
      <c r="Z212" s="217">
        <f>ROUND(AF212+(INDEX(Ref!E$1:E$9,MATCH($AI212,Ref!$A$1:$A$9,0))*$P212*0.0001),)</f>
        <v>41</v>
      </c>
      <c r="AA212" s="217">
        <f>ROUND(AG212+(INDEX(Ref!F$1:F$9,MATCH($AI212,Ref!$A$1:$A$9,0))*$P212*0.0001),)</f>
        <v>19</v>
      </c>
      <c r="AB212" s="217">
        <f>ROUND(AH212+(INDEX(Ref!G$1:G$9,MATCH($AI212,Ref!$A$1:$A$9,0))*$P212*0.0001),)</f>
        <v>36</v>
      </c>
      <c r="AC212" s="137">
        <v>15</v>
      </c>
      <c r="AD212" s="137">
        <v>28</v>
      </c>
      <c r="AE212" s="137">
        <v>36</v>
      </c>
      <c r="AF212" s="137">
        <v>36</v>
      </c>
      <c r="AG212" s="137">
        <v>17</v>
      </c>
      <c r="AH212" s="137">
        <v>32</v>
      </c>
      <c r="AI212" s="208">
        <v>6</v>
      </c>
      <c r="AJ212" s="172">
        <v>3000</v>
      </c>
      <c r="AK212" s="172">
        <v>30253</v>
      </c>
      <c r="AL212" s="172">
        <v>2000</v>
      </c>
      <c r="AM212" s="172">
        <v>30256</v>
      </c>
      <c r="AN212" s="172">
        <v>0</v>
      </c>
      <c r="AO212" s="172">
        <f t="shared" si="30"/>
        <v>34253</v>
      </c>
      <c r="AP212" s="172">
        <v>0</v>
      </c>
      <c r="AQ212" s="172">
        <f t="shared" si="31"/>
        <v>34256</v>
      </c>
      <c r="AR212" s="172">
        <v>1</v>
      </c>
      <c r="AS212" s="172">
        <v>0</v>
      </c>
      <c r="AT212" s="199">
        <v>78043</v>
      </c>
      <c r="AU212" s="195" t="s">
        <v>201</v>
      </c>
    </row>
    <row r="213" spans="1:47" x14ac:dyDescent="0.2">
      <c r="A213" s="173">
        <v>55043</v>
      </c>
      <c r="B213" s="174" t="s">
        <v>199</v>
      </c>
      <c r="C213" s="172">
        <v>86043</v>
      </c>
      <c r="D213" s="172">
        <v>150043</v>
      </c>
      <c r="E213" s="206" t="s">
        <v>200</v>
      </c>
      <c r="F213" s="207">
        <v>5</v>
      </c>
      <c r="G213" s="172">
        <v>13000</v>
      </c>
      <c r="H213" s="172">
        <v>9000</v>
      </c>
      <c r="I213" s="172">
        <v>10000</v>
      </c>
      <c r="J213" s="172">
        <v>2</v>
      </c>
      <c r="K213" s="190">
        <f>IF($J213=1,INDEX('큐펫&amp;몹 정리(최신)'!P:P,MATCH($E213,'큐펫&amp;몹 정리(최신)'!$B:$B,0))*20,IF($J213=2,INDEX('큐펫&amp;몹 정리(최신)'!P:P,MATCH($E213,'큐펫&amp;몹 정리(최신)'!$B:$B,0))*25,IF($J213=3,INDEX('큐펫&amp;몹 정리(최신)'!P:P,MATCH($E213,'큐펫&amp;몹 정리(최신)'!$B:$B,0))*30,IF($J213=4,INDEX('큐펫&amp;몹 정리(최신)'!P:P,MATCH($E213,'큐펫&amp;몹 정리(최신)'!$B:$B,0))*35,INDEX('큐펫&amp;몹 정리(최신)'!P:P,MATCH($E213,'큐펫&amp;몹 정리(최신)'!$B:$B,0))*40))))</f>
        <v>1250</v>
      </c>
      <c r="L213" s="190">
        <f>IF($J213=1,INDEX('큐펫&amp;몹 정리(최신)'!Q:Q,MATCH($E213,'큐펫&amp;몹 정리(최신)'!$B:$B,0))*20,IF($J213=2,INDEX('큐펫&amp;몹 정리(최신)'!Q:Q,MATCH($E213,'큐펫&amp;몹 정리(최신)'!$B:$B,0))*25,IF($J213=3,INDEX('큐펫&amp;몹 정리(최신)'!Q:Q,MATCH($E213,'큐펫&amp;몹 정리(최신)'!$B:$B,0))*30,IF($J213=4,INDEX('큐펫&amp;몹 정리(최신)'!Q:Q,MATCH($E213,'큐펫&amp;몹 정리(최신)'!$B:$B,0))*35,INDEX('큐펫&amp;몹 정리(최신)'!Q:Q,MATCH($E213,'큐펫&amp;몹 정리(최신)'!$B:$B,0))*40))))</f>
        <v>125</v>
      </c>
      <c r="M213" s="190">
        <f>IF($J213=1,INDEX('큐펫&amp;몹 정리(최신)'!R:R,MATCH($E213,'큐펫&amp;몹 정리(최신)'!$B:$B,0))*20,IF($J213=2,INDEX('큐펫&amp;몹 정리(최신)'!R:R,MATCH($E213,'큐펫&amp;몹 정리(최신)'!$B:$B,0))*25,IF($J213=3,INDEX('큐펫&amp;몹 정리(최신)'!R:R,MATCH($E213,'큐펫&amp;몹 정리(최신)'!$B:$B,0))*30,IF($J213=4,INDEX('큐펫&amp;몹 정리(최신)'!R:R,MATCH($E213,'큐펫&amp;몹 정리(최신)'!$B:$B,0))*35,INDEX('큐펫&amp;몹 정리(최신)'!R:R,MATCH($E213,'큐펫&amp;몹 정리(최신)'!$B:$B,0))*40))))</f>
        <v>175</v>
      </c>
      <c r="N213" s="190">
        <f>IF($J213=1,INDEX('큐펫&amp;몹 정리(최신)'!S:S,MATCH($E213,'큐펫&amp;몹 정리(최신)'!$B:$B,0))*20,IF($J213=2,INDEX('큐펫&amp;몹 정리(최신)'!S:S,MATCH($E213,'큐펫&amp;몹 정리(최신)'!$B:$B,0))*25,IF($J213=3,INDEX('큐펫&amp;몹 정리(최신)'!S:S,MATCH($E213,'큐펫&amp;몹 정리(최신)'!$B:$B,0))*30,IF($J213=4,INDEX('큐펫&amp;몹 정리(최신)'!S:S,MATCH($E213,'큐펫&amp;몹 정리(최신)'!$B:$B,0))*35,INDEX('큐펫&amp;몹 정리(최신)'!S:S,MATCH($E213,'큐펫&amp;몹 정리(최신)'!$B:$B,0))*40))))</f>
        <v>375</v>
      </c>
      <c r="O213" s="190">
        <f>IF($J213=1,INDEX('큐펫&amp;몹 정리(최신)'!T:T,MATCH($E213,'큐펫&amp;몹 정리(최신)'!$B:$B,0))*20,IF($J213=2,INDEX('큐펫&amp;몹 정리(최신)'!T:T,MATCH($E213,'큐펫&amp;몹 정리(최신)'!$B:$B,0))*25,IF($J213=3,INDEX('큐펫&amp;몹 정리(최신)'!T:T,MATCH($E213,'큐펫&amp;몹 정리(최신)'!$B:$B,0))*30,IF($J213=4,INDEX('큐펫&amp;몹 정리(최신)'!T:T,MATCH($E213,'큐펫&amp;몹 정리(최신)'!$B:$B,0))*35,INDEX('큐펫&amp;몹 정리(최신)'!T:T,MATCH($E213,'큐펫&amp;몹 정리(최신)'!$B:$B,0))*40))))</f>
        <v>575</v>
      </c>
      <c r="P213" s="217">
        <v>40</v>
      </c>
      <c r="Q213" s="217">
        <f t="shared" si="24"/>
        <v>78200</v>
      </c>
      <c r="R213" s="217">
        <f t="shared" si="25"/>
        <v>628</v>
      </c>
      <c r="S213" s="217">
        <f t="shared" si="26"/>
        <v>802</v>
      </c>
      <c r="T213" s="217">
        <f t="shared" si="27"/>
        <v>4687</v>
      </c>
      <c r="U213" s="217">
        <f t="shared" si="28"/>
        <v>15759</v>
      </c>
      <c r="V213" s="217">
        <f t="shared" si="29"/>
        <v>12126</v>
      </c>
      <c r="W213" s="217">
        <f>ROUND(AC213+(INDEX(Ref!B$1:B$9,MATCH($AI213,Ref!$A$1:$A$9,0))*P213*0.0001),)</f>
        <v>21</v>
      </c>
      <c r="X213" s="217">
        <f>ROUND(AD213+(INDEX(Ref!C$1:C$9,MATCH($AI213,Ref!$A$1:$A$9,0))*$P213*0.0001),)</f>
        <v>40</v>
      </c>
      <c r="Y213" s="217">
        <f>ROUND(AE213+(INDEX(Ref!D$1:D$9,MATCH($AI213,Ref!$A$1:$A$9,0))*$P213*0.0001),)</f>
        <v>44</v>
      </c>
      <c r="Z213" s="217">
        <f>ROUND(AF213+(INDEX(Ref!E$1:E$9,MATCH($AI213,Ref!$A$1:$A$9,0))*$P213*0.0001),)</f>
        <v>51</v>
      </c>
      <c r="AA213" s="217">
        <f>ROUND(AG213+(INDEX(Ref!F$1:F$9,MATCH($AI213,Ref!$A$1:$A$9,0))*$P213*0.0001),)</f>
        <v>24</v>
      </c>
      <c r="AB213" s="217">
        <f>ROUND(AH213+(INDEX(Ref!G$1:G$9,MATCH($AI213,Ref!$A$1:$A$9,0))*$P213*0.0001),)</f>
        <v>44</v>
      </c>
      <c r="AC213" s="137">
        <v>17</v>
      </c>
      <c r="AD213" s="137">
        <v>32</v>
      </c>
      <c r="AE213" s="137">
        <v>39</v>
      </c>
      <c r="AF213" s="137">
        <v>41</v>
      </c>
      <c r="AG213" s="137">
        <v>19</v>
      </c>
      <c r="AH213" s="137">
        <v>36</v>
      </c>
      <c r="AI213" s="208">
        <v>6</v>
      </c>
      <c r="AJ213" s="172">
        <v>3000</v>
      </c>
      <c r="AK213" s="172">
        <v>30254</v>
      </c>
      <c r="AL213" s="172">
        <v>2000</v>
      </c>
      <c r="AM213" s="172">
        <v>30256</v>
      </c>
      <c r="AN213" s="172">
        <v>0</v>
      </c>
      <c r="AO213" s="172">
        <f t="shared" si="30"/>
        <v>34254</v>
      </c>
      <c r="AP213" s="172">
        <v>0</v>
      </c>
      <c r="AQ213" s="172">
        <f t="shared" si="31"/>
        <v>34256</v>
      </c>
      <c r="AR213" s="172">
        <v>1</v>
      </c>
      <c r="AS213" s="172">
        <v>0</v>
      </c>
      <c r="AT213" s="199">
        <v>78043</v>
      </c>
      <c r="AU213" s="195" t="s">
        <v>201</v>
      </c>
    </row>
    <row r="214" spans="1:47" x14ac:dyDescent="0.2">
      <c r="A214" s="173">
        <v>55043</v>
      </c>
      <c r="B214" s="174" t="s">
        <v>199</v>
      </c>
      <c r="C214" s="172">
        <v>86043</v>
      </c>
      <c r="D214" s="172">
        <v>150043</v>
      </c>
      <c r="E214" s="206" t="s">
        <v>200</v>
      </c>
      <c r="F214" s="207">
        <v>5</v>
      </c>
      <c r="G214" s="172">
        <v>13000</v>
      </c>
      <c r="H214" s="172">
        <v>9000</v>
      </c>
      <c r="I214" s="172">
        <v>10000</v>
      </c>
      <c r="J214" s="172">
        <v>3</v>
      </c>
      <c r="K214" s="190">
        <f>IF($J214=1,INDEX('큐펫&amp;몹 정리(최신)'!P:P,MATCH($E214,'큐펫&amp;몹 정리(최신)'!$B:$B,0))*20,IF($J214=2,INDEX('큐펫&amp;몹 정리(최신)'!P:P,MATCH($E214,'큐펫&amp;몹 정리(최신)'!$B:$B,0))*25,IF($J214=3,INDEX('큐펫&amp;몹 정리(최신)'!P:P,MATCH($E214,'큐펫&amp;몹 정리(최신)'!$B:$B,0))*30,IF($J214=4,INDEX('큐펫&amp;몹 정리(최신)'!P:P,MATCH($E214,'큐펫&amp;몹 정리(최신)'!$B:$B,0))*35,INDEX('큐펫&amp;몹 정리(최신)'!P:P,MATCH($E214,'큐펫&amp;몹 정리(최신)'!$B:$B,0))*40))))</f>
        <v>1500</v>
      </c>
      <c r="L214" s="190">
        <f>IF($J214=1,INDEX('큐펫&amp;몹 정리(최신)'!Q:Q,MATCH($E214,'큐펫&amp;몹 정리(최신)'!$B:$B,0))*20,IF($J214=2,INDEX('큐펫&amp;몹 정리(최신)'!Q:Q,MATCH($E214,'큐펫&amp;몹 정리(최신)'!$B:$B,0))*25,IF($J214=3,INDEX('큐펫&amp;몹 정리(최신)'!Q:Q,MATCH($E214,'큐펫&amp;몹 정리(최신)'!$B:$B,0))*30,IF($J214=4,INDEX('큐펫&amp;몹 정리(최신)'!Q:Q,MATCH($E214,'큐펫&amp;몹 정리(최신)'!$B:$B,0))*35,INDEX('큐펫&amp;몹 정리(최신)'!Q:Q,MATCH($E214,'큐펫&amp;몹 정리(최신)'!$B:$B,0))*40))))</f>
        <v>150</v>
      </c>
      <c r="M214" s="190">
        <f>IF($J214=1,INDEX('큐펫&amp;몹 정리(최신)'!R:R,MATCH($E214,'큐펫&amp;몹 정리(최신)'!$B:$B,0))*20,IF($J214=2,INDEX('큐펫&amp;몹 정리(최신)'!R:R,MATCH($E214,'큐펫&amp;몹 정리(최신)'!$B:$B,0))*25,IF($J214=3,INDEX('큐펫&amp;몹 정리(최신)'!R:R,MATCH($E214,'큐펫&amp;몹 정리(최신)'!$B:$B,0))*30,IF($J214=4,INDEX('큐펫&amp;몹 정리(최신)'!R:R,MATCH($E214,'큐펫&amp;몹 정리(최신)'!$B:$B,0))*35,INDEX('큐펫&amp;몹 정리(최신)'!R:R,MATCH($E214,'큐펫&amp;몹 정리(최신)'!$B:$B,0))*40))))</f>
        <v>210</v>
      </c>
      <c r="N214" s="190">
        <f>IF($J214=1,INDEX('큐펫&amp;몹 정리(최신)'!S:S,MATCH($E214,'큐펫&amp;몹 정리(최신)'!$B:$B,0))*20,IF($J214=2,INDEX('큐펫&amp;몹 정리(최신)'!S:S,MATCH($E214,'큐펫&amp;몹 정리(최신)'!$B:$B,0))*25,IF($J214=3,INDEX('큐펫&amp;몹 정리(최신)'!S:S,MATCH($E214,'큐펫&amp;몹 정리(최신)'!$B:$B,0))*30,IF($J214=4,INDEX('큐펫&amp;몹 정리(최신)'!S:S,MATCH($E214,'큐펫&amp;몹 정리(최신)'!$B:$B,0))*35,INDEX('큐펫&amp;몹 정리(최신)'!S:S,MATCH($E214,'큐펫&amp;몹 정리(최신)'!$B:$B,0))*40))))</f>
        <v>450</v>
      </c>
      <c r="O214" s="190">
        <f>IF($J214=1,INDEX('큐펫&amp;몹 정리(최신)'!T:T,MATCH($E214,'큐펫&amp;몹 정리(최신)'!$B:$B,0))*20,IF($J214=2,INDEX('큐펫&amp;몹 정리(최신)'!T:T,MATCH($E214,'큐펫&amp;몹 정리(최신)'!$B:$B,0))*25,IF($J214=3,INDEX('큐펫&amp;몹 정리(최신)'!T:T,MATCH($E214,'큐펫&amp;몹 정리(최신)'!$B:$B,0))*30,IF($J214=4,INDEX('큐펫&amp;몹 정리(최신)'!T:T,MATCH($E214,'큐펫&amp;몹 정리(최신)'!$B:$B,0))*35,INDEX('큐펫&amp;몹 정리(최신)'!T:T,MATCH($E214,'큐펫&amp;몹 정리(최신)'!$B:$B,0))*40))))</f>
        <v>690</v>
      </c>
      <c r="P214" s="217">
        <v>60</v>
      </c>
      <c r="Q214" s="217">
        <f t="shared" si="24"/>
        <v>142500</v>
      </c>
      <c r="R214" s="217">
        <f t="shared" si="25"/>
        <v>1113</v>
      </c>
      <c r="S214" s="217">
        <f t="shared" si="26"/>
        <v>1279</v>
      </c>
      <c r="T214" s="217">
        <f t="shared" si="27"/>
        <v>7726</v>
      </c>
      <c r="U214" s="217">
        <f t="shared" si="28"/>
        <v>24760</v>
      </c>
      <c r="V214" s="217">
        <f t="shared" si="29"/>
        <v>19035</v>
      </c>
      <c r="W214" s="217">
        <f>ROUND(AC214+(INDEX(Ref!B$1:B$9,MATCH($AI214,Ref!$A$1:$A$9,0))*P214*0.0001),)</f>
        <v>26</v>
      </c>
      <c r="X214" s="217">
        <f>ROUND(AD214+(INDEX(Ref!C$1:C$9,MATCH($AI214,Ref!$A$1:$A$9,0))*$P214*0.0001),)</f>
        <v>47</v>
      </c>
      <c r="Y214" s="217">
        <f>ROUND(AE214+(INDEX(Ref!D$1:D$9,MATCH($AI214,Ref!$A$1:$A$9,0))*$P214*0.0001),)</f>
        <v>50</v>
      </c>
      <c r="Z214" s="217">
        <f>ROUND(AF214+(INDEX(Ref!E$1:E$9,MATCH($AI214,Ref!$A$1:$A$9,0))*$P214*0.0001),)</f>
        <v>60</v>
      </c>
      <c r="AA214" s="217">
        <f>ROUND(AG214+(INDEX(Ref!F$1:F$9,MATCH($AI214,Ref!$A$1:$A$9,0))*$P214*0.0001),)</f>
        <v>28</v>
      </c>
      <c r="AB214" s="217">
        <f>ROUND(AH214+(INDEX(Ref!G$1:G$9,MATCH($AI214,Ref!$A$1:$A$9,0))*$P214*0.0001),)</f>
        <v>53</v>
      </c>
      <c r="AC214" s="137">
        <v>19</v>
      </c>
      <c r="AD214" s="137">
        <v>36</v>
      </c>
      <c r="AE214" s="137">
        <v>42</v>
      </c>
      <c r="AF214" s="137">
        <v>46</v>
      </c>
      <c r="AG214" s="137">
        <v>21</v>
      </c>
      <c r="AH214" s="137">
        <v>40</v>
      </c>
      <c r="AI214" s="208">
        <v>6</v>
      </c>
      <c r="AJ214" s="172">
        <v>3000</v>
      </c>
      <c r="AK214" s="172">
        <v>30254</v>
      </c>
      <c r="AL214" s="172">
        <v>2000</v>
      </c>
      <c r="AM214" s="172">
        <v>30257</v>
      </c>
      <c r="AN214" s="172">
        <v>0</v>
      </c>
      <c r="AO214" s="172">
        <f t="shared" si="30"/>
        <v>34254</v>
      </c>
      <c r="AP214" s="172">
        <v>0</v>
      </c>
      <c r="AQ214" s="172">
        <f t="shared" si="31"/>
        <v>34257</v>
      </c>
      <c r="AR214" s="172">
        <v>1</v>
      </c>
      <c r="AS214" s="172">
        <v>0</v>
      </c>
      <c r="AT214" s="199">
        <v>78043</v>
      </c>
      <c r="AU214" s="195" t="s">
        <v>201</v>
      </c>
    </row>
    <row r="215" spans="1:47" x14ac:dyDescent="0.2">
      <c r="A215" s="173">
        <v>55043</v>
      </c>
      <c r="B215" s="174" t="s">
        <v>199</v>
      </c>
      <c r="C215" s="172">
        <v>86043</v>
      </c>
      <c r="D215" s="172">
        <v>150043</v>
      </c>
      <c r="E215" s="206" t="s">
        <v>200</v>
      </c>
      <c r="F215" s="207">
        <v>5</v>
      </c>
      <c r="G215" s="172">
        <v>13000</v>
      </c>
      <c r="H215" s="172">
        <v>9000</v>
      </c>
      <c r="I215" s="172">
        <v>10000</v>
      </c>
      <c r="J215" s="172">
        <v>4</v>
      </c>
      <c r="K215" s="190">
        <f>IF($J215=1,INDEX('큐펫&amp;몹 정리(최신)'!P:P,MATCH($E215,'큐펫&amp;몹 정리(최신)'!$B:$B,0))*20,IF($J215=2,INDEX('큐펫&amp;몹 정리(최신)'!P:P,MATCH($E215,'큐펫&amp;몹 정리(최신)'!$B:$B,0))*25,IF($J215=3,INDEX('큐펫&amp;몹 정리(최신)'!P:P,MATCH($E215,'큐펫&amp;몹 정리(최신)'!$B:$B,0))*30,IF($J215=4,INDEX('큐펫&amp;몹 정리(최신)'!P:P,MATCH($E215,'큐펫&amp;몹 정리(최신)'!$B:$B,0))*35,INDEX('큐펫&amp;몹 정리(최신)'!P:P,MATCH($E215,'큐펫&amp;몹 정리(최신)'!$B:$B,0))*40))))</f>
        <v>1750</v>
      </c>
      <c r="L215" s="190">
        <f>IF($J215=1,INDEX('큐펫&amp;몹 정리(최신)'!Q:Q,MATCH($E215,'큐펫&amp;몹 정리(최신)'!$B:$B,0))*20,IF($J215=2,INDEX('큐펫&amp;몹 정리(최신)'!Q:Q,MATCH($E215,'큐펫&amp;몹 정리(최신)'!$B:$B,0))*25,IF($J215=3,INDEX('큐펫&amp;몹 정리(최신)'!Q:Q,MATCH($E215,'큐펫&amp;몹 정리(최신)'!$B:$B,0))*30,IF($J215=4,INDEX('큐펫&amp;몹 정리(최신)'!Q:Q,MATCH($E215,'큐펫&amp;몹 정리(최신)'!$B:$B,0))*35,INDEX('큐펫&amp;몹 정리(최신)'!Q:Q,MATCH($E215,'큐펫&amp;몹 정리(최신)'!$B:$B,0))*40))))</f>
        <v>175</v>
      </c>
      <c r="M215" s="190">
        <f>IF($J215=1,INDEX('큐펫&amp;몹 정리(최신)'!R:R,MATCH($E215,'큐펫&amp;몹 정리(최신)'!$B:$B,0))*20,IF($J215=2,INDEX('큐펫&amp;몹 정리(최신)'!R:R,MATCH($E215,'큐펫&amp;몹 정리(최신)'!$B:$B,0))*25,IF($J215=3,INDEX('큐펫&amp;몹 정리(최신)'!R:R,MATCH($E215,'큐펫&amp;몹 정리(최신)'!$B:$B,0))*30,IF($J215=4,INDEX('큐펫&amp;몹 정리(최신)'!R:R,MATCH($E215,'큐펫&amp;몹 정리(최신)'!$B:$B,0))*35,INDEX('큐펫&amp;몹 정리(최신)'!R:R,MATCH($E215,'큐펫&amp;몹 정리(최신)'!$B:$B,0))*40))))</f>
        <v>245</v>
      </c>
      <c r="N215" s="190">
        <f>IF($J215=1,INDEX('큐펫&amp;몹 정리(최신)'!S:S,MATCH($E215,'큐펫&amp;몹 정리(최신)'!$B:$B,0))*20,IF($J215=2,INDEX('큐펫&amp;몹 정리(최신)'!S:S,MATCH($E215,'큐펫&amp;몹 정리(최신)'!$B:$B,0))*25,IF($J215=3,INDEX('큐펫&amp;몹 정리(최신)'!S:S,MATCH($E215,'큐펫&amp;몹 정리(최신)'!$B:$B,0))*30,IF($J215=4,INDEX('큐펫&amp;몹 정리(최신)'!S:S,MATCH($E215,'큐펫&amp;몹 정리(최신)'!$B:$B,0))*35,INDEX('큐펫&amp;몹 정리(최신)'!S:S,MATCH($E215,'큐펫&amp;몹 정리(최신)'!$B:$B,0))*40))))</f>
        <v>525</v>
      </c>
      <c r="O215" s="190">
        <f>IF($J215=1,INDEX('큐펫&amp;몹 정리(최신)'!T:T,MATCH($E215,'큐펫&amp;몹 정리(최신)'!$B:$B,0))*20,IF($J215=2,INDEX('큐펫&amp;몹 정리(최신)'!T:T,MATCH($E215,'큐펫&amp;몹 정리(최신)'!$B:$B,0))*25,IF($J215=3,INDEX('큐펫&amp;몹 정리(최신)'!T:T,MATCH($E215,'큐펫&amp;몹 정리(최신)'!$B:$B,0))*30,IF($J215=4,INDEX('큐펫&amp;몹 정리(최신)'!T:T,MATCH($E215,'큐펫&amp;몹 정리(최신)'!$B:$B,0))*35,INDEX('큐펫&amp;몹 정리(최신)'!T:T,MATCH($E215,'큐펫&amp;몹 정리(최신)'!$B:$B,0))*40))))</f>
        <v>805</v>
      </c>
      <c r="P215" s="217">
        <v>80</v>
      </c>
      <c r="Q215" s="217">
        <f t="shared" si="24"/>
        <v>224300</v>
      </c>
      <c r="R215" s="217">
        <f t="shared" si="25"/>
        <v>1804</v>
      </c>
      <c r="S215" s="217">
        <f t="shared" si="26"/>
        <v>2150</v>
      </c>
      <c r="T215" s="217">
        <f t="shared" si="27"/>
        <v>12204</v>
      </c>
      <c r="U215" s="217">
        <f t="shared" si="28"/>
        <v>35187</v>
      </c>
      <c r="V215" s="217">
        <f t="shared" si="29"/>
        <v>27037</v>
      </c>
      <c r="W215" s="217">
        <f>ROUND(AC215+(INDEX(Ref!B$1:B$9,MATCH($AI215,Ref!$A$1:$A$9,0))*P215*0.0001),)</f>
        <v>31</v>
      </c>
      <c r="X215" s="217">
        <f>ROUND(AD215+(INDEX(Ref!C$1:C$9,MATCH($AI215,Ref!$A$1:$A$9,0))*$P215*0.0001),)</f>
        <v>54</v>
      </c>
      <c r="Y215" s="217">
        <f>ROUND(AE215+(INDEX(Ref!D$1:D$9,MATCH($AI215,Ref!$A$1:$A$9,0))*$P215*0.0001),)</f>
        <v>54</v>
      </c>
      <c r="Z215" s="217">
        <f>ROUND(AF215+(INDEX(Ref!E$1:E$9,MATCH($AI215,Ref!$A$1:$A$9,0))*$P215*0.0001),)</f>
        <v>70</v>
      </c>
      <c r="AA215" s="217">
        <f>ROUND(AG215+(INDEX(Ref!F$1:F$9,MATCH($AI215,Ref!$A$1:$A$9,0))*$P215*0.0001),)</f>
        <v>34</v>
      </c>
      <c r="AB215" s="217">
        <f>ROUND(AH215+(INDEX(Ref!G$1:G$9,MATCH($AI215,Ref!$A$1:$A$9,0))*$P215*0.0001),)</f>
        <v>61</v>
      </c>
      <c r="AC215" s="137">
        <v>22</v>
      </c>
      <c r="AD215" s="137">
        <v>39</v>
      </c>
      <c r="AE215" s="137">
        <v>44</v>
      </c>
      <c r="AF215" s="137">
        <v>51</v>
      </c>
      <c r="AG215" s="137">
        <v>24</v>
      </c>
      <c r="AH215" s="137">
        <v>44</v>
      </c>
      <c r="AI215" s="208">
        <v>6</v>
      </c>
      <c r="AJ215" s="172">
        <v>3000</v>
      </c>
      <c r="AK215" s="172">
        <v>30255</v>
      </c>
      <c r="AL215" s="172">
        <v>2000</v>
      </c>
      <c r="AM215" s="172">
        <v>30257</v>
      </c>
      <c r="AN215" s="172">
        <v>0</v>
      </c>
      <c r="AO215" s="172">
        <f t="shared" si="30"/>
        <v>34255</v>
      </c>
      <c r="AP215" s="172">
        <v>0</v>
      </c>
      <c r="AQ215" s="172">
        <f t="shared" si="31"/>
        <v>34257</v>
      </c>
      <c r="AR215" s="172">
        <v>1</v>
      </c>
      <c r="AS215" s="172">
        <v>0</v>
      </c>
      <c r="AT215" s="199">
        <v>78043</v>
      </c>
      <c r="AU215" s="195" t="s">
        <v>201</v>
      </c>
    </row>
    <row r="216" spans="1:47" x14ac:dyDescent="0.2">
      <c r="A216" s="173">
        <v>55043</v>
      </c>
      <c r="B216" s="174" t="s">
        <v>199</v>
      </c>
      <c r="C216" s="172">
        <v>86043</v>
      </c>
      <c r="D216" s="172">
        <v>150043</v>
      </c>
      <c r="E216" s="206" t="s">
        <v>200</v>
      </c>
      <c r="F216" s="207">
        <v>5</v>
      </c>
      <c r="G216" s="172">
        <v>13000</v>
      </c>
      <c r="H216" s="172">
        <v>9000</v>
      </c>
      <c r="I216" s="172">
        <v>10000</v>
      </c>
      <c r="J216" s="172">
        <v>5</v>
      </c>
      <c r="K216" s="190">
        <f>IF($J216=1,INDEX('큐펫&amp;몹 정리(최신)'!P:P,MATCH($E216,'큐펫&amp;몹 정리(최신)'!$B:$B,0))*20,IF($J216=2,INDEX('큐펫&amp;몹 정리(최신)'!P:P,MATCH($E216,'큐펫&amp;몹 정리(최신)'!$B:$B,0))*25,IF($J216=3,INDEX('큐펫&amp;몹 정리(최신)'!P:P,MATCH($E216,'큐펫&amp;몹 정리(최신)'!$B:$B,0))*30,IF($J216=4,INDEX('큐펫&amp;몹 정리(최신)'!P:P,MATCH($E216,'큐펫&amp;몹 정리(최신)'!$B:$B,0))*35,INDEX('큐펫&amp;몹 정리(최신)'!P:P,MATCH($E216,'큐펫&amp;몹 정리(최신)'!$B:$B,0))*40))))</f>
        <v>2000</v>
      </c>
      <c r="L216" s="190">
        <f>IF($J216=1,INDEX('큐펫&amp;몹 정리(최신)'!Q:Q,MATCH($E216,'큐펫&amp;몹 정리(최신)'!$B:$B,0))*20,IF($J216=2,INDEX('큐펫&amp;몹 정리(최신)'!Q:Q,MATCH($E216,'큐펫&amp;몹 정리(최신)'!$B:$B,0))*25,IF($J216=3,INDEX('큐펫&amp;몹 정리(최신)'!Q:Q,MATCH($E216,'큐펫&amp;몹 정리(최신)'!$B:$B,0))*30,IF($J216=4,INDEX('큐펫&amp;몹 정리(최신)'!Q:Q,MATCH($E216,'큐펫&amp;몹 정리(최신)'!$B:$B,0))*35,INDEX('큐펫&amp;몹 정리(최신)'!Q:Q,MATCH($E216,'큐펫&amp;몹 정리(최신)'!$B:$B,0))*40))))</f>
        <v>200</v>
      </c>
      <c r="M216" s="190">
        <f>IF($J216=1,INDEX('큐펫&amp;몹 정리(최신)'!R:R,MATCH($E216,'큐펫&amp;몹 정리(최신)'!$B:$B,0))*20,IF($J216=2,INDEX('큐펫&amp;몹 정리(최신)'!R:R,MATCH($E216,'큐펫&amp;몹 정리(최신)'!$B:$B,0))*25,IF($J216=3,INDEX('큐펫&amp;몹 정리(최신)'!R:R,MATCH($E216,'큐펫&amp;몹 정리(최신)'!$B:$B,0))*30,IF($J216=4,INDEX('큐펫&amp;몹 정리(최신)'!R:R,MATCH($E216,'큐펫&amp;몹 정리(최신)'!$B:$B,0))*35,INDEX('큐펫&amp;몹 정리(최신)'!R:R,MATCH($E216,'큐펫&amp;몹 정리(최신)'!$B:$B,0))*40))))</f>
        <v>280</v>
      </c>
      <c r="N216" s="190">
        <f>IF($J216=1,INDEX('큐펫&amp;몹 정리(최신)'!S:S,MATCH($E216,'큐펫&amp;몹 정리(최신)'!$B:$B,0))*20,IF($J216=2,INDEX('큐펫&amp;몹 정리(최신)'!S:S,MATCH($E216,'큐펫&amp;몹 정리(최신)'!$B:$B,0))*25,IF($J216=3,INDEX('큐펫&amp;몹 정리(최신)'!S:S,MATCH($E216,'큐펫&amp;몹 정리(최신)'!$B:$B,0))*30,IF($J216=4,INDEX('큐펫&amp;몹 정리(최신)'!S:S,MATCH($E216,'큐펫&amp;몹 정리(최신)'!$B:$B,0))*35,INDEX('큐펫&amp;몹 정리(최신)'!S:S,MATCH($E216,'큐펫&amp;몹 정리(최신)'!$B:$B,0))*40))))</f>
        <v>600</v>
      </c>
      <c r="O216" s="190">
        <f>IF($J216=1,INDEX('큐펫&amp;몹 정리(최신)'!T:T,MATCH($E216,'큐펫&amp;몹 정리(최신)'!$B:$B,0))*20,IF($J216=2,INDEX('큐펫&amp;몹 정리(최신)'!T:T,MATCH($E216,'큐펫&amp;몹 정리(최신)'!$B:$B,0))*25,IF($J216=3,INDEX('큐펫&amp;몹 정리(최신)'!T:T,MATCH($E216,'큐펫&amp;몹 정리(최신)'!$B:$B,0))*30,IF($J216=4,INDEX('큐펫&amp;몹 정리(최신)'!T:T,MATCH($E216,'큐펫&amp;몹 정리(최신)'!$B:$B,0))*35,INDEX('큐펫&amp;몹 정리(최신)'!T:T,MATCH($E216,'큐펫&amp;몹 정리(최신)'!$B:$B,0))*40))))</f>
        <v>920</v>
      </c>
      <c r="P216" s="217">
        <v>100</v>
      </c>
      <c r="Q216" s="217">
        <f t="shared" si="24"/>
        <v>330000</v>
      </c>
      <c r="R216" s="217">
        <f t="shared" si="25"/>
        <v>2593</v>
      </c>
      <c r="S216" s="217">
        <f t="shared" si="26"/>
        <v>3036</v>
      </c>
      <c r="T216" s="217">
        <f t="shared" si="27"/>
        <v>18152</v>
      </c>
      <c r="U216" s="217">
        <f t="shared" si="28"/>
        <v>48014</v>
      </c>
      <c r="V216" s="217">
        <f t="shared" si="29"/>
        <v>36880</v>
      </c>
      <c r="W216" s="217">
        <f>ROUND(AC216+(INDEX(Ref!B$1:B$9,MATCH($AI216,Ref!$A$1:$A$9,0))*P216*0.0001),)</f>
        <v>35</v>
      </c>
      <c r="X216" s="217">
        <f>ROUND(AD216+(INDEX(Ref!C$1:C$9,MATCH($AI216,Ref!$A$1:$A$9,0))*$P216*0.0001),)</f>
        <v>62</v>
      </c>
      <c r="Y216" s="217">
        <f>ROUND(AE216+(INDEX(Ref!D$1:D$9,MATCH($AI216,Ref!$A$1:$A$9,0))*$P216*0.0001),)</f>
        <v>60</v>
      </c>
      <c r="Z216" s="217">
        <f>ROUND(AF216+(INDEX(Ref!E$1:E$9,MATCH($AI216,Ref!$A$1:$A$9,0))*$P216*0.0001),)</f>
        <v>80</v>
      </c>
      <c r="AA216" s="217">
        <f>ROUND(AG216+(INDEX(Ref!F$1:F$9,MATCH($AI216,Ref!$A$1:$A$9,0))*$P216*0.0001),)</f>
        <v>38</v>
      </c>
      <c r="AB216" s="217">
        <f>ROUND(AH216+(INDEX(Ref!G$1:G$9,MATCH($AI216,Ref!$A$1:$A$9,0))*$P216*0.0001),)</f>
        <v>69</v>
      </c>
      <c r="AC216" s="137">
        <v>24</v>
      </c>
      <c r="AD216" s="137">
        <v>43</v>
      </c>
      <c r="AE216" s="137">
        <v>47</v>
      </c>
      <c r="AF216" s="137">
        <v>56</v>
      </c>
      <c r="AG216" s="137">
        <v>26</v>
      </c>
      <c r="AH216" s="137">
        <v>48</v>
      </c>
      <c r="AI216" s="208">
        <v>6</v>
      </c>
      <c r="AJ216" s="172">
        <v>3000</v>
      </c>
      <c r="AK216" s="172">
        <v>30255</v>
      </c>
      <c r="AL216" s="172">
        <v>2000</v>
      </c>
      <c r="AM216" s="172">
        <v>30258</v>
      </c>
      <c r="AN216" s="172">
        <v>0</v>
      </c>
      <c r="AO216" s="172">
        <f t="shared" si="30"/>
        <v>34255</v>
      </c>
      <c r="AP216" s="172">
        <v>0</v>
      </c>
      <c r="AQ216" s="172">
        <f t="shared" si="31"/>
        <v>34258</v>
      </c>
      <c r="AR216" s="172">
        <v>1</v>
      </c>
      <c r="AS216" s="172">
        <v>0</v>
      </c>
      <c r="AT216" s="199">
        <v>78043</v>
      </c>
      <c r="AU216" s="195" t="s">
        <v>201</v>
      </c>
    </row>
    <row r="217" spans="1:47" x14ac:dyDescent="0.2">
      <c r="A217" s="173">
        <v>55044</v>
      </c>
      <c r="B217" s="174" t="s">
        <v>202</v>
      </c>
      <c r="C217" s="172">
        <v>86044</v>
      </c>
      <c r="D217" s="172">
        <v>150044</v>
      </c>
      <c r="E217" s="206" t="s">
        <v>203</v>
      </c>
      <c r="F217" s="207">
        <v>2</v>
      </c>
      <c r="G217" s="172">
        <v>13000</v>
      </c>
      <c r="H217" s="172">
        <v>9000</v>
      </c>
      <c r="I217" s="172">
        <v>10000</v>
      </c>
      <c r="J217" s="172">
        <v>1</v>
      </c>
      <c r="K217" s="190">
        <f>IF($J217=1,INDEX('큐펫&amp;몹 정리(최신)'!P:P,MATCH($E217,'큐펫&amp;몹 정리(최신)'!$B:$B,0))*20,IF($J217=2,INDEX('큐펫&amp;몹 정리(최신)'!P:P,MATCH($E217,'큐펫&amp;몹 정리(최신)'!$B:$B,0))*25,IF($J217=3,INDEX('큐펫&amp;몹 정리(최신)'!P:P,MATCH($E217,'큐펫&amp;몹 정리(최신)'!$B:$B,0))*30,IF($J217=4,INDEX('큐펫&amp;몹 정리(최신)'!P:P,MATCH($E217,'큐펫&amp;몹 정리(최신)'!$B:$B,0))*35,INDEX('큐펫&amp;몹 정리(최신)'!P:P,MATCH($E217,'큐펫&amp;몹 정리(최신)'!$B:$B,0))*40))))</f>
        <v>1000</v>
      </c>
      <c r="L217" s="190">
        <f>IF($J217=1,INDEX('큐펫&amp;몹 정리(최신)'!Q:Q,MATCH($E217,'큐펫&amp;몹 정리(최신)'!$B:$B,0))*20,IF($J217=2,INDEX('큐펫&amp;몹 정리(최신)'!Q:Q,MATCH($E217,'큐펫&amp;몹 정리(최신)'!$B:$B,0))*25,IF($J217=3,INDEX('큐펫&amp;몹 정리(최신)'!Q:Q,MATCH($E217,'큐펫&amp;몹 정리(최신)'!$B:$B,0))*30,IF($J217=4,INDEX('큐펫&amp;몹 정리(최신)'!Q:Q,MATCH($E217,'큐펫&amp;몹 정리(최신)'!$B:$B,0))*35,INDEX('큐펫&amp;몹 정리(최신)'!Q:Q,MATCH($E217,'큐펫&amp;몹 정리(최신)'!$B:$B,0))*40))))</f>
        <v>140</v>
      </c>
      <c r="M217" s="190">
        <f>IF($J217=1,INDEX('큐펫&amp;몹 정리(최신)'!R:R,MATCH($E217,'큐펫&amp;몹 정리(최신)'!$B:$B,0))*20,IF($J217=2,INDEX('큐펫&amp;몹 정리(최신)'!R:R,MATCH($E217,'큐펫&amp;몹 정리(최신)'!$B:$B,0))*25,IF($J217=3,INDEX('큐펫&amp;몹 정리(최신)'!R:R,MATCH($E217,'큐펫&amp;몹 정리(최신)'!$B:$B,0))*30,IF($J217=4,INDEX('큐펫&amp;몹 정리(최신)'!R:R,MATCH($E217,'큐펫&amp;몹 정리(최신)'!$B:$B,0))*35,INDEX('큐펫&amp;몹 정리(최신)'!R:R,MATCH($E217,'큐펫&amp;몹 정리(최신)'!$B:$B,0))*40))))</f>
        <v>100</v>
      </c>
      <c r="N217" s="190">
        <f>IF($J217=1,INDEX('큐펫&amp;몹 정리(최신)'!S:S,MATCH($E217,'큐펫&amp;몹 정리(최신)'!$B:$B,0))*20,IF($J217=2,INDEX('큐펫&amp;몹 정리(최신)'!S:S,MATCH($E217,'큐펫&amp;몹 정리(최신)'!$B:$B,0))*25,IF($J217=3,INDEX('큐펫&amp;몹 정리(최신)'!S:S,MATCH($E217,'큐펫&amp;몹 정리(최신)'!$B:$B,0))*30,IF($J217=4,INDEX('큐펫&amp;몹 정리(최신)'!S:S,MATCH($E217,'큐펫&amp;몹 정리(최신)'!$B:$B,0))*35,INDEX('큐펫&amp;몹 정리(최신)'!S:S,MATCH($E217,'큐펫&amp;몹 정리(최신)'!$B:$B,0))*40))))</f>
        <v>300</v>
      </c>
      <c r="O217" s="190">
        <f>IF($J217=1,INDEX('큐펫&amp;몹 정리(최신)'!T:T,MATCH($E217,'큐펫&amp;몹 정리(최신)'!$B:$B,0))*20,IF($J217=2,INDEX('큐펫&amp;몹 정리(최신)'!T:T,MATCH($E217,'큐펫&amp;몹 정리(최신)'!$B:$B,0))*25,IF($J217=3,INDEX('큐펫&amp;몹 정리(최신)'!T:T,MATCH($E217,'큐펫&amp;몹 정리(최신)'!$B:$B,0))*30,IF($J217=4,INDEX('큐펫&amp;몹 정리(최신)'!T:T,MATCH($E217,'큐펫&amp;몹 정리(최신)'!$B:$B,0))*35,INDEX('큐펫&amp;몹 정리(최신)'!T:T,MATCH($E217,'큐펫&amp;몹 정리(최신)'!$B:$B,0))*40))))</f>
        <v>460</v>
      </c>
      <c r="P217" s="217">
        <v>20</v>
      </c>
      <c r="Q217" s="217">
        <f t="shared" si="24"/>
        <v>32800</v>
      </c>
      <c r="R217" s="217">
        <f t="shared" si="25"/>
        <v>466</v>
      </c>
      <c r="S217" s="217">
        <f t="shared" si="26"/>
        <v>2456</v>
      </c>
      <c r="T217" s="217">
        <f t="shared" si="27"/>
        <v>423</v>
      </c>
      <c r="U217" s="217">
        <f t="shared" si="28"/>
        <v>8857</v>
      </c>
      <c r="V217" s="217">
        <f t="shared" si="29"/>
        <v>6804</v>
      </c>
      <c r="W217" s="217">
        <f>ROUND(AC217+(INDEX(Ref!B$1:B$9,MATCH($AI217,Ref!$A$1:$A$9,0))*P217*0.0001),)</f>
        <v>17</v>
      </c>
      <c r="X217" s="217">
        <f>ROUND(AD217+(INDEX(Ref!C$1:C$9,MATCH($AI217,Ref!$A$1:$A$9,0))*$P217*0.0001),)</f>
        <v>32</v>
      </c>
      <c r="Y217" s="217">
        <f>ROUND(AE217+(INDEX(Ref!D$1:D$9,MATCH($AI217,Ref!$A$1:$A$9,0))*$P217*0.0001),)</f>
        <v>39</v>
      </c>
      <c r="Z217" s="217">
        <f>ROUND(AF217+(INDEX(Ref!E$1:E$9,MATCH($AI217,Ref!$A$1:$A$9,0))*$P217*0.0001),)</f>
        <v>19</v>
      </c>
      <c r="AA217" s="217">
        <f>ROUND(AG217+(INDEX(Ref!F$1:F$9,MATCH($AI217,Ref!$A$1:$A$9,0))*$P217*0.0001),)</f>
        <v>41</v>
      </c>
      <c r="AB217" s="217">
        <f>ROUND(AH217+(INDEX(Ref!G$1:G$9,MATCH($AI217,Ref!$A$1:$A$9,0))*$P217*0.0001),)</f>
        <v>36</v>
      </c>
      <c r="AC217" s="137">
        <v>15</v>
      </c>
      <c r="AD217" s="137">
        <v>28</v>
      </c>
      <c r="AE217" s="137">
        <v>36</v>
      </c>
      <c r="AF217" s="137">
        <v>17</v>
      </c>
      <c r="AG217" s="137">
        <v>36</v>
      </c>
      <c r="AH217" s="137">
        <v>32</v>
      </c>
      <c r="AI217" s="208">
        <v>5</v>
      </c>
      <c r="AJ217" s="172">
        <v>3000</v>
      </c>
      <c r="AK217" s="172">
        <v>30259</v>
      </c>
      <c r="AL217" s="172">
        <v>2000</v>
      </c>
      <c r="AM217" s="172">
        <v>30262</v>
      </c>
      <c r="AN217" s="172">
        <v>0</v>
      </c>
      <c r="AO217" s="172">
        <f t="shared" si="30"/>
        <v>34259</v>
      </c>
      <c r="AP217" s="172">
        <v>0</v>
      </c>
      <c r="AQ217" s="172">
        <f t="shared" si="31"/>
        <v>34262</v>
      </c>
      <c r="AR217" s="172">
        <v>1</v>
      </c>
      <c r="AS217" s="172">
        <v>0</v>
      </c>
      <c r="AT217" s="199">
        <v>78044</v>
      </c>
      <c r="AU217" s="195" t="s">
        <v>204</v>
      </c>
    </row>
    <row r="218" spans="1:47" x14ac:dyDescent="0.2">
      <c r="A218" s="173">
        <v>55044</v>
      </c>
      <c r="B218" s="174" t="s">
        <v>202</v>
      </c>
      <c r="C218" s="172">
        <v>86044</v>
      </c>
      <c r="D218" s="172">
        <v>150044</v>
      </c>
      <c r="E218" s="206" t="s">
        <v>203</v>
      </c>
      <c r="F218" s="207">
        <v>2</v>
      </c>
      <c r="G218" s="172">
        <v>13000</v>
      </c>
      <c r="H218" s="172">
        <v>9000</v>
      </c>
      <c r="I218" s="172">
        <v>10000</v>
      </c>
      <c r="J218" s="172">
        <v>2</v>
      </c>
      <c r="K218" s="190">
        <f>IF($J218=1,INDEX('큐펫&amp;몹 정리(최신)'!P:P,MATCH($E218,'큐펫&amp;몹 정리(최신)'!$B:$B,0))*20,IF($J218=2,INDEX('큐펫&amp;몹 정리(최신)'!P:P,MATCH($E218,'큐펫&amp;몹 정리(최신)'!$B:$B,0))*25,IF($J218=3,INDEX('큐펫&amp;몹 정리(최신)'!P:P,MATCH($E218,'큐펫&amp;몹 정리(최신)'!$B:$B,0))*30,IF($J218=4,INDEX('큐펫&amp;몹 정리(최신)'!P:P,MATCH($E218,'큐펫&amp;몹 정리(최신)'!$B:$B,0))*35,INDEX('큐펫&amp;몹 정리(최신)'!P:P,MATCH($E218,'큐펫&amp;몹 정리(최신)'!$B:$B,0))*40))))</f>
        <v>1250</v>
      </c>
      <c r="L218" s="190">
        <f>IF($J218=1,INDEX('큐펫&amp;몹 정리(최신)'!Q:Q,MATCH($E218,'큐펫&amp;몹 정리(최신)'!$B:$B,0))*20,IF($J218=2,INDEX('큐펫&amp;몹 정리(최신)'!Q:Q,MATCH($E218,'큐펫&amp;몹 정리(최신)'!$B:$B,0))*25,IF($J218=3,INDEX('큐펫&amp;몹 정리(최신)'!Q:Q,MATCH($E218,'큐펫&amp;몹 정리(최신)'!$B:$B,0))*30,IF($J218=4,INDEX('큐펫&amp;몹 정리(최신)'!Q:Q,MATCH($E218,'큐펫&amp;몹 정리(최신)'!$B:$B,0))*35,INDEX('큐펫&amp;몹 정리(최신)'!Q:Q,MATCH($E218,'큐펫&amp;몹 정리(최신)'!$B:$B,0))*40))))</f>
        <v>175</v>
      </c>
      <c r="M218" s="190">
        <f>IF($J218=1,INDEX('큐펫&amp;몹 정리(최신)'!R:R,MATCH($E218,'큐펫&amp;몹 정리(최신)'!$B:$B,0))*20,IF($J218=2,INDEX('큐펫&amp;몹 정리(최신)'!R:R,MATCH($E218,'큐펫&amp;몹 정리(최신)'!$B:$B,0))*25,IF($J218=3,INDEX('큐펫&amp;몹 정리(최신)'!R:R,MATCH($E218,'큐펫&amp;몹 정리(최신)'!$B:$B,0))*30,IF($J218=4,INDEX('큐펫&amp;몹 정리(최신)'!R:R,MATCH($E218,'큐펫&amp;몹 정리(최신)'!$B:$B,0))*35,INDEX('큐펫&amp;몹 정리(최신)'!R:R,MATCH($E218,'큐펫&amp;몹 정리(최신)'!$B:$B,0))*40))))</f>
        <v>125</v>
      </c>
      <c r="N218" s="190">
        <f>IF($J218=1,INDEX('큐펫&amp;몹 정리(최신)'!S:S,MATCH($E218,'큐펫&amp;몹 정리(최신)'!$B:$B,0))*20,IF($J218=2,INDEX('큐펫&amp;몹 정리(최신)'!S:S,MATCH($E218,'큐펫&amp;몹 정리(최신)'!$B:$B,0))*25,IF($J218=3,INDEX('큐펫&amp;몹 정리(최신)'!S:S,MATCH($E218,'큐펫&amp;몹 정리(최신)'!$B:$B,0))*30,IF($J218=4,INDEX('큐펫&amp;몹 정리(최신)'!S:S,MATCH($E218,'큐펫&amp;몹 정리(최신)'!$B:$B,0))*35,INDEX('큐펫&amp;몹 정리(최신)'!S:S,MATCH($E218,'큐펫&amp;몹 정리(최신)'!$B:$B,0))*40))))</f>
        <v>375</v>
      </c>
      <c r="O218" s="190">
        <f>IF($J218=1,INDEX('큐펫&amp;몹 정리(최신)'!T:T,MATCH($E218,'큐펫&amp;몹 정리(최신)'!$B:$B,0))*20,IF($J218=2,INDEX('큐펫&amp;몹 정리(최신)'!T:T,MATCH($E218,'큐펫&amp;몹 정리(최신)'!$B:$B,0))*25,IF($J218=3,INDEX('큐펫&amp;몹 정리(최신)'!T:T,MATCH($E218,'큐펫&amp;몹 정리(최신)'!$B:$B,0))*30,IF($J218=4,INDEX('큐펫&amp;몹 정리(최신)'!T:T,MATCH($E218,'큐펫&amp;몹 정리(최신)'!$B:$B,0))*35,INDEX('큐펫&amp;몹 정리(최신)'!T:T,MATCH($E218,'큐펫&amp;몹 정리(최신)'!$B:$B,0))*40))))</f>
        <v>575</v>
      </c>
      <c r="P218" s="217">
        <v>40</v>
      </c>
      <c r="Q218" s="217">
        <f t="shared" si="24"/>
        <v>78200</v>
      </c>
      <c r="R218" s="217">
        <f t="shared" si="25"/>
        <v>855</v>
      </c>
      <c r="S218" s="217">
        <f t="shared" si="26"/>
        <v>4687</v>
      </c>
      <c r="T218" s="217">
        <f t="shared" si="27"/>
        <v>805</v>
      </c>
      <c r="U218" s="217">
        <f t="shared" si="28"/>
        <v>15759</v>
      </c>
      <c r="V218" s="217">
        <f t="shared" si="29"/>
        <v>12099</v>
      </c>
      <c r="W218" s="217">
        <f>ROUND(AC218+(INDEX(Ref!B$1:B$9,MATCH($AI218,Ref!$A$1:$A$9,0))*P218*0.0001),)</f>
        <v>21</v>
      </c>
      <c r="X218" s="217">
        <f>ROUND(AD218+(INDEX(Ref!C$1:C$9,MATCH($AI218,Ref!$A$1:$A$9,0))*$P218*0.0001),)</f>
        <v>40</v>
      </c>
      <c r="Y218" s="217">
        <f>ROUND(AE218+(INDEX(Ref!D$1:D$9,MATCH($AI218,Ref!$A$1:$A$9,0))*$P218*0.0001),)</f>
        <v>44</v>
      </c>
      <c r="Z218" s="217">
        <f>ROUND(AF218+(INDEX(Ref!E$1:E$9,MATCH($AI218,Ref!$A$1:$A$9,0))*$P218*0.0001),)</f>
        <v>24</v>
      </c>
      <c r="AA218" s="217">
        <f>ROUND(AG218+(INDEX(Ref!F$1:F$9,MATCH($AI218,Ref!$A$1:$A$9,0))*$P218*0.0001),)</f>
        <v>51</v>
      </c>
      <c r="AB218" s="217">
        <f>ROUND(AH218+(INDEX(Ref!G$1:G$9,MATCH($AI218,Ref!$A$1:$A$9,0))*$P218*0.0001),)</f>
        <v>44</v>
      </c>
      <c r="AC218" s="137">
        <v>17</v>
      </c>
      <c r="AD218" s="137">
        <v>32</v>
      </c>
      <c r="AE218" s="137">
        <v>39</v>
      </c>
      <c r="AF218" s="137">
        <v>19</v>
      </c>
      <c r="AG218" s="137">
        <v>41</v>
      </c>
      <c r="AH218" s="137">
        <v>36</v>
      </c>
      <c r="AI218" s="208">
        <v>5</v>
      </c>
      <c r="AJ218" s="172">
        <v>3000</v>
      </c>
      <c r="AK218" s="172">
        <v>30260</v>
      </c>
      <c r="AL218" s="172">
        <v>2000</v>
      </c>
      <c r="AM218" s="172">
        <v>30262</v>
      </c>
      <c r="AN218" s="172">
        <v>0</v>
      </c>
      <c r="AO218" s="172">
        <f t="shared" si="30"/>
        <v>34260</v>
      </c>
      <c r="AP218" s="172">
        <v>0</v>
      </c>
      <c r="AQ218" s="172">
        <f t="shared" si="31"/>
        <v>34262</v>
      </c>
      <c r="AR218" s="172">
        <v>1</v>
      </c>
      <c r="AS218" s="172">
        <v>0</v>
      </c>
      <c r="AT218" s="199">
        <v>78044</v>
      </c>
      <c r="AU218" s="195" t="s">
        <v>204</v>
      </c>
    </row>
    <row r="219" spans="1:47" x14ac:dyDescent="0.2">
      <c r="A219" s="173">
        <v>55044</v>
      </c>
      <c r="B219" s="174" t="s">
        <v>202</v>
      </c>
      <c r="C219" s="172">
        <v>86044</v>
      </c>
      <c r="D219" s="172">
        <v>150044</v>
      </c>
      <c r="E219" s="206" t="s">
        <v>203</v>
      </c>
      <c r="F219" s="207">
        <v>2</v>
      </c>
      <c r="G219" s="172">
        <v>13000</v>
      </c>
      <c r="H219" s="172">
        <v>9000</v>
      </c>
      <c r="I219" s="172">
        <v>10000</v>
      </c>
      <c r="J219" s="172">
        <v>3</v>
      </c>
      <c r="K219" s="190">
        <f>IF($J219=1,INDEX('큐펫&amp;몹 정리(최신)'!P:P,MATCH($E219,'큐펫&amp;몹 정리(최신)'!$B:$B,0))*20,IF($J219=2,INDEX('큐펫&amp;몹 정리(최신)'!P:P,MATCH($E219,'큐펫&amp;몹 정리(최신)'!$B:$B,0))*25,IF($J219=3,INDEX('큐펫&amp;몹 정리(최신)'!P:P,MATCH($E219,'큐펫&amp;몹 정리(최신)'!$B:$B,0))*30,IF($J219=4,INDEX('큐펫&amp;몹 정리(최신)'!P:P,MATCH($E219,'큐펫&amp;몹 정리(최신)'!$B:$B,0))*35,INDEX('큐펫&amp;몹 정리(최신)'!P:P,MATCH($E219,'큐펫&amp;몹 정리(최신)'!$B:$B,0))*40))))</f>
        <v>1500</v>
      </c>
      <c r="L219" s="190">
        <f>IF($J219=1,INDEX('큐펫&amp;몹 정리(최신)'!Q:Q,MATCH($E219,'큐펫&amp;몹 정리(최신)'!$B:$B,0))*20,IF($J219=2,INDEX('큐펫&amp;몹 정리(최신)'!Q:Q,MATCH($E219,'큐펫&amp;몹 정리(최신)'!$B:$B,0))*25,IF($J219=3,INDEX('큐펫&amp;몹 정리(최신)'!Q:Q,MATCH($E219,'큐펫&amp;몹 정리(최신)'!$B:$B,0))*30,IF($J219=4,INDEX('큐펫&amp;몹 정리(최신)'!Q:Q,MATCH($E219,'큐펫&amp;몹 정리(최신)'!$B:$B,0))*35,INDEX('큐펫&amp;몹 정리(최신)'!Q:Q,MATCH($E219,'큐펫&amp;몹 정리(최신)'!$B:$B,0))*40))))</f>
        <v>210</v>
      </c>
      <c r="M219" s="190">
        <f>IF($J219=1,INDEX('큐펫&amp;몹 정리(최신)'!R:R,MATCH($E219,'큐펫&amp;몹 정리(최신)'!$B:$B,0))*20,IF($J219=2,INDEX('큐펫&amp;몹 정리(최신)'!R:R,MATCH($E219,'큐펫&amp;몹 정리(최신)'!$B:$B,0))*25,IF($J219=3,INDEX('큐펫&amp;몹 정리(최신)'!R:R,MATCH($E219,'큐펫&amp;몹 정리(최신)'!$B:$B,0))*30,IF($J219=4,INDEX('큐펫&amp;몹 정리(최신)'!R:R,MATCH($E219,'큐펫&amp;몹 정리(최신)'!$B:$B,0))*35,INDEX('큐펫&amp;몹 정리(최신)'!R:R,MATCH($E219,'큐펫&amp;몹 정리(최신)'!$B:$B,0))*40))))</f>
        <v>150</v>
      </c>
      <c r="N219" s="190">
        <f>IF($J219=1,INDEX('큐펫&amp;몹 정리(최신)'!S:S,MATCH($E219,'큐펫&amp;몹 정리(최신)'!$B:$B,0))*20,IF($J219=2,INDEX('큐펫&amp;몹 정리(최신)'!S:S,MATCH($E219,'큐펫&amp;몹 정리(최신)'!$B:$B,0))*25,IF($J219=3,INDEX('큐펫&amp;몹 정리(최신)'!S:S,MATCH($E219,'큐펫&amp;몹 정리(최신)'!$B:$B,0))*30,IF($J219=4,INDEX('큐펫&amp;몹 정리(최신)'!S:S,MATCH($E219,'큐펫&amp;몹 정리(최신)'!$B:$B,0))*35,INDEX('큐펫&amp;몹 정리(최신)'!S:S,MATCH($E219,'큐펫&amp;몹 정리(최신)'!$B:$B,0))*40))))</f>
        <v>450</v>
      </c>
      <c r="O219" s="190">
        <f>IF($J219=1,INDEX('큐펫&amp;몹 정리(최신)'!T:T,MATCH($E219,'큐펫&amp;몹 정리(최신)'!$B:$B,0))*20,IF($J219=2,INDEX('큐펫&amp;몹 정리(최신)'!T:T,MATCH($E219,'큐펫&amp;몹 정리(최신)'!$B:$B,0))*25,IF($J219=3,INDEX('큐펫&amp;몹 정리(최신)'!T:T,MATCH($E219,'큐펫&amp;몹 정리(최신)'!$B:$B,0))*30,IF($J219=4,INDEX('큐펫&amp;몹 정리(최신)'!T:T,MATCH($E219,'큐펫&amp;몹 정리(최신)'!$B:$B,0))*35,INDEX('큐펫&amp;몹 정리(최신)'!T:T,MATCH($E219,'큐펫&amp;몹 정리(최신)'!$B:$B,0))*40))))</f>
        <v>690</v>
      </c>
      <c r="P219" s="217">
        <v>60</v>
      </c>
      <c r="Q219" s="217">
        <f t="shared" si="24"/>
        <v>142500</v>
      </c>
      <c r="R219" s="217">
        <f t="shared" si="25"/>
        <v>1527</v>
      </c>
      <c r="S219" s="217">
        <f t="shared" si="26"/>
        <v>7727</v>
      </c>
      <c r="T219" s="217">
        <f t="shared" si="27"/>
        <v>1282</v>
      </c>
      <c r="U219" s="217">
        <f t="shared" si="28"/>
        <v>24760</v>
      </c>
      <c r="V219" s="217">
        <f t="shared" si="29"/>
        <v>19003</v>
      </c>
      <c r="W219" s="217">
        <f>ROUND(AC219+(INDEX(Ref!B$1:B$9,MATCH($AI219,Ref!$A$1:$A$9,0))*P219*0.0001),)</f>
        <v>26</v>
      </c>
      <c r="X219" s="217">
        <f>ROUND(AD219+(INDEX(Ref!C$1:C$9,MATCH($AI219,Ref!$A$1:$A$9,0))*$P219*0.0001),)</f>
        <v>47</v>
      </c>
      <c r="Y219" s="217">
        <f>ROUND(AE219+(INDEX(Ref!D$1:D$9,MATCH($AI219,Ref!$A$1:$A$9,0))*$P219*0.0001),)</f>
        <v>50</v>
      </c>
      <c r="Z219" s="217">
        <f>ROUND(AF219+(INDEX(Ref!E$1:E$9,MATCH($AI219,Ref!$A$1:$A$9,0))*$P219*0.0001),)</f>
        <v>28</v>
      </c>
      <c r="AA219" s="217">
        <f>ROUND(AG219+(INDEX(Ref!F$1:F$9,MATCH($AI219,Ref!$A$1:$A$9,0))*$P219*0.0001),)</f>
        <v>60</v>
      </c>
      <c r="AB219" s="217">
        <f>ROUND(AH219+(INDEX(Ref!G$1:G$9,MATCH($AI219,Ref!$A$1:$A$9,0))*$P219*0.0001),)</f>
        <v>53</v>
      </c>
      <c r="AC219" s="137">
        <v>19</v>
      </c>
      <c r="AD219" s="137">
        <v>36</v>
      </c>
      <c r="AE219" s="137">
        <v>42</v>
      </c>
      <c r="AF219" s="137">
        <v>21</v>
      </c>
      <c r="AG219" s="137">
        <v>46</v>
      </c>
      <c r="AH219" s="137">
        <v>40</v>
      </c>
      <c r="AI219" s="208">
        <v>5</v>
      </c>
      <c r="AJ219" s="172">
        <v>3000</v>
      </c>
      <c r="AK219" s="172">
        <v>30260</v>
      </c>
      <c r="AL219" s="172">
        <v>2000</v>
      </c>
      <c r="AM219" s="172">
        <v>30263</v>
      </c>
      <c r="AN219" s="172">
        <v>0</v>
      </c>
      <c r="AO219" s="172">
        <f t="shared" si="30"/>
        <v>34260</v>
      </c>
      <c r="AP219" s="172">
        <v>0</v>
      </c>
      <c r="AQ219" s="172">
        <f t="shared" si="31"/>
        <v>34263</v>
      </c>
      <c r="AR219" s="172">
        <v>1</v>
      </c>
      <c r="AS219" s="172">
        <v>0</v>
      </c>
      <c r="AT219" s="199">
        <v>78044</v>
      </c>
      <c r="AU219" s="195" t="s">
        <v>204</v>
      </c>
    </row>
    <row r="220" spans="1:47" x14ac:dyDescent="0.2">
      <c r="A220" s="173">
        <v>55044</v>
      </c>
      <c r="B220" s="174" t="s">
        <v>202</v>
      </c>
      <c r="C220" s="172">
        <v>86044</v>
      </c>
      <c r="D220" s="172">
        <v>150044</v>
      </c>
      <c r="E220" s="206" t="s">
        <v>203</v>
      </c>
      <c r="F220" s="207">
        <v>2</v>
      </c>
      <c r="G220" s="172">
        <v>13000</v>
      </c>
      <c r="H220" s="172">
        <v>9000</v>
      </c>
      <c r="I220" s="172">
        <v>10000</v>
      </c>
      <c r="J220" s="172">
        <v>4</v>
      </c>
      <c r="K220" s="190">
        <f>IF($J220=1,INDEX('큐펫&amp;몹 정리(최신)'!P:P,MATCH($E220,'큐펫&amp;몹 정리(최신)'!$B:$B,0))*20,IF($J220=2,INDEX('큐펫&amp;몹 정리(최신)'!P:P,MATCH($E220,'큐펫&amp;몹 정리(최신)'!$B:$B,0))*25,IF($J220=3,INDEX('큐펫&amp;몹 정리(최신)'!P:P,MATCH($E220,'큐펫&amp;몹 정리(최신)'!$B:$B,0))*30,IF($J220=4,INDEX('큐펫&amp;몹 정리(최신)'!P:P,MATCH($E220,'큐펫&amp;몹 정리(최신)'!$B:$B,0))*35,INDEX('큐펫&amp;몹 정리(최신)'!P:P,MATCH($E220,'큐펫&amp;몹 정리(최신)'!$B:$B,0))*40))))</f>
        <v>1750</v>
      </c>
      <c r="L220" s="190">
        <f>IF($J220=1,INDEX('큐펫&amp;몹 정리(최신)'!Q:Q,MATCH($E220,'큐펫&amp;몹 정리(최신)'!$B:$B,0))*20,IF($J220=2,INDEX('큐펫&amp;몹 정리(최신)'!Q:Q,MATCH($E220,'큐펫&amp;몹 정리(최신)'!$B:$B,0))*25,IF($J220=3,INDEX('큐펫&amp;몹 정리(최신)'!Q:Q,MATCH($E220,'큐펫&amp;몹 정리(최신)'!$B:$B,0))*30,IF($J220=4,INDEX('큐펫&amp;몹 정리(최신)'!Q:Q,MATCH($E220,'큐펫&amp;몹 정리(최신)'!$B:$B,0))*35,INDEX('큐펫&amp;몹 정리(최신)'!Q:Q,MATCH($E220,'큐펫&amp;몹 정리(최신)'!$B:$B,0))*40))))</f>
        <v>245</v>
      </c>
      <c r="M220" s="190">
        <f>IF($J220=1,INDEX('큐펫&amp;몹 정리(최신)'!R:R,MATCH($E220,'큐펫&amp;몹 정리(최신)'!$B:$B,0))*20,IF($J220=2,INDEX('큐펫&amp;몹 정리(최신)'!R:R,MATCH($E220,'큐펫&amp;몹 정리(최신)'!$B:$B,0))*25,IF($J220=3,INDEX('큐펫&amp;몹 정리(최신)'!R:R,MATCH($E220,'큐펫&amp;몹 정리(최신)'!$B:$B,0))*30,IF($J220=4,INDEX('큐펫&amp;몹 정리(최신)'!R:R,MATCH($E220,'큐펫&amp;몹 정리(최신)'!$B:$B,0))*35,INDEX('큐펫&amp;몹 정리(최신)'!R:R,MATCH($E220,'큐펫&amp;몹 정리(최신)'!$B:$B,0))*40))))</f>
        <v>175</v>
      </c>
      <c r="N220" s="190">
        <f>IF($J220=1,INDEX('큐펫&amp;몹 정리(최신)'!S:S,MATCH($E220,'큐펫&amp;몹 정리(최신)'!$B:$B,0))*20,IF($J220=2,INDEX('큐펫&amp;몹 정리(최신)'!S:S,MATCH($E220,'큐펫&amp;몹 정리(최신)'!$B:$B,0))*25,IF($J220=3,INDEX('큐펫&amp;몹 정리(최신)'!S:S,MATCH($E220,'큐펫&amp;몹 정리(최신)'!$B:$B,0))*30,IF($J220=4,INDEX('큐펫&amp;몹 정리(최신)'!S:S,MATCH($E220,'큐펫&amp;몹 정리(최신)'!$B:$B,0))*35,INDEX('큐펫&amp;몹 정리(최신)'!S:S,MATCH($E220,'큐펫&amp;몹 정리(최신)'!$B:$B,0))*40))))</f>
        <v>525</v>
      </c>
      <c r="O220" s="190">
        <f>IF($J220=1,INDEX('큐펫&amp;몹 정리(최신)'!T:T,MATCH($E220,'큐펫&amp;몹 정리(최신)'!$B:$B,0))*20,IF($J220=2,INDEX('큐펫&amp;몹 정리(최신)'!T:T,MATCH($E220,'큐펫&amp;몹 정리(최신)'!$B:$B,0))*25,IF($J220=3,INDEX('큐펫&amp;몹 정리(최신)'!T:T,MATCH($E220,'큐펫&amp;몹 정리(최신)'!$B:$B,0))*30,IF($J220=4,INDEX('큐펫&amp;몹 정리(최신)'!T:T,MATCH($E220,'큐펫&amp;몹 정리(최신)'!$B:$B,0))*35,INDEX('큐펫&amp;몹 정리(최신)'!T:T,MATCH($E220,'큐펫&amp;몹 정리(최신)'!$B:$B,0))*40))))</f>
        <v>805</v>
      </c>
      <c r="P220" s="217">
        <v>80</v>
      </c>
      <c r="Q220" s="217">
        <f t="shared" si="24"/>
        <v>224300</v>
      </c>
      <c r="R220" s="217">
        <f t="shared" si="25"/>
        <v>2486</v>
      </c>
      <c r="S220" s="217">
        <f t="shared" si="26"/>
        <v>12204</v>
      </c>
      <c r="T220" s="217">
        <f t="shared" si="27"/>
        <v>2155</v>
      </c>
      <c r="U220" s="217">
        <f t="shared" si="28"/>
        <v>35187</v>
      </c>
      <c r="V220" s="217">
        <f t="shared" si="29"/>
        <v>27001</v>
      </c>
      <c r="W220" s="217">
        <f>ROUND(AC220+(INDEX(Ref!B$1:B$9,MATCH($AI220,Ref!$A$1:$A$9,0))*P220*0.0001),)</f>
        <v>31</v>
      </c>
      <c r="X220" s="217">
        <f>ROUND(AD220+(INDEX(Ref!C$1:C$9,MATCH($AI220,Ref!$A$1:$A$9,0))*$P220*0.0001),)</f>
        <v>54</v>
      </c>
      <c r="Y220" s="217">
        <f>ROUND(AE220+(INDEX(Ref!D$1:D$9,MATCH($AI220,Ref!$A$1:$A$9,0))*$P220*0.0001),)</f>
        <v>54</v>
      </c>
      <c r="Z220" s="217">
        <f>ROUND(AF220+(INDEX(Ref!E$1:E$9,MATCH($AI220,Ref!$A$1:$A$9,0))*$P220*0.0001),)</f>
        <v>34</v>
      </c>
      <c r="AA220" s="217">
        <f>ROUND(AG220+(INDEX(Ref!F$1:F$9,MATCH($AI220,Ref!$A$1:$A$9,0))*$P220*0.0001),)</f>
        <v>70</v>
      </c>
      <c r="AB220" s="217">
        <f>ROUND(AH220+(INDEX(Ref!G$1:G$9,MATCH($AI220,Ref!$A$1:$A$9,0))*$P220*0.0001),)</f>
        <v>61</v>
      </c>
      <c r="AC220" s="137">
        <v>22</v>
      </c>
      <c r="AD220" s="137">
        <v>39</v>
      </c>
      <c r="AE220" s="137">
        <v>44</v>
      </c>
      <c r="AF220" s="137">
        <v>24</v>
      </c>
      <c r="AG220" s="137">
        <v>51</v>
      </c>
      <c r="AH220" s="137">
        <v>44</v>
      </c>
      <c r="AI220" s="208">
        <v>5</v>
      </c>
      <c r="AJ220" s="172">
        <v>3000</v>
      </c>
      <c r="AK220" s="172">
        <v>30261</v>
      </c>
      <c r="AL220" s="172">
        <v>2000</v>
      </c>
      <c r="AM220" s="172">
        <v>30263</v>
      </c>
      <c r="AN220" s="172">
        <v>0</v>
      </c>
      <c r="AO220" s="172">
        <f t="shared" si="30"/>
        <v>34261</v>
      </c>
      <c r="AP220" s="172">
        <v>0</v>
      </c>
      <c r="AQ220" s="172">
        <f t="shared" si="31"/>
        <v>34263</v>
      </c>
      <c r="AR220" s="172">
        <v>1</v>
      </c>
      <c r="AS220" s="172">
        <v>0</v>
      </c>
      <c r="AT220" s="199">
        <v>78044</v>
      </c>
      <c r="AU220" s="195" t="s">
        <v>204</v>
      </c>
    </row>
    <row r="221" spans="1:47" x14ac:dyDescent="0.2">
      <c r="A221" s="173">
        <v>55044</v>
      </c>
      <c r="B221" s="174" t="s">
        <v>202</v>
      </c>
      <c r="C221" s="172">
        <v>86044</v>
      </c>
      <c r="D221" s="172">
        <v>150044</v>
      </c>
      <c r="E221" s="206" t="s">
        <v>203</v>
      </c>
      <c r="F221" s="207">
        <v>2</v>
      </c>
      <c r="G221" s="172">
        <v>13000</v>
      </c>
      <c r="H221" s="172">
        <v>9000</v>
      </c>
      <c r="I221" s="172">
        <v>10000</v>
      </c>
      <c r="J221" s="172">
        <v>5</v>
      </c>
      <c r="K221" s="190">
        <f>IF($J221=1,INDEX('큐펫&amp;몹 정리(최신)'!P:P,MATCH($E221,'큐펫&amp;몹 정리(최신)'!$B:$B,0))*20,IF($J221=2,INDEX('큐펫&amp;몹 정리(최신)'!P:P,MATCH($E221,'큐펫&amp;몹 정리(최신)'!$B:$B,0))*25,IF($J221=3,INDEX('큐펫&amp;몹 정리(최신)'!P:P,MATCH($E221,'큐펫&amp;몹 정리(최신)'!$B:$B,0))*30,IF($J221=4,INDEX('큐펫&amp;몹 정리(최신)'!P:P,MATCH($E221,'큐펫&amp;몹 정리(최신)'!$B:$B,0))*35,INDEX('큐펫&amp;몹 정리(최신)'!P:P,MATCH($E221,'큐펫&amp;몹 정리(최신)'!$B:$B,0))*40))))</f>
        <v>2000</v>
      </c>
      <c r="L221" s="190">
        <f>IF($J221=1,INDEX('큐펫&amp;몹 정리(최신)'!Q:Q,MATCH($E221,'큐펫&amp;몹 정리(최신)'!$B:$B,0))*20,IF($J221=2,INDEX('큐펫&amp;몹 정리(최신)'!Q:Q,MATCH($E221,'큐펫&amp;몹 정리(최신)'!$B:$B,0))*25,IF($J221=3,INDEX('큐펫&amp;몹 정리(최신)'!Q:Q,MATCH($E221,'큐펫&amp;몹 정리(최신)'!$B:$B,0))*30,IF($J221=4,INDEX('큐펫&amp;몹 정리(최신)'!Q:Q,MATCH($E221,'큐펫&amp;몹 정리(최신)'!$B:$B,0))*35,INDEX('큐펫&amp;몹 정리(최신)'!Q:Q,MATCH($E221,'큐펫&amp;몹 정리(최신)'!$B:$B,0))*40))))</f>
        <v>280</v>
      </c>
      <c r="M221" s="190">
        <f>IF($J221=1,INDEX('큐펫&amp;몹 정리(최신)'!R:R,MATCH($E221,'큐펫&amp;몹 정리(최신)'!$B:$B,0))*20,IF($J221=2,INDEX('큐펫&amp;몹 정리(최신)'!R:R,MATCH($E221,'큐펫&amp;몹 정리(최신)'!$B:$B,0))*25,IF($J221=3,INDEX('큐펫&amp;몹 정리(최신)'!R:R,MATCH($E221,'큐펫&amp;몹 정리(최신)'!$B:$B,0))*30,IF($J221=4,INDEX('큐펫&amp;몹 정리(최신)'!R:R,MATCH($E221,'큐펫&amp;몹 정리(최신)'!$B:$B,0))*35,INDEX('큐펫&amp;몹 정리(최신)'!R:R,MATCH($E221,'큐펫&amp;몹 정리(최신)'!$B:$B,0))*40))))</f>
        <v>200</v>
      </c>
      <c r="N221" s="190">
        <f>IF($J221=1,INDEX('큐펫&amp;몹 정리(최신)'!S:S,MATCH($E221,'큐펫&amp;몹 정리(최신)'!$B:$B,0))*20,IF($J221=2,INDEX('큐펫&amp;몹 정리(최신)'!S:S,MATCH($E221,'큐펫&amp;몹 정리(최신)'!$B:$B,0))*25,IF($J221=3,INDEX('큐펫&amp;몹 정리(최신)'!S:S,MATCH($E221,'큐펫&amp;몹 정리(최신)'!$B:$B,0))*30,IF($J221=4,INDEX('큐펫&amp;몹 정리(최신)'!S:S,MATCH($E221,'큐펫&amp;몹 정리(최신)'!$B:$B,0))*35,INDEX('큐펫&amp;몹 정리(최신)'!S:S,MATCH($E221,'큐펫&amp;몹 정리(최신)'!$B:$B,0))*40))))</f>
        <v>600</v>
      </c>
      <c r="O221" s="190">
        <f>IF($J221=1,INDEX('큐펫&amp;몹 정리(최신)'!T:T,MATCH($E221,'큐펫&amp;몹 정리(최신)'!$B:$B,0))*20,IF($J221=2,INDEX('큐펫&amp;몹 정리(최신)'!T:T,MATCH($E221,'큐펫&amp;몹 정리(최신)'!$B:$B,0))*25,IF($J221=3,INDEX('큐펫&amp;몹 정리(최신)'!T:T,MATCH($E221,'큐펫&amp;몹 정리(최신)'!$B:$B,0))*30,IF($J221=4,INDEX('큐펫&amp;몹 정리(최신)'!T:T,MATCH($E221,'큐펫&amp;몹 정리(최신)'!$B:$B,0))*35,INDEX('큐펫&amp;몹 정리(최신)'!T:T,MATCH($E221,'큐펫&amp;몹 정리(최신)'!$B:$B,0))*40))))</f>
        <v>920</v>
      </c>
      <c r="P221" s="217">
        <v>100</v>
      </c>
      <c r="Q221" s="217">
        <f t="shared" si="24"/>
        <v>330000</v>
      </c>
      <c r="R221" s="217">
        <f t="shared" si="25"/>
        <v>3583</v>
      </c>
      <c r="S221" s="217">
        <f t="shared" si="26"/>
        <v>18152</v>
      </c>
      <c r="T221" s="217">
        <f t="shared" si="27"/>
        <v>3041</v>
      </c>
      <c r="U221" s="217">
        <f t="shared" si="28"/>
        <v>48014</v>
      </c>
      <c r="V221" s="217">
        <f t="shared" si="29"/>
        <v>36838</v>
      </c>
      <c r="W221" s="217">
        <f>ROUND(AC221+(INDEX(Ref!B$1:B$9,MATCH($AI221,Ref!$A$1:$A$9,0))*P221*0.0001),)</f>
        <v>35</v>
      </c>
      <c r="X221" s="217">
        <f>ROUND(AD221+(INDEX(Ref!C$1:C$9,MATCH($AI221,Ref!$A$1:$A$9,0))*$P221*0.0001),)</f>
        <v>62</v>
      </c>
      <c r="Y221" s="217">
        <f>ROUND(AE221+(INDEX(Ref!D$1:D$9,MATCH($AI221,Ref!$A$1:$A$9,0))*$P221*0.0001),)</f>
        <v>60</v>
      </c>
      <c r="Z221" s="217">
        <f>ROUND(AF221+(INDEX(Ref!E$1:E$9,MATCH($AI221,Ref!$A$1:$A$9,0))*$P221*0.0001),)</f>
        <v>38</v>
      </c>
      <c r="AA221" s="217">
        <f>ROUND(AG221+(INDEX(Ref!F$1:F$9,MATCH($AI221,Ref!$A$1:$A$9,0))*$P221*0.0001),)</f>
        <v>80</v>
      </c>
      <c r="AB221" s="217">
        <f>ROUND(AH221+(INDEX(Ref!G$1:G$9,MATCH($AI221,Ref!$A$1:$A$9,0))*$P221*0.0001),)</f>
        <v>69</v>
      </c>
      <c r="AC221" s="137">
        <v>24</v>
      </c>
      <c r="AD221" s="137">
        <v>43</v>
      </c>
      <c r="AE221" s="137">
        <v>47</v>
      </c>
      <c r="AF221" s="137">
        <v>26</v>
      </c>
      <c r="AG221" s="137">
        <v>56</v>
      </c>
      <c r="AH221" s="137">
        <v>48</v>
      </c>
      <c r="AI221" s="208">
        <v>5</v>
      </c>
      <c r="AJ221" s="172">
        <v>3000</v>
      </c>
      <c r="AK221" s="172">
        <v>30261</v>
      </c>
      <c r="AL221" s="172">
        <v>2000</v>
      </c>
      <c r="AM221" s="172">
        <v>30264</v>
      </c>
      <c r="AN221" s="172">
        <v>0</v>
      </c>
      <c r="AO221" s="172">
        <f t="shared" si="30"/>
        <v>34261</v>
      </c>
      <c r="AP221" s="172">
        <v>0</v>
      </c>
      <c r="AQ221" s="172">
        <f t="shared" si="31"/>
        <v>34264</v>
      </c>
      <c r="AR221" s="172">
        <v>1</v>
      </c>
      <c r="AS221" s="172">
        <v>0</v>
      </c>
      <c r="AT221" s="199">
        <v>78044</v>
      </c>
      <c r="AU221" s="195" t="s">
        <v>204</v>
      </c>
    </row>
    <row r="222" spans="1:47" x14ac:dyDescent="0.2">
      <c r="A222" s="173">
        <v>55045</v>
      </c>
      <c r="B222" s="174" t="s">
        <v>205</v>
      </c>
      <c r="C222" s="172">
        <v>86045</v>
      </c>
      <c r="D222" s="172">
        <v>150045</v>
      </c>
      <c r="E222" s="206" t="s">
        <v>206</v>
      </c>
      <c r="F222" s="207">
        <v>4</v>
      </c>
      <c r="G222" s="173">
        <v>11500</v>
      </c>
      <c r="H222" s="173">
        <v>9500</v>
      </c>
      <c r="I222" s="172">
        <v>10000</v>
      </c>
      <c r="J222" s="172">
        <v>1</v>
      </c>
      <c r="K222" s="190">
        <f>IF($J222=1,INDEX('큐펫&amp;몹 정리(최신)'!P:P,MATCH($E222,'큐펫&amp;몹 정리(최신)'!$B:$B,0))*20,IF($J222=2,INDEX('큐펫&amp;몹 정리(최신)'!P:P,MATCH($E222,'큐펫&amp;몹 정리(최신)'!$B:$B,0))*25,IF($J222=3,INDEX('큐펫&amp;몹 정리(최신)'!P:P,MATCH($E222,'큐펫&amp;몹 정리(최신)'!$B:$B,0))*30,IF($J222=4,INDEX('큐펫&amp;몹 정리(최신)'!P:P,MATCH($E222,'큐펫&amp;몹 정리(최신)'!$B:$B,0))*35,INDEX('큐펫&amp;몹 정리(최신)'!P:P,MATCH($E222,'큐펫&amp;몹 정리(최신)'!$B:$B,0))*40))))</f>
        <v>600</v>
      </c>
      <c r="L222" s="190">
        <f>IF($J222=1,INDEX('큐펫&amp;몹 정리(최신)'!Q:Q,MATCH($E222,'큐펫&amp;몹 정리(최신)'!$B:$B,0))*20,IF($J222=2,INDEX('큐펫&amp;몹 정리(최신)'!Q:Q,MATCH($E222,'큐펫&amp;몹 정리(최신)'!$B:$B,0))*25,IF($J222=3,INDEX('큐펫&amp;몹 정리(최신)'!Q:Q,MATCH($E222,'큐펫&amp;몹 정리(최신)'!$B:$B,0))*30,IF($J222=4,INDEX('큐펫&amp;몹 정리(최신)'!Q:Q,MATCH($E222,'큐펫&amp;몹 정리(최신)'!$B:$B,0))*35,INDEX('큐펫&amp;몹 정리(최신)'!Q:Q,MATCH($E222,'큐펫&amp;몹 정리(최신)'!$B:$B,0))*40))))</f>
        <v>580</v>
      </c>
      <c r="M222" s="190">
        <f>IF($J222=1,INDEX('큐펫&amp;몹 정리(최신)'!R:R,MATCH($E222,'큐펫&amp;몹 정리(최신)'!$B:$B,0))*20,IF($J222=2,INDEX('큐펫&amp;몹 정리(최신)'!R:R,MATCH($E222,'큐펫&amp;몹 정리(최신)'!$B:$B,0))*25,IF($J222=3,INDEX('큐펫&amp;몹 정리(최신)'!R:R,MATCH($E222,'큐펫&amp;몹 정리(최신)'!$B:$B,0))*30,IF($J222=4,INDEX('큐펫&amp;몹 정리(최신)'!R:R,MATCH($E222,'큐펫&amp;몹 정리(최신)'!$B:$B,0))*35,INDEX('큐펫&amp;몹 정리(최신)'!R:R,MATCH($E222,'큐펫&amp;몹 정리(최신)'!$B:$B,0))*40))))</f>
        <v>120</v>
      </c>
      <c r="N222" s="190">
        <f>IF($J222=1,INDEX('큐펫&amp;몹 정리(최신)'!S:S,MATCH($E222,'큐펫&amp;몹 정리(최신)'!$B:$B,0))*20,IF($J222=2,INDEX('큐펫&amp;몹 정리(최신)'!S:S,MATCH($E222,'큐펫&amp;몹 정리(최신)'!$B:$B,0))*25,IF($J222=3,INDEX('큐펫&amp;몹 정리(최신)'!S:S,MATCH($E222,'큐펫&amp;몹 정리(최신)'!$B:$B,0))*30,IF($J222=4,INDEX('큐펫&amp;몹 정리(최신)'!S:S,MATCH($E222,'큐펫&amp;몹 정리(최신)'!$B:$B,0))*35,INDEX('큐펫&amp;몹 정리(최신)'!S:S,MATCH($E222,'큐펫&amp;몹 정리(최신)'!$B:$B,0))*40))))</f>
        <v>400</v>
      </c>
      <c r="O222" s="190">
        <f>IF($J222=1,INDEX('큐펫&amp;몹 정리(최신)'!T:T,MATCH($E222,'큐펫&amp;몹 정리(최신)'!$B:$B,0))*20,IF($J222=2,INDEX('큐펫&amp;몹 정리(최신)'!T:T,MATCH($E222,'큐펫&amp;몹 정리(최신)'!$B:$B,0))*25,IF($J222=3,INDEX('큐펫&amp;몹 정리(최신)'!T:T,MATCH($E222,'큐펫&amp;몹 정리(최신)'!$B:$B,0))*30,IF($J222=4,INDEX('큐펫&amp;몹 정리(최신)'!T:T,MATCH($E222,'큐펫&amp;몹 정리(최신)'!$B:$B,0))*35,INDEX('큐펫&amp;몹 정리(최신)'!T:T,MATCH($E222,'큐펫&amp;몹 정리(최신)'!$B:$B,0))*40))))</f>
        <v>300</v>
      </c>
      <c r="P222" s="217">
        <v>20</v>
      </c>
      <c r="Q222" s="217">
        <f t="shared" si="24"/>
        <v>21240</v>
      </c>
      <c r="R222" s="217">
        <f t="shared" si="25"/>
        <v>10830</v>
      </c>
      <c r="S222" s="217">
        <f t="shared" si="26"/>
        <v>3139</v>
      </c>
      <c r="T222" s="217">
        <f t="shared" si="27"/>
        <v>489</v>
      </c>
      <c r="U222" s="217">
        <f t="shared" si="28"/>
        <v>14412</v>
      </c>
      <c r="V222" s="217">
        <f t="shared" si="29"/>
        <v>5419</v>
      </c>
      <c r="W222" s="217">
        <f>ROUND(AC222+(INDEX(Ref!B$1:B$9,MATCH($AI222,Ref!$A$1:$A$9,0))*P222*0.0001),)</f>
        <v>43</v>
      </c>
      <c r="X222" s="217">
        <f>ROUND(AD222+(INDEX(Ref!C$1:C$9,MATCH($AI222,Ref!$A$1:$A$9,0))*$P222*0.0001),)</f>
        <v>26</v>
      </c>
      <c r="Y222" s="217">
        <f>ROUND(AE222+(INDEX(Ref!D$1:D$9,MATCH($AI222,Ref!$A$1:$A$9,0))*$P222*0.0001),)</f>
        <v>52</v>
      </c>
      <c r="Z222" s="217">
        <f>ROUND(AF222+(INDEX(Ref!E$1:E$9,MATCH($AI222,Ref!$A$1:$A$9,0))*$P222*0.0001),)</f>
        <v>19</v>
      </c>
      <c r="AA222" s="217">
        <f>ROUND(AG222+(INDEX(Ref!F$1:F$9,MATCH($AI222,Ref!$A$1:$A$9,0))*$P222*0.0001),)</f>
        <v>23</v>
      </c>
      <c r="AB222" s="217">
        <f>ROUND(AH222+(INDEX(Ref!G$1:G$9,MATCH($AI222,Ref!$A$1:$A$9,0))*$P222*0.0001),)</f>
        <v>21</v>
      </c>
      <c r="AC222" s="137">
        <v>38</v>
      </c>
      <c r="AD222" s="137">
        <v>23</v>
      </c>
      <c r="AE222" s="137">
        <v>48</v>
      </c>
      <c r="AF222" s="137">
        <v>17</v>
      </c>
      <c r="AG222" s="137">
        <v>20</v>
      </c>
      <c r="AH222" s="137">
        <v>18</v>
      </c>
      <c r="AI222" s="208">
        <v>1</v>
      </c>
      <c r="AJ222" s="172">
        <v>3000</v>
      </c>
      <c r="AK222" s="172">
        <v>30265</v>
      </c>
      <c r="AL222" s="172">
        <v>2000</v>
      </c>
      <c r="AM222" s="172">
        <v>30268</v>
      </c>
      <c r="AN222" s="172">
        <v>0</v>
      </c>
      <c r="AO222" s="172">
        <f t="shared" si="30"/>
        <v>34265</v>
      </c>
      <c r="AP222" s="172">
        <v>0</v>
      </c>
      <c r="AQ222" s="172">
        <f t="shared" si="31"/>
        <v>34268</v>
      </c>
      <c r="AR222" s="172">
        <v>1</v>
      </c>
      <c r="AS222" s="172">
        <v>0</v>
      </c>
      <c r="AT222" s="199">
        <v>78045</v>
      </c>
      <c r="AU222" s="195" t="s">
        <v>207</v>
      </c>
    </row>
    <row r="223" spans="1:47" x14ac:dyDescent="0.2">
      <c r="A223" s="173">
        <v>55045</v>
      </c>
      <c r="B223" s="174" t="s">
        <v>205</v>
      </c>
      <c r="C223" s="172">
        <v>86045</v>
      </c>
      <c r="D223" s="172">
        <v>150045</v>
      </c>
      <c r="E223" s="206" t="s">
        <v>206</v>
      </c>
      <c r="F223" s="207">
        <v>4</v>
      </c>
      <c r="G223" s="173">
        <v>11500</v>
      </c>
      <c r="H223" s="173">
        <v>9500</v>
      </c>
      <c r="I223" s="172">
        <v>10000</v>
      </c>
      <c r="J223" s="172">
        <v>2</v>
      </c>
      <c r="K223" s="190">
        <f>IF($J223=1,INDEX('큐펫&amp;몹 정리(최신)'!P:P,MATCH($E223,'큐펫&amp;몹 정리(최신)'!$B:$B,0))*20,IF($J223=2,INDEX('큐펫&amp;몹 정리(최신)'!P:P,MATCH($E223,'큐펫&amp;몹 정리(최신)'!$B:$B,0))*25,IF($J223=3,INDEX('큐펫&amp;몹 정리(최신)'!P:P,MATCH($E223,'큐펫&amp;몹 정리(최신)'!$B:$B,0))*30,IF($J223=4,INDEX('큐펫&amp;몹 정리(최신)'!P:P,MATCH($E223,'큐펫&amp;몹 정리(최신)'!$B:$B,0))*35,INDEX('큐펫&amp;몹 정리(최신)'!P:P,MATCH($E223,'큐펫&amp;몹 정리(최신)'!$B:$B,0))*40))))</f>
        <v>750</v>
      </c>
      <c r="L223" s="190">
        <f>IF($J223=1,INDEX('큐펫&amp;몹 정리(최신)'!Q:Q,MATCH($E223,'큐펫&amp;몹 정리(최신)'!$B:$B,0))*20,IF($J223=2,INDEX('큐펫&amp;몹 정리(최신)'!Q:Q,MATCH($E223,'큐펫&amp;몹 정리(최신)'!$B:$B,0))*25,IF($J223=3,INDEX('큐펫&amp;몹 정리(최신)'!Q:Q,MATCH($E223,'큐펫&amp;몹 정리(최신)'!$B:$B,0))*30,IF($J223=4,INDEX('큐펫&amp;몹 정리(최신)'!Q:Q,MATCH($E223,'큐펫&amp;몹 정리(최신)'!$B:$B,0))*35,INDEX('큐펫&amp;몹 정리(최신)'!Q:Q,MATCH($E223,'큐펫&amp;몹 정리(최신)'!$B:$B,0))*40))))</f>
        <v>725</v>
      </c>
      <c r="M223" s="190">
        <f>IF($J223=1,INDEX('큐펫&amp;몹 정리(최신)'!R:R,MATCH($E223,'큐펫&amp;몹 정리(최신)'!$B:$B,0))*20,IF($J223=2,INDEX('큐펫&amp;몹 정리(최신)'!R:R,MATCH($E223,'큐펫&amp;몹 정리(최신)'!$B:$B,0))*25,IF($J223=3,INDEX('큐펫&amp;몹 정리(최신)'!R:R,MATCH($E223,'큐펫&amp;몹 정리(최신)'!$B:$B,0))*30,IF($J223=4,INDEX('큐펫&amp;몹 정리(최신)'!R:R,MATCH($E223,'큐펫&amp;몹 정리(최신)'!$B:$B,0))*35,INDEX('큐펫&amp;몹 정리(최신)'!R:R,MATCH($E223,'큐펫&amp;몹 정리(최신)'!$B:$B,0))*40))))</f>
        <v>150</v>
      </c>
      <c r="N223" s="190">
        <f>IF($J223=1,INDEX('큐펫&amp;몹 정리(최신)'!S:S,MATCH($E223,'큐펫&amp;몹 정리(최신)'!$B:$B,0))*20,IF($J223=2,INDEX('큐펫&amp;몹 정리(최신)'!S:S,MATCH($E223,'큐펫&amp;몹 정리(최신)'!$B:$B,0))*25,IF($J223=3,INDEX('큐펫&amp;몹 정리(최신)'!S:S,MATCH($E223,'큐펫&amp;몹 정리(최신)'!$B:$B,0))*30,IF($J223=4,INDEX('큐펫&amp;몹 정리(최신)'!S:S,MATCH($E223,'큐펫&amp;몹 정리(최신)'!$B:$B,0))*35,INDEX('큐펫&amp;몹 정리(최신)'!S:S,MATCH($E223,'큐펫&amp;몹 정리(최신)'!$B:$B,0))*40))))</f>
        <v>500</v>
      </c>
      <c r="O223" s="190">
        <f>IF($J223=1,INDEX('큐펫&amp;몹 정리(최신)'!T:T,MATCH($E223,'큐펫&amp;몹 정리(최신)'!$B:$B,0))*20,IF($J223=2,INDEX('큐펫&amp;몹 정리(최신)'!T:T,MATCH($E223,'큐펫&amp;몹 정리(최신)'!$B:$B,0))*25,IF($J223=3,INDEX('큐펫&amp;몹 정리(최신)'!T:T,MATCH($E223,'큐펫&amp;몹 정리(최신)'!$B:$B,0))*30,IF($J223=4,INDEX('큐펫&amp;몹 정리(최신)'!T:T,MATCH($E223,'큐펫&amp;몹 정리(최신)'!$B:$B,0))*35,INDEX('큐펫&amp;몹 정리(최신)'!T:T,MATCH($E223,'큐펫&amp;몹 정리(최신)'!$B:$B,0))*40))))</f>
        <v>375</v>
      </c>
      <c r="P223" s="217">
        <v>40</v>
      </c>
      <c r="Q223" s="217">
        <f t="shared" si="24"/>
        <v>51700</v>
      </c>
      <c r="R223" s="217">
        <f t="shared" si="25"/>
        <v>20503</v>
      </c>
      <c r="S223" s="217">
        <f t="shared" si="26"/>
        <v>6193</v>
      </c>
      <c r="T223" s="217">
        <f t="shared" si="27"/>
        <v>942</v>
      </c>
      <c r="U223" s="217">
        <f t="shared" si="28"/>
        <v>25016</v>
      </c>
      <c r="V223" s="217">
        <f t="shared" si="29"/>
        <v>9399</v>
      </c>
      <c r="W223" s="217">
        <f>ROUND(AC223+(INDEX(Ref!B$1:B$9,MATCH($AI223,Ref!$A$1:$A$9,0))*P223*0.0001),)</f>
        <v>53</v>
      </c>
      <c r="X223" s="217">
        <f>ROUND(AD223+(INDEX(Ref!C$1:C$9,MATCH($AI223,Ref!$A$1:$A$9,0))*$P223*0.0001),)</f>
        <v>32</v>
      </c>
      <c r="Y223" s="217">
        <f>ROUND(AE223+(INDEX(Ref!D$1:D$9,MATCH($AI223,Ref!$A$1:$A$9,0))*$P223*0.0001),)</f>
        <v>60</v>
      </c>
      <c r="Z223" s="217">
        <f>ROUND(AF223+(INDEX(Ref!E$1:E$9,MATCH($AI223,Ref!$A$1:$A$9,0))*$P223*0.0001),)</f>
        <v>24</v>
      </c>
      <c r="AA223" s="217">
        <f>ROUND(AG223+(INDEX(Ref!F$1:F$9,MATCH($AI223,Ref!$A$1:$A$9,0))*$P223*0.0001),)</f>
        <v>29</v>
      </c>
      <c r="AB223" s="217">
        <f>ROUND(AH223+(INDEX(Ref!G$1:G$9,MATCH($AI223,Ref!$A$1:$A$9,0))*$P223*0.0001),)</f>
        <v>26</v>
      </c>
      <c r="AC223" s="137">
        <v>43</v>
      </c>
      <c r="AD223" s="137">
        <v>26</v>
      </c>
      <c r="AE223" s="137">
        <v>52</v>
      </c>
      <c r="AF223" s="137">
        <v>19</v>
      </c>
      <c r="AG223" s="137">
        <v>23</v>
      </c>
      <c r="AH223" s="137">
        <v>21</v>
      </c>
      <c r="AI223" s="208">
        <v>1</v>
      </c>
      <c r="AJ223" s="172">
        <v>3000</v>
      </c>
      <c r="AK223" s="172">
        <v>30266</v>
      </c>
      <c r="AL223" s="172">
        <v>2000</v>
      </c>
      <c r="AM223" s="172">
        <v>30268</v>
      </c>
      <c r="AN223" s="172">
        <v>0</v>
      </c>
      <c r="AO223" s="172">
        <f t="shared" si="30"/>
        <v>34266</v>
      </c>
      <c r="AP223" s="172">
        <v>0</v>
      </c>
      <c r="AQ223" s="172">
        <f t="shared" si="31"/>
        <v>34268</v>
      </c>
      <c r="AR223" s="172">
        <v>1</v>
      </c>
      <c r="AS223" s="172">
        <v>0</v>
      </c>
      <c r="AT223" s="199">
        <v>78045</v>
      </c>
      <c r="AU223" s="195" t="s">
        <v>207</v>
      </c>
    </row>
    <row r="224" spans="1:47" x14ac:dyDescent="0.2">
      <c r="A224" s="173">
        <v>55045</v>
      </c>
      <c r="B224" s="174" t="s">
        <v>205</v>
      </c>
      <c r="C224" s="172">
        <v>86045</v>
      </c>
      <c r="D224" s="172">
        <v>150045</v>
      </c>
      <c r="E224" s="206" t="s">
        <v>206</v>
      </c>
      <c r="F224" s="207">
        <v>4</v>
      </c>
      <c r="G224" s="173">
        <v>11500</v>
      </c>
      <c r="H224" s="173">
        <v>9500</v>
      </c>
      <c r="I224" s="172">
        <v>10000</v>
      </c>
      <c r="J224" s="172">
        <v>3</v>
      </c>
      <c r="K224" s="190">
        <f>IF($J224=1,INDEX('큐펫&amp;몹 정리(최신)'!P:P,MATCH($E224,'큐펫&amp;몹 정리(최신)'!$B:$B,0))*20,IF($J224=2,INDEX('큐펫&amp;몹 정리(최신)'!P:P,MATCH($E224,'큐펫&amp;몹 정리(최신)'!$B:$B,0))*25,IF($J224=3,INDEX('큐펫&amp;몹 정리(최신)'!P:P,MATCH($E224,'큐펫&amp;몹 정리(최신)'!$B:$B,0))*30,IF($J224=4,INDEX('큐펫&amp;몹 정리(최신)'!P:P,MATCH($E224,'큐펫&amp;몹 정리(최신)'!$B:$B,0))*35,INDEX('큐펫&amp;몹 정리(최신)'!P:P,MATCH($E224,'큐펫&amp;몹 정리(최신)'!$B:$B,0))*40))))</f>
        <v>900</v>
      </c>
      <c r="L224" s="190">
        <f>IF($J224=1,INDEX('큐펫&amp;몹 정리(최신)'!Q:Q,MATCH($E224,'큐펫&amp;몹 정리(최신)'!$B:$B,0))*20,IF($J224=2,INDEX('큐펫&amp;몹 정리(최신)'!Q:Q,MATCH($E224,'큐펫&amp;몹 정리(최신)'!$B:$B,0))*25,IF($J224=3,INDEX('큐펫&amp;몹 정리(최신)'!Q:Q,MATCH($E224,'큐펫&amp;몹 정리(최신)'!$B:$B,0))*30,IF($J224=4,INDEX('큐펫&amp;몹 정리(최신)'!Q:Q,MATCH($E224,'큐펫&amp;몹 정리(최신)'!$B:$B,0))*35,INDEX('큐펫&amp;몹 정리(최신)'!Q:Q,MATCH($E224,'큐펫&amp;몹 정리(최신)'!$B:$B,0))*40))))</f>
        <v>870</v>
      </c>
      <c r="M224" s="190">
        <f>IF($J224=1,INDEX('큐펫&amp;몹 정리(최신)'!R:R,MATCH($E224,'큐펫&amp;몹 정리(최신)'!$B:$B,0))*20,IF($J224=2,INDEX('큐펫&amp;몹 정리(최신)'!R:R,MATCH($E224,'큐펫&amp;몹 정리(최신)'!$B:$B,0))*25,IF($J224=3,INDEX('큐펫&amp;몹 정리(최신)'!R:R,MATCH($E224,'큐펫&amp;몹 정리(최신)'!$B:$B,0))*30,IF($J224=4,INDEX('큐펫&amp;몹 정리(최신)'!R:R,MATCH($E224,'큐펫&amp;몹 정리(최신)'!$B:$B,0))*35,INDEX('큐펫&amp;몹 정리(최신)'!R:R,MATCH($E224,'큐펫&amp;몹 정리(최신)'!$B:$B,0))*40))))</f>
        <v>180</v>
      </c>
      <c r="N224" s="190">
        <f>IF($J224=1,INDEX('큐펫&amp;몹 정리(최신)'!S:S,MATCH($E224,'큐펫&amp;몹 정리(최신)'!$B:$B,0))*20,IF($J224=2,INDEX('큐펫&amp;몹 정리(최신)'!S:S,MATCH($E224,'큐펫&amp;몹 정리(최신)'!$B:$B,0))*25,IF($J224=3,INDEX('큐펫&amp;몹 정리(최신)'!S:S,MATCH($E224,'큐펫&amp;몹 정리(최신)'!$B:$B,0))*30,IF($J224=4,INDEX('큐펫&amp;몹 정리(최신)'!S:S,MATCH($E224,'큐펫&amp;몹 정리(최신)'!$B:$B,0))*35,INDEX('큐펫&amp;몹 정리(최신)'!S:S,MATCH($E224,'큐펫&amp;몹 정리(최신)'!$B:$B,0))*40))))</f>
        <v>600</v>
      </c>
      <c r="O224" s="190">
        <f>IF($J224=1,INDEX('큐펫&amp;몹 정리(최신)'!T:T,MATCH($E224,'큐펫&amp;몹 정리(최신)'!$B:$B,0))*20,IF($J224=2,INDEX('큐펫&amp;몹 정리(최신)'!T:T,MATCH($E224,'큐펫&amp;몹 정리(최신)'!$B:$B,0))*25,IF($J224=3,INDEX('큐펫&amp;몹 정리(최신)'!T:T,MATCH($E224,'큐펫&amp;몹 정리(최신)'!$B:$B,0))*30,IF($J224=4,INDEX('큐펫&amp;몹 정리(최신)'!T:T,MATCH($E224,'큐펫&amp;몹 정리(최신)'!$B:$B,0))*35,INDEX('큐펫&amp;몹 정리(최신)'!T:T,MATCH($E224,'큐펫&amp;몹 정리(최신)'!$B:$B,0))*40))))</f>
        <v>450</v>
      </c>
      <c r="P224" s="217">
        <v>60</v>
      </c>
      <c r="Q224" s="217">
        <f t="shared" si="24"/>
        <v>95220</v>
      </c>
      <c r="R224" s="217">
        <f t="shared" si="25"/>
        <v>34701</v>
      </c>
      <c r="S224" s="217">
        <f t="shared" si="26"/>
        <v>10177</v>
      </c>
      <c r="T224" s="217">
        <f t="shared" si="27"/>
        <v>1509</v>
      </c>
      <c r="U224" s="217">
        <f t="shared" si="28"/>
        <v>38419</v>
      </c>
      <c r="V224" s="217">
        <f t="shared" si="29"/>
        <v>14428</v>
      </c>
      <c r="W224" s="217">
        <f>ROUND(AC224+(INDEX(Ref!B$1:B$9,MATCH($AI224,Ref!$A$1:$A$9,0))*P224*0.0001),)</f>
        <v>63</v>
      </c>
      <c r="X224" s="217">
        <f>ROUND(AD224+(INDEX(Ref!C$1:C$9,MATCH($AI224,Ref!$A$1:$A$9,0))*$P224*0.0001),)</f>
        <v>40</v>
      </c>
      <c r="Y224" s="217">
        <f>ROUND(AE224+(INDEX(Ref!D$1:D$9,MATCH($AI224,Ref!$A$1:$A$9,0))*$P224*0.0001),)</f>
        <v>68</v>
      </c>
      <c r="Z224" s="217">
        <f>ROUND(AF224+(INDEX(Ref!E$1:E$9,MATCH($AI224,Ref!$A$1:$A$9,0))*$P224*0.0001),)</f>
        <v>28</v>
      </c>
      <c r="AA224" s="217">
        <f>ROUND(AG224+(INDEX(Ref!F$1:F$9,MATCH($AI224,Ref!$A$1:$A$9,0))*$P224*0.0001),)</f>
        <v>34</v>
      </c>
      <c r="AB224" s="217">
        <f>ROUND(AH224+(INDEX(Ref!G$1:G$9,MATCH($AI224,Ref!$A$1:$A$9,0))*$P224*0.0001),)</f>
        <v>31</v>
      </c>
      <c r="AC224" s="137">
        <v>48.000000000000007</v>
      </c>
      <c r="AD224" s="137">
        <v>30</v>
      </c>
      <c r="AE224" s="137">
        <v>56</v>
      </c>
      <c r="AF224" s="137">
        <v>21</v>
      </c>
      <c r="AG224" s="137">
        <v>26</v>
      </c>
      <c r="AH224" s="137">
        <v>23</v>
      </c>
      <c r="AI224" s="208">
        <v>1</v>
      </c>
      <c r="AJ224" s="172">
        <v>3000</v>
      </c>
      <c r="AK224" s="172">
        <v>30266</v>
      </c>
      <c r="AL224" s="172">
        <v>2000</v>
      </c>
      <c r="AM224" s="172">
        <v>30269</v>
      </c>
      <c r="AN224" s="172">
        <v>0</v>
      </c>
      <c r="AO224" s="172">
        <f t="shared" si="30"/>
        <v>34266</v>
      </c>
      <c r="AP224" s="172">
        <v>0</v>
      </c>
      <c r="AQ224" s="172">
        <f t="shared" si="31"/>
        <v>34269</v>
      </c>
      <c r="AR224" s="172">
        <v>1</v>
      </c>
      <c r="AS224" s="172">
        <v>0</v>
      </c>
      <c r="AT224" s="199">
        <v>78045</v>
      </c>
      <c r="AU224" s="195" t="s">
        <v>207</v>
      </c>
    </row>
    <row r="225" spans="1:47" x14ac:dyDescent="0.2">
      <c r="A225" s="173">
        <v>55045</v>
      </c>
      <c r="B225" s="174" t="s">
        <v>205</v>
      </c>
      <c r="C225" s="172">
        <v>86045</v>
      </c>
      <c r="D225" s="172">
        <v>150045</v>
      </c>
      <c r="E225" s="206" t="s">
        <v>206</v>
      </c>
      <c r="F225" s="207">
        <v>4</v>
      </c>
      <c r="G225" s="173">
        <v>11500</v>
      </c>
      <c r="H225" s="173">
        <v>9500</v>
      </c>
      <c r="I225" s="172">
        <v>10000</v>
      </c>
      <c r="J225" s="172">
        <v>4</v>
      </c>
      <c r="K225" s="190">
        <f>IF($J225=1,INDEX('큐펫&amp;몹 정리(최신)'!P:P,MATCH($E225,'큐펫&amp;몹 정리(최신)'!$B:$B,0))*20,IF($J225=2,INDEX('큐펫&amp;몹 정리(최신)'!P:P,MATCH($E225,'큐펫&amp;몹 정리(최신)'!$B:$B,0))*25,IF($J225=3,INDEX('큐펫&amp;몹 정리(최신)'!P:P,MATCH($E225,'큐펫&amp;몹 정리(최신)'!$B:$B,0))*30,IF($J225=4,INDEX('큐펫&amp;몹 정리(최신)'!P:P,MATCH($E225,'큐펫&amp;몹 정리(최신)'!$B:$B,0))*35,INDEX('큐펫&amp;몹 정리(최신)'!P:P,MATCH($E225,'큐펫&amp;몹 정리(최신)'!$B:$B,0))*40))))</f>
        <v>1050</v>
      </c>
      <c r="L225" s="190">
        <f>IF($J225=1,INDEX('큐펫&amp;몹 정리(최신)'!Q:Q,MATCH($E225,'큐펫&amp;몹 정리(최신)'!$B:$B,0))*20,IF($J225=2,INDEX('큐펫&amp;몹 정리(최신)'!Q:Q,MATCH($E225,'큐펫&amp;몹 정리(최신)'!$B:$B,0))*25,IF($J225=3,INDEX('큐펫&amp;몹 정리(최신)'!Q:Q,MATCH($E225,'큐펫&amp;몹 정리(최신)'!$B:$B,0))*30,IF($J225=4,INDEX('큐펫&amp;몹 정리(최신)'!Q:Q,MATCH($E225,'큐펫&amp;몹 정리(최신)'!$B:$B,0))*35,INDEX('큐펫&amp;몹 정리(최신)'!Q:Q,MATCH($E225,'큐펫&amp;몹 정리(최신)'!$B:$B,0))*40))))</f>
        <v>1015</v>
      </c>
      <c r="M225" s="190">
        <f>IF($J225=1,INDEX('큐펫&amp;몹 정리(최신)'!R:R,MATCH($E225,'큐펫&amp;몹 정리(최신)'!$B:$B,0))*20,IF($J225=2,INDEX('큐펫&amp;몹 정리(최신)'!R:R,MATCH($E225,'큐펫&amp;몹 정리(최신)'!$B:$B,0))*25,IF($J225=3,INDEX('큐펫&amp;몹 정리(최신)'!R:R,MATCH($E225,'큐펫&amp;몹 정리(최신)'!$B:$B,0))*30,IF($J225=4,INDEX('큐펫&amp;몹 정리(최신)'!R:R,MATCH($E225,'큐펫&amp;몹 정리(최신)'!$B:$B,0))*35,INDEX('큐펫&amp;몹 정리(최신)'!R:R,MATCH($E225,'큐펫&amp;몹 정리(최신)'!$B:$B,0))*40))))</f>
        <v>210</v>
      </c>
      <c r="N225" s="190">
        <f>IF($J225=1,INDEX('큐펫&amp;몹 정리(최신)'!S:S,MATCH($E225,'큐펫&amp;몹 정리(최신)'!$B:$B,0))*20,IF($J225=2,INDEX('큐펫&amp;몹 정리(최신)'!S:S,MATCH($E225,'큐펫&amp;몹 정리(최신)'!$B:$B,0))*25,IF($J225=3,INDEX('큐펫&amp;몹 정리(최신)'!S:S,MATCH($E225,'큐펫&amp;몹 정리(최신)'!$B:$B,0))*30,IF($J225=4,INDEX('큐펫&amp;몹 정리(최신)'!S:S,MATCH($E225,'큐펫&amp;몹 정리(최신)'!$B:$B,0))*35,INDEX('큐펫&amp;몹 정리(최신)'!S:S,MATCH($E225,'큐펫&amp;몹 정리(최신)'!$B:$B,0))*40))))</f>
        <v>700</v>
      </c>
      <c r="O225" s="190">
        <f>IF($J225=1,INDEX('큐펫&amp;몹 정리(최신)'!T:T,MATCH($E225,'큐펫&amp;몹 정리(최신)'!$B:$B,0))*20,IF($J225=2,INDEX('큐펫&amp;몹 정리(최신)'!T:T,MATCH($E225,'큐펫&amp;몹 정리(최신)'!$B:$B,0))*25,IF($J225=3,INDEX('큐펫&amp;몹 정리(최신)'!T:T,MATCH($E225,'큐펫&amp;몹 정리(최신)'!$B:$B,0))*30,IF($J225=4,INDEX('큐펫&amp;몹 정리(최신)'!T:T,MATCH($E225,'큐펫&amp;몹 정리(최신)'!$B:$B,0))*35,INDEX('큐펫&amp;몹 정리(최신)'!T:T,MATCH($E225,'큐펫&amp;몹 정리(최신)'!$B:$B,0))*40))))</f>
        <v>525</v>
      </c>
      <c r="P225" s="217">
        <v>80</v>
      </c>
      <c r="Q225" s="217">
        <f t="shared" si="24"/>
        <v>153040</v>
      </c>
      <c r="R225" s="217">
        <f t="shared" si="25"/>
        <v>54292</v>
      </c>
      <c r="S225" s="217">
        <f t="shared" si="26"/>
        <v>15581</v>
      </c>
      <c r="T225" s="217">
        <f t="shared" si="27"/>
        <v>2549</v>
      </c>
      <c r="U225" s="217">
        <f t="shared" si="28"/>
        <v>54622</v>
      </c>
      <c r="V225" s="217">
        <f t="shared" si="29"/>
        <v>20509</v>
      </c>
      <c r="W225" s="217">
        <f>ROUND(AC225+(INDEX(Ref!B$1:B$9,MATCH($AI225,Ref!$A$1:$A$9,0))*P225*0.0001),)</f>
        <v>73</v>
      </c>
      <c r="X225" s="217">
        <f>ROUND(AD225+(INDEX(Ref!C$1:C$9,MATCH($AI225,Ref!$A$1:$A$9,0))*$P225*0.0001),)</f>
        <v>46</v>
      </c>
      <c r="Y225" s="217">
        <f>ROUND(AE225+(INDEX(Ref!D$1:D$9,MATCH($AI225,Ref!$A$1:$A$9,0))*$P225*0.0001),)</f>
        <v>76</v>
      </c>
      <c r="Z225" s="217">
        <f>ROUND(AF225+(INDEX(Ref!E$1:E$9,MATCH($AI225,Ref!$A$1:$A$9,0))*$P225*0.0001),)</f>
        <v>34</v>
      </c>
      <c r="AA225" s="217">
        <f>ROUND(AG225+(INDEX(Ref!F$1:F$9,MATCH($AI225,Ref!$A$1:$A$9,0))*$P225*0.0001),)</f>
        <v>39</v>
      </c>
      <c r="AB225" s="217">
        <f>ROUND(AH225+(INDEX(Ref!G$1:G$9,MATCH($AI225,Ref!$A$1:$A$9,0))*$P225*0.0001),)</f>
        <v>36</v>
      </c>
      <c r="AC225" s="137">
        <v>53</v>
      </c>
      <c r="AD225" s="137">
        <v>33</v>
      </c>
      <c r="AE225" s="137">
        <v>60</v>
      </c>
      <c r="AF225" s="137">
        <v>24</v>
      </c>
      <c r="AG225" s="137">
        <v>28</v>
      </c>
      <c r="AH225" s="137">
        <v>26</v>
      </c>
      <c r="AI225" s="208">
        <v>1</v>
      </c>
      <c r="AJ225" s="172">
        <v>3000</v>
      </c>
      <c r="AK225" s="172">
        <v>30267</v>
      </c>
      <c r="AL225" s="172">
        <v>2000</v>
      </c>
      <c r="AM225" s="172">
        <v>30269</v>
      </c>
      <c r="AN225" s="172">
        <v>0</v>
      </c>
      <c r="AO225" s="172">
        <f t="shared" si="30"/>
        <v>34267</v>
      </c>
      <c r="AP225" s="172">
        <v>0</v>
      </c>
      <c r="AQ225" s="172">
        <f t="shared" si="31"/>
        <v>34269</v>
      </c>
      <c r="AR225" s="172">
        <v>1</v>
      </c>
      <c r="AS225" s="172">
        <v>0</v>
      </c>
      <c r="AT225" s="199">
        <v>78045</v>
      </c>
      <c r="AU225" s="195" t="s">
        <v>207</v>
      </c>
    </row>
    <row r="226" spans="1:47" x14ac:dyDescent="0.2">
      <c r="A226" s="173">
        <v>55045</v>
      </c>
      <c r="B226" s="174" t="s">
        <v>205</v>
      </c>
      <c r="C226" s="172">
        <v>86045</v>
      </c>
      <c r="D226" s="172">
        <v>150045</v>
      </c>
      <c r="E226" s="206" t="s">
        <v>206</v>
      </c>
      <c r="F226" s="207">
        <v>4</v>
      </c>
      <c r="G226" s="173">
        <v>11500</v>
      </c>
      <c r="H226" s="173">
        <v>9500</v>
      </c>
      <c r="I226" s="172">
        <v>10000</v>
      </c>
      <c r="J226" s="172">
        <v>5</v>
      </c>
      <c r="K226" s="190">
        <f>IF($J226=1,INDEX('큐펫&amp;몹 정리(최신)'!P:P,MATCH($E226,'큐펫&amp;몹 정리(최신)'!$B:$B,0))*20,IF($J226=2,INDEX('큐펫&amp;몹 정리(최신)'!P:P,MATCH($E226,'큐펫&amp;몹 정리(최신)'!$B:$B,0))*25,IF($J226=3,INDEX('큐펫&amp;몹 정리(최신)'!P:P,MATCH($E226,'큐펫&amp;몹 정리(최신)'!$B:$B,0))*30,IF($J226=4,INDEX('큐펫&amp;몹 정리(최신)'!P:P,MATCH($E226,'큐펫&amp;몹 정리(최신)'!$B:$B,0))*35,INDEX('큐펫&amp;몹 정리(최신)'!P:P,MATCH($E226,'큐펫&amp;몹 정리(최신)'!$B:$B,0))*40))))</f>
        <v>1200</v>
      </c>
      <c r="L226" s="190">
        <f>IF($J226=1,INDEX('큐펫&amp;몹 정리(최신)'!Q:Q,MATCH($E226,'큐펫&amp;몹 정리(최신)'!$B:$B,0))*20,IF($J226=2,INDEX('큐펫&amp;몹 정리(최신)'!Q:Q,MATCH($E226,'큐펫&amp;몹 정리(최신)'!$B:$B,0))*25,IF($J226=3,INDEX('큐펫&amp;몹 정리(최신)'!Q:Q,MATCH($E226,'큐펫&amp;몹 정리(최신)'!$B:$B,0))*30,IF($J226=4,INDEX('큐펫&amp;몹 정리(최신)'!Q:Q,MATCH($E226,'큐펫&amp;몹 정리(최신)'!$B:$B,0))*35,INDEX('큐펫&amp;몹 정리(최신)'!Q:Q,MATCH($E226,'큐펫&amp;몹 정리(최신)'!$B:$B,0))*40))))</f>
        <v>1160</v>
      </c>
      <c r="M226" s="190">
        <f>IF($J226=1,INDEX('큐펫&amp;몹 정리(최신)'!R:R,MATCH($E226,'큐펫&amp;몹 정리(최신)'!$B:$B,0))*20,IF($J226=2,INDEX('큐펫&amp;몹 정리(최신)'!R:R,MATCH($E226,'큐펫&amp;몹 정리(최신)'!$B:$B,0))*25,IF($J226=3,INDEX('큐펫&amp;몹 정리(최신)'!R:R,MATCH($E226,'큐펫&amp;몹 정리(최신)'!$B:$B,0))*30,IF($J226=4,INDEX('큐펫&amp;몹 정리(최신)'!R:R,MATCH($E226,'큐펫&amp;몹 정리(최신)'!$B:$B,0))*35,INDEX('큐펫&amp;몹 정리(최신)'!R:R,MATCH($E226,'큐펫&amp;몹 정리(최신)'!$B:$B,0))*40))))</f>
        <v>240</v>
      </c>
      <c r="N226" s="190">
        <f>IF($J226=1,INDEX('큐펫&amp;몹 정리(최신)'!S:S,MATCH($E226,'큐펫&amp;몹 정리(최신)'!$B:$B,0))*20,IF($J226=2,INDEX('큐펫&amp;몹 정리(최신)'!S:S,MATCH($E226,'큐펫&amp;몹 정리(최신)'!$B:$B,0))*25,IF($J226=3,INDEX('큐펫&amp;몹 정리(최신)'!S:S,MATCH($E226,'큐펫&amp;몹 정리(최신)'!$B:$B,0))*30,IF($J226=4,INDEX('큐펫&amp;몹 정리(최신)'!S:S,MATCH($E226,'큐펫&amp;몹 정리(최신)'!$B:$B,0))*35,INDEX('큐펫&amp;몹 정리(최신)'!S:S,MATCH($E226,'큐펫&amp;몹 정리(최신)'!$B:$B,0))*40))))</f>
        <v>800</v>
      </c>
      <c r="O226" s="190">
        <f>IF($J226=1,INDEX('큐펫&amp;몹 정리(최신)'!T:T,MATCH($E226,'큐펫&amp;몹 정리(최신)'!$B:$B,0))*20,IF($J226=2,INDEX('큐펫&amp;몹 정리(최신)'!T:T,MATCH($E226,'큐펫&amp;몹 정리(최신)'!$B:$B,0))*25,IF($J226=3,INDEX('큐펫&amp;몹 정리(최신)'!T:T,MATCH($E226,'큐펫&amp;몹 정리(최신)'!$B:$B,0))*30,IF($J226=4,INDEX('큐펫&amp;몹 정리(최신)'!T:T,MATCH($E226,'큐펫&amp;몹 정리(최신)'!$B:$B,0))*35,INDEX('큐펫&amp;몹 정리(최신)'!T:T,MATCH($E226,'큐펫&amp;몹 정리(최신)'!$B:$B,0))*40))))</f>
        <v>600</v>
      </c>
      <c r="P226" s="217">
        <v>100</v>
      </c>
      <c r="Q226" s="217">
        <f t="shared" si="24"/>
        <v>226800</v>
      </c>
      <c r="R226" s="217">
        <f t="shared" si="25"/>
        <v>80148</v>
      </c>
      <c r="S226" s="217">
        <f t="shared" si="26"/>
        <v>23659</v>
      </c>
      <c r="T226" s="217">
        <f t="shared" si="27"/>
        <v>3607</v>
      </c>
      <c r="U226" s="217">
        <f t="shared" si="28"/>
        <v>73625</v>
      </c>
      <c r="V226" s="217">
        <f t="shared" si="29"/>
        <v>27638</v>
      </c>
      <c r="W226" s="217">
        <f>ROUND(AC226+(INDEX(Ref!B$1:B$9,MATCH($AI226,Ref!$A$1:$A$9,0))*P226*0.0001),)</f>
        <v>83</v>
      </c>
      <c r="X226" s="217">
        <f>ROUND(AD226+(INDEX(Ref!C$1:C$9,MATCH($AI226,Ref!$A$1:$A$9,0))*$P226*0.0001),)</f>
        <v>52</v>
      </c>
      <c r="Y226" s="217">
        <f>ROUND(AE226+(INDEX(Ref!D$1:D$9,MATCH($AI226,Ref!$A$1:$A$9,0))*$P226*0.0001),)</f>
        <v>84</v>
      </c>
      <c r="Z226" s="217">
        <f>ROUND(AF226+(INDEX(Ref!E$1:E$9,MATCH($AI226,Ref!$A$1:$A$9,0))*$P226*0.0001),)</f>
        <v>38</v>
      </c>
      <c r="AA226" s="217">
        <f>ROUND(AG226+(INDEX(Ref!F$1:F$9,MATCH($AI226,Ref!$A$1:$A$9,0))*$P226*0.0001),)</f>
        <v>45</v>
      </c>
      <c r="AB226" s="217">
        <f>ROUND(AH226+(INDEX(Ref!G$1:G$9,MATCH($AI226,Ref!$A$1:$A$9,0))*$P226*0.0001),)</f>
        <v>42</v>
      </c>
      <c r="AC226" s="137">
        <v>58.000000000000007</v>
      </c>
      <c r="AD226" s="137">
        <v>36</v>
      </c>
      <c r="AE226" s="137">
        <v>64</v>
      </c>
      <c r="AF226" s="137">
        <v>26</v>
      </c>
      <c r="AG226" s="137">
        <v>31</v>
      </c>
      <c r="AH226" s="137">
        <v>29</v>
      </c>
      <c r="AI226" s="208">
        <v>1</v>
      </c>
      <c r="AJ226" s="172">
        <v>3000</v>
      </c>
      <c r="AK226" s="172">
        <v>30267</v>
      </c>
      <c r="AL226" s="172">
        <v>2000</v>
      </c>
      <c r="AM226" s="172">
        <v>30270</v>
      </c>
      <c r="AN226" s="172">
        <v>0</v>
      </c>
      <c r="AO226" s="172">
        <f t="shared" si="30"/>
        <v>34267</v>
      </c>
      <c r="AP226" s="172">
        <v>0</v>
      </c>
      <c r="AQ226" s="172">
        <f t="shared" si="31"/>
        <v>34270</v>
      </c>
      <c r="AR226" s="172">
        <v>1</v>
      </c>
      <c r="AS226" s="172">
        <v>0</v>
      </c>
      <c r="AT226" s="199">
        <v>78045</v>
      </c>
      <c r="AU226" s="195" t="s">
        <v>207</v>
      </c>
    </row>
    <row r="227" spans="1:47" x14ac:dyDescent="0.2">
      <c r="A227" s="173">
        <v>55046</v>
      </c>
      <c r="B227" s="174" t="s">
        <v>208</v>
      </c>
      <c r="C227" s="172">
        <v>86046</v>
      </c>
      <c r="D227" s="172">
        <v>150046</v>
      </c>
      <c r="E227" s="206" t="s">
        <v>209</v>
      </c>
      <c r="F227" s="207">
        <v>6</v>
      </c>
      <c r="G227" s="172">
        <v>13000</v>
      </c>
      <c r="H227" s="172">
        <v>9000</v>
      </c>
      <c r="I227" s="172">
        <v>10000</v>
      </c>
      <c r="J227" s="172">
        <v>1</v>
      </c>
      <c r="K227" s="190">
        <f>IF($J227=1,INDEX('큐펫&amp;몹 정리(최신)'!P:P,MATCH($E227,'큐펫&amp;몹 정리(최신)'!$B:$B,0))*20,IF($J227=2,INDEX('큐펫&amp;몹 정리(최신)'!P:P,MATCH($E227,'큐펫&amp;몹 정리(최신)'!$B:$B,0))*25,IF($J227=3,INDEX('큐펫&amp;몹 정리(최신)'!P:P,MATCH($E227,'큐펫&amp;몹 정리(최신)'!$B:$B,0))*30,IF($J227=4,INDEX('큐펫&amp;몹 정리(최신)'!P:P,MATCH($E227,'큐펫&amp;몹 정리(최신)'!$B:$B,0))*35,INDEX('큐펫&amp;몹 정리(최신)'!P:P,MATCH($E227,'큐펫&amp;몹 정리(최신)'!$B:$B,0))*40))))</f>
        <v>1000</v>
      </c>
      <c r="L227" s="190">
        <f>IF($J227=1,INDEX('큐펫&amp;몹 정리(최신)'!Q:Q,MATCH($E227,'큐펫&amp;몹 정리(최신)'!$B:$B,0))*20,IF($J227=2,INDEX('큐펫&amp;몹 정리(최신)'!Q:Q,MATCH($E227,'큐펫&amp;몹 정리(최신)'!$B:$B,0))*25,IF($J227=3,INDEX('큐펫&amp;몹 정리(최신)'!Q:Q,MATCH($E227,'큐펫&amp;몹 정리(최신)'!$B:$B,0))*30,IF($J227=4,INDEX('큐펫&amp;몹 정리(최신)'!Q:Q,MATCH($E227,'큐펫&amp;몹 정리(최신)'!$B:$B,0))*35,INDEX('큐펫&amp;몹 정리(최신)'!Q:Q,MATCH($E227,'큐펫&amp;몹 정리(최신)'!$B:$B,0))*40))))</f>
        <v>80</v>
      </c>
      <c r="M227" s="190">
        <f>IF($J227=1,INDEX('큐펫&amp;몹 정리(최신)'!R:R,MATCH($E227,'큐펫&amp;몹 정리(최신)'!$B:$B,0))*20,IF($J227=2,INDEX('큐펫&amp;몹 정리(최신)'!R:R,MATCH($E227,'큐펫&amp;몹 정리(최신)'!$B:$B,0))*25,IF($J227=3,INDEX('큐펫&amp;몹 정리(최신)'!R:R,MATCH($E227,'큐펫&amp;몹 정리(최신)'!$B:$B,0))*30,IF($J227=4,INDEX('큐펫&amp;몹 정리(최신)'!R:R,MATCH($E227,'큐펫&amp;몹 정리(최신)'!$B:$B,0))*35,INDEX('큐펫&amp;몹 정리(최신)'!R:R,MATCH($E227,'큐펫&amp;몹 정리(최신)'!$B:$B,0))*40))))</f>
        <v>280</v>
      </c>
      <c r="N227" s="190">
        <f>IF($J227=1,INDEX('큐펫&amp;몹 정리(최신)'!S:S,MATCH($E227,'큐펫&amp;몹 정리(최신)'!$B:$B,0))*20,IF($J227=2,INDEX('큐펫&amp;몹 정리(최신)'!S:S,MATCH($E227,'큐펫&amp;몹 정리(최신)'!$B:$B,0))*25,IF($J227=3,INDEX('큐펫&amp;몹 정리(최신)'!S:S,MATCH($E227,'큐펫&amp;몹 정리(최신)'!$B:$B,0))*30,IF($J227=4,INDEX('큐펫&amp;몹 정리(최신)'!S:S,MATCH($E227,'큐펫&amp;몹 정리(최신)'!$B:$B,0))*35,INDEX('큐펫&amp;몹 정리(최신)'!S:S,MATCH($E227,'큐펫&amp;몹 정리(최신)'!$B:$B,0))*40))))</f>
        <v>300</v>
      </c>
      <c r="O227" s="190">
        <f>IF($J227=1,INDEX('큐펫&amp;몹 정리(최신)'!T:T,MATCH($E227,'큐펫&amp;몹 정리(최신)'!$B:$B,0))*20,IF($J227=2,INDEX('큐펫&amp;몹 정리(최신)'!T:T,MATCH($E227,'큐펫&amp;몹 정리(최신)'!$B:$B,0))*25,IF($J227=3,INDEX('큐펫&amp;몹 정리(최신)'!T:T,MATCH($E227,'큐펫&amp;몹 정리(최신)'!$B:$B,0))*30,IF($J227=4,INDEX('큐펫&amp;몹 정리(최신)'!T:T,MATCH($E227,'큐펫&amp;몹 정리(최신)'!$B:$B,0))*35,INDEX('큐펫&amp;몹 정리(최신)'!T:T,MATCH($E227,'큐펫&amp;몹 정리(최신)'!$B:$B,0))*40))))</f>
        <v>340</v>
      </c>
      <c r="P227" s="217">
        <v>20</v>
      </c>
      <c r="Q227" s="217">
        <f t="shared" si="24"/>
        <v>32800</v>
      </c>
      <c r="R227" s="217">
        <f t="shared" si="25"/>
        <v>287</v>
      </c>
      <c r="S227" s="217">
        <f t="shared" si="26"/>
        <v>348</v>
      </c>
      <c r="T227" s="217">
        <f t="shared" si="27"/>
        <v>4810</v>
      </c>
      <c r="U227" s="217">
        <f t="shared" si="28"/>
        <v>8857</v>
      </c>
      <c r="V227" s="217">
        <f t="shared" si="29"/>
        <v>5056</v>
      </c>
      <c r="W227" s="217">
        <f>ROUND(AC227+(INDEX(Ref!B$1:B$9,MATCH($AI227,Ref!$A$1:$A$9,0))*P227*0.0001),)</f>
        <v>17</v>
      </c>
      <c r="X227" s="217">
        <f>ROUND(AD227+(INDEX(Ref!C$1:C$9,MATCH($AI227,Ref!$A$1:$A$9,0))*$P227*0.0001),)</f>
        <v>32</v>
      </c>
      <c r="Y227" s="217">
        <f>ROUND(AE227+(INDEX(Ref!D$1:D$9,MATCH($AI227,Ref!$A$1:$A$9,0))*$P227*0.0001),)</f>
        <v>39</v>
      </c>
      <c r="Z227" s="217">
        <f>ROUND(AF227+(INDEX(Ref!E$1:E$9,MATCH($AI227,Ref!$A$1:$A$9,0))*$P227*0.0001),)</f>
        <v>41</v>
      </c>
      <c r="AA227" s="217">
        <f>ROUND(AG227+(INDEX(Ref!F$1:F$9,MATCH($AI227,Ref!$A$1:$A$9,0))*$P227*0.0001),)</f>
        <v>19</v>
      </c>
      <c r="AB227" s="217">
        <f>ROUND(AH227+(INDEX(Ref!G$1:G$9,MATCH($AI227,Ref!$A$1:$A$9,0))*$P227*0.0001),)</f>
        <v>36</v>
      </c>
      <c r="AC227" s="137">
        <v>15</v>
      </c>
      <c r="AD227" s="137">
        <v>28</v>
      </c>
      <c r="AE227" s="137">
        <v>36</v>
      </c>
      <c r="AF227" s="137">
        <v>36</v>
      </c>
      <c r="AG227" s="137">
        <v>17</v>
      </c>
      <c r="AH227" s="137">
        <v>32</v>
      </c>
      <c r="AI227" s="208">
        <v>6</v>
      </c>
      <c r="AJ227" s="172">
        <v>3000</v>
      </c>
      <c r="AK227" s="172">
        <v>30271</v>
      </c>
      <c r="AL227" s="172">
        <v>2000</v>
      </c>
      <c r="AM227" s="172">
        <v>30274</v>
      </c>
      <c r="AN227" s="172">
        <v>0</v>
      </c>
      <c r="AO227" s="172">
        <f t="shared" si="30"/>
        <v>34271</v>
      </c>
      <c r="AP227" s="172">
        <v>0</v>
      </c>
      <c r="AQ227" s="172">
        <f t="shared" si="31"/>
        <v>34274</v>
      </c>
      <c r="AR227" s="172">
        <v>1</v>
      </c>
      <c r="AS227" s="172">
        <v>0</v>
      </c>
      <c r="AT227" s="199">
        <v>78046</v>
      </c>
      <c r="AU227" s="195" t="s">
        <v>210</v>
      </c>
    </row>
    <row r="228" spans="1:47" x14ac:dyDescent="0.2">
      <c r="A228" s="173">
        <v>55046</v>
      </c>
      <c r="B228" s="174" t="s">
        <v>208</v>
      </c>
      <c r="C228" s="172">
        <v>86046</v>
      </c>
      <c r="D228" s="172">
        <v>150046</v>
      </c>
      <c r="E228" s="206" t="s">
        <v>209</v>
      </c>
      <c r="F228" s="207">
        <v>6</v>
      </c>
      <c r="G228" s="172">
        <v>13000</v>
      </c>
      <c r="H228" s="172">
        <v>9000</v>
      </c>
      <c r="I228" s="172">
        <v>10000</v>
      </c>
      <c r="J228" s="172">
        <v>2</v>
      </c>
      <c r="K228" s="190">
        <f>IF($J228=1,INDEX('큐펫&amp;몹 정리(최신)'!P:P,MATCH($E228,'큐펫&amp;몹 정리(최신)'!$B:$B,0))*20,IF($J228=2,INDEX('큐펫&amp;몹 정리(최신)'!P:P,MATCH($E228,'큐펫&amp;몹 정리(최신)'!$B:$B,0))*25,IF($J228=3,INDEX('큐펫&amp;몹 정리(최신)'!P:P,MATCH($E228,'큐펫&amp;몹 정리(최신)'!$B:$B,0))*30,IF($J228=4,INDEX('큐펫&amp;몹 정리(최신)'!P:P,MATCH($E228,'큐펫&amp;몹 정리(최신)'!$B:$B,0))*35,INDEX('큐펫&amp;몹 정리(최신)'!P:P,MATCH($E228,'큐펫&amp;몹 정리(최신)'!$B:$B,0))*40))))</f>
        <v>1250</v>
      </c>
      <c r="L228" s="190">
        <f>IF($J228=1,INDEX('큐펫&amp;몹 정리(최신)'!Q:Q,MATCH($E228,'큐펫&amp;몹 정리(최신)'!$B:$B,0))*20,IF($J228=2,INDEX('큐펫&amp;몹 정리(최신)'!Q:Q,MATCH($E228,'큐펫&amp;몹 정리(최신)'!$B:$B,0))*25,IF($J228=3,INDEX('큐펫&amp;몹 정리(최신)'!Q:Q,MATCH($E228,'큐펫&amp;몹 정리(최신)'!$B:$B,0))*30,IF($J228=4,INDEX('큐펫&amp;몹 정리(최신)'!Q:Q,MATCH($E228,'큐펫&amp;몹 정리(최신)'!$B:$B,0))*35,INDEX('큐펫&amp;몹 정리(최신)'!Q:Q,MATCH($E228,'큐펫&amp;몹 정리(최신)'!$B:$B,0))*40))))</f>
        <v>100</v>
      </c>
      <c r="M228" s="190">
        <f>IF($J228=1,INDEX('큐펫&amp;몹 정리(최신)'!R:R,MATCH($E228,'큐펫&amp;몹 정리(최신)'!$B:$B,0))*20,IF($J228=2,INDEX('큐펫&amp;몹 정리(최신)'!R:R,MATCH($E228,'큐펫&amp;몹 정리(최신)'!$B:$B,0))*25,IF($J228=3,INDEX('큐펫&amp;몹 정리(최신)'!R:R,MATCH($E228,'큐펫&amp;몹 정리(최신)'!$B:$B,0))*30,IF($J228=4,INDEX('큐펫&amp;몹 정리(최신)'!R:R,MATCH($E228,'큐펫&amp;몹 정리(최신)'!$B:$B,0))*35,INDEX('큐펫&amp;몹 정리(최신)'!R:R,MATCH($E228,'큐펫&amp;몹 정리(최신)'!$B:$B,0))*40))))</f>
        <v>350</v>
      </c>
      <c r="N228" s="190">
        <f>IF($J228=1,INDEX('큐펫&amp;몹 정리(최신)'!S:S,MATCH($E228,'큐펫&amp;몹 정리(최신)'!$B:$B,0))*20,IF($J228=2,INDEX('큐펫&amp;몹 정리(최신)'!S:S,MATCH($E228,'큐펫&amp;몹 정리(최신)'!$B:$B,0))*25,IF($J228=3,INDEX('큐펫&amp;몹 정리(최신)'!S:S,MATCH($E228,'큐펫&amp;몹 정리(최신)'!$B:$B,0))*30,IF($J228=4,INDEX('큐펫&amp;몹 정리(최신)'!S:S,MATCH($E228,'큐펫&amp;몹 정리(최신)'!$B:$B,0))*35,INDEX('큐펫&amp;몹 정리(최신)'!S:S,MATCH($E228,'큐펫&amp;몹 정리(최신)'!$B:$B,0))*40))))</f>
        <v>375</v>
      </c>
      <c r="O228" s="190">
        <f>IF($J228=1,INDEX('큐펫&amp;몹 정리(최신)'!T:T,MATCH($E228,'큐펫&amp;몹 정리(최신)'!$B:$B,0))*20,IF($J228=2,INDEX('큐펫&amp;몹 정리(최신)'!T:T,MATCH($E228,'큐펫&amp;몹 정리(최신)'!$B:$B,0))*25,IF($J228=3,INDEX('큐펫&amp;몹 정리(최신)'!T:T,MATCH($E228,'큐펫&amp;몹 정리(최신)'!$B:$B,0))*30,IF($J228=4,INDEX('큐펫&amp;몹 정리(최신)'!T:T,MATCH($E228,'큐펫&amp;몹 정리(최신)'!$B:$B,0))*35,INDEX('큐펫&amp;몹 정리(최신)'!T:T,MATCH($E228,'큐펫&amp;몹 정리(최신)'!$B:$B,0))*40))))</f>
        <v>425</v>
      </c>
      <c r="P228" s="217">
        <v>40</v>
      </c>
      <c r="Q228" s="217">
        <f t="shared" si="24"/>
        <v>78200</v>
      </c>
      <c r="R228" s="217">
        <f t="shared" si="25"/>
        <v>517</v>
      </c>
      <c r="S228" s="217">
        <f t="shared" si="26"/>
        <v>658</v>
      </c>
      <c r="T228" s="217">
        <f t="shared" si="27"/>
        <v>9239</v>
      </c>
      <c r="U228" s="217">
        <f t="shared" si="28"/>
        <v>15759</v>
      </c>
      <c r="V228" s="217">
        <f t="shared" si="29"/>
        <v>8976</v>
      </c>
      <c r="W228" s="217">
        <f>ROUND(AC228+(INDEX(Ref!B$1:B$9,MATCH($AI228,Ref!$A$1:$A$9,0))*P228*0.0001),)</f>
        <v>21</v>
      </c>
      <c r="X228" s="217">
        <f>ROUND(AD228+(INDEX(Ref!C$1:C$9,MATCH($AI228,Ref!$A$1:$A$9,0))*$P228*0.0001),)</f>
        <v>40</v>
      </c>
      <c r="Y228" s="217">
        <f>ROUND(AE228+(INDEX(Ref!D$1:D$9,MATCH($AI228,Ref!$A$1:$A$9,0))*$P228*0.0001),)</f>
        <v>44</v>
      </c>
      <c r="Z228" s="217">
        <f>ROUND(AF228+(INDEX(Ref!E$1:E$9,MATCH($AI228,Ref!$A$1:$A$9,0))*$P228*0.0001),)</f>
        <v>51</v>
      </c>
      <c r="AA228" s="217">
        <f>ROUND(AG228+(INDEX(Ref!F$1:F$9,MATCH($AI228,Ref!$A$1:$A$9,0))*$P228*0.0001),)</f>
        <v>24</v>
      </c>
      <c r="AB228" s="217">
        <f>ROUND(AH228+(INDEX(Ref!G$1:G$9,MATCH($AI228,Ref!$A$1:$A$9,0))*$P228*0.0001),)</f>
        <v>44</v>
      </c>
      <c r="AC228" s="137">
        <v>17</v>
      </c>
      <c r="AD228" s="137">
        <v>32</v>
      </c>
      <c r="AE228" s="137">
        <v>39</v>
      </c>
      <c r="AF228" s="137">
        <v>41</v>
      </c>
      <c r="AG228" s="137">
        <v>19</v>
      </c>
      <c r="AH228" s="137">
        <v>36</v>
      </c>
      <c r="AI228" s="208">
        <v>6</v>
      </c>
      <c r="AJ228" s="172">
        <v>3000</v>
      </c>
      <c r="AK228" s="172">
        <v>30272</v>
      </c>
      <c r="AL228" s="172">
        <v>2000</v>
      </c>
      <c r="AM228" s="172">
        <v>30274</v>
      </c>
      <c r="AN228" s="172">
        <v>0</v>
      </c>
      <c r="AO228" s="172">
        <f t="shared" si="30"/>
        <v>34272</v>
      </c>
      <c r="AP228" s="172">
        <v>0</v>
      </c>
      <c r="AQ228" s="172">
        <f t="shared" si="31"/>
        <v>34274</v>
      </c>
      <c r="AR228" s="172">
        <v>1</v>
      </c>
      <c r="AS228" s="172">
        <v>0</v>
      </c>
      <c r="AT228" s="199">
        <v>78046</v>
      </c>
      <c r="AU228" s="195" t="s">
        <v>210</v>
      </c>
    </row>
    <row r="229" spans="1:47" x14ac:dyDescent="0.2">
      <c r="A229" s="173">
        <v>55046</v>
      </c>
      <c r="B229" s="174" t="s">
        <v>208</v>
      </c>
      <c r="C229" s="172">
        <v>86046</v>
      </c>
      <c r="D229" s="172">
        <v>150046</v>
      </c>
      <c r="E229" s="206" t="s">
        <v>209</v>
      </c>
      <c r="F229" s="207">
        <v>6</v>
      </c>
      <c r="G229" s="172">
        <v>13000</v>
      </c>
      <c r="H229" s="172">
        <v>9000</v>
      </c>
      <c r="I229" s="172">
        <v>10000</v>
      </c>
      <c r="J229" s="172">
        <v>3</v>
      </c>
      <c r="K229" s="190">
        <f>IF($J229=1,INDEX('큐펫&amp;몹 정리(최신)'!P:P,MATCH($E229,'큐펫&amp;몹 정리(최신)'!$B:$B,0))*20,IF($J229=2,INDEX('큐펫&amp;몹 정리(최신)'!P:P,MATCH($E229,'큐펫&amp;몹 정리(최신)'!$B:$B,0))*25,IF($J229=3,INDEX('큐펫&amp;몹 정리(최신)'!P:P,MATCH($E229,'큐펫&amp;몹 정리(최신)'!$B:$B,0))*30,IF($J229=4,INDEX('큐펫&amp;몹 정리(최신)'!P:P,MATCH($E229,'큐펫&amp;몹 정리(최신)'!$B:$B,0))*35,INDEX('큐펫&amp;몹 정리(최신)'!P:P,MATCH($E229,'큐펫&amp;몹 정리(최신)'!$B:$B,0))*40))))</f>
        <v>1500</v>
      </c>
      <c r="L229" s="190">
        <f>IF($J229=1,INDEX('큐펫&amp;몹 정리(최신)'!Q:Q,MATCH($E229,'큐펫&amp;몹 정리(최신)'!$B:$B,0))*20,IF($J229=2,INDEX('큐펫&amp;몹 정리(최신)'!Q:Q,MATCH($E229,'큐펫&amp;몹 정리(최신)'!$B:$B,0))*25,IF($J229=3,INDEX('큐펫&amp;몹 정리(최신)'!Q:Q,MATCH($E229,'큐펫&amp;몹 정리(최신)'!$B:$B,0))*30,IF($J229=4,INDEX('큐펫&amp;몹 정리(최신)'!Q:Q,MATCH($E229,'큐펫&amp;몹 정리(최신)'!$B:$B,0))*35,INDEX('큐펫&amp;몹 정리(최신)'!Q:Q,MATCH($E229,'큐펫&amp;몹 정리(최신)'!$B:$B,0))*40))))</f>
        <v>120</v>
      </c>
      <c r="M229" s="190">
        <f>IF($J229=1,INDEX('큐펫&amp;몹 정리(최신)'!R:R,MATCH($E229,'큐펫&amp;몹 정리(최신)'!$B:$B,0))*20,IF($J229=2,INDEX('큐펫&amp;몹 정리(최신)'!R:R,MATCH($E229,'큐펫&amp;몹 정리(최신)'!$B:$B,0))*25,IF($J229=3,INDEX('큐펫&amp;몹 정리(최신)'!R:R,MATCH($E229,'큐펫&amp;몹 정리(최신)'!$B:$B,0))*30,IF($J229=4,INDEX('큐펫&amp;몹 정리(최신)'!R:R,MATCH($E229,'큐펫&amp;몹 정리(최신)'!$B:$B,0))*35,INDEX('큐펫&amp;몹 정리(최신)'!R:R,MATCH($E229,'큐펫&amp;몹 정리(최신)'!$B:$B,0))*40))))</f>
        <v>420</v>
      </c>
      <c r="N229" s="190">
        <f>IF($J229=1,INDEX('큐펫&amp;몹 정리(최신)'!S:S,MATCH($E229,'큐펫&amp;몹 정리(최신)'!$B:$B,0))*20,IF($J229=2,INDEX('큐펫&amp;몹 정리(최신)'!S:S,MATCH($E229,'큐펫&amp;몹 정리(최신)'!$B:$B,0))*25,IF($J229=3,INDEX('큐펫&amp;몹 정리(최신)'!S:S,MATCH($E229,'큐펫&amp;몹 정리(최신)'!$B:$B,0))*30,IF($J229=4,INDEX('큐펫&amp;몹 정리(최신)'!S:S,MATCH($E229,'큐펫&amp;몹 정리(최신)'!$B:$B,0))*35,INDEX('큐펫&amp;몹 정리(최신)'!S:S,MATCH($E229,'큐펫&amp;몹 정리(최신)'!$B:$B,0))*40))))</f>
        <v>450</v>
      </c>
      <c r="O229" s="190">
        <f>IF($J229=1,INDEX('큐펫&amp;몹 정리(최신)'!T:T,MATCH($E229,'큐펫&amp;몹 정리(최신)'!$B:$B,0))*20,IF($J229=2,INDEX('큐펫&amp;몹 정리(최신)'!T:T,MATCH($E229,'큐펫&amp;몹 정리(최신)'!$B:$B,0))*25,IF($J229=3,INDEX('큐펫&amp;몹 정리(최신)'!T:T,MATCH($E229,'큐펫&amp;몹 정리(최신)'!$B:$B,0))*30,IF($J229=4,INDEX('큐펫&amp;몹 정리(최신)'!T:T,MATCH($E229,'큐펫&amp;몹 정리(최신)'!$B:$B,0))*35,INDEX('큐펫&amp;몹 정리(최신)'!T:T,MATCH($E229,'큐펫&amp;몹 정리(최신)'!$B:$B,0))*40))))</f>
        <v>510</v>
      </c>
      <c r="P229" s="217">
        <v>60</v>
      </c>
      <c r="Q229" s="217">
        <f t="shared" si="24"/>
        <v>142500</v>
      </c>
      <c r="R229" s="217">
        <f t="shared" si="25"/>
        <v>910</v>
      </c>
      <c r="S229" s="217">
        <f t="shared" si="26"/>
        <v>1043</v>
      </c>
      <c r="T229" s="217">
        <f t="shared" si="27"/>
        <v>15286</v>
      </c>
      <c r="U229" s="217">
        <f t="shared" si="28"/>
        <v>24760</v>
      </c>
      <c r="V229" s="217">
        <f t="shared" si="29"/>
        <v>14085</v>
      </c>
      <c r="W229" s="217">
        <f>ROUND(AC229+(INDEX(Ref!B$1:B$9,MATCH($AI229,Ref!$A$1:$A$9,0))*P229*0.0001),)</f>
        <v>26</v>
      </c>
      <c r="X229" s="217">
        <f>ROUND(AD229+(INDEX(Ref!C$1:C$9,MATCH($AI229,Ref!$A$1:$A$9,0))*$P229*0.0001),)</f>
        <v>47</v>
      </c>
      <c r="Y229" s="217">
        <f>ROUND(AE229+(INDEX(Ref!D$1:D$9,MATCH($AI229,Ref!$A$1:$A$9,0))*$P229*0.0001),)</f>
        <v>50</v>
      </c>
      <c r="Z229" s="217">
        <f>ROUND(AF229+(INDEX(Ref!E$1:E$9,MATCH($AI229,Ref!$A$1:$A$9,0))*$P229*0.0001),)</f>
        <v>60</v>
      </c>
      <c r="AA229" s="217">
        <f>ROUND(AG229+(INDEX(Ref!F$1:F$9,MATCH($AI229,Ref!$A$1:$A$9,0))*$P229*0.0001),)</f>
        <v>28</v>
      </c>
      <c r="AB229" s="217">
        <f>ROUND(AH229+(INDEX(Ref!G$1:G$9,MATCH($AI229,Ref!$A$1:$A$9,0))*$P229*0.0001),)</f>
        <v>53</v>
      </c>
      <c r="AC229" s="137">
        <v>19</v>
      </c>
      <c r="AD229" s="137">
        <v>36</v>
      </c>
      <c r="AE229" s="137">
        <v>42</v>
      </c>
      <c r="AF229" s="137">
        <v>46</v>
      </c>
      <c r="AG229" s="137">
        <v>21</v>
      </c>
      <c r="AH229" s="137">
        <v>40</v>
      </c>
      <c r="AI229" s="208">
        <v>6</v>
      </c>
      <c r="AJ229" s="172">
        <v>3000</v>
      </c>
      <c r="AK229" s="172">
        <v>30272</v>
      </c>
      <c r="AL229" s="172">
        <v>2000</v>
      </c>
      <c r="AM229" s="172">
        <v>30275</v>
      </c>
      <c r="AN229" s="172">
        <v>0</v>
      </c>
      <c r="AO229" s="172">
        <f t="shared" si="30"/>
        <v>34272</v>
      </c>
      <c r="AP229" s="172">
        <v>0</v>
      </c>
      <c r="AQ229" s="172">
        <f t="shared" si="31"/>
        <v>34275</v>
      </c>
      <c r="AR229" s="172">
        <v>1</v>
      </c>
      <c r="AS229" s="172">
        <v>0</v>
      </c>
      <c r="AT229" s="199">
        <v>78046</v>
      </c>
      <c r="AU229" s="195" t="s">
        <v>210</v>
      </c>
    </row>
    <row r="230" spans="1:47" x14ac:dyDescent="0.2">
      <c r="A230" s="173">
        <v>55046</v>
      </c>
      <c r="B230" s="174" t="s">
        <v>208</v>
      </c>
      <c r="C230" s="172">
        <v>86046</v>
      </c>
      <c r="D230" s="172">
        <v>150046</v>
      </c>
      <c r="E230" s="206" t="s">
        <v>209</v>
      </c>
      <c r="F230" s="207">
        <v>6</v>
      </c>
      <c r="G230" s="172">
        <v>13000</v>
      </c>
      <c r="H230" s="172">
        <v>9000</v>
      </c>
      <c r="I230" s="172">
        <v>10000</v>
      </c>
      <c r="J230" s="172">
        <v>4</v>
      </c>
      <c r="K230" s="190">
        <f>IF($J230=1,INDEX('큐펫&amp;몹 정리(최신)'!P:P,MATCH($E230,'큐펫&amp;몹 정리(최신)'!$B:$B,0))*20,IF($J230=2,INDEX('큐펫&amp;몹 정리(최신)'!P:P,MATCH($E230,'큐펫&amp;몹 정리(최신)'!$B:$B,0))*25,IF($J230=3,INDEX('큐펫&amp;몹 정리(최신)'!P:P,MATCH($E230,'큐펫&amp;몹 정리(최신)'!$B:$B,0))*30,IF($J230=4,INDEX('큐펫&amp;몹 정리(최신)'!P:P,MATCH($E230,'큐펫&amp;몹 정리(최신)'!$B:$B,0))*35,INDEX('큐펫&amp;몹 정리(최신)'!P:P,MATCH($E230,'큐펫&amp;몹 정리(최신)'!$B:$B,0))*40))))</f>
        <v>1750</v>
      </c>
      <c r="L230" s="190">
        <f>IF($J230=1,INDEX('큐펫&amp;몹 정리(최신)'!Q:Q,MATCH($E230,'큐펫&amp;몹 정리(최신)'!$B:$B,0))*20,IF($J230=2,INDEX('큐펫&amp;몹 정리(최신)'!Q:Q,MATCH($E230,'큐펫&amp;몹 정리(최신)'!$B:$B,0))*25,IF($J230=3,INDEX('큐펫&amp;몹 정리(최신)'!Q:Q,MATCH($E230,'큐펫&amp;몹 정리(최신)'!$B:$B,0))*30,IF($J230=4,INDEX('큐펫&amp;몹 정리(최신)'!Q:Q,MATCH($E230,'큐펫&amp;몹 정리(최신)'!$B:$B,0))*35,INDEX('큐펫&amp;몹 정리(최신)'!Q:Q,MATCH($E230,'큐펫&amp;몹 정리(최신)'!$B:$B,0))*40))))</f>
        <v>140</v>
      </c>
      <c r="M230" s="190">
        <f>IF($J230=1,INDEX('큐펫&amp;몹 정리(최신)'!R:R,MATCH($E230,'큐펫&amp;몹 정리(최신)'!$B:$B,0))*20,IF($J230=2,INDEX('큐펫&amp;몹 정리(최신)'!R:R,MATCH($E230,'큐펫&amp;몹 정리(최신)'!$B:$B,0))*25,IF($J230=3,INDEX('큐펫&amp;몹 정리(최신)'!R:R,MATCH($E230,'큐펫&amp;몹 정리(최신)'!$B:$B,0))*30,IF($J230=4,INDEX('큐펫&amp;몹 정리(최신)'!R:R,MATCH($E230,'큐펫&amp;몹 정리(최신)'!$B:$B,0))*35,INDEX('큐펫&amp;몹 정리(최신)'!R:R,MATCH($E230,'큐펫&amp;몹 정리(최신)'!$B:$B,0))*40))))</f>
        <v>490</v>
      </c>
      <c r="N230" s="190">
        <f>IF($J230=1,INDEX('큐펫&amp;몹 정리(최신)'!S:S,MATCH($E230,'큐펫&amp;몹 정리(최신)'!$B:$B,0))*20,IF($J230=2,INDEX('큐펫&amp;몹 정리(최신)'!S:S,MATCH($E230,'큐펫&amp;몹 정리(최신)'!$B:$B,0))*25,IF($J230=3,INDEX('큐펫&amp;몹 정리(최신)'!S:S,MATCH($E230,'큐펫&amp;몹 정리(최신)'!$B:$B,0))*30,IF($J230=4,INDEX('큐펫&amp;몹 정리(최신)'!S:S,MATCH($E230,'큐펫&amp;몹 정리(최신)'!$B:$B,0))*35,INDEX('큐펫&amp;몹 정리(최신)'!S:S,MATCH($E230,'큐펫&amp;몹 정리(최신)'!$B:$B,0))*40))))</f>
        <v>525</v>
      </c>
      <c r="O230" s="190">
        <f>IF($J230=1,INDEX('큐펫&amp;몹 정리(최신)'!T:T,MATCH($E230,'큐펫&amp;몹 정리(최신)'!$B:$B,0))*20,IF($J230=2,INDEX('큐펫&amp;몹 정리(최신)'!T:T,MATCH($E230,'큐펫&amp;몹 정리(최신)'!$B:$B,0))*25,IF($J230=3,INDEX('큐펫&amp;몹 정리(최신)'!T:T,MATCH($E230,'큐펫&amp;몹 정리(최신)'!$B:$B,0))*30,IF($J230=4,INDEX('큐펫&amp;몹 정리(최신)'!T:T,MATCH($E230,'큐펫&amp;몹 정리(최신)'!$B:$B,0))*35,INDEX('큐펫&amp;몹 정리(최신)'!T:T,MATCH($E230,'큐펫&amp;몹 정리(최신)'!$B:$B,0))*40))))</f>
        <v>595</v>
      </c>
      <c r="P230" s="217">
        <v>80</v>
      </c>
      <c r="Q230" s="217">
        <f t="shared" si="24"/>
        <v>224300</v>
      </c>
      <c r="R230" s="217">
        <f t="shared" si="25"/>
        <v>1468</v>
      </c>
      <c r="S230" s="217">
        <f t="shared" si="26"/>
        <v>1746</v>
      </c>
      <c r="T230" s="217">
        <f t="shared" si="27"/>
        <v>24209</v>
      </c>
      <c r="U230" s="217">
        <f t="shared" si="28"/>
        <v>35187</v>
      </c>
      <c r="V230" s="217">
        <f t="shared" si="29"/>
        <v>20002</v>
      </c>
      <c r="W230" s="217">
        <f>ROUND(AC230+(INDEX(Ref!B$1:B$9,MATCH($AI230,Ref!$A$1:$A$9,0))*P230*0.0001),)</f>
        <v>31</v>
      </c>
      <c r="X230" s="217">
        <f>ROUND(AD230+(INDEX(Ref!C$1:C$9,MATCH($AI230,Ref!$A$1:$A$9,0))*$P230*0.0001),)</f>
        <v>54</v>
      </c>
      <c r="Y230" s="217">
        <f>ROUND(AE230+(INDEX(Ref!D$1:D$9,MATCH($AI230,Ref!$A$1:$A$9,0))*$P230*0.0001),)</f>
        <v>54</v>
      </c>
      <c r="Z230" s="217">
        <f>ROUND(AF230+(INDEX(Ref!E$1:E$9,MATCH($AI230,Ref!$A$1:$A$9,0))*$P230*0.0001),)</f>
        <v>70</v>
      </c>
      <c r="AA230" s="217">
        <f>ROUND(AG230+(INDEX(Ref!F$1:F$9,MATCH($AI230,Ref!$A$1:$A$9,0))*$P230*0.0001),)</f>
        <v>34</v>
      </c>
      <c r="AB230" s="217">
        <f>ROUND(AH230+(INDEX(Ref!G$1:G$9,MATCH($AI230,Ref!$A$1:$A$9,0))*$P230*0.0001),)</f>
        <v>61</v>
      </c>
      <c r="AC230" s="137">
        <v>22</v>
      </c>
      <c r="AD230" s="137">
        <v>39</v>
      </c>
      <c r="AE230" s="137">
        <v>44</v>
      </c>
      <c r="AF230" s="137">
        <v>51</v>
      </c>
      <c r="AG230" s="137">
        <v>24</v>
      </c>
      <c r="AH230" s="137">
        <v>44</v>
      </c>
      <c r="AI230" s="208">
        <v>6</v>
      </c>
      <c r="AJ230" s="172">
        <v>3000</v>
      </c>
      <c r="AK230" s="172">
        <v>30273</v>
      </c>
      <c r="AL230" s="172">
        <v>2000</v>
      </c>
      <c r="AM230" s="172">
        <v>30275</v>
      </c>
      <c r="AN230" s="172">
        <v>0</v>
      </c>
      <c r="AO230" s="172">
        <f t="shared" si="30"/>
        <v>34273</v>
      </c>
      <c r="AP230" s="172">
        <v>0</v>
      </c>
      <c r="AQ230" s="172">
        <f t="shared" si="31"/>
        <v>34275</v>
      </c>
      <c r="AR230" s="172">
        <v>1</v>
      </c>
      <c r="AS230" s="172">
        <v>0</v>
      </c>
      <c r="AT230" s="199">
        <v>78046</v>
      </c>
      <c r="AU230" s="195" t="s">
        <v>210</v>
      </c>
    </row>
    <row r="231" spans="1:47" x14ac:dyDescent="0.2">
      <c r="A231" s="173">
        <v>55046</v>
      </c>
      <c r="B231" s="174" t="s">
        <v>208</v>
      </c>
      <c r="C231" s="172">
        <v>86046</v>
      </c>
      <c r="D231" s="172">
        <v>150046</v>
      </c>
      <c r="E231" s="206" t="s">
        <v>209</v>
      </c>
      <c r="F231" s="207">
        <v>6</v>
      </c>
      <c r="G231" s="172">
        <v>13000</v>
      </c>
      <c r="H231" s="172">
        <v>9000</v>
      </c>
      <c r="I231" s="172">
        <v>10000</v>
      </c>
      <c r="J231" s="172">
        <v>5</v>
      </c>
      <c r="K231" s="190">
        <f>IF($J231=1,INDEX('큐펫&amp;몹 정리(최신)'!P:P,MATCH($E231,'큐펫&amp;몹 정리(최신)'!$B:$B,0))*20,IF($J231=2,INDEX('큐펫&amp;몹 정리(최신)'!P:P,MATCH($E231,'큐펫&amp;몹 정리(최신)'!$B:$B,0))*25,IF($J231=3,INDEX('큐펫&amp;몹 정리(최신)'!P:P,MATCH($E231,'큐펫&amp;몹 정리(최신)'!$B:$B,0))*30,IF($J231=4,INDEX('큐펫&amp;몹 정리(최신)'!P:P,MATCH($E231,'큐펫&amp;몹 정리(최신)'!$B:$B,0))*35,INDEX('큐펫&amp;몹 정리(최신)'!P:P,MATCH($E231,'큐펫&amp;몹 정리(최신)'!$B:$B,0))*40))))</f>
        <v>2000</v>
      </c>
      <c r="L231" s="190">
        <f>IF($J231=1,INDEX('큐펫&amp;몹 정리(최신)'!Q:Q,MATCH($E231,'큐펫&amp;몹 정리(최신)'!$B:$B,0))*20,IF($J231=2,INDEX('큐펫&amp;몹 정리(최신)'!Q:Q,MATCH($E231,'큐펫&amp;몹 정리(최신)'!$B:$B,0))*25,IF($J231=3,INDEX('큐펫&amp;몹 정리(최신)'!Q:Q,MATCH($E231,'큐펫&amp;몹 정리(최신)'!$B:$B,0))*30,IF($J231=4,INDEX('큐펫&amp;몹 정리(최신)'!Q:Q,MATCH($E231,'큐펫&amp;몹 정리(최신)'!$B:$B,0))*35,INDEX('큐펫&amp;몹 정리(최신)'!Q:Q,MATCH($E231,'큐펫&amp;몹 정리(최신)'!$B:$B,0))*40))))</f>
        <v>160</v>
      </c>
      <c r="M231" s="190">
        <f>IF($J231=1,INDEX('큐펫&amp;몹 정리(최신)'!R:R,MATCH($E231,'큐펫&amp;몹 정리(최신)'!$B:$B,0))*20,IF($J231=2,INDEX('큐펫&amp;몹 정리(최신)'!R:R,MATCH($E231,'큐펫&amp;몹 정리(최신)'!$B:$B,0))*25,IF($J231=3,INDEX('큐펫&amp;몹 정리(최신)'!R:R,MATCH($E231,'큐펫&amp;몹 정리(최신)'!$B:$B,0))*30,IF($J231=4,INDEX('큐펫&amp;몹 정리(최신)'!R:R,MATCH($E231,'큐펫&amp;몹 정리(최신)'!$B:$B,0))*35,INDEX('큐펫&amp;몹 정리(최신)'!R:R,MATCH($E231,'큐펫&amp;몹 정리(최신)'!$B:$B,0))*40))))</f>
        <v>560</v>
      </c>
      <c r="N231" s="190">
        <f>IF($J231=1,INDEX('큐펫&amp;몹 정리(최신)'!S:S,MATCH($E231,'큐펫&amp;몹 정리(최신)'!$B:$B,0))*20,IF($J231=2,INDEX('큐펫&amp;몹 정리(최신)'!S:S,MATCH($E231,'큐펫&amp;몹 정리(최신)'!$B:$B,0))*25,IF($J231=3,INDEX('큐펫&amp;몹 정리(최신)'!S:S,MATCH($E231,'큐펫&amp;몹 정리(최신)'!$B:$B,0))*30,IF($J231=4,INDEX('큐펫&amp;몹 정리(최신)'!S:S,MATCH($E231,'큐펫&amp;몹 정리(최신)'!$B:$B,0))*35,INDEX('큐펫&amp;몹 정리(최신)'!S:S,MATCH($E231,'큐펫&amp;몹 정리(최신)'!$B:$B,0))*40))))</f>
        <v>600</v>
      </c>
      <c r="O231" s="190">
        <f>IF($J231=1,INDEX('큐펫&amp;몹 정리(최신)'!T:T,MATCH($E231,'큐펫&amp;몹 정리(최신)'!$B:$B,0))*20,IF($J231=2,INDEX('큐펫&amp;몹 정리(최신)'!T:T,MATCH($E231,'큐펫&amp;몹 정리(최신)'!$B:$B,0))*25,IF($J231=3,INDEX('큐펫&amp;몹 정리(최신)'!T:T,MATCH($E231,'큐펫&amp;몹 정리(최신)'!$B:$B,0))*30,IF($J231=4,INDEX('큐펫&amp;몹 정리(최신)'!T:T,MATCH($E231,'큐펫&amp;몹 정리(최신)'!$B:$B,0))*35,INDEX('큐펫&amp;몹 정리(최신)'!T:T,MATCH($E231,'큐펫&amp;몹 정리(최신)'!$B:$B,0))*40))))</f>
        <v>680</v>
      </c>
      <c r="P231" s="217">
        <v>100</v>
      </c>
      <c r="Q231" s="217">
        <f t="shared" si="24"/>
        <v>330000</v>
      </c>
      <c r="R231" s="217">
        <f t="shared" si="25"/>
        <v>2103</v>
      </c>
      <c r="S231" s="217">
        <f t="shared" si="26"/>
        <v>2458</v>
      </c>
      <c r="T231" s="217">
        <f t="shared" si="27"/>
        <v>36072</v>
      </c>
      <c r="U231" s="217">
        <f t="shared" si="28"/>
        <v>48014</v>
      </c>
      <c r="V231" s="217">
        <f t="shared" si="29"/>
        <v>27280</v>
      </c>
      <c r="W231" s="217">
        <f>ROUND(AC231+(INDEX(Ref!B$1:B$9,MATCH($AI231,Ref!$A$1:$A$9,0))*P231*0.0001),)</f>
        <v>35</v>
      </c>
      <c r="X231" s="217">
        <f>ROUND(AD231+(INDEX(Ref!C$1:C$9,MATCH($AI231,Ref!$A$1:$A$9,0))*$P231*0.0001),)</f>
        <v>62</v>
      </c>
      <c r="Y231" s="217">
        <f>ROUND(AE231+(INDEX(Ref!D$1:D$9,MATCH($AI231,Ref!$A$1:$A$9,0))*$P231*0.0001),)</f>
        <v>60</v>
      </c>
      <c r="Z231" s="217">
        <f>ROUND(AF231+(INDEX(Ref!E$1:E$9,MATCH($AI231,Ref!$A$1:$A$9,0))*$P231*0.0001),)</f>
        <v>80</v>
      </c>
      <c r="AA231" s="217">
        <f>ROUND(AG231+(INDEX(Ref!F$1:F$9,MATCH($AI231,Ref!$A$1:$A$9,0))*$P231*0.0001),)</f>
        <v>38</v>
      </c>
      <c r="AB231" s="217">
        <f>ROUND(AH231+(INDEX(Ref!G$1:G$9,MATCH($AI231,Ref!$A$1:$A$9,0))*$P231*0.0001),)</f>
        <v>69</v>
      </c>
      <c r="AC231" s="137">
        <v>24</v>
      </c>
      <c r="AD231" s="137">
        <v>43</v>
      </c>
      <c r="AE231" s="137">
        <v>47</v>
      </c>
      <c r="AF231" s="137">
        <v>56</v>
      </c>
      <c r="AG231" s="137">
        <v>26</v>
      </c>
      <c r="AH231" s="137">
        <v>48</v>
      </c>
      <c r="AI231" s="208">
        <v>6</v>
      </c>
      <c r="AJ231" s="172">
        <v>3000</v>
      </c>
      <c r="AK231" s="172">
        <v>30273</v>
      </c>
      <c r="AL231" s="172">
        <v>2000</v>
      </c>
      <c r="AM231" s="172">
        <v>30276</v>
      </c>
      <c r="AN231" s="172">
        <v>0</v>
      </c>
      <c r="AO231" s="172">
        <f t="shared" si="30"/>
        <v>34273</v>
      </c>
      <c r="AP231" s="172">
        <v>0</v>
      </c>
      <c r="AQ231" s="172">
        <f t="shared" si="31"/>
        <v>34276</v>
      </c>
      <c r="AR231" s="172">
        <v>1</v>
      </c>
      <c r="AS231" s="172">
        <v>0</v>
      </c>
      <c r="AT231" s="199">
        <v>78046</v>
      </c>
      <c r="AU231" s="195" t="s">
        <v>210</v>
      </c>
    </row>
    <row r="232" spans="1:47" x14ac:dyDescent="0.2">
      <c r="A232" s="173">
        <v>55047</v>
      </c>
      <c r="B232" s="174" t="s">
        <v>211</v>
      </c>
      <c r="C232" s="172">
        <v>86047</v>
      </c>
      <c r="D232" s="172">
        <v>150047</v>
      </c>
      <c r="E232" s="206" t="s">
        <v>1148</v>
      </c>
      <c r="F232" s="207">
        <v>6</v>
      </c>
      <c r="G232" s="172">
        <v>10000</v>
      </c>
      <c r="H232" s="172">
        <v>10000</v>
      </c>
      <c r="I232" s="172">
        <v>10000</v>
      </c>
      <c r="J232" s="172">
        <v>1</v>
      </c>
      <c r="K232" s="190">
        <f>IF($J232=1,INDEX('큐펫&amp;몹 정리(최신)'!P:P,MATCH($E232,'큐펫&amp;몹 정리(최신)'!$B:$B,0))*20,IF($J232=2,INDEX('큐펫&amp;몹 정리(최신)'!P:P,MATCH($E232,'큐펫&amp;몹 정리(최신)'!$B:$B,0))*25,IF($J232=3,INDEX('큐펫&amp;몹 정리(최신)'!P:P,MATCH($E232,'큐펫&amp;몹 정리(최신)'!$B:$B,0))*30,IF($J232=4,INDEX('큐펫&amp;몹 정리(최신)'!P:P,MATCH($E232,'큐펫&amp;몹 정리(최신)'!$B:$B,0))*35,INDEX('큐펫&amp;몹 정리(최신)'!P:P,MATCH($E232,'큐펫&amp;몹 정리(최신)'!$B:$B,0))*40))))</f>
        <v>800</v>
      </c>
      <c r="L232" s="190">
        <f>IF($J232=1,INDEX('큐펫&amp;몹 정리(최신)'!Q:Q,MATCH($E232,'큐펫&amp;몹 정리(최신)'!$B:$B,0))*20,IF($J232=2,INDEX('큐펫&amp;몹 정리(최신)'!Q:Q,MATCH($E232,'큐펫&amp;몹 정리(최신)'!$B:$B,0))*25,IF($J232=3,INDEX('큐펫&amp;몹 정리(최신)'!Q:Q,MATCH($E232,'큐펫&amp;몹 정리(최신)'!$B:$B,0))*30,IF($J232=4,INDEX('큐펫&amp;몹 정리(최신)'!Q:Q,MATCH($E232,'큐펫&amp;몹 정리(최신)'!$B:$B,0))*35,INDEX('큐펫&amp;몹 정리(최신)'!Q:Q,MATCH($E232,'큐펫&amp;몹 정리(최신)'!$B:$B,0))*40))))</f>
        <v>440</v>
      </c>
      <c r="M232" s="190">
        <f>IF($J232=1,INDEX('큐펫&amp;몹 정리(최신)'!R:R,MATCH($E232,'큐펫&amp;몹 정리(최신)'!$B:$B,0))*20,IF($J232=2,INDEX('큐펫&amp;몹 정리(최신)'!R:R,MATCH($E232,'큐펫&amp;몹 정리(최신)'!$B:$B,0))*25,IF($J232=3,INDEX('큐펫&amp;몹 정리(최신)'!R:R,MATCH($E232,'큐펫&amp;몹 정리(최신)'!$B:$B,0))*30,IF($J232=4,INDEX('큐펫&amp;몹 정리(최신)'!R:R,MATCH($E232,'큐펫&amp;몹 정리(최신)'!$B:$B,0))*35,INDEX('큐펫&amp;몹 정리(최신)'!R:R,MATCH($E232,'큐펫&amp;몹 정리(최신)'!$B:$B,0))*40))))</f>
        <v>100</v>
      </c>
      <c r="N232" s="190">
        <f>IF($J232=1,INDEX('큐펫&amp;몹 정리(최신)'!S:S,MATCH($E232,'큐펫&amp;몹 정리(최신)'!$B:$B,0))*20,IF($J232=2,INDEX('큐펫&amp;몹 정리(최신)'!S:S,MATCH($E232,'큐펫&amp;몹 정리(최신)'!$B:$B,0))*25,IF($J232=3,INDEX('큐펫&amp;몹 정리(최신)'!S:S,MATCH($E232,'큐펫&amp;몹 정리(최신)'!$B:$B,0))*30,IF($J232=4,INDEX('큐펫&amp;몹 정리(최신)'!S:S,MATCH($E232,'큐펫&amp;몹 정리(최신)'!$B:$B,0))*35,INDEX('큐펫&amp;몹 정리(최신)'!S:S,MATCH($E232,'큐펫&amp;몹 정리(최신)'!$B:$B,0))*40))))</f>
        <v>420</v>
      </c>
      <c r="O232" s="190">
        <f>IF($J232=1,INDEX('큐펫&amp;몹 정리(최신)'!T:T,MATCH($E232,'큐펫&amp;몹 정리(최신)'!$B:$B,0))*20,IF($J232=2,INDEX('큐펫&amp;몹 정리(최신)'!T:T,MATCH($E232,'큐펫&amp;몹 정리(최신)'!$B:$B,0))*25,IF($J232=3,INDEX('큐펫&amp;몹 정리(최신)'!T:T,MATCH($E232,'큐펫&amp;몹 정리(최신)'!$B:$B,0))*30,IF($J232=4,INDEX('큐펫&amp;몹 정리(최신)'!T:T,MATCH($E232,'큐펫&amp;몹 정리(최신)'!$B:$B,0))*35,INDEX('큐펫&amp;몹 정리(최신)'!T:T,MATCH($E232,'큐펫&amp;몹 정리(최신)'!$B:$B,0))*40))))</f>
        <v>240</v>
      </c>
      <c r="P232" s="217">
        <v>20</v>
      </c>
      <c r="Q232" s="217">
        <f t="shared" si="24"/>
        <v>29440</v>
      </c>
      <c r="R232" s="217">
        <f t="shared" si="25"/>
        <v>4590</v>
      </c>
      <c r="S232" s="217">
        <f t="shared" si="26"/>
        <v>3527</v>
      </c>
      <c r="T232" s="217">
        <f t="shared" si="27"/>
        <v>693</v>
      </c>
      <c r="U232" s="217">
        <f t="shared" si="28"/>
        <v>16600</v>
      </c>
      <c r="V232" s="217">
        <f t="shared" si="29"/>
        <v>4765</v>
      </c>
      <c r="W232" s="217">
        <f>ROUND(AC232+(INDEX(Ref!B$1:B$9,MATCH($AI232,Ref!$A$1:$A$9,0))*P232*0.0001),)</f>
        <v>32</v>
      </c>
      <c r="X232" s="217">
        <f>ROUND(AD232+(INDEX(Ref!C$1:C$9,MATCH($AI232,Ref!$A$1:$A$9,0))*$P232*0.0001),)</f>
        <v>21</v>
      </c>
      <c r="Y232" s="217">
        <f>ROUND(AE232+(INDEX(Ref!D$1:D$9,MATCH($AI232,Ref!$A$1:$A$9,0))*$P232*0.0001),)</f>
        <v>59</v>
      </c>
      <c r="Z232" s="217">
        <f>ROUND(AF232+(INDEX(Ref!E$1:E$9,MATCH($AI232,Ref!$A$1:$A$9,0))*$P232*0.0001),)</f>
        <v>25</v>
      </c>
      <c r="AA232" s="217">
        <f>ROUND(AG232+(INDEX(Ref!F$1:F$9,MATCH($AI232,Ref!$A$1:$A$9,0))*$P232*0.0001),)</f>
        <v>28</v>
      </c>
      <c r="AB232" s="217">
        <f>ROUND(AH232+(INDEX(Ref!G$1:G$9,MATCH($AI232,Ref!$A$1:$A$9,0))*$P232*0.0001),)</f>
        <v>19</v>
      </c>
      <c r="AC232" s="137">
        <v>28</v>
      </c>
      <c r="AD232" s="137">
        <v>18</v>
      </c>
      <c r="AE232" s="137">
        <v>54</v>
      </c>
      <c r="AF232" s="137">
        <v>22</v>
      </c>
      <c r="AG232" s="137">
        <v>25</v>
      </c>
      <c r="AH232" s="137">
        <v>17</v>
      </c>
      <c r="AI232" s="208">
        <v>3</v>
      </c>
      <c r="AJ232" s="172">
        <v>3000</v>
      </c>
      <c r="AK232" s="172">
        <v>30277</v>
      </c>
      <c r="AL232" s="172">
        <v>2000</v>
      </c>
      <c r="AM232" s="172">
        <v>30280</v>
      </c>
      <c r="AN232" s="172">
        <v>0</v>
      </c>
      <c r="AO232" s="172">
        <f t="shared" si="30"/>
        <v>34277</v>
      </c>
      <c r="AP232" s="172">
        <v>0</v>
      </c>
      <c r="AQ232" s="172">
        <f t="shared" si="31"/>
        <v>34280</v>
      </c>
      <c r="AR232" s="172">
        <v>1</v>
      </c>
      <c r="AS232" s="172">
        <v>0</v>
      </c>
      <c r="AT232" s="199">
        <v>78047</v>
      </c>
      <c r="AU232" s="195" t="s">
        <v>212</v>
      </c>
    </row>
    <row r="233" spans="1:47" x14ac:dyDescent="0.2">
      <c r="A233" s="173">
        <v>55047</v>
      </c>
      <c r="B233" s="174" t="s">
        <v>211</v>
      </c>
      <c r="C233" s="172">
        <v>86047</v>
      </c>
      <c r="D233" s="172">
        <v>150047</v>
      </c>
      <c r="E233" s="206" t="s">
        <v>1148</v>
      </c>
      <c r="F233" s="207">
        <v>6</v>
      </c>
      <c r="G233" s="172">
        <v>10000</v>
      </c>
      <c r="H233" s="172">
        <v>10000</v>
      </c>
      <c r="I233" s="172">
        <v>10000</v>
      </c>
      <c r="J233" s="172">
        <v>2</v>
      </c>
      <c r="K233" s="190">
        <f>IF($J233=1,INDEX('큐펫&amp;몹 정리(최신)'!P:P,MATCH($E233,'큐펫&amp;몹 정리(최신)'!$B:$B,0))*20,IF($J233=2,INDEX('큐펫&amp;몹 정리(최신)'!P:P,MATCH($E233,'큐펫&amp;몹 정리(최신)'!$B:$B,0))*25,IF($J233=3,INDEX('큐펫&amp;몹 정리(최신)'!P:P,MATCH($E233,'큐펫&amp;몹 정리(최신)'!$B:$B,0))*30,IF($J233=4,INDEX('큐펫&amp;몹 정리(최신)'!P:P,MATCH($E233,'큐펫&amp;몹 정리(최신)'!$B:$B,0))*35,INDEX('큐펫&amp;몹 정리(최신)'!P:P,MATCH($E233,'큐펫&amp;몹 정리(최신)'!$B:$B,0))*40))))</f>
        <v>1000</v>
      </c>
      <c r="L233" s="190">
        <f>IF($J233=1,INDEX('큐펫&amp;몹 정리(최신)'!Q:Q,MATCH($E233,'큐펫&amp;몹 정리(최신)'!$B:$B,0))*20,IF($J233=2,INDEX('큐펫&amp;몹 정리(최신)'!Q:Q,MATCH($E233,'큐펫&amp;몹 정리(최신)'!$B:$B,0))*25,IF($J233=3,INDEX('큐펫&amp;몹 정리(최신)'!Q:Q,MATCH($E233,'큐펫&amp;몹 정리(최신)'!$B:$B,0))*30,IF($J233=4,INDEX('큐펫&amp;몹 정리(최신)'!Q:Q,MATCH($E233,'큐펫&amp;몹 정리(최신)'!$B:$B,0))*35,INDEX('큐펫&amp;몹 정리(최신)'!Q:Q,MATCH($E233,'큐펫&amp;몹 정리(최신)'!$B:$B,0))*40))))</f>
        <v>550</v>
      </c>
      <c r="M233" s="190">
        <f>IF($J233=1,INDEX('큐펫&amp;몹 정리(최신)'!R:R,MATCH($E233,'큐펫&amp;몹 정리(최신)'!$B:$B,0))*20,IF($J233=2,INDEX('큐펫&amp;몹 정리(최신)'!R:R,MATCH($E233,'큐펫&amp;몹 정리(최신)'!$B:$B,0))*25,IF($J233=3,INDEX('큐펫&amp;몹 정리(최신)'!R:R,MATCH($E233,'큐펫&amp;몹 정리(최신)'!$B:$B,0))*30,IF($J233=4,INDEX('큐펫&amp;몹 정리(최신)'!R:R,MATCH($E233,'큐펫&amp;몹 정리(최신)'!$B:$B,0))*35,INDEX('큐펫&amp;몹 정리(최신)'!R:R,MATCH($E233,'큐펫&amp;몹 정리(최신)'!$B:$B,0))*40))))</f>
        <v>125</v>
      </c>
      <c r="N233" s="190">
        <f>IF($J233=1,INDEX('큐펫&amp;몹 정리(최신)'!S:S,MATCH($E233,'큐펫&amp;몹 정리(최신)'!$B:$B,0))*20,IF($J233=2,INDEX('큐펫&amp;몹 정리(최신)'!S:S,MATCH($E233,'큐펫&amp;몹 정리(최신)'!$B:$B,0))*25,IF($J233=3,INDEX('큐펫&amp;몹 정리(최신)'!S:S,MATCH($E233,'큐펫&amp;몹 정리(최신)'!$B:$B,0))*30,IF($J233=4,INDEX('큐펫&amp;몹 정리(최신)'!S:S,MATCH($E233,'큐펫&amp;몹 정리(최신)'!$B:$B,0))*35,INDEX('큐펫&amp;몹 정리(최신)'!S:S,MATCH($E233,'큐펫&amp;몹 정리(최신)'!$B:$B,0))*40))))</f>
        <v>525</v>
      </c>
      <c r="O233" s="190">
        <f>IF($J233=1,INDEX('큐펫&amp;몹 정리(최신)'!T:T,MATCH($E233,'큐펫&amp;몹 정리(최신)'!$B:$B,0))*20,IF($J233=2,INDEX('큐펫&amp;몹 정리(최신)'!T:T,MATCH($E233,'큐펫&amp;몹 정리(최신)'!$B:$B,0))*25,IF($J233=3,INDEX('큐펫&amp;몹 정리(최신)'!T:T,MATCH($E233,'큐펫&amp;몹 정리(최신)'!$B:$B,0))*30,IF($J233=4,INDEX('큐펫&amp;몹 정리(최신)'!T:T,MATCH($E233,'큐펫&amp;몹 정리(최신)'!$B:$B,0))*35,INDEX('큐펫&amp;몹 정리(최신)'!T:T,MATCH($E233,'큐펫&amp;몹 정리(최신)'!$B:$B,0))*40))))</f>
        <v>300</v>
      </c>
      <c r="P233" s="217">
        <v>40</v>
      </c>
      <c r="Q233" s="217">
        <f t="shared" si="24"/>
        <v>72600</v>
      </c>
      <c r="R233" s="217">
        <f t="shared" si="25"/>
        <v>8913</v>
      </c>
      <c r="S233" s="217">
        <f t="shared" si="26"/>
        <v>6842</v>
      </c>
      <c r="T233" s="217">
        <f t="shared" si="27"/>
        <v>1293</v>
      </c>
      <c r="U233" s="217">
        <f t="shared" si="28"/>
        <v>28624</v>
      </c>
      <c r="V233" s="217">
        <f t="shared" si="29"/>
        <v>8206</v>
      </c>
      <c r="W233" s="217">
        <f>ROUND(AC233+(INDEX(Ref!B$1:B$9,MATCH($AI233,Ref!$A$1:$A$9,0))*P233*0.0001),)</f>
        <v>40</v>
      </c>
      <c r="X233" s="217">
        <f>ROUND(AD233+(INDEX(Ref!C$1:C$9,MATCH($AI233,Ref!$A$1:$A$9,0))*$P233*0.0001),)</f>
        <v>26</v>
      </c>
      <c r="Y233" s="217">
        <f>ROUND(AE233+(INDEX(Ref!D$1:D$9,MATCH($AI233,Ref!$A$1:$A$9,0))*$P233*0.0001),)</f>
        <v>69</v>
      </c>
      <c r="Z233" s="217">
        <f>ROUND(AF233+(INDEX(Ref!E$1:E$9,MATCH($AI233,Ref!$A$1:$A$9,0))*$P233*0.0001),)</f>
        <v>31</v>
      </c>
      <c r="AA233" s="217">
        <f>ROUND(AG233+(INDEX(Ref!F$1:F$9,MATCH($AI233,Ref!$A$1:$A$9,0))*$P233*0.0001),)</f>
        <v>35</v>
      </c>
      <c r="AB233" s="217">
        <f>ROUND(AH233+(INDEX(Ref!G$1:G$9,MATCH($AI233,Ref!$A$1:$A$9,0))*$P233*0.0001),)</f>
        <v>24</v>
      </c>
      <c r="AC233" s="137">
        <v>32</v>
      </c>
      <c r="AD233" s="137">
        <v>21</v>
      </c>
      <c r="AE233" s="137">
        <v>59</v>
      </c>
      <c r="AF233" s="137">
        <v>25</v>
      </c>
      <c r="AG233" s="137">
        <v>28</v>
      </c>
      <c r="AH233" s="137">
        <v>19</v>
      </c>
      <c r="AI233" s="208">
        <v>3</v>
      </c>
      <c r="AJ233" s="172">
        <v>3000</v>
      </c>
      <c r="AK233" s="172">
        <v>30278</v>
      </c>
      <c r="AL233" s="172">
        <v>2000</v>
      </c>
      <c r="AM233" s="172">
        <v>30280</v>
      </c>
      <c r="AN233" s="172">
        <v>0</v>
      </c>
      <c r="AO233" s="172">
        <f t="shared" si="30"/>
        <v>34278</v>
      </c>
      <c r="AP233" s="172">
        <v>0</v>
      </c>
      <c r="AQ233" s="172">
        <f t="shared" si="31"/>
        <v>34280</v>
      </c>
      <c r="AR233" s="172">
        <v>1</v>
      </c>
      <c r="AS233" s="172">
        <v>0</v>
      </c>
      <c r="AT233" s="199">
        <v>78047</v>
      </c>
      <c r="AU233" s="195" t="s">
        <v>212</v>
      </c>
    </row>
    <row r="234" spans="1:47" x14ac:dyDescent="0.2">
      <c r="A234" s="173">
        <v>55047</v>
      </c>
      <c r="B234" s="174" t="s">
        <v>211</v>
      </c>
      <c r="C234" s="172">
        <v>86047</v>
      </c>
      <c r="D234" s="172">
        <v>150047</v>
      </c>
      <c r="E234" s="206" t="s">
        <v>1148</v>
      </c>
      <c r="F234" s="207">
        <v>6</v>
      </c>
      <c r="G234" s="172">
        <v>10000</v>
      </c>
      <c r="H234" s="172">
        <v>10000</v>
      </c>
      <c r="I234" s="172">
        <v>10000</v>
      </c>
      <c r="J234" s="172">
        <v>3</v>
      </c>
      <c r="K234" s="190">
        <f>IF($J234=1,INDEX('큐펫&amp;몹 정리(최신)'!P:P,MATCH($E234,'큐펫&amp;몹 정리(최신)'!$B:$B,0))*20,IF($J234=2,INDEX('큐펫&amp;몹 정리(최신)'!P:P,MATCH($E234,'큐펫&amp;몹 정리(최신)'!$B:$B,0))*25,IF($J234=3,INDEX('큐펫&amp;몹 정리(최신)'!P:P,MATCH($E234,'큐펫&amp;몹 정리(최신)'!$B:$B,0))*30,IF($J234=4,INDEX('큐펫&amp;몹 정리(최신)'!P:P,MATCH($E234,'큐펫&amp;몹 정리(최신)'!$B:$B,0))*35,INDEX('큐펫&amp;몹 정리(최신)'!P:P,MATCH($E234,'큐펫&amp;몹 정리(최신)'!$B:$B,0))*40))))</f>
        <v>1200</v>
      </c>
      <c r="L234" s="190">
        <f>IF($J234=1,INDEX('큐펫&amp;몹 정리(최신)'!Q:Q,MATCH($E234,'큐펫&amp;몹 정리(최신)'!$B:$B,0))*20,IF($J234=2,INDEX('큐펫&amp;몹 정리(최신)'!Q:Q,MATCH($E234,'큐펫&amp;몹 정리(최신)'!$B:$B,0))*25,IF($J234=3,INDEX('큐펫&amp;몹 정리(최신)'!Q:Q,MATCH($E234,'큐펫&amp;몹 정리(최신)'!$B:$B,0))*30,IF($J234=4,INDEX('큐펫&amp;몹 정리(최신)'!Q:Q,MATCH($E234,'큐펫&amp;몹 정리(최신)'!$B:$B,0))*35,INDEX('큐펫&amp;몹 정리(최신)'!Q:Q,MATCH($E234,'큐펫&amp;몹 정리(최신)'!$B:$B,0))*40))))</f>
        <v>660</v>
      </c>
      <c r="M234" s="190">
        <f>IF($J234=1,INDEX('큐펫&amp;몹 정리(최신)'!R:R,MATCH($E234,'큐펫&amp;몹 정리(최신)'!$B:$B,0))*20,IF($J234=2,INDEX('큐펫&amp;몹 정리(최신)'!R:R,MATCH($E234,'큐펫&amp;몹 정리(최신)'!$B:$B,0))*25,IF($J234=3,INDEX('큐펫&amp;몹 정리(최신)'!R:R,MATCH($E234,'큐펫&amp;몹 정리(최신)'!$B:$B,0))*30,IF($J234=4,INDEX('큐펫&amp;몹 정리(최신)'!R:R,MATCH($E234,'큐펫&amp;몹 정리(최신)'!$B:$B,0))*35,INDEX('큐펫&amp;몹 정리(최신)'!R:R,MATCH($E234,'큐펫&amp;몹 정리(최신)'!$B:$B,0))*40))))</f>
        <v>150</v>
      </c>
      <c r="N234" s="190">
        <f>IF($J234=1,INDEX('큐펫&amp;몹 정리(최신)'!S:S,MATCH($E234,'큐펫&amp;몹 정리(최신)'!$B:$B,0))*20,IF($J234=2,INDEX('큐펫&amp;몹 정리(최신)'!S:S,MATCH($E234,'큐펫&amp;몹 정리(최신)'!$B:$B,0))*25,IF($J234=3,INDEX('큐펫&amp;몹 정리(최신)'!S:S,MATCH($E234,'큐펫&amp;몹 정리(최신)'!$B:$B,0))*30,IF($J234=4,INDEX('큐펫&amp;몹 정리(최신)'!S:S,MATCH($E234,'큐펫&amp;몹 정리(최신)'!$B:$B,0))*35,INDEX('큐펫&amp;몹 정리(최신)'!S:S,MATCH($E234,'큐펫&amp;몹 정리(최신)'!$B:$B,0))*40))))</f>
        <v>630</v>
      </c>
      <c r="O234" s="190">
        <f>IF($J234=1,INDEX('큐펫&amp;몹 정리(최신)'!T:T,MATCH($E234,'큐펫&amp;몹 정리(최신)'!$B:$B,0))*20,IF($J234=2,INDEX('큐펫&amp;몹 정리(최신)'!T:T,MATCH($E234,'큐펫&amp;몹 정리(최신)'!$B:$B,0))*25,IF($J234=3,INDEX('큐펫&amp;몹 정리(최신)'!T:T,MATCH($E234,'큐펫&amp;몹 정리(최신)'!$B:$B,0))*30,IF($J234=4,INDEX('큐펫&amp;몹 정리(최신)'!T:T,MATCH($E234,'큐펫&amp;몹 정리(최신)'!$B:$B,0))*35,INDEX('큐펫&amp;몹 정리(최신)'!T:T,MATCH($E234,'큐펫&amp;몹 정리(최신)'!$B:$B,0))*40))))</f>
        <v>360</v>
      </c>
      <c r="P234" s="217">
        <v>60</v>
      </c>
      <c r="Q234" s="217">
        <f t="shared" si="24"/>
        <v>134160</v>
      </c>
      <c r="R234" s="217">
        <f t="shared" si="25"/>
        <v>14719</v>
      </c>
      <c r="S234" s="217">
        <f t="shared" si="26"/>
        <v>11773</v>
      </c>
      <c r="T234" s="217">
        <f t="shared" si="27"/>
        <v>2169</v>
      </c>
      <c r="U234" s="217">
        <f t="shared" si="28"/>
        <v>43484</v>
      </c>
      <c r="V234" s="217">
        <f t="shared" si="29"/>
        <v>12457</v>
      </c>
      <c r="W234" s="217">
        <f>ROUND(AC234+(INDEX(Ref!B$1:B$9,MATCH($AI234,Ref!$A$1:$A$9,0))*P234*0.0001),)</f>
        <v>47</v>
      </c>
      <c r="X234" s="217">
        <f>ROUND(AD234+(INDEX(Ref!C$1:C$9,MATCH($AI234,Ref!$A$1:$A$9,0))*$P234*0.0001),)</f>
        <v>31</v>
      </c>
      <c r="Y234" s="217">
        <f>ROUND(AE234+(INDEX(Ref!D$1:D$9,MATCH($AI234,Ref!$A$1:$A$9,0))*$P234*0.0001),)</f>
        <v>78</v>
      </c>
      <c r="Z234" s="217">
        <f>ROUND(AF234+(INDEX(Ref!E$1:E$9,MATCH($AI234,Ref!$A$1:$A$9,0))*$P234*0.0001),)</f>
        <v>37</v>
      </c>
      <c r="AA234" s="217">
        <f>ROUND(AG234+(INDEX(Ref!F$1:F$9,MATCH($AI234,Ref!$A$1:$A$9,0))*$P234*0.0001),)</f>
        <v>42</v>
      </c>
      <c r="AB234" s="217">
        <f>ROUND(AH234+(INDEX(Ref!G$1:G$9,MATCH($AI234,Ref!$A$1:$A$9,0))*$P234*0.0001),)</f>
        <v>28</v>
      </c>
      <c r="AC234" s="137">
        <v>36</v>
      </c>
      <c r="AD234" s="137">
        <v>23</v>
      </c>
      <c r="AE234" s="137">
        <v>64</v>
      </c>
      <c r="AF234" s="137">
        <v>28</v>
      </c>
      <c r="AG234" s="137">
        <v>32</v>
      </c>
      <c r="AH234" s="137">
        <v>21</v>
      </c>
      <c r="AI234" s="208">
        <v>3</v>
      </c>
      <c r="AJ234" s="172">
        <v>3000</v>
      </c>
      <c r="AK234" s="172">
        <v>30278</v>
      </c>
      <c r="AL234" s="172">
        <v>2000</v>
      </c>
      <c r="AM234" s="172">
        <v>30281</v>
      </c>
      <c r="AN234" s="172">
        <v>0</v>
      </c>
      <c r="AO234" s="172">
        <f t="shared" si="30"/>
        <v>34278</v>
      </c>
      <c r="AP234" s="172">
        <v>0</v>
      </c>
      <c r="AQ234" s="172">
        <f t="shared" si="31"/>
        <v>34281</v>
      </c>
      <c r="AR234" s="172">
        <v>1</v>
      </c>
      <c r="AS234" s="172">
        <v>0</v>
      </c>
      <c r="AT234" s="199">
        <v>78047</v>
      </c>
      <c r="AU234" s="195" t="s">
        <v>212</v>
      </c>
    </row>
    <row r="235" spans="1:47" x14ac:dyDescent="0.2">
      <c r="A235" s="173">
        <v>55047</v>
      </c>
      <c r="B235" s="174" t="s">
        <v>211</v>
      </c>
      <c r="C235" s="172">
        <v>86047</v>
      </c>
      <c r="D235" s="172">
        <v>150047</v>
      </c>
      <c r="E235" s="206" t="s">
        <v>1148</v>
      </c>
      <c r="F235" s="207">
        <v>6</v>
      </c>
      <c r="G235" s="172">
        <v>10000</v>
      </c>
      <c r="H235" s="172">
        <v>10000</v>
      </c>
      <c r="I235" s="172">
        <v>10000</v>
      </c>
      <c r="J235" s="172">
        <v>4</v>
      </c>
      <c r="K235" s="190">
        <f>IF($J235=1,INDEX('큐펫&amp;몹 정리(최신)'!P:P,MATCH($E235,'큐펫&amp;몹 정리(최신)'!$B:$B,0))*20,IF($J235=2,INDEX('큐펫&amp;몹 정리(최신)'!P:P,MATCH($E235,'큐펫&amp;몹 정리(최신)'!$B:$B,0))*25,IF($J235=3,INDEX('큐펫&amp;몹 정리(최신)'!P:P,MATCH($E235,'큐펫&amp;몹 정리(최신)'!$B:$B,0))*30,IF($J235=4,INDEX('큐펫&amp;몹 정리(최신)'!P:P,MATCH($E235,'큐펫&amp;몹 정리(최신)'!$B:$B,0))*35,INDEX('큐펫&amp;몹 정리(최신)'!P:P,MATCH($E235,'큐펫&amp;몹 정리(최신)'!$B:$B,0))*40))))</f>
        <v>1400</v>
      </c>
      <c r="L235" s="190">
        <f>IF($J235=1,INDEX('큐펫&amp;몹 정리(최신)'!Q:Q,MATCH($E235,'큐펫&amp;몹 정리(최신)'!$B:$B,0))*20,IF($J235=2,INDEX('큐펫&amp;몹 정리(최신)'!Q:Q,MATCH($E235,'큐펫&amp;몹 정리(최신)'!$B:$B,0))*25,IF($J235=3,INDEX('큐펫&amp;몹 정리(최신)'!Q:Q,MATCH($E235,'큐펫&amp;몹 정리(최신)'!$B:$B,0))*30,IF($J235=4,INDEX('큐펫&amp;몹 정리(최신)'!Q:Q,MATCH($E235,'큐펫&amp;몹 정리(최신)'!$B:$B,0))*35,INDEX('큐펫&amp;몹 정리(최신)'!Q:Q,MATCH($E235,'큐펫&amp;몹 정리(최신)'!$B:$B,0))*40))))</f>
        <v>770</v>
      </c>
      <c r="M235" s="190">
        <f>IF($J235=1,INDEX('큐펫&amp;몹 정리(최신)'!R:R,MATCH($E235,'큐펫&amp;몹 정리(최신)'!$B:$B,0))*20,IF($J235=2,INDEX('큐펫&amp;몹 정리(최신)'!R:R,MATCH($E235,'큐펫&amp;몹 정리(최신)'!$B:$B,0))*25,IF($J235=3,INDEX('큐펫&amp;몹 정리(최신)'!R:R,MATCH($E235,'큐펫&amp;몹 정리(최신)'!$B:$B,0))*30,IF($J235=4,INDEX('큐펫&amp;몹 정리(최신)'!R:R,MATCH($E235,'큐펫&amp;몹 정리(최신)'!$B:$B,0))*35,INDEX('큐펫&amp;몹 정리(최신)'!R:R,MATCH($E235,'큐펫&amp;몹 정리(최신)'!$B:$B,0))*40))))</f>
        <v>175</v>
      </c>
      <c r="N235" s="190">
        <f>IF($J235=1,INDEX('큐펫&amp;몹 정리(최신)'!S:S,MATCH($E235,'큐펫&amp;몹 정리(최신)'!$B:$B,0))*20,IF($J235=2,INDEX('큐펫&amp;몹 정리(최신)'!S:S,MATCH($E235,'큐펫&amp;몹 정리(최신)'!$B:$B,0))*25,IF($J235=3,INDEX('큐펫&amp;몹 정리(최신)'!S:S,MATCH($E235,'큐펫&amp;몹 정리(최신)'!$B:$B,0))*30,IF($J235=4,INDEX('큐펫&amp;몹 정리(최신)'!S:S,MATCH($E235,'큐펫&amp;몹 정리(최신)'!$B:$B,0))*35,INDEX('큐펫&amp;몹 정리(최신)'!S:S,MATCH($E235,'큐펫&amp;몹 정리(최신)'!$B:$B,0))*40))))</f>
        <v>735</v>
      </c>
      <c r="O235" s="190">
        <f>IF($J235=1,INDEX('큐펫&amp;몹 정리(최신)'!T:T,MATCH($E235,'큐펫&amp;몹 정리(최신)'!$B:$B,0))*20,IF($J235=2,INDEX('큐펫&amp;몹 정리(최신)'!T:T,MATCH($E235,'큐펫&amp;몹 정리(최신)'!$B:$B,0))*25,IF($J235=3,INDEX('큐펫&amp;몹 정리(최신)'!T:T,MATCH($E235,'큐펫&amp;몹 정리(최신)'!$B:$B,0))*30,IF($J235=4,INDEX('큐펫&amp;몹 정리(최신)'!T:T,MATCH($E235,'큐펫&amp;몹 정리(최신)'!$B:$B,0))*35,INDEX('큐펫&amp;몹 정리(최신)'!T:T,MATCH($E235,'큐펫&amp;몹 정리(최신)'!$B:$B,0))*40))))</f>
        <v>420</v>
      </c>
      <c r="P235" s="217">
        <v>80</v>
      </c>
      <c r="Q235" s="217">
        <f t="shared" si="24"/>
        <v>217560</v>
      </c>
      <c r="R235" s="217">
        <f t="shared" si="25"/>
        <v>22620</v>
      </c>
      <c r="S235" s="217">
        <f t="shared" si="26"/>
        <v>18646</v>
      </c>
      <c r="T235" s="217">
        <f t="shared" si="27"/>
        <v>3376</v>
      </c>
      <c r="U235" s="217">
        <f t="shared" si="28"/>
        <v>61756</v>
      </c>
      <c r="V235" s="217">
        <f t="shared" si="29"/>
        <v>17683</v>
      </c>
      <c r="W235" s="217">
        <f>ROUND(AC235+(INDEX(Ref!B$1:B$9,MATCH($AI235,Ref!$A$1:$A$9,0))*P235*0.0001),)</f>
        <v>54</v>
      </c>
      <c r="X235" s="217">
        <f>ROUND(AD235+(INDEX(Ref!C$1:C$9,MATCH($AI235,Ref!$A$1:$A$9,0))*$P235*0.0001),)</f>
        <v>36</v>
      </c>
      <c r="Y235" s="217">
        <f>ROUND(AE235+(INDEX(Ref!D$1:D$9,MATCH($AI235,Ref!$A$1:$A$9,0))*$P235*0.0001),)</f>
        <v>88</v>
      </c>
      <c r="Z235" s="217">
        <f>ROUND(AF235+(INDEX(Ref!E$1:E$9,MATCH($AI235,Ref!$A$1:$A$9,0))*$P235*0.0001),)</f>
        <v>43</v>
      </c>
      <c r="AA235" s="217">
        <f>ROUND(AG235+(INDEX(Ref!F$1:F$9,MATCH($AI235,Ref!$A$1:$A$9,0))*$P235*0.0001),)</f>
        <v>49</v>
      </c>
      <c r="AB235" s="217">
        <f>ROUND(AH235+(INDEX(Ref!G$1:G$9,MATCH($AI235,Ref!$A$1:$A$9,0))*$P235*0.0001),)</f>
        <v>34</v>
      </c>
      <c r="AC235" s="137">
        <v>39</v>
      </c>
      <c r="AD235" s="137">
        <v>26</v>
      </c>
      <c r="AE235" s="137">
        <v>69</v>
      </c>
      <c r="AF235" s="137">
        <v>31</v>
      </c>
      <c r="AG235" s="137">
        <v>35</v>
      </c>
      <c r="AH235" s="137">
        <v>24</v>
      </c>
      <c r="AI235" s="208">
        <v>3</v>
      </c>
      <c r="AJ235" s="172">
        <v>3000</v>
      </c>
      <c r="AK235" s="172">
        <v>30279</v>
      </c>
      <c r="AL235" s="172">
        <v>2000</v>
      </c>
      <c r="AM235" s="172">
        <v>30281</v>
      </c>
      <c r="AN235" s="172">
        <v>0</v>
      </c>
      <c r="AO235" s="172">
        <f t="shared" si="30"/>
        <v>34279</v>
      </c>
      <c r="AP235" s="172">
        <v>0</v>
      </c>
      <c r="AQ235" s="172">
        <f t="shared" si="31"/>
        <v>34281</v>
      </c>
      <c r="AR235" s="172">
        <v>1</v>
      </c>
      <c r="AS235" s="172">
        <v>0</v>
      </c>
      <c r="AT235" s="199">
        <v>78047</v>
      </c>
      <c r="AU235" s="195" t="s">
        <v>212</v>
      </c>
    </row>
    <row r="236" spans="1:47" x14ac:dyDescent="0.2">
      <c r="A236" s="173">
        <v>55047</v>
      </c>
      <c r="B236" s="174" t="s">
        <v>211</v>
      </c>
      <c r="C236" s="172">
        <v>86047</v>
      </c>
      <c r="D236" s="172">
        <v>150047</v>
      </c>
      <c r="E236" s="206" t="s">
        <v>1148</v>
      </c>
      <c r="F236" s="207">
        <v>6</v>
      </c>
      <c r="G236" s="172">
        <v>10000</v>
      </c>
      <c r="H236" s="172">
        <v>10000</v>
      </c>
      <c r="I236" s="172">
        <v>10000</v>
      </c>
      <c r="J236" s="172">
        <v>5</v>
      </c>
      <c r="K236" s="190">
        <f>IF($J236=1,INDEX('큐펫&amp;몹 정리(최신)'!P:P,MATCH($E236,'큐펫&amp;몹 정리(최신)'!$B:$B,0))*20,IF($J236=2,INDEX('큐펫&amp;몹 정리(최신)'!P:P,MATCH($E236,'큐펫&amp;몹 정리(최신)'!$B:$B,0))*25,IF($J236=3,INDEX('큐펫&amp;몹 정리(최신)'!P:P,MATCH($E236,'큐펫&amp;몹 정리(최신)'!$B:$B,0))*30,IF($J236=4,INDEX('큐펫&amp;몹 정리(최신)'!P:P,MATCH($E236,'큐펫&amp;몹 정리(최신)'!$B:$B,0))*35,INDEX('큐펫&amp;몹 정리(최신)'!P:P,MATCH($E236,'큐펫&amp;몹 정리(최신)'!$B:$B,0))*40))))</f>
        <v>1600</v>
      </c>
      <c r="L236" s="190">
        <f>IF($J236=1,INDEX('큐펫&amp;몹 정리(최신)'!Q:Q,MATCH($E236,'큐펫&amp;몹 정리(최신)'!$B:$B,0))*20,IF($J236=2,INDEX('큐펫&amp;몹 정리(최신)'!Q:Q,MATCH($E236,'큐펫&amp;몹 정리(최신)'!$B:$B,0))*25,IF($J236=3,INDEX('큐펫&amp;몹 정리(최신)'!Q:Q,MATCH($E236,'큐펫&amp;몹 정리(최신)'!$B:$B,0))*30,IF($J236=4,INDEX('큐펫&amp;몹 정리(최신)'!Q:Q,MATCH($E236,'큐펫&amp;몹 정리(최신)'!$B:$B,0))*35,INDEX('큐펫&amp;몹 정리(최신)'!Q:Q,MATCH($E236,'큐펫&amp;몹 정리(최신)'!$B:$B,0))*40))))</f>
        <v>880</v>
      </c>
      <c r="M236" s="190">
        <f>IF($J236=1,INDEX('큐펫&amp;몹 정리(최신)'!R:R,MATCH($E236,'큐펫&amp;몹 정리(최신)'!$B:$B,0))*20,IF($J236=2,INDEX('큐펫&amp;몹 정리(최신)'!R:R,MATCH($E236,'큐펫&amp;몹 정리(최신)'!$B:$B,0))*25,IF($J236=3,INDEX('큐펫&amp;몹 정리(최신)'!R:R,MATCH($E236,'큐펫&amp;몹 정리(최신)'!$B:$B,0))*30,IF($J236=4,INDEX('큐펫&amp;몹 정리(최신)'!R:R,MATCH($E236,'큐펫&amp;몹 정리(최신)'!$B:$B,0))*35,INDEX('큐펫&amp;몹 정리(최신)'!R:R,MATCH($E236,'큐펫&amp;몹 정리(최신)'!$B:$B,0))*40))))</f>
        <v>200</v>
      </c>
      <c r="N236" s="190">
        <f>IF($J236=1,INDEX('큐펫&amp;몹 정리(최신)'!S:S,MATCH($E236,'큐펫&amp;몹 정리(최신)'!$B:$B,0))*20,IF($J236=2,INDEX('큐펫&amp;몹 정리(최신)'!S:S,MATCH($E236,'큐펫&amp;몹 정리(최신)'!$B:$B,0))*25,IF($J236=3,INDEX('큐펫&amp;몹 정리(최신)'!S:S,MATCH($E236,'큐펫&amp;몹 정리(최신)'!$B:$B,0))*30,IF($J236=4,INDEX('큐펫&amp;몹 정리(최신)'!S:S,MATCH($E236,'큐펫&amp;몹 정리(최신)'!$B:$B,0))*35,INDEX('큐펫&amp;몹 정리(최신)'!S:S,MATCH($E236,'큐펫&amp;몹 정리(최신)'!$B:$B,0))*40))))</f>
        <v>840</v>
      </c>
      <c r="O236" s="190">
        <f>IF($J236=1,INDEX('큐펫&amp;몹 정리(최신)'!T:T,MATCH($E236,'큐펫&amp;몹 정리(최신)'!$B:$B,0))*20,IF($J236=2,INDEX('큐펫&amp;몹 정리(최신)'!T:T,MATCH($E236,'큐펫&amp;몹 정리(최신)'!$B:$B,0))*25,IF($J236=3,INDEX('큐펫&amp;몹 정리(최신)'!T:T,MATCH($E236,'큐펫&amp;몹 정리(최신)'!$B:$B,0))*30,IF($J236=4,INDEX('큐펫&amp;몹 정리(최신)'!T:T,MATCH($E236,'큐펫&amp;몹 정리(최신)'!$B:$B,0))*35,INDEX('큐펫&amp;몹 정리(최신)'!T:T,MATCH($E236,'큐펫&amp;몹 정리(최신)'!$B:$B,0))*40))))</f>
        <v>480</v>
      </c>
      <c r="P236" s="217">
        <v>100</v>
      </c>
      <c r="Q236" s="217">
        <f t="shared" si="24"/>
        <v>324800</v>
      </c>
      <c r="R236" s="217">
        <f t="shared" si="25"/>
        <v>34022</v>
      </c>
      <c r="S236" s="217">
        <f t="shared" si="26"/>
        <v>26803</v>
      </c>
      <c r="T236" s="217">
        <f t="shared" si="27"/>
        <v>4966</v>
      </c>
      <c r="U236" s="217">
        <f t="shared" si="28"/>
        <v>83179</v>
      </c>
      <c r="V236" s="217">
        <f t="shared" si="29"/>
        <v>23809</v>
      </c>
      <c r="W236" s="217">
        <f>ROUND(AC236+(INDEX(Ref!B$1:B$9,MATCH($AI236,Ref!$A$1:$A$9,0))*P236*0.0001),)</f>
        <v>62</v>
      </c>
      <c r="X236" s="217">
        <f>ROUND(AD236+(INDEX(Ref!C$1:C$9,MATCH($AI236,Ref!$A$1:$A$9,0))*$P236*0.0001),)</f>
        <v>42</v>
      </c>
      <c r="Y236" s="217">
        <f>ROUND(AE236+(INDEX(Ref!D$1:D$9,MATCH($AI236,Ref!$A$1:$A$9,0))*$P236*0.0001),)</f>
        <v>98</v>
      </c>
      <c r="Z236" s="217">
        <f>ROUND(AF236+(INDEX(Ref!E$1:E$9,MATCH($AI236,Ref!$A$1:$A$9,0))*$P236*0.0001),)</f>
        <v>49</v>
      </c>
      <c r="AA236" s="217">
        <f>ROUND(AG236+(INDEX(Ref!F$1:F$9,MATCH($AI236,Ref!$A$1:$A$9,0))*$P236*0.0001),)</f>
        <v>55</v>
      </c>
      <c r="AB236" s="217">
        <f>ROUND(AH236+(INDEX(Ref!G$1:G$9,MATCH($AI236,Ref!$A$1:$A$9,0))*$P236*0.0001),)</f>
        <v>38</v>
      </c>
      <c r="AC236" s="137">
        <v>43</v>
      </c>
      <c r="AD236" s="137">
        <v>29</v>
      </c>
      <c r="AE236" s="137">
        <v>74</v>
      </c>
      <c r="AF236" s="137">
        <v>34</v>
      </c>
      <c r="AG236" s="137">
        <v>38</v>
      </c>
      <c r="AH236" s="137">
        <v>26</v>
      </c>
      <c r="AI236" s="208">
        <v>3</v>
      </c>
      <c r="AJ236" s="172">
        <v>3000</v>
      </c>
      <c r="AK236" s="172">
        <v>30279</v>
      </c>
      <c r="AL236" s="172">
        <v>2000</v>
      </c>
      <c r="AM236" s="172">
        <v>30282</v>
      </c>
      <c r="AN236" s="172">
        <v>0</v>
      </c>
      <c r="AO236" s="172">
        <f t="shared" si="30"/>
        <v>34279</v>
      </c>
      <c r="AP236" s="172">
        <v>0</v>
      </c>
      <c r="AQ236" s="172">
        <f t="shared" si="31"/>
        <v>34282</v>
      </c>
      <c r="AR236" s="172">
        <v>1</v>
      </c>
      <c r="AS236" s="172">
        <v>0</v>
      </c>
      <c r="AT236" s="199">
        <v>78047</v>
      </c>
      <c r="AU236" s="195" t="s">
        <v>212</v>
      </c>
    </row>
    <row r="237" spans="1:47" x14ac:dyDescent="0.2">
      <c r="A237" s="173">
        <v>55048</v>
      </c>
      <c r="B237" s="174" t="s">
        <v>213</v>
      </c>
      <c r="C237" s="172">
        <v>86048</v>
      </c>
      <c r="D237" s="172">
        <v>150048</v>
      </c>
      <c r="E237" s="206" t="s">
        <v>214</v>
      </c>
      <c r="F237" s="207">
        <v>4</v>
      </c>
      <c r="G237" s="172">
        <v>10000</v>
      </c>
      <c r="H237" s="172">
        <v>10000</v>
      </c>
      <c r="I237" s="172">
        <v>10000</v>
      </c>
      <c r="J237" s="172">
        <v>1</v>
      </c>
      <c r="K237" s="190">
        <f>IF($J237=1,INDEX('큐펫&amp;몹 정리(최신)'!P:P,MATCH($E237,'큐펫&amp;몹 정리(최신)'!$B:$B,0))*20,IF($J237=2,INDEX('큐펫&amp;몹 정리(최신)'!P:P,MATCH($E237,'큐펫&amp;몹 정리(최신)'!$B:$B,0))*25,IF($J237=3,INDEX('큐펫&amp;몹 정리(최신)'!P:P,MATCH($E237,'큐펫&amp;몹 정리(최신)'!$B:$B,0))*30,IF($J237=4,INDEX('큐펫&amp;몹 정리(최신)'!P:P,MATCH($E237,'큐펫&amp;몹 정리(최신)'!$B:$B,0))*35,INDEX('큐펫&amp;몹 정리(최신)'!P:P,MATCH($E237,'큐펫&amp;몹 정리(최신)'!$B:$B,0))*40))))</f>
        <v>700</v>
      </c>
      <c r="L237" s="190">
        <f>IF($J237=1,INDEX('큐펫&amp;몹 정리(최신)'!Q:Q,MATCH($E237,'큐펫&amp;몹 정리(최신)'!$B:$B,0))*20,IF($J237=2,INDEX('큐펫&amp;몹 정리(최신)'!Q:Q,MATCH($E237,'큐펫&amp;몹 정리(최신)'!$B:$B,0))*25,IF($J237=3,INDEX('큐펫&amp;몹 정리(최신)'!Q:Q,MATCH($E237,'큐펫&amp;몹 정리(최신)'!$B:$B,0))*30,IF($J237=4,INDEX('큐펫&amp;몹 정리(최신)'!Q:Q,MATCH($E237,'큐펫&amp;몹 정리(최신)'!$B:$B,0))*35,INDEX('큐펫&amp;몹 정리(최신)'!Q:Q,MATCH($E237,'큐펫&amp;몹 정리(최신)'!$B:$B,0))*40))))</f>
        <v>420</v>
      </c>
      <c r="M237" s="190">
        <f>IF($J237=1,INDEX('큐펫&amp;몹 정리(최신)'!R:R,MATCH($E237,'큐펫&amp;몹 정리(최신)'!$B:$B,0))*20,IF($J237=2,INDEX('큐펫&amp;몹 정리(최신)'!R:R,MATCH($E237,'큐펫&amp;몹 정리(최신)'!$B:$B,0))*25,IF($J237=3,INDEX('큐펫&amp;몹 정리(최신)'!R:R,MATCH($E237,'큐펫&amp;몹 정리(최신)'!$B:$B,0))*30,IF($J237=4,INDEX('큐펫&amp;몹 정리(최신)'!R:R,MATCH($E237,'큐펫&amp;몹 정리(최신)'!$B:$B,0))*35,INDEX('큐펫&amp;몹 정리(최신)'!R:R,MATCH($E237,'큐펫&amp;몹 정리(최신)'!$B:$B,0))*40))))</f>
        <v>140</v>
      </c>
      <c r="N237" s="190">
        <f>IF($J237=1,INDEX('큐펫&amp;몹 정리(최신)'!S:S,MATCH($E237,'큐펫&amp;몹 정리(최신)'!$B:$B,0))*20,IF($J237=2,INDEX('큐펫&amp;몹 정리(최신)'!S:S,MATCH($E237,'큐펫&amp;몹 정리(최신)'!$B:$B,0))*25,IF($J237=3,INDEX('큐펫&amp;몹 정리(최신)'!S:S,MATCH($E237,'큐펫&amp;몹 정리(최신)'!$B:$B,0))*30,IF($J237=4,INDEX('큐펫&amp;몹 정리(최신)'!S:S,MATCH($E237,'큐펫&amp;몹 정리(최신)'!$B:$B,0))*35,INDEX('큐펫&amp;몹 정리(최신)'!S:S,MATCH($E237,'큐펫&amp;몹 정리(최신)'!$B:$B,0))*40))))</f>
        <v>340</v>
      </c>
      <c r="O237" s="190">
        <f>IF($J237=1,INDEX('큐펫&amp;몹 정리(최신)'!T:T,MATCH($E237,'큐펫&amp;몹 정리(최신)'!$B:$B,0))*20,IF($J237=2,INDEX('큐펫&amp;몹 정리(최신)'!T:T,MATCH($E237,'큐펫&amp;몹 정리(최신)'!$B:$B,0))*25,IF($J237=3,INDEX('큐펫&amp;몹 정리(최신)'!T:T,MATCH($E237,'큐펫&amp;몹 정리(최신)'!$B:$B,0))*30,IF($J237=4,INDEX('큐펫&amp;몹 정리(최신)'!T:T,MATCH($E237,'큐펫&amp;몹 정리(최신)'!$B:$B,0))*35,INDEX('큐펫&amp;몹 정리(최신)'!T:T,MATCH($E237,'큐펫&amp;몹 정리(최신)'!$B:$B,0))*40))))</f>
        <v>400</v>
      </c>
      <c r="P237" s="217">
        <v>20</v>
      </c>
      <c r="Q237" s="217">
        <f t="shared" si="24"/>
        <v>25760</v>
      </c>
      <c r="R237" s="217">
        <f t="shared" si="25"/>
        <v>4385</v>
      </c>
      <c r="S237" s="217">
        <f t="shared" si="26"/>
        <v>3370</v>
      </c>
      <c r="T237" s="217">
        <f t="shared" si="27"/>
        <v>943</v>
      </c>
      <c r="U237" s="217">
        <f t="shared" si="28"/>
        <v>13440</v>
      </c>
      <c r="V237" s="217">
        <f t="shared" si="29"/>
        <v>7925</v>
      </c>
      <c r="W237" s="217">
        <f>ROUND(AC237+(INDEX(Ref!B$1:B$9,MATCH($AI237,Ref!$A$1:$A$9,0))*P237*0.0001),)</f>
        <v>32</v>
      </c>
      <c r="X237" s="217">
        <f>ROUND(AD237+(INDEX(Ref!C$1:C$9,MATCH($AI237,Ref!$A$1:$A$9,0))*$P237*0.0001),)</f>
        <v>21</v>
      </c>
      <c r="Y237" s="217">
        <f>ROUND(AE237+(INDEX(Ref!D$1:D$9,MATCH($AI237,Ref!$A$1:$A$9,0))*$P237*0.0001),)</f>
        <v>59</v>
      </c>
      <c r="Z237" s="217">
        <f>ROUND(AF237+(INDEX(Ref!E$1:E$9,MATCH($AI237,Ref!$A$1:$A$9,0))*$P237*0.0001),)</f>
        <v>25</v>
      </c>
      <c r="AA237" s="217">
        <f>ROUND(AG237+(INDEX(Ref!F$1:F$9,MATCH($AI237,Ref!$A$1:$A$9,0))*$P237*0.0001),)</f>
        <v>28</v>
      </c>
      <c r="AB237" s="217">
        <f>ROUND(AH237+(INDEX(Ref!G$1:G$9,MATCH($AI237,Ref!$A$1:$A$9,0))*$P237*0.0001),)</f>
        <v>19</v>
      </c>
      <c r="AC237" s="137">
        <v>28</v>
      </c>
      <c r="AD237" s="137">
        <v>18</v>
      </c>
      <c r="AE237" s="137">
        <v>54</v>
      </c>
      <c r="AF237" s="137">
        <v>22</v>
      </c>
      <c r="AG237" s="137">
        <v>25</v>
      </c>
      <c r="AH237" s="137">
        <v>17</v>
      </c>
      <c r="AI237" s="208">
        <v>3</v>
      </c>
      <c r="AJ237" s="172">
        <v>3000</v>
      </c>
      <c r="AK237" s="172">
        <v>30283</v>
      </c>
      <c r="AL237" s="172">
        <v>2000</v>
      </c>
      <c r="AM237" s="172">
        <v>30286</v>
      </c>
      <c r="AN237" s="172">
        <v>0</v>
      </c>
      <c r="AO237" s="172">
        <f t="shared" si="30"/>
        <v>34283</v>
      </c>
      <c r="AP237" s="172">
        <v>0</v>
      </c>
      <c r="AQ237" s="172">
        <f t="shared" si="31"/>
        <v>34286</v>
      </c>
      <c r="AR237" s="172">
        <v>1</v>
      </c>
      <c r="AS237" s="172">
        <v>0</v>
      </c>
      <c r="AT237" s="199">
        <v>78048</v>
      </c>
      <c r="AU237" s="195" t="s">
        <v>215</v>
      </c>
    </row>
    <row r="238" spans="1:47" x14ac:dyDescent="0.2">
      <c r="A238" s="173">
        <v>55048</v>
      </c>
      <c r="B238" s="174" t="s">
        <v>213</v>
      </c>
      <c r="C238" s="172">
        <v>86048</v>
      </c>
      <c r="D238" s="172">
        <v>150048</v>
      </c>
      <c r="E238" s="206" t="s">
        <v>214</v>
      </c>
      <c r="F238" s="207">
        <v>4</v>
      </c>
      <c r="G238" s="172">
        <v>10000</v>
      </c>
      <c r="H238" s="172">
        <v>10000</v>
      </c>
      <c r="I238" s="172">
        <v>10000</v>
      </c>
      <c r="J238" s="172">
        <v>2</v>
      </c>
      <c r="K238" s="190">
        <f>IF($J238=1,INDEX('큐펫&amp;몹 정리(최신)'!P:P,MATCH($E238,'큐펫&amp;몹 정리(최신)'!$B:$B,0))*20,IF($J238=2,INDEX('큐펫&amp;몹 정리(최신)'!P:P,MATCH($E238,'큐펫&amp;몹 정리(최신)'!$B:$B,0))*25,IF($J238=3,INDEX('큐펫&amp;몹 정리(최신)'!P:P,MATCH($E238,'큐펫&amp;몹 정리(최신)'!$B:$B,0))*30,IF($J238=4,INDEX('큐펫&amp;몹 정리(최신)'!P:P,MATCH($E238,'큐펫&amp;몹 정리(최신)'!$B:$B,0))*35,INDEX('큐펫&amp;몹 정리(최신)'!P:P,MATCH($E238,'큐펫&amp;몹 정리(최신)'!$B:$B,0))*40))))</f>
        <v>875</v>
      </c>
      <c r="L238" s="190">
        <f>IF($J238=1,INDEX('큐펫&amp;몹 정리(최신)'!Q:Q,MATCH($E238,'큐펫&amp;몹 정리(최신)'!$B:$B,0))*20,IF($J238=2,INDEX('큐펫&amp;몹 정리(최신)'!Q:Q,MATCH($E238,'큐펫&amp;몹 정리(최신)'!$B:$B,0))*25,IF($J238=3,INDEX('큐펫&amp;몹 정리(최신)'!Q:Q,MATCH($E238,'큐펫&amp;몹 정리(최신)'!$B:$B,0))*30,IF($J238=4,INDEX('큐펫&amp;몹 정리(최신)'!Q:Q,MATCH($E238,'큐펫&amp;몹 정리(최신)'!$B:$B,0))*35,INDEX('큐펫&amp;몹 정리(최신)'!Q:Q,MATCH($E238,'큐펫&amp;몹 정리(최신)'!$B:$B,0))*40))))</f>
        <v>525</v>
      </c>
      <c r="M238" s="190">
        <f>IF($J238=1,INDEX('큐펫&amp;몹 정리(최신)'!R:R,MATCH($E238,'큐펫&amp;몹 정리(최신)'!$B:$B,0))*20,IF($J238=2,INDEX('큐펫&amp;몹 정리(최신)'!R:R,MATCH($E238,'큐펫&amp;몹 정리(최신)'!$B:$B,0))*25,IF($J238=3,INDEX('큐펫&amp;몹 정리(최신)'!R:R,MATCH($E238,'큐펫&amp;몹 정리(최신)'!$B:$B,0))*30,IF($J238=4,INDEX('큐펫&amp;몹 정리(최신)'!R:R,MATCH($E238,'큐펫&amp;몹 정리(최신)'!$B:$B,0))*35,INDEX('큐펫&amp;몹 정리(최신)'!R:R,MATCH($E238,'큐펫&amp;몹 정리(최신)'!$B:$B,0))*40))))</f>
        <v>175</v>
      </c>
      <c r="N238" s="190">
        <f>IF($J238=1,INDEX('큐펫&amp;몹 정리(최신)'!S:S,MATCH($E238,'큐펫&amp;몹 정리(최신)'!$B:$B,0))*20,IF($J238=2,INDEX('큐펫&amp;몹 정리(최신)'!S:S,MATCH($E238,'큐펫&amp;몹 정리(최신)'!$B:$B,0))*25,IF($J238=3,INDEX('큐펫&amp;몹 정리(최신)'!S:S,MATCH($E238,'큐펫&amp;몹 정리(최신)'!$B:$B,0))*30,IF($J238=4,INDEX('큐펫&amp;몹 정리(최신)'!S:S,MATCH($E238,'큐펫&amp;몹 정리(최신)'!$B:$B,0))*35,INDEX('큐펫&amp;몹 정리(최신)'!S:S,MATCH($E238,'큐펫&amp;몹 정리(최신)'!$B:$B,0))*40))))</f>
        <v>425</v>
      </c>
      <c r="O238" s="190">
        <f>IF($J238=1,INDEX('큐펫&amp;몹 정리(최신)'!T:T,MATCH($E238,'큐펫&amp;몹 정리(최신)'!$B:$B,0))*20,IF($J238=2,INDEX('큐펫&amp;몹 정리(최신)'!T:T,MATCH($E238,'큐펫&amp;몹 정리(최신)'!$B:$B,0))*25,IF($J238=3,INDEX('큐펫&amp;몹 정리(최신)'!T:T,MATCH($E238,'큐펫&amp;몹 정리(최신)'!$B:$B,0))*30,IF($J238=4,INDEX('큐펫&amp;몹 정리(최신)'!T:T,MATCH($E238,'큐펫&amp;몹 정리(최신)'!$B:$B,0))*35,INDEX('큐펫&amp;몹 정리(최신)'!T:T,MATCH($E238,'큐펫&amp;몹 정리(최신)'!$B:$B,0))*40))))</f>
        <v>500</v>
      </c>
      <c r="P238" s="217">
        <v>40</v>
      </c>
      <c r="Q238" s="217">
        <f t="shared" si="24"/>
        <v>63450</v>
      </c>
      <c r="R238" s="217">
        <f t="shared" si="25"/>
        <v>8513</v>
      </c>
      <c r="S238" s="217">
        <f t="shared" si="26"/>
        <v>6536</v>
      </c>
      <c r="T238" s="217">
        <f t="shared" si="27"/>
        <v>1774</v>
      </c>
      <c r="U238" s="217">
        <f t="shared" si="28"/>
        <v>23174</v>
      </c>
      <c r="V238" s="217">
        <f t="shared" si="29"/>
        <v>13656</v>
      </c>
      <c r="W238" s="217">
        <f>ROUND(AC238+(INDEX(Ref!B$1:B$9,MATCH($AI238,Ref!$A$1:$A$9,0))*P238*0.0001),)</f>
        <v>40</v>
      </c>
      <c r="X238" s="217">
        <f>ROUND(AD238+(INDEX(Ref!C$1:C$9,MATCH($AI238,Ref!$A$1:$A$9,0))*$P238*0.0001),)</f>
        <v>26</v>
      </c>
      <c r="Y238" s="217">
        <f>ROUND(AE238+(INDEX(Ref!D$1:D$9,MATCH($AI238,Ref!$A$1:$A$9,0))*$P238*0.0001),)</f>
        <v>69</v>
      </c>
      <c r="Z238" s="217">
        <f>ROUND(AF238+(INDEX(Ref!E$1:E$9,MATCH($AI238,Ref!$A$1:$A$9,0))*$P238*0.0001),)</f>
        <v>31</v>
      </c>
      <c r="AA238" s="217">
        <f>ROUND(AG238+(INDEX(Ref!F$1:F$9,MATCH($AI238,Ref!$A$1:$A$9,0))*$P238*0.0001),)</f>
        <v>35</v>
      </c>
      <c r="AB238" s="217">
        <f>ROUND(AH238+(INDEX(Ref!G$1:G$9,MATCH($AI238,Ref!$A$1:$A$9,0))*$P238*0.0001),)</f>
        <v>24</v>
      </c>
      <c r="AC238" s="137">
        <v>32</v>
      </c>
      <c r="AD238" s="137">
        <v>21</v>
      </c>
      <c r="AE238" s="137">
        <v>59</v>
      </c>
      <c r="AF238" s="137">
        <v>25</v>
      </c>
      <c r="AG238" s="137">
        <v>28</v>
      </c>
      <c r="AH238" s="137">
        <v>19</v>
      </c>
      <c r="AI238" s="208">
        <v>3</v>
      </c>
      <c r="AJ238" s="172">
        <v>3000</v>
      </c>
      <c r="AK238" s="172">
        <v>30284</v>
      </c>
      <c r="AL238" s="172">
        <v>2000</v>
      </c>
      <c r="AM238" s="172">
        <v>30286</v>
      </c>
      <c r="AN238" s="172">
        <v>0</v>
      </c>
      <c r="AO238" s="172">
        <f t="shared" si="30"/>
        <v>34284</v>
      </c>
      <c r="AP238" s="172">
        <v>0</v>
      </c>
      <c r="AQ238" s="172">
        <f t="shared" si="31"/>
        <v>34286</v>
      </c>
      <c r="AR238" s="172">
        <v>1</v>
      </c>
      <c r="AS238" s="172">
        <v>0</v>
      </c>
      <c r="AT238" s="199">
        <v>78048</v>
      </c>
      <c r="AU238" s="195" t="s">
        <v>215</v>
      </c>
    </row>
    <row r="239" spans="1:47" x14ac:dyDescent="0.2">
      <c r="A239" s="173">
        <v>55048</v>
      </c>
      <c r="B239" s="174" t="s">
        <v>213</v>
      </c>
      <c r="C239" s="172">
        <v>86048</v>
      </c>
      <c r="D239" s="172">
        <v>150048</v>
      </c>
      <c r="E239" s="206" t="s">
        <v>214</v>
      </c>
      <c r="F239" s="207">
        <v>4</v>
      </c>
      <c r="G239" s="172">
        <v>10000</v>
      </c>
      <c r="H239" s="172">
        <v>10000</v>
      </c>
      <c r="I239" s="172">
        <v>10000</v>
      </c>
      <c r="J239" s="172">
        <v>3</v>
      </c>
      <c r="K239" s="190">
        <f>IF($J239=1,INDEX('큐펫&amp;몹 정리(최신)'!P:P,MATCH($E239,'큐펫&amp;몹 정리(최신)'!$B:$B,0))*20,IF($J239=2,INDEX('큐펫&amp;몹 정리(최신)'!P:P,MATCH($E239,'큐펫&amp;몹 정리(최신)'!$B:$B,0))*25,IF($J239=3,INDEX('큐펫&amp;몹 정리(최신)'!P:P,MATCH($E239,'큐펫&amp;몹 정리(최신)'!$B:$B,0))*30,IF($J239=4,INDEX('큐펫&amp;몹 정리(최신)'!P:P,MATCH($E239,'큐펫&amp;몹 정리(최신)'!$B:$B,0))*35,INDEX('큐펫&amp;몹 정리(최신)'!P:P,MATCH($E239,'큐펫&amp;몹 정리(최신)'!$B:$B,0))*40))))</f>
        <v>1050</v>
      </c>
      <c r="L239" s="190">
        <f>IF($J239=1,INDEX('큐펫&amp;몹 정리(최신)'!Q:Q,MATCH($E239,'큐펫&amp;몹 정리(최신)'!$B:$B,0))*20,IF($J239=2,INDEX('큐펫&amp;몹 정리(최신)'!Q:Q,MATCH($E239,'큐펫&amp;몹 정리(최신)'!$B:$B,0))*25,IF($J239=3,INDEX('큐펫&amp;몹 정리(최신)'!Q:Q,MATCH($E239,'큐펫&amp;몹 정리(최신)'!$B:$B,0))*30,IF($J239=4,INDEX('큐펫&amp;몹 정리(최신)'!Q:Q,MATCH($E239,'큐펫&amp;몹 정리(최신)'!$B:$B,0))*35,INDEX('큐펫&amp;몹 정리(최신)'!Q:Q,MATCH($E239,'큐펫&amp;몹 정리(최신)'!$B:$B,0))*40))))</f>
        <v>630</v>
      </c>
      <c r="M239" s="190">
        <f>IF($J239=1,INDEX('큐펫&amp;몹 정리(최신)'!R:R,MATCH($E239,'큐펫&amp;몹 정리(최신)'!$B:$B,0))*20,IF($J239=2,INDEX('큐펫&amp;몹 정리(최신)'!R:R,MATCH($E239,'큐펫&amp;몹 정리(최신)'!$B:$B,0))*25,IF($J239=3,INDEX('큐펫&amp;몹 정리(최신)'!R:R,MATCH($E239,'큐펫&amp;몹 정리(최신)'!$B:$B,0))*30,IF($J239=4,INDEX('큐펫&amp;몹 정리(최신)'!R:R,MATCH($E239,'큐펫&amp;몹 정리(최신)'!$B:$B,0))*35,INDEX('큐펫&amp;몹 정리(최신)'!R:R,MATCH($E239,'큐펫&amp;몹 정리(최신)'!$B:$B,0))*40))))</f>
        <v>210</v>
      </c>
      <c r="N239" s="190">
        <f>IF($J239=1,INDEX('큐펫&amp;몹 정리(최신)'!S:S,MATCH($E239,'큐펫&amp;몹 정리(최신)'!$B:$B,0))*20,IF($J239=2,INDEX('큐펫&amp;몹 정리(최신)'!S:S,MATCH($E239,'큐펫&amp;몹 정리(최신)'!$B:$B,0))*25,IF($J239=3,INDEX('큐펫&amp;몹 정리(최신)'!S:S,MATCH($E239,'큐펫&amp;몹 정리(최신)'!$B:$B,0))*30,IF($J239=4,INDEX('큐펫&amp;몹 정리(최신)'!S:S,MATCH($E239,'큐펫&amp;몹 정리(최신)'!$B:$B,0))*35,INDEX('큐펫&amp;몹 정리(최신)'!S:S,MATCH($E239,'큐펫&amp;몹 정리(최신)'!$B:$B,0))*40))))</f>
        <v>510</v>
      </c>
      <c r="O239" s="190">
        <f>IF($J239=1,INDEX('큐펫&amp;몹 정리(최신)'!T:T,MATCH($E239,'큐펫&amp;몹 정리(최신)'!$B:$B,0))*20,IF($J239=2,INDEX('큐펫&amp;몹 정리(최신)'!T:T,MATCH($E239,'큐펫&amp;몹 정리(최신)'!$B:$B,0))*25,IF($J239=3,INDEX('큐펫&amp;몹 정리(최신)'!T:T,MATCH($E239,'큐펫&amp;몹 정리(최신)'!$B:$B,0))*30,IF($J239=4,INDEX('큐펫&amp;몹 정리(최신)'!T:T,MATCH($E239,'큐펫&amp;몹 정리(최신)'!$B:$B,0))*35,INDEX('큐펫&amp;몹 정리(최신)'!T:T,MATCH($E239,'큐펫&amp;몹 정리(최신)'!$B:$B,0))*40))))</f>
        <v>600</v>
      </c>
      <c r="P239" s="217">
        <v>60</v>
      </c>
      <c r="Q239" s="217">
        <f t="shared" si="24"/>
        <v>117340</v>
      </c>
      <c r="R239" s="217">
        <f t="shared" si="25"/>
        <v>14056</v>
      </c>
      <c r="S239" s="217">
        <f t="shared" si="26"/>
        <v>11244</v>
      </c>
      <c r="T239" s="217">
        <f t="shared" si="27"/>
        <v>2991</v>
      </c>
      <c r="U239" s="217">
        <f t="shared" si="28"/>
        <v>35204</v>
      </c>
      <c r="V239" s="217">
        <f t="shared" si="29"/>
        <v>20737</v>
      </c>
      <c r="W239" s="217">
        <f>ROUND(AC239+(INDEX(Ref!B$1:B$9,MATCH($AI239,Ref!$A$1:$A$9,0))*P239*0.0001),)</f>
        <v>47</v>
      </c>
      <c r="X239" s="217">
        <f>ROUND(AD239+(INDEX(Ref!C$1:C$9,MATCH($AI239,Ref!$A$1:$A$9,0))*$P239*0.0001),)</f>
        <v>31</v>
      </c>
      <c r="Y239" s="217">
        <f>ROUND(AE239+(INDEX(Ref!D$1:D$9,MATCH($AI239,Ref!$A$1:$A$9,0))*$P239*0.0001),)</f>
        <v>78</v>
      </c>
      <c r="Z239" s="217">
        <f>ROUND(AF239+(INDEX(Ref!E$1:E$9,MATCH($AI239,Ref!$A$1:$A$9,0))*$P239*0.0001),)</f>
        <v>37</v>
      </c>
      <c r="AA239" s="217">
        <f>ROUND(AG239+(INDEX(Ref!F$1:F$9,MATCH($AI239,Ref!$A$1:$A$9,0))*$P239*0.0001),)</f>
        <v>42</v>
      </c>
      <c r="AB239" s="217">
        <f>ROUND(AH239+(INDEX(Ref!G$1:G$9,MATCH($AI239,Ref!$A$1:$A$9,0))*$P239*0.0001),)</f>
        <v>28</v>
      </c>
      <c r="AC239" s="137">
        <v>36</v>
      </c>
      <c r="AD239" s="137">
        <v>23</v>
      </c>
      <c r="AE239" s="137">
        <v>64</v>
      </c>
      <c r="AF239" s="137">
        <v>28</v>
      </c>
      <c r="AG239" s="137">
        <v>32</v>
      </c>
      <c r="AH239" s="137">
        <v>21</v>
      </c>
      <c r="AI239" s="208">
        <v>3</v>
      </c>
      <c r="AJ239" s="172">
        <v>3000</v>
      </c>
      <c r="AK239" s="172">
        <v>30284</v>
      </c>
      <c r="AL239" s="172">
        <v>2000</v>
      </c>
      <c r="AM239" s="172">
        <v>30287</v>
      </c>
      <c r="AN239" s="172">
        <v>0</v>
      </c>
      <c r="AO239" s="172">
        <f t="shared" si="30"/>
        <v>34284</v>
      </c>
      <c r="AP239" s="172">
        <v>0</v>
      </c>
      <c r="AQ239" s="172">
        <f t="shared" si="31"/>
        <v>34287</v>
      </c>
      <c r="AR239" s="172">
        <v>1</v>
      </c>
      <c r="AS239" s="172">
        <v>0</v>
      </c>
      <c r="AT239" s="199">
        <v>78048</v>
      </c>
      <c r="AU239" s="195" t="s">
        <v>215</v>
      </c>
    </row>
    <row r="240" spans="1:47" x14ac:dyDescent="0.2">
      <c r="A240" s="173">
        <v>55048</v>
      </c>
      <c r="B240" s="174" t="s">
        <v>213</v>
      </c>
      <c r="C240" s="172">
        <v>86048</v>
      </c>
      <c r="D240" s="172">
        <v>150048</v>
      </c>
      <c r="E240" s="206" t="s">
        <v>214</v>
      </c>
      <c r="F240" s="207">
        <v>4</v>
      </c>
      <c r="G240" s="172">
        <v>10000</v>
      </c>
      <c r="H240" s="172">
        <v>10000</v>
      </c>
      <c r="I240" s="172">
        <v>10000</v>
      </c>
      <c r="J240" s="172">
        <v>4</v>
      </c>
      <c r="K240" s="190">
        <f>IF($J240=1,INDEX('큐펫&amp;몹 정리(최신)'!P:P,MATCH($E240,'큐펫&amp;몹 정리(최신)'!$B:$B,0))*20,IF($J240=2,INDEX('큐펫&amp;몹 정리(최신)'!P:P,MATCH($E240,'큐펫&amp;몹 정리(최신)'!$B:$B,0))*25,IF($J240=3,INDEX('큐펫&amp;몹 정리(최신)'!P:P,MATCH($E240,'큐펫&amp;몹 정리(최신)'!$B:$B,0))*30,IF($J240=4,INDEX('큐펫&amp;몹 정리(최신)'!P:P,MATCH($E240,'큐펫&amp;몹 정리(최신)'!$B:$B,0))*35,INDEX('큐펫&amp;몹 정리(최신)'!P:P,MATCH($E240,'큐펫&amp;몹 정리(최신)'!$B:$B,0))*40))))</f>
        <v>1225</v>
      </c>
      <c r="L240" s="190">
        <f>IF($J240=1,INDEX('큐펫&amp;몹 정리(최신)'!Q:Q,MATCH($E240,'큐펫&amp;몹 정리(최신)'!$B:$B,0))*20,IF($J240=2,INDEX('큐펫&amp;몹 정리(최신)'!Q:Q,MATCH($E240,'큐펫&amp;몹 정리(최신)'!$B:$B,0))*25,IF($J240=3,INDEX('큐펫&amp;몹 정리(최신)'!Q:Q,MATCH($E240,'큐펫&amp;몹 정리(최신)'!$B:$B,0))*30,IF($J240=4,INDEX('큐펫&amp;몹 정리(최신)'!Q:Q,MATCH($E240,'큐펫&amp;몹 정리(최신)'!$B:$B,0))*35,INDEX('큐펫&amp;몹 정리(최신)'!Q:Q,MATCH($E240,'큐펫&amp;몹 정리(최신)'!$B:$B,0))*40))))</f>
        <v>735</v>
      </c>
      <c r="M240" s="190">
        <f>IF($J240=1,INDEX('큐펫&amp;몹 정리(최신)'!R:R,MATCH($E240,'큐펫&amp;몹 정리(최신)'!$B:$B,0))*20,IF($J240=2,INDEX('큐펫&amp;몹 정리(최신)'!R:R,MATCH($E240,'큐펫&amp;몹 정리(최신)'!$B:$B,0))*25,IF($J240=3,INDEX('큐펫&amp;몹 정리(최신)'!R:R,MATCH($E240,'큐펫&amp;몹 정리(최신)'!$B:$B,0))*30,IF($J240=4,INDEX('큐펫&amp;몹 정리(최신)'!R:R,MATCH($E240,'큐펫&amp;몹 정리(최신)'!$B:$B,0))*35,INDEX('큐펫&amp;몹 정리(최신)'!R:R,MATCH($E240,'큐펫&amp;몹 정리(최신)'!$B:$B,0))*40))))</f>
        <v>245</v>
      </c>
      <c r="N240" s="190">
        <f>IF($J240=1,INDEX('큐펫&amp;몹 정리(최신)'!S:S,MATCH($E240,'큐펫&amp;몹 정리(최신)'!$B:$B,0))*20,IF($J240=2,INDEX('큐펫&amp;몹 정리(최신)'!S:S,MATCH($E240,'큐펫&amp;몹 정리(최신)'!$B:$B,0))*25,IF($J240=3,INDEX('큐펫&amp;몹 정리(최신)'!S:S,MATCH($E240,'큐펫&amp;몹 정리(최신)'!$B:$B,0))*30,IF($J240=4,INDEX('큐펫&amp;몹 정리(최신)'!S:S,MATCH($E240,'큐펫&amp;몹 정리(최신)'!$B:$B,0))*35,INDEX('큐펫&amp;몹 정리(최신)'!S:S,MATCH($E240,'큐펫&amp;몹 정리(최신)'!$B:$B,0))*40))))</f>
        <v>595</v>
      </c>
      <c r="O240" s="190">
        <f>IF($J240=1,INDEX('큐펫&amp;몹 정리(최신)'!T:T,MATCH($E240,'큐펫&amp;몹 정리(최신)'!$B:$B,0))*20,IF($J240=2,INDEX('큐펫&amp;몹 정리(최신)'!T:T,MATCH($E240,'큐펫&amp;몹 정리(최신)'!$B:$B,0))*25,IF($J240=3,INDEX('큐펫&amp;몹 정리(최신)'!T:T,MATCH($E240,'큐펫&amp;몹 정리(최신)'!$B:$B,0))*30,IF($J240=4,INDEX('큐펫&amp;몹 정리(최신)'!T:T,MATCH($E240,'큐펫&amp;몹 정리(최신)'!$B:$B,0))*35,INDEX('큐펫&amp;몹 정리(최신)'!T:T,MATCH($E240,'큐펫&amp;몹 정리(최신)'!$B:$B,0))*40))))</f>
        <v>700</v>
      </c>
      <c r="P240" s="217">
        <v>80</v>
      </c>
      <c r="Q240" s="217">
        <f t="shared" si="24"/>
        <v>190340</v>
      </c>
      <c r="R240" s="217">
        <f t="shared" si="25"/>
        <v>21599</v>
      </c>
      <c r="S240" s="217">
        <f t="shared" si="26"/>
        <v>17805</v>
      </c>
      <c r="T240" s="217">
        <f t="shared" si="27"/>
        <v>4670</v>
      </c>
      <c r="U240" s="217">
        <f t="shared" si="28"/>
        <v>49996</v>
      </c>
      <c r="V240" s="217">
        <f t="shared" si="29"/>
        <v>29443</v>
      </c>
      <c r="W240" s="217">
        <f>ROUND(AC240+(INDEX(Ref!B$1:B$9,MATCH($AI240,Ref!$A$1:$A$9,0))*P240*0.0001),)</f>
        <v>54</v>
      </c>
      <c r="X240" s="217">
        <f>ROUND(AD240+(INDEX(Ref!C$1:C$9,MATCH($AI240,Ref!$A$1:$A$9,0))*$P240*0.0001),)</f>
        <v>36</v>
      </c>
      <c r="Y240" s="217">
        <f>ROUND(AE240+(INDEX(Ref!D$1:D$9,MATCH($AI240,Ref!$A$1:$A$9,0))*$P240*0.0001),)</f>
        <v>88</v>
      </c>
      <c r="Z240" s="217">
        <f>ROUND(AF240+(INDEX(Ref!E$1:E$9,MATCH($AI240,Ref!$A$1:$A$9,0))*$P240*0.0001),)</f>
        <v>43</v>
      </c>
      <c r="AA240" s="217">
        <f>ROUND(AG240+(INDEX(Ref!F$1:F$9,MATCH($AI240,Ref!$A$1:$A$9,0))*$P240*0.0001),)</f>
        <v>49</v>
      </c>
      <c r="AB240" s="217">
        <f>ROUND(AH240+(INDEX(Ref!G$1:G$9,MATCH($AI240,Ref!$A$1:$A$9,0))*$P240*0.0001),)</f>
        <v>34</v>
      </c>
      <c r="AC240" s="137">
        <v>39</v>
      </c>
      <c r="AD240" s="137">
        <v>26</v>
      </c>
      <c r="AE240" s="137">
        <v>69</v>
      </c>
      <c r="AF240" s="137">
        <v>31</v>
      </c>
      <c r="AG240" s="137">
        <v>35</v>
      </c>
      <c r="AH240" s="137">
        <v>24</v>
      </c>
      <c r="AI240" s="208">
        <v>3</v>
      </c>
      <c r="AJ240" s="172">
        <v>3000</v>
      </c>
      <c r="AK240" s="172">
        <v>30285</v>
      </c>
      <c r="AL240" s="172">
        <v>2000</v>
      </c>
      <c r="AM240" s="172">
        <v>30287</v>
      </c>
      <c r="AN240" s="172">
        <v>0</v>
      </c>
      <c r="AO240" s="172">
        <f t="shared" si="30"/>
        <v>34285</v>
      </c>
      <c r="AP240" s="172">
        <v>0</v>
      </c>
      <c r="AQ240" s="172">
        <f t="shared" si="31"/>
        <v>34287</v>
      </c>
      <c r="AR240" s="172">
        <v>1</v>
      </c>
      <c r="AS240" s="172">
        <v>0</v>
      </c>
      <c r="AT240" s="199">
        <v>78048</v>
      </c>
      <c r="AU240" s="195" t="s">
        <v>215</v>
      </c>
    </row>
    <row r="241" spans="1:47" x14ac:dyDescent="0.2">
      <c r="A241" s="173">
        <v>55048</v>
      </c>
      <c r="B241" s="174" t="s">
        <v>213</v>
      </c>
      <c r="C241" s="172">
        <v>86048</v>
      </c>
      <c r="D241" s="172">
        <v>150048</v>
      </c>
      <c r="E241" s="206" t="s">
        <v>214</v>
      </c>
      <c r="F241" s="207">
        <v>4</v>
      </c>
      <c r="G241" s="172">
        <v>10000</v>
      </c>
      <c r="H241" s="172">
        <v>10000</v>
      </c>
      <c r="I241" s="172">
        <v>10000</v>
      </c>
      <c r="J241" s="172">
        <v>5</v>
      </c>
      <c r="K241" s="190">
        <f>IF($J241=1,INDEX('큐펫&amp;몹 정리(최신)'!P:P,MATCH($E241,'큐펫&amp;몹 정리(최신)'!$B:$B,0))*20,IF($J241=2,INDEX('큐펫&amp;몹 정리(최신)'!P:P,MATCH($E241,'큐펫&amp;몹 정리(최신)'!$B:$B,0))*25,IF($J241=3,INDEX('큐펫&amp;몹 정리(최신)'!P:P,MATCH($E241,'큐펫&amp;몹 정리(최신)'!$B:$B,0))*30,IF($J241=4,INDEX('큐펫&amp;몹 정리(최신)'!P:P,MATCH($E241,'큐펫&amp;몹 정리(최신)'!$B:$B,0))*35,INDEX('큐펫&amp;몹 정리(최신)'!P:P,MATCH($E241,'큐펫&amp;몹 정리(최신)'!$B:$B,0))*40))))</f>
        <v>1400</v>
      </c>
      <c r="L241" s="190">
        <f>IF($J241=1,INDEX('큐펫&amp;몹 정리(최신)'!Q:Q,MATCH($E241,'큐펫&amp;몹 정리(최신)'!$B:$B,0))*20,IF($J241=2,INDEX('큐펫&amp;몹 정리(최신)'!Q:Q,MATCH($E241,'큐펫&amp;몹 정리(최신)'!$B:$B,0))*25,IF($J241=3,INDEX('큐펫&amp;몹 정리(최신)'!Q:Q,MATCH($E241,'큐펫&amp;몹 정리(최신)'!$B:$B,0))*30,IF($J241=4,INDEX('큐펫&amp;몹 정리(최신)'!Q:Q,MATCH($E241,'큐펫&amp;몹 정리(최신)'!$B:$B,0))*35,INDEX('큐펫&amp;몹 정리(최신)'!Q:Q,MATCH($E241,'큐펫&amp;몹 정리(최신)'!$B:$B,0))*40))))</f>
        <v>840</v>
      </c>
      <c r="M241" s="190">
        <f>IF($J241=1,INDEX('큐펫&amp;몹 정리(최신)'!R:R,MATCH($E241,'큐펫&amp;몹 정리(최신)'!$B:$B,0))*20,IF($J241=2,INDEX('큐펫&amp;몹 정리(최신)'!R:R,MATCH($E241,'큐펫&amp;몹 정리(최신)'!$B:$B,0))*25,IF($J241=3,INDEX('큐펫&amp;몹 정리(최신)'!R:R,MATCH($E241,'큐펫&amp;몹 정리(최신)'!$B:$B,0))*30,IF($J241=4,INDEX('큐펫&amp;몹 정리(최신)'!R:R,MATCH($E241,'큐펫&amp;몹 정리(최신)'!$B:$B,0))*35,INDEX('큐펫&amp;몹 정리(최신)'!R:R,MATCH($E241,'큐펫&amp;몹 정리(최신)'!$B:$B,0))*40))))</f>
        <v>280</v>
      </c>
      <c r="N241" s="190">
        <f>IF($J241=1,INDEX('큐펫&amp;몹 정리(최신)'!S:S,MATCH($E241,'큐펫&amp;몹 정리(최신)'!$B:$B,0))*20,IF($J241=2,INDEX('큐펫&amp;몹 정리(최신)'!S:S,MATCH($E241,'큐펫&amp;몹 정리(최신)'!$B:$B,0))*25,IF($J241=3,INDEX('큐펫&amp;몹 정리(최신)'!S:S,MATCH($E241,'큐펫&amp;몹 정리(최신)'!$B:$B,0))*30,IF($J241=4,INDEX('큐펫&amp;몹 정리(최신)'!S:S,MATCH($E241,'큐펫&amp;몹 정리(최신)'!$B:$B,0))*35,INDEX('큐펫&amp;몹 정리(최신)'!S:S,MATCH($E241,'큐펫&amp;몹 정리(최신)'!$B:$B,0))*40))))</f>
        <v>680</v>
      </c>
      <c r="O241" s="190">
        <f>IF($J241=1,INDEX('큐펫&amp;몹 정리(최신)'!T:T,MATCH($E241,'큐펫&amp;몹 정리(최신)'!$B:$B,0))*20,IF($J241=2,INDEX('큐펫&amp;몹 정리(최신)'!T:T,MATCH($E241,'큐펫&amp;몹 정리(최신)'!$B:$B,0))*25,IF($J241=3,INDEX('큐펫&amp;몹 정리(최신)'!T:T,MATCH($E241,'큐펫&amp;몹 정리(최신)'!$B:$B,0))*30,IF($J241=4,INDEX('큐펫&amp;몹 정리(최신)'!T:T,MATCH($E241,'큐펫&amp;몹 정리(최신)'!$B:$B,0))*35,INDEX('큐펫&amp;몹 정리(최신)'!T:T,MATCH($E241,'큐펫&amp;몹 정리(최신)'!$B:$B,0))*40))))</f>
        <v>800</v>
      </c>
      <c r="P241" s="217">
        <v>100</v>
      </c>
      <c r="Q241" s="217">
        <f t="shared" si="24"/>
        <v>284200</v>
      </c>
      <c r="R241" s="217">
        <f t="shared" si="25"/>
        <v>32484</v>
      </c>
      <c r="S241" s="217">
        <f t="shared" si="26"/>
        <v>25593</v>
      </c>
      <c r="T241" s="217">
        <f t="shared" si="27"/>
        <v>6887</v>
      </c>
      <c r="U241" s="217">
        <f t="shared" si="28"/>
        <v>67339</v>
      </c>
      <c r="V241" s="217">
        <f t="shared" si="29"/>
        <v>39649</v>
      </c>
      <c r="W241" s="217">
        <f>ROUND(AC241+(INDEX(Ref!B$1:B$9,MATCH($AI241,Ref!$A$1:$A$9,0))*P241*0.0001),)</f>
        <v>62</v>
      </c>
      <c r="X241" s="217">
        <f>ROUND(AD241+(INDEX(Ref!C$1:C$9,MATCH($AI241,Ref!$A$1:$A$9,0))*$P241*0.0001),)</f>
        <v>42</v>
      </c>
      <c r="Y241" s="217">
        <f>ROUND(AE241+(INDEX(Ref!D$1:D$9,MATCH($AI241,Ref!$A$1:$A$9,0))*$P241*0.0001),)</f>
        <v>98</v>
      </c>
      <c r="Z241" s="217">
        <f>ROUND(AF241+(INDEX(Ref!E$1:E$9,MATCH($AI241,Ref!$A$1:$A$9,0))*$P241*0.0001),)</f>
        <v>49</v>
      </c>
      <c r="AA241" s="217">
        <f>ROUND(AG241+(INDEX(Ref!F$1:F$9,MATCH($AI241,Ref!$A$1:$A$9,0))*$P241*0.0001),)</f>
        <v>55</v>
      </c>
      <c r="AB241" s="217">
        <f>ROUND(AH241+(INDEX(Ref!G$1:G$9,MATCH($AI241,Ref!$A$1:$A$9,0))*$P241*0.0001),)</f>
        <v>38</v>
      </c>
      <c r="AC241" s="137">
        <v>43</v>
      </c>
      <c r="AD241" s="137">
        <v>29</v>
      </c>
      <c r="AE241" s="137">
        <v>74</v>
      </c>
      <c r="AF241" s="137">
        <v>34</v>
      </c>
      <c r="AG241" s="137">
        <v>38</v>
      </c>
      <c r="AH241" s="137">
        <v>26</v>
      </c>
      <c r="AI241" s="208">
        <v>3</v>
      </c>
      <c r="AJ241" s="172">
        <v>3000</v>
      </c>
      <c r="AK241" s="172">
        <v>30285</v>
      </c>
      <c r="AL241" s="172">
        <v>2000</v>
      </c>
      <c r="AM241" s="172">
        <v>30288</v>
      </c>
      <c r="AN241" s="172">
        <v>0</v>
      </c>
      <c r="AO241" s="172">
        <f t="shared" si="30"/>
        <v>34285</v>
      </c>
      <c r="AP241" s="172">
        <v>0</v>
      </c>
      <c r="AQ241" s="172">
        <f t="shared" si="31"/>
        <v>34288</v>
      </c>
      <c r="AR241" s="172">
        <v>1</v>
      </c>
      <c r="AS241" s="172">
        <v>0</v>
      </c>
      <c r="AT241" s="199">
        <v>78048</v>
      </c>
      <c r="AU241" s="195" t="s">
        <v>215</v>
      </c>
    </row>
    <row r="242" spans="1:47" x14ac:dyDescent="0.2">
      <c r="A242" s="173">
        <v>55049</v>
      </c>
      <c r="B242" s="174" t="s">
        <v>216</v>
      </c>
      <c r="C242" s="172">
        <v>86049</v>
      </c>
      <c r="D242" s="172">
        <v>150049</v>
      </c>
      <c r="E242" s="206" t="s">
        <v>217</v>
      </c>
      <c r="F242" s="207">
        <v>4</v>
      </c>
      <c r="G242" s="172">
        <v>10000</v>
      </c>
      <c r="H242" s="172">
        <v>10000</v>
      </c>
      <c r="I242" s="172">
        <v>10000</v>
      </c>
      <c r="J242" s="172">
        <v>1</v>
      </c>
      <c r="K242" s="190">
        <f>IF($J242=1,INDEX('큐펫&amp;몹 정리(최신)'!P:P,MATCH($E242,'큐펫&amp;몹 정리(최신)'!$B:$B,0))*20,IF($J242=2,INDEX('큐펫&amp;몹 정리(최신)'!P:P,MATCH($E242,'큐펫&amp;몹 정리(최신)'!$B:$B,0))*25,IF($J242=3,INDEX('큐펫&amp;몹 정리(최신)'!P:P,MATCH($E242,'큐펫&amp;몹 정리(최신)'!$B:$B,0))*30,IF($J242=4,INDEX('큐펫&amp;몹 정리(최신)'!P:P,MATCH($E242,'큐펫&amp;몹 정리(최신)'!$B:$B,0))*35,INDEX('큐펫&amp;몹 정리(최신)'!P:P,MATCH($E242,'큐펫&amp;몹 정리(최신)'!$B:$B,0))*40))))</f>
        <v>700</v>
      </c>
      <c r="L242" s="190">
        <f>IF($J242=1,INDEX('큐펫&amp;몹 정리(최신)'!Q:Q,MATCH($E242,'큐펫&amp;몹 정리(최신)'!$B:$B,0))*20,IF($J242=2,INDEX('큐펫&amp;몹 정리(최신)'!Q:Q,MATCH($E242,'큐펫&amp;몹 정리(최신)'!$B:$B,0))*25,IF($J242=3,INDEX('큐펫&amp;몹 정리(최신)'!Q:Q,MATCH($E242,'큐펫&amp;몹 정리(최신)'!$B:$B,0))*30,IF($J242=4,INDEX('큐펫&amp;몹 정리(최신)'!Q:Q,MATCH($E242,'큐펫&amp;몹 정리(최신)'!$B:$B,0))*35,INDEX('큐펫&amp;몹 정리(최신)'!Q:Q,MATCH($E242,'큐펫&amp;몹 정리(최신)'!$B:$B,0))*40))))</f>
        <v>140</v>
      </c>
      <c r="M242" s="190">
        <f>IF($J242=1,INDEX('큐펫&amp;몹 정리(최신)'!R:R,MATCH($E242,'큐펫&amp;몹 정리(최신)'!$B:$B,0))*20,IF($J242=2,INDEX('큐펫&amp;몹 정리(최신)'!R:R,MATCH($E242,'큐펫&amp;몹 정리(최신)'!$B:$B,0))*25,IF($J242=3,INDEX('큐펫&amp;몹 정리(최신)'!R:R,MATCH($E242,'큐펫&amp;몹 정리(최신)'!$B:$B,0))*30,IF($J242=4,INDEX('큐펫&amp;몹 정리(최신)'!R:R,MATCH($E242,'큐펫&amp;몹 정리(최신)'!$B:$B,0))*35,INDEX('큐펫&amp;몹 정리(최신)'!R:R,MATCH($E242,'큐펫&amp;몹 정리(최신)'!$B:$B,0))*40))))</f>
        <v>420</v>
      </c>
      <c r="N242" s="190">
        <f>IF($J242=1,INDEX('큐펫&amp;몹 정리(최신)'!S:S,MATCH($E242,'큐펫&amp;몹 정리(최신)'!$B:$B,0))*20,IF($J242=2,INDEX('큐펫&amp;몹 정리(최신)'!S:S,MATCH($E242,'큐펫&amp;몹 정리(최신)'!$B:$B,0))*25,IF($J242=3,INDEX('큐펫&amp;몹 정리(최신)'!S:S,MATCH($E242,'큐펫&amp;몹 정리(최신)'!$B:$B,0))*30,IF($J242=4,INDEX('큐펫&amp;몹 정리(최신)'!S:S,MATCH($E242,'큐펫&amp;몹 정리(최신)'!$B:$B,0))*35,INDEX('큐펫&amp;몹 정리(최신)'!S:S,MATCH($E242,'큐펫&amp;몹 정리(최신)'!$B:$B,0))*40))))</f>
        <v>340</v>
      </c>
      <c r="O242" s="190">
        <f>IF($J242=1,INDEX('큐펫&amp;몹 정리(최신)'!T:T,MATCH($E242,'큐펫&amp;몹 정리(최신)'!$B:$B,0))*20,IF($J242=2,INDEX('큐펫&amp;몹 정리(최신)'!T:T,MATCH($E242,'큐펫&amp;몹 정리(최신)'!$B:$B,0))*25,IF($J242=3,INDEX('큐펫&amp;몹 정리(최신)'!T:T,MATCH($E242,'큐펫&amp;몹 정리(최신)'!$B:$B,0))*30,IF($J242=4,INDEX('큐펫&amp;몹 정리(최신)'!T:T,MATCH($E242,'큐펫&amp;몹 정리(최신)'!$B:$B,0))*35,INDEX('큐펫&amp;몹 정리(최신)'!T:T,MATCH($E242,'큐펫&amp;몹 정리(최신)'!$B:$B,0))*40))))</f>
        <v>400</v>
      </c>
      <c r="P242" s="217">
        <v>20</v>
      </c>
      <c r="Q242" s="217">
        <f t="shared" si="24"/>
        <v>25760</v>
      </c>
      <c r="R242" s="217">
        <f t="shared" si="25"/>
        <v>945</v>
      </c>
      <c r="S242" s="217">
        <f t="shared" si="26"/>
        <v>1173</v>
      </c>
      <c r="T242" s="217">
        <f t="shared" si="27"/>
        <v>4383</v>
      </c>
      <c r="U242" s="217">
        <f t="shared" si="28"/>
        <v>13438</v>
      </c>
      <c r="V242" s="217">
        <f t="shared" si="29"/>
        <v>7932</v>
      </c>
      <c r="W242" s="217">
        <f>ROUND(AC242+(INDEX(Ref!B$1:B$9,MATCH($AI242,Ref!$A$1:$A$9,0))*P242*0.0001),)</f>
        <v>25</v>
      </c>
      <c r="X242" s="217">
        <f>ROUND(AD242+(INDEX(Ref!C$1:C$9,MATCH($AI242,Ref!$A$1:$A$9,0))*$P242*0.0001),)</f>
        <v>21</v>
      </c>
      <c r="Y242" s="217">
        <f>ROUND(AE242+(INDEX(Ref!D$1:D$9,MATCH($AI242,Ref!$A$1:$A$9,0))*$P242*0.0001),)</f>
        <v>59</v>
      </c>
      <c r="Z242" s="217">
        <f>ROUND(AF242+(INDEX(Ref!E$1:E$9,MATCH($AI242,Ref!$A$1:$A$9,0))*$P242*0.0001),)</f>
        <v>32</v>
      </c>
      <c r="AA242" s="217">
        <f>ROUND(AG242+(INDEX(Ref!F$1:F$9,MATCH($AI242,Ref!$A$1:$A$9,0))*$P242*0.0001),)</f>
        <v>28</v>
      </c>
      <c r="AB242" s="217">
        <f>ROUND(AH242+(INDEX(Ref!G$1:G$9,MATCH($AI242,Ref!$A$1:$A$9,0))*$P242*0.0001),)</f>
        <v>19</v>
      </c>
      <c r="AC242" s="137">
        <v>22</v>
      </c>
      <c r="AD242" s="137">
        <v>18</v>
      </c>
      <c r="AE242" s="137">
        <v>54</v>
      </c>
      <c r="AF242" s="137">
        <v>28</v>
      </c>
      <c r="AG242" s="137">
        <v>25</v>
      </c>
      <c r="AH242" s="137">
        <v>17</v>
      </c>
      <c r="AI242" s="208">
        <v>4</v>
      </c>
      <c r="AJ242" s="172">
        <v>3000</v>
      </c>
      <c r="AK242" s="172">
        <v>30289</v>
      </c>
      <c r="AL242" s="172">
        <v>2000</v>
      </c>
      <c r="AM242" s="172">
        <v>30292</v>
      </c>
      <c r="AN242" s="172">
        <v>0</v>
      </c>
      <c r="AO242" s="172">
        <f t="shared" si="30"/>
        <v>34289</v>
      </c>
      <c r="AP242" s="172">
        <v>0</v>
      </c>
      <c r="AQ242" s="172">
        <f t="shared" si="31"/>
        <v>34292</v>
      </c>
      <c r="AR242" s="172">
        <v>1</v>
      </c>
      <c r="AS242" s="172">
        <v>0</v>
      </c>
      <c r="AT242" s="199">
        <v>78049</v>
      </c>
      <c r="AU242" s="195" t="s">
        <v>218</v>
      </c>
    </row>
    <row r="243" spans="1:47" x14ac:dyDescent="0.2">
      <c r="A243" s="173">
        <v>55049</v>
      </c>
      <c r="B243" s="174" t="s">
        <v>216</v>
      </c>
      <c r="C243" s="172">
        <v>86049</v>
      </c>
      <c r="D243" s="172">
        <v>150049</v>
      </c>
      <c r="E243" s="206" t="s">
        <v>217</v>
      </c>
      <c r="F243" s="207">
        <v>4</v>
      </c>
      <c r="G243" s="172">
        <v>10000</v>
      </c>
      <c r="H243" s="172">
        <v>10000</v>
      </c>
      <c r="I243" s="172">
        <v>10000</v>
      </c>
      <c r="J243" s="172">
        <v>2</v>
      </c>
      <c r="K243" s="190">
        <f>IF($J243=1,INDEX('큐펫&amp;몹 정리(최신)'!P:P,MATCH($E243,'큐펫&amp;몹 정리(최신)'!$B:$B,0))*20,IF($J243=2,INDEX('큐펫&amp;몹 정리(최신)'!P:P,MATCH($E243,'큐펫&amp;몹 정리(최신)'!$B:$B,0))*25,IF($J243=3,INDEX('큐펫&amp;몹 정리(최신)'!P:P,MATCH($E243,'큐펫&amp;몹 정리(최신)'!$B:$B,0))*30,IF($J243=4,INDEX('큐펫&amp;몹 정리(최신)'!P:P,MATCH($E243,'큐펫&amp;몹 정리(최신)'!$B:$B,0))*35,INDEX('큐펫&amp;몹 정리(최신)'!P:P,MATCH($E243,'큐펫&amp;몹 정리(최신)'!$B:$B,0))*40))))</f>
        <v>875</v>
      </c>
      <c r="L243" s="190">
        <f>IF($J243=1,INDEX('큐펫&amp;몹 정리(최신)'!Q:Q,MATCH($E243,'큐펫&amp;몹 정리(최신)'!$B:$B,0))*20,IF($J243=2,INDEX('큐펫&amp;몹 정리(최신)'!Q:Q,MATCH($E243,'큐펫&amp;몹 정리(최신)'!$B:$B,0))*25,IF($J243=3,INDEX('큐펫&amp;몹 정리(최신)'!Q:Q,MATCH($E243,'큐펫&amp;몹 정리(최신)'!$B:$B,0))*30,IF($J243=4,INDEX('큐펫&amp;몹 정리(최신)'!Q:Q,MATCH($E243,'큐펫&amp;몹 정리(최신)'!$B:$B,0))*35,INDEX('큐펫&amp;몹 정리(최신)'!Q:Q,MATCH($E243,'큐펫&amp;몹 정리(최신)'!$B:$B,0))*40))))</f>
        <v>175</v>
      </c>
      <c r="M243" s="190">
        <f>IF($J243=1,INDEX('큐펫&amp;몹 정리(최신)'!R:R,MATCH($E243,'큐펫&amp;몹 정리(최신)'!$B:$B,0))*20,IF($J243=2,INDEX('큐펫&amp;몹 정리(최신)'!R:R,MATCH($E243,'큐펫&amp;몹 정리(최신)'!$B:$B,0))*25,IF($J243=3,INDEX('큐펫&amp;몹 정리(최신)'!R:R,MATCH($E243,'큐펫&amp;몹 정리(최신)'!$B:$B,0))*30,IF($J243=4,INDEX('큐펫&amp;몹 정리(최신)'!R:R,MATCH($E243,'큐펫&amp;몹 정리(최신)'!$B:$B,0))*35,INDEX('큐펫&amp;몹 정리(최신)'!R:R,MATCH($E243,'큐펫&amp;몹 정리(최신)'!$B:$B,0))*40))))</f>
        <v>525</v>
      </c>
      <c r="N243" s="190">
        <f>IF($J243=1,INDEX('큐펫&amp;몹 정리(최신)'!S:S,MATCH($E243,'큐펫&amp;몹 정리(최신)'!$B:$B,0))*20,IF($J243=2,INDEX('큐펫&amp;몹 정리(최신)'!S:S,MATCH($E243,'큐펫&amp;몹 정리(최신)'!$B:$B,0))*25,IF($J243=3,INDEX('큐펫&amp;몹 정리(최신)'!S:S,MATCH($E243,'큐펫&amp;몹 정리(최신)'!$B:$B,0))*30,IF($J243=4,INDEX('큐펫&amp;몹 정리(최신)'!S:S,MATCH($E243,'큐펫&amp;몹 정리(최신)'!$B:$B,0))*35,INDEX('큐펫&amp;몹 정리(최신)'!S:S,MATCH($E243,'큐펫&amp;몹 정리(최신)'!$B:$B,0))*40))))</f>
        <v>425</v>
      </c>
      <c r="O243" s="190">
        <f>IF($J243=1,INDEX('큐펫&amp;몹 정리(최신)'!T:T,MATCH($E243,'큐펫&amp;몹 정리(최신)'!$B:$B,0))*20,IF($J243=2,INDEX('큐펫&amp;몹 정리(최신)'!T:T,MATCH($E243,'큐펫&amp;몹 정리(최신)'!$B:$B,0))*25,IF($J243=3,INDEX('큐펫&amp;몹 정리(최신)'!T:T,MATCH($E243,'큐펫&amp;몹 정리(최신)'!$B:$B,0))*30,IF($J243=4,INDEX('큐펫&amp;몹 정리(최신)'!T:T,MATCH($E243,'큐펫&amp;몹 정리(최신)'!$B:$B,0))*35,INDEX('큐펫&amp;몹 정리(최신)'!T:T,MATCH($E243,'큐펫&amp;몹 정리(최신)'!$B:$B,0))*40))))</f>
        <v>500</v>
      </c>
      <c r="P243" s="217">
        <v>40</v>
      </c>
      <c r="Q243" s="217">
        <f t="shared" si="24"/>
        <v>63450</v>
      </c>
      <c r="R243" s="217">
        <f t="shared" si="25"/>
        <v>1777</v>
      </c>
      <c r="S243" s="217">
        <f t="shared" si="26"/>
        <v>2246</v>
      </c>
      <c r="T243" s="217">
        <f t="shared" si="27"/>
        <v>8510</v>
      </c>
      <c r="U243" s="217">
        <f t="shared" si="28"/>
        <v>23171</v>
      </c>
      <c r="V243" s="217">
        <f t="shared" si="29"/>
        <v>13665</v>
      </c>
      <c r="W243" s="217">
        <f>ROUND(AC243+(INDEX(Ref!B$1:B$9,MATCH($AI243,Ref!$A$1:$A$9,0))*P243*0.0001),)</f>
        <v>31</v>
      </c>
      <c r="X243" s="217">
        <f>ROUND(AD243+(INDEX(Ref!C$1:C$9,MATCH($AI243,Ref!$A$1:$A$9,0))*$P243*0.0001),)</f>
        <v>26</v>
      </c>
      <c r="Y243" s="217">
        <f>ROUND(AE243+(INDEX(Ref!D$1:D$9,MATCH($AI243,Ref!$A$1:$A$9,0))*$P243*0.0001),)</f>
        <v>69</v>
      </c>
      <c r="Z243" s="217">
        <f>ROUND(AF243+(INDEX(Ref!E$1:E$9,MATCH($AI243,Ref!$A$1:$A$9,0))*$P243*0.0001),)</f>
        <v>40</v>
      </c>
      <c r="AA243" s="217">
        <f>ROUND(AG243+(INDEX(Ref!F$1:F$9,MATCH($AI243,Ref!$A$1:$A$9,0))*$P243*0.0001),)</f>
        <v>35</v>
      </c>
      <c r="AB243" s="217">
        <f>ROUND(AH243+(INDEX(Ref!G$1:G$9,MATCH($AI243,Ref!$A$1:$A$9,0))*$P243*0.0001),)</f>
        <v>24</v>
      </c>
      <c r="AC243" s="137">
        <v>25</v>
      </c>
      <c r="AD243" s="137">
        <v>21</v>
      </c>
      <c r="AE243" s="137">
        <v>59</v>
      </c>
      <c r="AF243" s="137">
        <v>32</v>
      </c>
      <c r="AG243" s="137">
        <v>28</v>
      </c>
      <c r="AH243" s="137">
        <v>19</v>
      </c>
      <c r="AI243" s="208">
        <v>4</v>
      </c>
      <c r="AJ243" s="172">
        <v>3000</v>
      </c>
      <c r="AK243" s="172">
        <v>30290</v>
      </c>
      <c r="AL243" s="172">
        <v>2000</v>
      </c>
      <c r="AM243" s="172">
        <v>30292</v>
      </c>
      <c r="AN243" s="172">
        <v>0</v>
      </c>
      <c r="AO243" s="172">
        <f t="shared" si="30"/>
        <v>34290</v>
      </c>
      <c r="AP243" s="172">
        <v>0</v>
      </c>
      <c r="AQ243" s="172">
        <f t="shared" si="31"/>
        <v>34292</v>
      </c>
      <c r="AR243" s="172">
        <v>1</v>
      </c>
      <c r="AS243" s="172">
        <v>0</v>
      </c>
      <c r="AT243" s="199">
        <v>78049</v>
      </c>
      <c r="AU243" s="195" t="s">
        <v>218</v>
      </c>
    </row>
    <row r="244" spans="1:47" x14ac:dyDescent="0.2">
      <c r="A244" s="173">
        <v>55049</v>
      </c>
      <c r="B244" s="174" t="s">
        <v>216</v>
      </c>
      <c r="C244" s="172">
        <v>86049</v>
      </c>
      <c r="D244" s="172">
        <v>150049</v>
      </c>
      <c r="E244" s="206" t="s">
        <v>217</v>
      </c>
      <c r="F244" s="207">
        <v>4</v>
      </c>
      <c r="G244" s="172">
        <v>10000</v>
      </c>
      <c r="H244" s="172">
        <v>10000</v>
      </c>
      <c r="I244" s="172">
        <v>10000</v>
      </c>
      <c r="J244" s="172">
        <v>3</v>
      </c>
      <c r="K244" s="190">
        <f>IF($J244=1,INDEX('큐펫&amp;몹 정리(최신)'!P:P,MATCH($E244,'큐펫&amp;몹 정리(최신)'!$B:$B,0))*20,IF($J244=2,INDEX('큐펫&amp;몹 정리(최신)'!P:P,MATCH($E244,'큐펫&amp;몹 정리(최신)'!$B:$B,0))*25,IF($J244=3,INDEX('큐펫&amp;몹 정리(최신)'!P:P,MATCH($E244,'큐펫&amp;몹 정리(최신)'!$B:$B,0))*30,IF($J244=4,INDEX('큐펫&amp;몹 정리(최신)'!P:P,MATCH($E244,'큐펫&amp;몹 정리(최신)'!$B:$B,0))*35,INDEX('큐펫&amp;몹 정리(최신)'!P:P,MATCH($E244,'큐펫&amp;몹 정리(최신)'!$B:$B,0))*40))))</f>
        <v>1050</v>
      </c>
      <c r="L244" s="190">
        <f>IF($J244=1,INDEX('큐펫&amp;몹 정리(최신)'!Q:Q,MATCH($E244,'큐펫&amp;몹 정리(최신)'!$B:$B,0))*20,IF($J244=2,INDEX('큐펫&amp;몹 정리(최신)'!Q:Q,MATCH($E244,'큐펫&amp;몹 정리(최신)'!$B:$B,0))*25,IF($J244=3,INDEX('큐펫&amp;몹 정리(최신)'!Q:Q,MATCH($E244,'큐펫&amp;몹 정리(최신)'!$B:$B,0))*30,IF($J244=4,INDEX('큐펫&amp;몹 정리(최신)'!Q:Q,MATCH($E244,'큐펫&amp;몹 정리(최신)'!$B:$B,0))*35,INDEX('큐펫&amp;몹 정리(최신)'!Q:Q,MATCH($E244,'큐펫&amp;몹 정리(최신)'!$B:$B,0))*40))))</f>
        <v>210</v>
      </c>
      <c r="M244" s="190">
        <f>IF($J244=1,INDEX('큐펫&amp;몹 정리(최신)'!R:R,MATCH($E244,'큐펫&amp;몹 정리(최신)'!$B:$B,0))*20,IF($J244=2,INDEX('큐펫&amp;몹 정리(최신)'!R:R,MATCH($E244,'큐펫&amp;몹 정리(최신)'!$B:$B,0))*25,IF($J244=3,INDEX('큐펫&amp;몹 정리(최신)'!R:R,MATCH($E244,'큐펫&amp;몹 정리(최신)'!$B:$B,0))*30,IF($J244=4,INDEX('큐펫&amp;몹 정리(최신)'!R:R,MATCH($E244,'큐펫&amp;몹 정리(최신)'!$B:$B,0))*35,INDEX('큐펫&amp;몹 정리(최신)'!R:R,MATCH($E244,'큐펫&amp;몹 정리(최신)'!$B:$B,0))*40))))</f>
        <v>630</v>
      </c>
      <c r="N244" s="190">
        <f>IF($J244=1,INDEX('큐펫&amp;몹 정리(최신)'!S:S,MATCH($E244,'큐펫&amp;몹 정리(최신)'!$B:$B,0))*20,IF($J244=2,INDEX('큐펫&amp;몹 정리(최신)'!S:S,MATCH($E244,'큐펫&amp;몹 정리(최신)'!$B:$B,0))*25,IF($J244=3,INDEX('큐펫&amp;몹 정리(최신)'!S:S,MATCH($E244,'큐펫&amp;몹 정리(최신)'!$B:$B,0))*30,IF($J244=4,INDEX('큐펫&amp;몹 정리(최신)'!S:S,MATCH($E244,'큐펫&amp;몹 정리(최신)'!$B:$B,0))*35,INDEX('큐펫&amp;몹 정리(최신)'!S:S,MATCH($E244,'큐펫&amp;몹 정리(최신)'!$B:$B,0))*40))))</f>
        <v>510</v>
      </c>
      <c r="O244" s="190">
        <f>IF($J244=1,INDEX('큐펫&amp;몹 정리(최신)'!T:T,MATCH($E244,'큐펫&amp;몹 정리(최신)'!$B:$B,0))*20,IF($J244=2,INDEX('큐펫&amp;몹 정리(최신)'!T:T,MATCH($E244,'큐펫&amp;몹 정리(최신)'!$B:$B,0))*25,IF($J244=3,INDEX('큐펫&amp;몹 정리(최신)'!T:T,MATCH($E244,'큐펫&amp;몹 정리(최신)'!$B:$B,0))*30,IF($J244=4,INDEX('큐펫&amp;몹 정리(최신)'!T:T,MATCH($E244,'큐펫&amp;몹 정리(최신)'!$B:$B,0))*35,INDEX('큐펫&amp;몹 정리(최신)'!T:T,MATCH($E244,'큐펫&amp;몹 정리(최신)'!$B:$B,0))*40))))</f>
        <v>600</v>
      </c>
      <c r="P244" s="217">
        <v>60</v>
      </c>
      <c r="Q244" s="217">
        <f t="shared" si="24"/>
        <v>117340</v>
      </c>
      <c r="R244" s="217">
        <f t="shared" si="25"/>
        <v>2839</v>
      </c>
      <c r="S244" s="217">
        <f t="shared" si="26"/>
        <v>3833</v>
      </c>
      <c r="T244" s="217">
        <f t="shared" si="27"/>
        <v>14653</v>
      </c>
      <c r="U244" s="217">
        <f t="shared" si="28"/>
        <v>35202</v>
      </c>
      <c r="V244" s="217">
        <f t="shared" si="29"/>
        <v>20748</v>
      </c>
      <c r="W244" s="217">
        <f>ROUND(AC244+(INDEX(Ref!B$1:B$9,MATCH($AI244,Ref!$A$1:$A$9,0))*P244*0.0001),)</f>
        <v>36</v>
      </c>
      <c r="X244" s="217">
        <f>ROUND(AD244+(INDEX(Ref!C$1:C$9,MATCH($AI244,Ref!$A$1:$A$9,0))*$P244*0.0001),)</f>
        <v>31</v>
      </c>
      <c r="Y244" s="217">
        <f>ROUND(AE244+(INDEX(Ref!D$1:D$9,MATCH($AI244,Ref!$A$1:$A$9,0))*$P244*0.0001),)</f>
        <v>78</v>
      </c>
      <c r="Z244" s="217">
        <f>ROUND(AF244+(INDEX(Ref!E$1:E$9,MATCH($AI244,Ref!$A$1:$A$9,0))*$P244*0.0001),)</f>
        <v>48</v>
      </c>
      <c r="AA244" s="217">
        <f>ROUND(AG244+(INDEX(Ref!F$1:F$9,MATCH($AI244,Ref!$A$1:$A$9,0))*$P244*0.0001),)</f>
        <v>42</v>
      </c>
      <c r="AB244" s="217">
        <f>ROUND(AH244+(INDEX(Ref!G$1:G$9,MATCH($AI244,Ref!$A$1:$A$9,0))*$P244*0.0001),)</f>
        <v>28</v>
      </c>
      <c r="AC244" s="137">
        <v>27</v>
      </c>
      <c r="AD244" s="137">
        <v>23</v>
      </c>
      <c r="AE244" s="137">
        <v>64</v>
      </c>
      <c r="AF244" s="137">
        <v>37</v>
      </c>
      <c r="AG244" s="137">
        <v>32</v>
      </c>
      <c r="AH244" s="137">
        <v>21</v>
      </c>
      <c r="AI244" s="208">
        <v>4</v>
      </c>
      <c r="AJ244" s="172">
        <v>3000</v>
      </c>
      <c r="AK244" s="172">
        <v>30290</v>
      </c>
      <c r="AL244" s="172">
        <v>2000</v>
      </c>
      <c r="AM244" s="172">
        <v>30293</v>
      </c>
      <c r="AN244" s="172">
        <v>0</v>
      </c>
      <c r="AO244" s="172">
        <f t="shared" si="30"/>
        <v>34290</v>
      </c>
      <c r="AP244" s="172">
        <v>0</v>
      </c>
      <c r="AQ244" s="172">
        <f t="shared" si="31"/>
        <v>34293</v>
      </c>
      <c r="AR244" s="172">
        <v>1</v>
      </c>
      <c r="AS244" s="172">
        <v>0</v>
      </c>
      <c r="AT244" s="199">
        <v>78049</v>
      </c>
      <c r="AU244" s="195" t="s">
        <v>218</v>
      </c>
    </row>
    <row r="245" spans="1:47" x14ac:dyDescent="0.2">
      <c r="A245" s="173">
        <v>55049</v>
      </c>
      <c r="B245" s="174" t="s">
        <v>216</v>
      </c>
      <c r="C245" s="172">
        <v>86049</v>
      </c>
      <c r="D245" s="172">
        <v>150049</v>
      </c>
      <c r="E245" s="206" t="s">
        <v>217</v>
      </c>
      <c r="F245" s="207">
        <v>4</v>
      </c>
      <c r="G245" s="172">
        <v>10000</v>
      </c>
      <c r="H245" s="172">
        <v>10000</v>
      </c>
      <c r="I245" s="172">
        <v>10000</v>
      </c>
      <c r="J245" s="172">
        <v>4</v>
      </c>
      <c r="K245" s="190">
        <f>IF($J245=1,INDEX('큐펫&amp;몹 정리(최신)'!P:P,MATCH($E245,'큐펫&amp;몹 정리(최신)'!$B:$B,0))*20,IF($J245=2,INDEX('큐펫&amp;몹 정리(최신)'!P:P,MATCH($E245,'큐펫&amp;몹 정리(최신)'!$B:$B,0))*25,IF($J245=3,INDEX('큐펫&amp;몹 정리(최신)'!P:P,MATCH($E245,'큐펫&amp;몹 정리(최신)'!$B:$B,0))*30,IF($J245=4,INDEX('큐펫&amp;몹 정리(최신)'!P:P,MATCH($E245,'큐펫&amp;몹 정리(최신)'!$B:$B,0))*35,INDEX('큐펫&amp;몹 정리(최신)'!P:P,MATCH($E245,'큐펫&amp;몹 정리(최신)'!$B:$B,0))*40))))</f>
        <v>1225</v>
      </c>
      <c r="L245" s="190">
        <f>IF($J245=1,INDEX('큐펫&amp;몹 정리(최신)'!Q:Q,MATCH($E245,'큐펫&amp;몹 정리(최신)'!$B:$B,0))*20,IF($J245=2,INDEX('큐펫&amp;몹 정리(최신)'!Q:Q,MATCH($E245,'큐펫&amp;몹 정리(최신)'!$B:$B,0))*25,IF($J245=3,INDEX('큐펫&amp;몹 정리(최신)'!Q:Q,MATCH($E245,'큐펫&amp;몹 정리(최신)'!$B:$B,0))*30,IF($J245=4,INDEX('큐펫&amp;몹 정리(최신)'!Q:Q,MATCH($E245,'큐펫&amp;몹 정리(최신)'!$B:$B,0))*35,INDEX('큐펫&amp;몹 정리(최신)'!Q:Q,MATCH($E245,'큐펫&amp;몹 정리(최신)'!$B:$B,0))*40))))</f>
        <v>245</v>
      </c>
      <c r="M245" s="190">
        <f>IF($J245=1,INDEX('큐펫&amp;몹 정리(최신)'!R:R,MATCH($E245,'큐펫&amp;몹 정리(최신)'!$B:$B,0))*20,IF($J245=2,INDEX('큐펫&amp;몹 정리(최신)'!R:R,MATCH($E245,'큐펫&amp;몹 정리(최신)'!$B:$B,0))*25,IF($J245=3,INDEX('큐펫&amp;몹 정리(최신)'!R:R,MATCH($E245,'큐펫&amp;몹 정리(최신)'!$B:$B,0))*30,IF($J245=4,INDEX('큐펫&amp;몹 정리(최신)'!R:R,MATCH($E245,'큐펫&amp;몹 정리(최신)'!$B:$B,0))*35,INDEX('큐펫&amp;몹 정리(최신)'!R:R,MATCH($E245,'큐펫&amp;몹 정리(최신)'!$B:$B,0))*40))))</f>
        <v>735</v>
      </c>
      <c r="N245" s="190">
        <f>IF($J245=1,INDEX('큐펫&amp;몹 정리(최신)'!S:S,MATCH($E245,'큐펫&amp;몹 정리(최신)'!$B:$B,0))*20,IF($J245=2,INDEX('큐펫&amp;몹 정리(최신)'!S:S,MATCH($E245,'큐펫&amp;몹 정리(최신)'!$B:$B,0))*25,IF($J245=3,INDEX('큐펫&amp;몹 정리(최신)'!S:S,MATCH($E245,'큐펫&amp;몹 정리(최신)'!$B:$B,0))*30,IF($J245=4,INDEX('큐펫&amp;몹 정리(최신)'!S:S,MATCH($E245,'큐펫&amp;몹 정리(최신)'!$B:$B,0))*35,INDEX('큐펫&amp;몹 정리(최신)'!S:S,MATCH($E245,'큐펫&amp;몹 정리(최신)'!$B:$B,0))*40))))</f>
        <v>595</v>
      </c>
      <c r="O245" s="190">
        <f>IF($J245=1,INDEX('큐펫&amp;몹 정리(최신)'!T:T,MATCH($E245,'큐펫&amp;몹 정리(최신)'!$B:$B,0))*20,IF($J245=2,INDEX('큐펫&amp;몹 정리(최신)'!T:T,MATCH($E245,'큐펫&amp;몹 정리(최신)'!$B:$B,0))*25,IF($J245=3,INDEX('큐펫&amp;몹 정리(최신)'!T:T,MATCH($E245,'큐펫&amp;몹 정리(최신)'!$B:$B,0))*30,IF($J245=4,INDEX('큐펫&amp;몹 정리(최신)'!T:T,MATCH($E245,'큐펫&amp;몹 정리(최신)'!$B:$B,0))*35,INDEX('큐펫&amp;몹 정리(최신)'!T:T,MATCH($E245,'큐펫&amp;몹 정리(최신)'!$B:$B,0))*40))))</f>
        <v>700</v>
      </c>
      <c r="P245" s="217">
        <v>80</v>
      </c>
      <c r="Q245" s="217">
        <f t="shared" si="24"/>
        <v>190340</v>
      </c>
      <c r="R245" s="217">
        <f t="shared" si="25"/>
        <v>4675</v>
      </c>
      <c r="S245" s="217">
        <f t="shared" si="26"/>
        <v>6038</v>
      </c>
      <c r="T245" s="217">
        <f t="shared" si="27"/>
        <v>21595</v>
      </c>
      <c r="U245" s="217">
        <f t="shared" si="28"/>
        <v>49993</v>
      </c>
      <c r="V245" s="217">
        <f t="shared" si="29"/>
        <v>29454</v>
      </c>
      <c r="W245" s="217">
        <f>ROUND(AC245+(INDEX(Ref!B$1:B$9,MATCH($AI245,Ref!$A$1:$A$9,0))*P245*0.0001),)</f>
        <v>43</v>
      </c>
      <c r="X245" s="217">
        <f>ROUND(AD245+(INDEX(Ref!C$1:C$9,MATCH($AI245,Ref!$A$1:$A$9,0))*$P245*0.0001),)</f>
        <v>36</v>
      </c>
      <c r="Y245" s="217">
        <f>ROUND(AE245+(INDEX(Ref!D$1:D$9,MATCH($AI245,Ref!$A$1:$A$9,0))*$P245*0.0001),)</f>
        <v>88</v>
      </c>
      <c r="Z245" s="217">
        <f>ROUND(AF245+(INDEX(Ref!E$1:E$9,MATCH($AI245,Ref!$A$1:$A$9,0))*$P245*0.0001),)</f>
        <v>54</v>
      </c>
      <c r="AA245" s="217">
        <f>ROUND(AG245+(INDEX(Ref!F$1:F$9,MATCH($AI245,Ref!$A$1:$A$9,0))*$P245*0.0001),)</f>
        <v>49</v>
      </c>
      <c r="AB245" s="217">
        <f>ROUND(AH245+(INDEX(Ref!G$1:G$9,MATCH($AI245,Ref!$A$1:$A$9,0))*$P245*0.0001),)</f>
        <v>34</v>
      </c>
      <c r="AC245" s="137">
        <v>31</v>
      </c>
      <c r="AD245" s="137">
        <v>26</v>
      </c>
      <c r="AE245" s="137">
        <v>69</v>
      </c>
      <c r="AF245" s="137">
        <v>39</v>
      </c>
      <c r="AG245" s="137">
        <v>35</v>
      </c>
      <c r="AH245" s="137">
        <v>24</v>
      </c>
      <c r="AI245" s="208">
        <v>4</v>
      </c>
      <c r="AJ245" s="172">
        <v>3000</v>
      </c>
      <c r="AK245" s="172">
        <v>30291</v>
      </c>
      <c r="AL245" s="172">
        <v>2000</v>
      </c>
      <c r="AM245" s="172">
        <v>30293</v>
      </c>
      <c r="AN245" s="172">
        <v>0</v>
      </c>
      <c r="AO245" s="172">
        <f t="shared" si="30"/>
        <v>34291</v>
      </c>
      <c r="AP245" s="172">
        <v>0</v>
      </c>
      <c r="AQ245" s="172">
        <f t="shared" si="31"/>
        <v>34293</v>
      </c>
      <c r="AR245" s="172">
        <v>1</v>
      </c>
      <c r="AS245" s="172">
        <v>0</v>
      </c>
      <c r="AT245" s="199">
        <v>78049</v>
      </c>
      <c r="AU245" s="195" t="s">
        <v>218</v>
      </c>
    </row>
    <row r="246" spans="1:47" x14ac:dyDescent="0.2">
      <c r="A246" s="173">
        <v>55049</v>
      </c>
      <c r="B246" s="174" t="s">
        <v>216</v>
      </c>
      <c r="C246" s="172">
        <v>86049</v>
      </c>
      <c r="D246" s="172">
        <v>150049</v>
      </c>
      <c r="E246" s="206" t="s">
        <v>217</v>
      </c>
      <c r="F246" s="207">
        <v>4</v>
      </c>
      <c r="G246" s="172">
        <v>10000</v>
      </c>
      <c r="H246" s="172">
        <v>10000</v>
      </c>
      <c r="I246" s="172">
        <v>10000</v>
      </c>
      <c r="J246" s="172">
        <v>5</v>
      </c>
      <c r="K246" s="190">
        <f>IF($J246=1,INDEX('큐펫&amp;몹 정리(최신)'!P:P,MATCH($E246,'큐펫&amp;몹 정리(최신)'!$B:$B,0))*20,IF($J246=2,INDEX('큐펫&amp;몹 정리(최신)'!P:P,MATCH($E246,'큐펫&amp;몹 정리(최신)'!$B:$B,0))*25,IF($J246=3,INDEX('큐펫&amp;몹 정리(최신)'!P:P,MATCH($E246,'큐펫&amp;몹 정리(최신)'!$B:$B,0))*30,IF($J246=4,INDEX('큐펫&amp;몹 정리(최신)'!P:P,MATCH($E246,'큐펫&amp;몹 정리(최신)'!$B:$B,0))*35,INDEX('큐펫&amp;몹 정리(최신)'!P:P,MATCH($E246,'큐펫&amp;몹 정리(최신)'!$B:$B,0))*40))))</f>
        <v>1400</v>
      </c>
      <c r="L246" s="190">
        <f>IF($J246=1,INDEX('큐펫&amp;몹 정리(최신)'!Q:Q,MATCH($E246,'큐펫&amp;몹 정리(최신)'!$B:$B,0))*20,IF($J246=2,INDEX('큐펫&amp;몹 정리(최신)'!Q:Q,MATCH($E246,'큐펫&amp;몹 정리(최신)'!$B:$B,0))*25,IF($J246=3,INDEX('큐펫&amp;몹 정리(최신)'!Q:Q,MATCH($E246,'큐펫&amp;몹 정리(최신)'!$B:$B,0))*30,IF($J246=4,INDEX('큐펫&amp;몹 정리(최신)'!Q:Q,MATCH($E246,'큐펫&amp;몹 정리(최신)'!$B:$B,0))*35,INDEX('큐펫&amp;몹 정리(최신)'!Q:Q,MATCH($E246,'큐펫&amp;몹 정리(최신)'!$B:$B,0))*40))))</f>
        <v>280</v>
      </c>
      <c r="M246" s="190">
        <f>IF($J246=1,INDEX('큐펫&amp;몹 정리(최신)'!R:R,MATCH($E246,'큐펫&amp;몹 정리(최신)'!$B:$B,0))*20,IF($J246=2,INDEX('큐펫&amp;몹 정리(최신)'!R:R,MATCH($E246,'큐펫&amp;몹 정리(최신)'!$B:$B,0))*25,IF($J246=3,INDEX('큐펫&amp;몹 정리(최신)'!R:R,MATCH($E246,'큐펫&amp;몹 정리(최신)'!$B:$B,0))*30,IF($J246=4,INDEX('큐펫&amp;몹 정리(최신)'!R:R,MATCH($E246,'큐펫&amp;몹 정리(최신)'!$B:$B,0))*35,INDEX('큐펫&amp;몹 정리(최신)'!R:R,MATCH($E246,'큐펫&amp;몹 정리(최신)'!$B:$B,0))*40))))</f>
        <v>840</v>
      </c>
      <c r="N246" s="190">
        <f>IF($J246=1,INDEX('큐펫&amp;몹 정리(최신)'!S:S,MATCH($E246,'큐펫&amp;몹 정리(최신)'!$B:$B,0))*20,IF($J246=2,INDEX('큐펫&amp;몹 정리(최신)'!S:S,MATCH($E246,'큐펫&amp;몹 정리(최신)'!$B:$B,0))*25,IF($J246=3,INDEX('큐펫&amp;몹 정리(최신)'!S:S,MATCH($E246,'큐펫&amp;몹 정리(최신)'!$B:$B,0))*30,IF($J246=4,INDEX('큐펫&amp;몹 정리(최신)'!S:S,MATCH($E246,'큐펫&amp;몹 정리(최신)'!$B:$B,0))*35,INDEX('큐펫&amp;몹 정리(최신)'!S:S,MATCH($E246,'큐펫&amp;몹 정리(최신)'!$B:$B,0))*40))))</f>
        <v>680</v>
      </c>
      <c r="O246" s="190">
        <f>IF($J246=1,INDEX('큐펫&amp;몹 정리(최신)'!T:T,MATCH($E246,'큐펫&amp;몹 정리(최신)'!$B:$B,0))*20,IF($J246=2,INDEX('큐펫&amp;몹 정리(최신)'!T:T,MATCH($E246,'큐펫&amp;몹 정리(최신)'!$B:$B,0))*25,IF($J246=3,INDEX('큐펫&amp;몹 정리(최신)'!T:T,MATCH($E246,'큐펫&amp;몹 정리(최신)'!$B:$B,0))*30,IF($J246=4,INDEX('큐펫&amp;몹 정리(최신)'!T:T,MATCH($E246,'큐펫&amp;몹 정리(최신)'!$B:$B,0))*35,INDEX('큐펫&amp;몹 정리(최신)'!T:T,MATCH($E246,'큐펫&amp;몹 정리(최신)'!$B:$B,0))*40))))</f>
        <v>800</v>
      </c>
      <c r="P246" s="217">
        <v>100</v>
      </c>
      <c r="Q246" s="217">
        <f t="shared" si="24"/>
        <v>284200</v>
      </c>
      <c r="R246" s="217">
        <f t="shared" si="25"/>
        <v>6892</v>
      </c>
      <c r="S246" s="217">
        <f t="shared" si="26"/>
        <v>8649</v>
      </c>
      <c r="T246" s="217">
        <f t="shared" si="27"/>
        <v>32479</v>
      </c>
      <c r="U246" s="217">
        <f t="shared" si="28"/>
        <v>67336</v>
      </c>
      <c r="V246" s="217">
        <f t="shared" si="29"/>
        <v>39662</v>
      </c>
      <c r="W246" s="217">
        <f>ROUND(AC246+(INDEX(Ref!B$1:B$9,MATCH($AI246,Ref!$A$1:$A$9,0))*P246*0.0001),)</f>
        <v>49</v>
      </c>
      <c r="X246" s="217">
        <f>ROUND(AD246+(INDEX(Ref!C$1:C$9,MATCH($AI246,Ref!$A$1:$A$9,0))*$P246*0.0001),)</f>
        <v>42</v>
      </c>
      <c r="Y246" s="217">
        <f>ROUND(AE246+(INDEX(Ref!D$1:D$9,MATCH($AI246,Ref!$A$1:$A$9,0))*$P246*0.0001),)</f>
        <v>98</v>
      </c>
      <c r="Z246" s="217">
        <f>ROUND(AF246+(INDEX(Ref!E$1:E$9,MATCH($AI246,Ref!$A$1:$A$9,0))*$P246*0.0001),)</f>
        <v>62</v>
      </c>
      <c r="AA246" s="217">
        <f>ROUND(AG246+(INDEX(Ref!F$1:F$9,MATCH($AI246,Ref!$A$1:$A$9,0))*$P246*0.0001),)</f>
        <v>55</v>
      </c>
      <c r="AB246" s="217">
        <f>ROUND(AH246+(INDEX(Ref!G$1:G$9,MATCH($AI246,Ref!$A$1:$A$9,0))*$P246*0.0001),)</f>
        <v>38</v>
      </c>
      <c r="AC246" s="137">
        <v>34</v>
      </c>
      <c r="AD246" s="137">
        <v>29</v>
      </c>
      <c r="AE246" s="137">
        <v>74</v>
      </c>
      <c r="AF246" s="137">
        <v>43</v>
      </c>
      <c r="AG246" s="137">
        <v>38</v>
      </c>
      <c r="AH246" s="137">
        <v>26</v>
      </c>
      <c r="AI246" s="208">
        <v>4</v>
      </c>
      <c r="AJ246" s="172">
        <v>3000</v>
      </c>
      <c r="AK246" s="172">
        <v>30291</v>
      </c>
      <c r="AL246" s="172">
        <v>2000</v>
      </c>
      <c r="AM246" s="172">
        <v>30294</v>
      </c>
      <c r="AN246" s="172">
        <v>0</v>
      </c>
      <c r="AO246" s="172">
        <f t="shared" si="30"/>
        <v>34291</v>
      </c>
      <c r="AP246" s="172">
        <v>0</v>
      </c>
      <c r="AQ246" s="172">
        <f t="shared" si="31"/>
        <v>34294</v>
      </c>
      <c r="AR246" s="172">
        <v>1</v>
      </c>
      <c r="AS246" s="172">
        <v>0</v>
      </c>
      <c r="AT246" s="199">
        <v>78049</v>
      </c>
      <c r="AU246" s="195" t="s">
        <v>218</v>
      </c>
    </row>
    <row r="247" spans="1:47" x14ac:dyDescent="0.2">
      <c r="A247" s="173">
        <v>55050</v>
      </c>
      <c r="B247" s="174" t="s">
        <v>219</v>
      </c>
      <c r="C247" s="172">
        <v>86050</v>
      </c>
      <c r="D247" s="172">
        <v>150050</v>
      </c>
      <c r="E247" s="206" t="s">
        <v>220</v>
      </c>
      <c r="F247" s="207">
        <v>4</v>
      </c>
      <c r="G247" s="173">
        <v>11500</v>
      </c>
      <c r="H247" s="173">
        <v>9500</v>
      </c>
      <c r="I247" s="172">
        <v>10000</v>
      </c>
      <c r="J247" s="172">
        <v>1</v>
      </c>
      <c r="K247" s="190">
        <f>IF($J247=1,INDEX('큐펫&amp;몹 정리(최신)'!P:P,MATCH($E247,'큐펫&amp;몹 정리(최신)'!$B:$B,0))*20,IF($J247=2,INDEX('큐펫&amp;몹 정리(최신)'!P:P,MATCH($E247,'큐펫&amp;몹 정리(최신)'!$B:$B,0))*25,IF($J247=3,INDEX('큐펫&amp;몹 정리(최신)'!P:P,MATCH($E247,'큐펫&amp;몹 정리(최신)'!$B:$B,0))*30,IF($J247=4,INDEX('큐펫&amp;몹 정리(최신)'!P:P,MATCH($E247,'큐펫&amp;몹 정리(최신)'!$B:$B,0))*35,INDEX('큐펫&amp;몹 정리(최신)'!P:P,MATCH($E247,'큐펫&amp;몹 정리(최신)'!$B:$B,0))*40))))</f>
        <v>700</v>
      </c>
      <c r="L247" s="190">
        <f>IF($J247=1,INDEX('큐펫&amp;몹 정리(최신)'!Q:Q,MATCH($E247,'큐펫&amp;몹 정리(최신)'!$B:$B,0))*20,IF($J247=2,INDEX('큐펫&amp;몹 정리(최신)'!Q:Q,MATCH($E247,'큐펫&amp;몹 정리(최신)'!$B:$B,0))*25,IF($J247=3,INDEX('큐펫&amp;몹 정리(최신)'!Q:Q,MATCH($E247,'큐펫&amp;몹 정리(최신)'!$B:$B,0))*30,IF($J247=4,INDEX('큐펫&amp;몹 정리(최신)'!Q:Q,MATCH($E247,'큐펫&amp;몹 정리(최신)'!$B:$B,0))*35,INDEX('큐펫&amp;몹 정리(최신)'!Q:Q,MATCH($E247,'큐펫&amp;몹 정리(최신)'!$B:$B,0))*40))))</f>
        <v>480</v>
      </c>
      <c r="M247" s="190">
        <f>IF($J247=1,INDEX('큐펫&amp;몹 정리(최신)'!R:R,MATCH($E247,'큐펫&amp;몹 정리(최신)'!$B:$B,0))*20,IF($J247=2,INDEX('큐펫&amp;몹 정리(최신)'!R:R,MATCH($E247,'큐펫&amp;몹 정리(최신)'!$B:$B,0))*25,IF($J247=3,INDEX('큐펫&amp;몹 정리(최신)'!R:R,MATCH($E247,'큐펫&amp;몹 정리(최신)'!$B:$B,0))*30,IF($J247=4,INDEX('큐펫&amp;몹 정리(최신)'!R:R,MATCH($E247,'큐펫&amp;몹 정리(최신)'!$B:$B,0))*35,INDEX('큐펫&amp;몹 정리(최신)'!R:R,MATCH($E247,'큐펫&amp;몹 정리(최신)'!$B:$B,0))*40))))</f>
        <v>80</v>
      </c>
      <c r="N247" s="190">
        <f>IF($J247=1,INDEX('큐펫&amp;몹 정리(최신)'!S:S,MATCH($E247,'큐펫&amp;몹 정리(최신)'!$B:$B,0))*20,IF($J247=2,INDEX('큐펫&amp;몹 정리(최신)'!S:S,MATCH($E247,'큐펫&amp;몹 정리(최신)'!$B:$B,0))*25,IF($J247=3,INDEX('큐펫&amp;몹 정리(최신)'!S:S,MATCH($E247,'큐펫&amp;몹 정리(최신)'!$B:$B,0))*30,IF($J247=4,INDEX('큐펫&amp;몹 정리(최신)'!S:S,MATCH($E247,'큐펫&amp;몹 정리(최신)'!$B:$B,0))*35,INDEX('큐펫&amp;몹 정리(최신)'!S:S,MATCH($E247,'큐펫&amp;몹 정리(최신)'!$B:$B,0))*40))))</f>
        <v>340</v>
      </c>
      <c r="O247" s="190">
        <f>IF($J247=1,INDEX('큐펫&amp;몹 정리(최신)'!T:T,MATCH($E247,'큐펫&amp;몹 정리(최신)'!$B:$B,0))*20,IF($J247=2,INDEX('큐펫&amp;몹 정리(최신)'!T:T,MATCH($E247,'큐펫&amp;몹 정리(최신)'!$B:$B,0))*25,IF($J247=3,INDEX('큐펫&amp;몹 정리(최신)'!T:T,MATCH($E247,'큐펫&amp;몹 정리(최신)'!$B:$B,0))*30,IF($J247=4,INDEX('큐펫&amp;몹 정리(최신)'!T:T,MATCH($E247,'큐펫&amp;몹 정리(최신)'!$B:$B,0))*35,INDEX('큐펫&amp;몹 정리(최신)'!T:T,MATCH($E247,'큐펫&amp;몹 정리(최신)'!$B:$B,0))*40))))</f>
        <v>400</v>
      </c>
      <c r="P247" s="217">
        <v>20</v>
      </c>
      <c r="Q247" s="217">
        <f t="shared" si="24"/>
        <v>24780</v>
      </c>
      <c r="R247" s="217">
        <f t="shared" si="25"/>
        <v>8981</v>
      </c>
      <c r="S247" s="217">
        <f t="shared" si="26"/>
        <v>2610</v>
      </c>
      <c r="T247" s="217">
        <f t="shared" si="27"/>
        <v>344</v>
      </c>
      <c r="U247" s="217">
        <f t="shared" si="28"/>
        <v>12252</v>
      </c>
      <c r="V247" s="217">
        <f t="shared" si="29"/>
        <v>7219</v>
      </c>
      <c r="W247" s="217">
        <f>ROUND(AC247+(INDEX(Ref!B$1:B$9,MATCH($AI247,Ref!$A$1:$A$9,0))*P247*0.0001),)</f>
        <v>43</v>
      </c>
      <c r="X247" s="217">
        <f>ROUND(AD247+(INDEX(Ref!C$1:C$9,MATCH($AI247,Ref!$A$1:$A$9,0))*$P247*0.0001),)</f>
        <v>26</v>
      </c>
      <c r="Y247" s="217">
        <f>ROUND(AE247+(INDEX(Ref!D$1:D$9,MATCH($AI247,Ref!$A$1:$A$9,0))*$P247*0.0001),)</f>
        <v>52</v>
      </c>
      <c r="Z247" s="217">
        <f>ROUND(AF247+(INDEX(Ref!E$1:E$9,MATCH($AI247,Ref!$A$1:$A$9,0))*$P247*0.0001),)</f>
        <v>19</v>
      </c>
      <c r="AA247" s="217">
        <f>ROUND(AG247+(INDEX(Ref!F$1:F$9,MATCH($AI247,Ref!$A$1:$A$9,0))*$P247*0.0001),)</f>
        <v>23</v>
      </c>
      <c r="AB247" s="217">
        <f>ROUND(AH247+(INDEX(Ref!G$1:G$9,MATCH($AI247,Ref!$A$1:$A$9,0))*$P247*0.0001),)</f>
        <v>21</v>
      </c>
      <c r="AC247" s="137">
        <v>38</v>
      </c>
      <c r="AD247" s="137">
        <v>23</v>
      </c>
      <c r="AE247" s="137">
        <v>48</v>
      </c>
      <c r="AF247" s="137">
        <v>17</v>
      </c>
      <c r="AG247" s="137">
        <v>20</v>
      </c>
      <c r="AH247" s="137">
        <v>18</v>
      </c>
      <c r="AI247" s="208">
        <v>1</v>
      </c>
      <c r="AJ247" s="172">
        <v>3000</v>
      </c>
      <c r="AK247" s="172">
        <v>30295</v>
      </c>
      <c r="AL247" s="172">
        <v>2000</v>
      </c>
      <c r="AM247" s="172">
        <v>30298</v>
      </c>
      <c r="AN247" s="172">
        <v>0</v>
      </c>
      <c r="AO247" s="172">
        <f t="shared" si="30"/>
        <v>34295</v>
      </c>
      <c r="AP247" s="172">
        <v>0</v>
      </c>
      <c r="AQ247" s="172">
        <f t="shared" si="31"/>
        <v>34298</v>
      </c>
      <c r="AR247" s="172">
        <v>1</v>
      </c>
      <c r="AS247" s="172">
        <v>0</v>
      </c>
      <c r="AT247" s="199">
        <v>78050</v>
      </c>
      <c r="AU247" s="195" t="s">
        <v>221</v>
      </c>
    </row>
    <row r="248" spans="1:47" x14ac:dyDescent="0.2">
      <c r="A248" s="173">
        <v>55050</v>
      </c>
      <c r="B248" s="174" t="s">
        <v>219</v>
      </c>
      <c r="C248" s="172">
        <v>86050</v>
      </c>
      <c r="D248" s="172">
        <v>150050</v>
      </c>
      <c r="E248" s="206" t="s">
        <v>220</v>
      </c>
      <c r="F248" s="207">
        <v>4</v>
      </c>
      <c r="G248" s="173">
        <v>11500</v>
      </c>
      <c r="H248" s="173">
        <v>9500</v>
      </c>
      <c r="I248" s="172">
        <v>10000</v>
      </c>
      <c r="J248" s="172">
        <v>2</v>
      </c>
      <c r="K248" s="190">
        <f>IF($J248=1,INDEX('큐펫&amp;몹 정리(최신)'!P:P,MATCH($E248,'큐펫&amp;몹 정리(최신)'!$B:$B,0))*20,IF($J248=2,INDEX('큐펫&amp;몹 정리(최신)'!P:P,MATCH($E248,'큐펫&amp;몹 정리(최신)'!$B:$B,0))*25,IF($J248=3,INDEX('큐펫&amp;몹 정리(최신)'!P:P,MATCH($E248,'큐펫&amp;몹 정리(최신)'!$B:$B,0))*30,IF($J248=4,INDEX('큐펫&amp;몹 정리(최신)'!P:P,MATCH($E248,'큐펫&amp;몹 정리(최신)'!$B:$B,0))*35,INDEX('큐펫&amp;몹 정리(최신)'!P:P,MATCH($E248,'큐펫&amp;몹 정리(최신)'!$B:$B,0))*40))))</f>
        <v>875</v>
      </c>
      <c r="L248" s="190">
        <f>IF($J248=1,INDEX('큐펫&amp;몹 정리(최신)'!Q:Q,MATCH($E248,'큐펫&amp;몹 정리(최신)'!$B:$B,0))*20,IF($J248=2,INDEX('큐펫&amp;몹 정리(최신)'!Q:Q,MATCH($E248,'큐펫&amp;몹 정리(최신)'!$B:$B,0))*25,IF($J248=3,INDEX('큐펫&amp;몹 정리(최신)'!Q:Q,MATCH($E248,'큐펫&amp;몹 정리(최신)'!$B:$B,0))*30,IF($J248=4,INDEX('큐펫&amp;몹 정리(최신)'!Q:Q,MATCH($E248,'큐펫&amp;몹 정리(최신)'!$B:$B,0))*35,INDEX('큐펫&amp;몹 정리(최신)'!Q:Q,MATCH($E248,'큐펫&amp;몹 정리(최신)'!$B:$B,0))*40))))</f>
        <v>600</v>
      </c>
      <c r="M248" s="190">
        <f>IF($J248=1,INDEX('큐펫&amp;몹 정리(최신)'!R:R,MATCH($E248,'큐펫&amp;몹 정리(최신)'!$B:$B,0))*20,IF($J248=2,INDEX('큐펫&amp;몹 정리(최신)'!R:R,MATCH($E248,'큐펫&amp;몹 정리(최신)'!$B:$B,0))*25,IF($J248=3,INDEX('큐펫&amp;몹 정리(최신)'!R:R,MATCH($E248,'큐펫&amp;몹 정리(최신)'!$B:$B,0))*30,IF($J248=4,INDEX('큐펫&amp;몹 정리(최신)'!R:R,MATCH($E248,'큐펫&amp;몹 정리(최신)'!$B:$B,0))*35,INDEX('큐펫&amp;몹 정리(최신)'!R:R,MATCH($E248,'큐펫&amp;몹 정리(최신)'!$B:$B,0))*40))))</f>
        <v>100</v>
      </c>
      <c r="N248" s="190">
        <f>IF($J248=1,INDEX('큐펫&amp;몹 정리(최신)'!S:S,MATCH($E248,'큐펫&amp;몹 정리(최신)'!$B:$B,0))*20,IF($J248=2,INDEX('큐펫&amp;몹 정리(최신)'!S:S,MATCH($E248,'큐펫&amp;몹 정리(최신)'!$B:$B,0))*25,IF($J248=3,INDEX('큐펫&amp;몹 정리(최신)'!S:S,MATCH($E248,'큐펫&amp;몹 정리(최신)'!$B:$B,0))*30,IF($J248=4,INDEX('큐펫&amp;몹 정리(최신)'!S:S,MATCH($E248,'큐펫&amp;몹 정리(최신)'!$B:$B,0))*35,INDEX('큐펫&amp;몹 정리(최신)'!S:S,MATCH($E248,'큐펫&amp;몹 정리(최신)'!$B:$B,0))*40))))</f>
        <v>425</v>
      </c>
      <c r="O248" s="190">
        <f>IF($J248=1,INDEX('큐펫&amp;몹 정리(최신)'!T:T,MATCH($E248,'큐펫&amp;몹 정리(최신)'!$B:$B,0))*20,IF($J248=2,INDEX('큐펫&amp;몹 정리(최신)'!T:T,MATCH($E248,'큐펫&amp;몹 정리(최신)'!$B:$B,0))*25,IF($J248=3,INDEX('큐펫&amp;몹 정리(최신)'!T:T,MATCH($E248,'큐펫&amp;몹 정리(최신)'!$B:$B,0))*30,IF($J248=4,INDEX('큐펫&amp;몹 정리(최신)'!T:T,MATCH($E248,'큐펫&amp;몹 정리(최신)'!$B:$B,0))*35,INDEX('큐펫&amp;몹 정리(최신)'!T:T,MATCH($E248,'큐펫&amp;몹 정리(최신)'!$B:$B,0))*40))))</f>
        <v>500</v>
      </c>
      <c r="P248" s="217">
        <v>40</v>
      </c>
      <c r="Q248" s="217">
        <f t="shared" si="24"/>
        <v>60300</v>
      </c>
      <c r="R248" s="217">
        <f t="shared" si="25"/>
        <v>16992</v>
      </c>
      <c r="S248" s="217">
        <f t="shared" si="26"/>
        <v>5142</v>
      </c>
      <c r="T248" s="217">
        <f t="shared" si="27"/>
        <v>654</v>
      </c>
      <c r="U248" s="217">
        <f t="shared" si="28"/>
        <v>21266</v>
      </c>
      <c r="V248" s="217">
        <f t="shared" si="29"/>
        <v>12524</v>
      </c>
      <c r="W248" s="217">
        <f>ROUND(AC248+(INDEX(Ref!B$1:B$9,MATCH($AI248,Ref!$A$1:$A$9,0))*P248*0.0001),)</f>
        <v>53</v>
      </c>
      <c r="X248" s="217">
        <f>ROUND(AD248+(INDEX(Ref!C$1:C$9,MATCH($AI248,Ref!$A$1:$A$9,0))*$P248*0.0001),)</f>
        <v>32</v>
      </c>
      <c r="Y248" s="217">
        <f>ROUND(AE248+(INDEX(Ref!D$1:D$9,MATCH($AI248,Ref!$A$1:$A$9,0))*$P248*0.0001),)</f>
        <v>60</v>
      </c>
      <c r="Z248" s="217">
        <f>ROUND(AF248+(INDEX(Ref!E$1:E$9,MATCH($AI248,Ref!$A$1:$A$9,0))*$P248*0.0001),)</f>
        <v>24</v>
      </c>
      <c r="AA248" s="217">
        <f>ROUND(AG248+(INDEX(Ref!F$1:F$9,MATCH($AI248,Ref!$A$1:$A$9,0))*$P248*0.0001),)</f>
        <v>29</v>
      </c>
      <c r="AB248" s="217">
        <f>ROUND(AH248+(INDEX(Ref!G$1:G$9,MATCH($AI248,Ref!$A$1:$A$9,0))*$P248*0.0001),)</f>
        <v>26</v>
      </c>
      <c r="AC248" s="137">
        <v>43</v>
      </c>
      <c r="AD248" s="137">
        <v>26</v>
      </c>
      <c r="AE248" s="137">
        <v>52</v>
      </c>
      <c r="AF248" s="137">
        <v>19</v>
      </c>
      <c r="AG248" s="137">
        <v>23</v>
      </c>
      <c r="AH248" s="137">
        <v>21</v>
      </c>
      <c r="AI248" s="208">
        <v>1</v>
      </c>
      <c r="AJ248" s="172">
        <v>3000</v>
      </c>
      <c r="AK248" s="172">
        <v>30296</v>
      </c>
      <c r="AL248" s="172">
        <v>2000</v>
      </c>
      <c r="AM248" s="172">
        <v>30298</v>
      </c>
      <c r="AN248" s="172">
        <v>0</v>
      </c>
      <c r="AO248" s="172">
        <f t="shared" si="30"/>
        <v>34296</v>
      </c>
      <c r="AP248" s="172">
        <v>0</v>
      </c>
      <c r="AQ248" s="172">
        <f t="shared" si="31"/>
        <v>34298</v>
      </c>
      <c r="AR248" s="172">
        <v>1</v>
      </c>
      <c r="AS248" s="172">
        <v>0</v>
      </c>
      <c r="AT248" s="199">
        <v>78050</v>
      </c>
      <c r="AU248" s="195" t="s">
        <v>221</v>
      </c>
    </row>
    <row r="249" spans="1:47" x14ac:dyDescent="0.2">
      <c r="A249" s="173">
        <v>55050</v>
      </c>
      <c r="B249" s="174" t="s">
        <v>219</v>
      </c>
      <c r="C249" s="172">
        <v>86050</v>
      </c>
      <c r="D249" s="172">
        <v>150050</v>
      </c>
      <c r="E249" s="206" t="s">
        <v>220</v>
      </c>
      <c r="F249" s="207">
        <v>4</v>
      </c>
      <c r="G249" s="173">
        <v>11500</v>
      </c>
      <c r="H249" s="173">
        <v>9500</v>
      </c>
      <c r="I249" s="172">
        <v>10000</v>
      </c>
      <c r="J249" s="172">
        <v>3</v>
      </c>
      <c r="K249" s="190">
        <f>IF($J249=1,INDEX('큐펫&amp;몹 정리(최신)'!P:P,MATCH($E249,'큐펫&amp;몹 정리(최신)'!$B:$B,0))*20,IF($J249=2,INDEX('큐펫&amp;몹 정리(최신)'!P:P,MATCH($E249,'큐펫&amp;몹 정리(최신)'!$B:$B,0))*25,IF($J249=3,INDEX('큐펫&amp;몹 정리(최신)'!P:P,MATCH($E249,'큐펫&amp;몹 정리(최신)'!$B:$B,0))*30,IF($J249=4,INDEX('큐펫&amp;몹 정리(최신)'!P:P,MATCH($E249,'큐펫&amp;몹 정리(최신)'!$B:$B,0))*35,INDEX('큐펫&amp;몹 정리(최신)'!P:P,MATCH($E249,'큐펫&amp;몹 정리(최신)'!$B:$B,0))*40))))</f>
        <v>1050</v>
      </c>
      <c r="L249" s="190">
        <f>IF($J249=1,INDEX('큐펫&amp;몹 정리(최신)'!Q:Q,MATCH($E249,'큐펫&amp;몹 정리(최신)'!$B:$B,0))*20,IF($J249=2,INDEX('큐펫&amp;몹 정리(최신)'!Q:Q,MATCH($E249,'큐펫&amp;몹 정리(최신)'!$B:$B,0))*25,IF($J249=3,INDEX('큐펫&amp;몹 정리(최신)'!Q:Q,MATCH($E249,'큐펫&amp;몹 정리(최신)'!$B:$B,0))*30,IF($J249=4,INDEX('큐펫&amp;몹 정리(최신)'!Q:Q,MATCH($E249,'큐펫&amp;몹 정리(최신)'!$B:$B,0))*35,INDEX('큐펫&amp;몹 정리(최신)'!Q:Q,MATCH($E249,'큐펫&amp;몹 정리(최신)'!$B:$B,0))*40))))</f>
        <v>720</v>
      </c>
      <c r="M249" s="190">
        <f>IF($J249=1,INDEX('큐펫&amp;몹 정리(최신)'!R:R,MATCH($E249,'큐펫&amp;몹 정리(최신)'!$B:$B,0))*20,IF($J249=2,INDEX('큐펫&amp;몹 정리(최신)'!R:R,MATCH($E249,'큐펫&amp;몹 정리(최신)'!$B:$B,0))*25,IF($J249=3,INDEX('큐펫&amp;몹 정리(최신)'!R:R,MATCH($E249,'큐펫&amp;몹 정리(최신)'!$B:$B,0))*30,IF($J249=4,INDEX('큐펫&amp;몹 정리(최신)'!R:R,MATCH($E249,'큐펫&amp;몹 정리(최신)'!$B:$B,0))*35,INDEX('큐펫&amp;몹 정리(최신)'!R:R,MATCH($E249,'큐펫&amp;몹 정리(최신)'!$B:$B,0))*40))))</f>
        <v>120</v>
      </c>
      <c r="N249" s="190">
        <f>IF($J249=1,INDEX('큐펫&amp;몹 정리(최신)'!S:S,MATCH($E249,'큐펫&amp;몹 정리(최신)'!$B:$B,0))*20,IF($J249=2,INDEX('큐펫&amp;몹 정리(최신)'!S:S,MATCH($E249,'큐펫&amp;몹 정리(최신)'!$B:$B,0))*25,IF($J249=3,INDEX('큐펫&amp;몹 정리(최신)'!S:S,MATCH($E249,'큐펫&amp;몹 정리(최신)'!$B:$B,0))*30,IF($J249=4,INDEX('큐펫&amp;몹 정리(최신)'!S:S,MATCH($E249,'큐펫&amp;몹 정리(최신)'!$B:$B,0))*35,INDEX('큐펫&amp;몹 정리(최신)'!S:S,MATCH($E249,'큐펫&amp;몹 정리(최신)'!$B:$B,0))*40))))</f>
        <v>510</v>
      </c>
      <c r="O249" s="190">
        <f>IF($J249=1,INDEX('큐펫&amp;몹 정리(최신)'!T:T,MATCH($E249,'큐펫&amp;몹 정리(최신)'!$B:$B,0))*20,IF($J249=2,INDEX('큐펫&amp;몹 정리(최신)'!T:T,MATCH($E249,'큐펫&amp;몹 정리(최신)'!$B:$B,0))*25,IF($J249=3,INDEX('큐펫&amp;몹 정리(최신)'!T:T,MATCH($E249,'큐펫&amp;몹 정리(최신)'!$B:$B,0))*30,IF($J249=4,INDEX('큐펫&amp;몹 정리(최신)'!T:T,MATCH($E249,'큐펫&amp;몹 정리(최신)'!$B:$B,0))*35,INDEX('큐펫&amp;몹 정리(최신)'!T:T,MATCH($E249,'큐펫&amp;몹 정리(최신)'!$B:$B,0))*40))))</f>
        <v>600</v>
      </c>
      <c r="P249" s="217">
        <v>60</v>
      </c>
      <c r="Q249" s="217">
        <f t="shared" si="24"/>
        <v>111040</v>
      </c>
      <c r="R249" s="217">
        <f t="shared" si="25"/>
        <v>28747</v>
      </c>
      <c r="S249" s="217">
        <f t="shared" si="26"/>
        <v>8443</v>
      </c>
      <c r="T249" s="217">
        <f t="shared" si="27"/>
        <v>1038</v>
      </c>
      <c r="U249" s="217">
        <f t="shared" si="28"/>
        <v>32659</v>
      </c>
      <c r="V249" s="217">
        <f t="shared" si="29"/>
        <v>19228</v>
      </c>
      <c r="W249" s="217">
        <f>ROUND(AC249+(INDEX(Ref!B$1:B$9,MATCH($AI249,Ref!$A$1:$A$9,0))*P249*0.0001),)</f>
        <v>63</v>
      </c>
      <c r="X249" s="217">
        <f>ROUND(AD249+(INDEX(Ref!C$1:C$9,MATCH($AI249,Ref!$A$1:$A$9,0))*$P249*0.0001),)</f>
        <v>40</v>
      </c>
      <c r="Y249" s="217">
        <f>ROUND(AE249+(INDEX(Ref!D$1:D$9,MATCH($AI249,Ref!$A$1:$A$9,0))*$P249*0.0001),)</f>
        <v>68</v>
      </c>
      <c r="Z249" s="217">
        <f>ROUND(AF249+(INDEX(Ref!E$1:E$9,MATCH($AI249,Ref!$A$1:$A$9,0))*$P249*0.0001),)</f>
        <v>28</v>
      </c>
      <c r="AA249" s="217">
        <f>ROUND(AG249+(INDEX(Ref!F$1:F$9,MATCH($AI249,Ref!$A$1:$A$9,0))*$P249*0.0001),)</f>
        <v>34</v>
      </c>
      <c r="AB249" s="217">
        <f>ROUND(AH249+(INDEX(Ref!G$1:G$9,MATCH($AI249,Ref!$A$1:$A$9,0))*$P249*0.0001),)</f>
        <v>31</v>
      </c>
      <c r="AC249" s="137">
        <v>48.000000000000007</v>
      </c>
      <c r="AD249" s="137">
        <v>30</v>
      </c>
      <c r="AE249" s="137">
        <v>56</v>
      </c>
      <c r="AF249" s="137">
        <v>21</v>
      </c>
      <c r="AG249" s="137">
        <v>26</v>
      </c>
      <c r="AH249" s="137">
        <v>23</v>
      </c>
      <c r="AI249" s="208">
        <v>1</v>
      </c>
      <c r="AJ249" s="172">
        <v>3000</v>
      </c>
      <c r="AK249" s="172">
        <v>30296</v>
      </c>
      <c r="AL249" s="172">
        <v>2000</v>
      </c>
      <c r="AM249" s="172">
        <v>30299</v>
      </c>
      <c r="AN249" s="172">
        <v>0</v>
      </c>
      <c r="AO249" s="172">
        <f t="shared" si="30"/>
        <v>34296</v>
      </c>
      <c r="AP249" s="172">
        <v>0</v>
      </c>
      <c r="AQ249" s="172">
        <f t="shared" si="31"/>
        <v>34299</v>
      </c>
      <c r="AR249" s="172">
        <v>1</v>
      </c>
      <c r="AS249" s="172">
        <v>0</v>
      </c>
      <c r="AT249" s="199">
        <v>78050</v>
      </c>
      <c r="AU249" s="195" t="s">
        <v>221</v>
      </c>
    </row>
    <row r="250" spans="1:47" x14ac:dyDescent="0.2">
      <c r="A250" s="173">
        <v>55050</v>
      </c>
      <c r="B250" s="174" t="s">
        <v>219</v>
      </c>
      <c r="C250" s="172">
        <v>86050</v>
      </c>
      <c r="D250" s="172">
        <v>150050</v>
      </c>
      <c r="E250" s="206" t="s">
        <v>220</v>
      </c>
      <c r="F250" s="207">
        <v>4</v>
      </c>
      <c r="G250" s="173">
        <v>11500</v>
      </c>
      <c r="H250" s="173">
        <v>9500</v>
      </c>
      <c r="I250" s="172">
        <v>10000</v>
      </c>
      <c r="J250" s="172">
        <v>4</v>
      </c>
      <c r="K250" s="190">
        <f>IF($J250=1,INDEX('큐펫&amp;몹 정리(최신)'!P:P,MATCH($E250,'큐펫&amp;몹 정리(최신)'!$B:$B,0))*20,IF($J250=2,INDEX('큐펫&amp;몹 정리(최신)'!P:P,MATCH($E250,'큐펫&amp;몹 정리(최신)'!$B:$B,0))*25,IF($J250=3,INDEX('큐펫&amp;몹 정리(최신)'!P:P,MATCH($E250,'큐펫&amp;몹 정리(최신)'!$B:$B,0))*30,IF($J250=4,INDEX('큐펫&amp;몹 정리(최신)'!P:P,MATCH($E250,'큐펫&amp;몹 정리(최신)'!$B:$B,0))*35,INDEX('큐펫&amp;몹 정리(최신)'!P:P,MATCH($E250,'큐펫&amp;몹 정리(최신)'!$B:$B,0))*40))))</f>
        <v>1225</v>
      </c>
      <c r="L250" s="190">
        <f>IF($J250=1,INDEX('큐펫&amp;몹 정리(최신)'!Q:Q,MATCH($E250,'큐펫&amp;몹 정리(최신)'!$B:$B,0))*20,IF($J250=2,INDEX('큐펫&amp;몹 정리(최신)'!Q:Q,MATCH($E250,'큐펫&amp;몹 정리(최신)'!$B:$B,0))*25,IF($J250=3,INDEX('큐펫&amp;몹 정리(최신)'!Q:Q,MATCH($E250,'큐펫&amp;몹 정리(최신)'!$B:$B,0))*30,IF($J250=4,INDEX('큐펫&amp;몹 정리(최신)'!Q:Q,MATCH($E250,'큐펫&amp;몹 정리(최신)'!$B:$B,0))*35,INDEX('큐펫&amp;몹 정리(최신)'!Q:Q,MATCH($E250,'큐펫&amp;몹 정리(최신)'!$B:$B,0))*40))))</f>
        <v>840</v>
      </c>
      <c r="M250" s="190">
        <f>IF($J250=1,INDEX('큐펫&amp;몹 정리(최신)'!R:R,MATCH($E250,'큐펫&amp;몹 정리(최신)'!$B:$B,0))*20,IF($J250=2,INDEX('큐펫&amp;몹 정리(최신)'!R:R,MATCH($E250,'큐펫&amp;몹 정리(최신)'!$B:$B,0))*25,IF($J250=3,INDEX('큐펫&amp;몹 정리(최신)'!R:R,MATCH($E250,'큐펫&amp;몹 정리(최신)'!$B:$B,0))*30,IF($J250=4,INDEX('큐펫&amp;몹 정리(최신)'!R:R,MATCH($E250,'큐펫&amp;몹 정리(최신)'!$B:$B,0))*35,INDEX('큐펫&amp;몹 정리(최신)'!R:R,MATCH($E250,'큐펫&amp;몹 정리(최신)'!$B:$B,0))*40))))</f>
        <v>140</v>
      </c>
      <c r="N250" s="190">
        <f>IF($J250=1,INDEX('큐펫&amp;몹 정리(최신)'!S:S,MATCH($E250,'큐펫&amp;몹 정리(최신)'!$B:$B,0))*20,IF($J250=2,INDEX('큐펫&amp;몹 정리(최신)'!S:S,MATCH($E250,'큐펫&amp;몹 정리(최신)'!$B:$B,0))*25,IF($J250=3,INDEX('큐펫&amp;몹 정리(최신)'!S:S,MATCH($E250,'큐펫&amp;몹 정리(최신)'!$B:$B,0))*30,IF($J250=4,INDEX('큐펫&amp;몹 정리(최신)'!S:S,MATCH($E250,'큐펫&amp;몹 정리(최신)'!$B:$B,0))*35,INDEX('큐펫&amp;몹 정리(최신)'!S:S,MATCH($E250,'큐펫&amp;몹 정리(최신)'!$B:$B,0))*40))))</f>
        <v>595</v>
      </c>
      <c r="O250" s="190">
        <f>IF($J250=1,INDEX('큐펫&amp;몹 정리(최신)'!T:T,MATCH($E250,'큐펫&amp;몹 정리(최신)'!$B:$B,0))*20,IF($J250=2,INDEX('큐펫&amp;몹 정리(최신)'!T:T,MATCH($E250,'큐펫&amp;몹 정리(최신)'!$B:$B,0))*25,IF($J250=3,INDEX('큐펫&amp;몹 정리(최신)'!T:T,MATCH($E250,'큐펫&amp;몹 정리(최신)'!$B:$B,0))*30,IF($J250=4,INDEX('큐펫&amp;몹 정리(최신)'!T:T,MATCH($E250,'큐펫&amp;몹 정리(최신)'!$B:$B,0))*35,INDEX('큐펫&amp;몹 정리(최신)'!T:T,MATCH($E250,'큐펫&amp;몹 정리(최신)'!$B:$B,0))*40))))</f>
        <v>700</v>
      </c>
      <c r="P250" s="217">
        <v>80</v>
      </c>
      <c r="Q250" s="217">
        <f t="shared" si="24"/>
        <v>178580</v>
      </c>
      <c r="R250" s="217">
        <f t="shared" si="25"/>
        <v>44966</v>
      </c>
      <c r="S250" s="217">
        <f t="shared" si="26"/>
        <v>12919</v>
      </c>
      <c r="T250" s="217">
        <f t="shared" si="27"/>
        <v>1740</v>
      </c>
      <c r="U250" s="217">
        <f t="shared" si="28"/>
        <v>46432</v>
      </c>
      <c r="V250" s="217">
        <f t="shared" si="29"/>
        <v>27334</v>
      </c>
      <c r="W250" s="217">
        <f>ROUND(AC250+(INDEX(Ref!B$1:B$9,MATCH($AI250,Ref!$A$1:$A$9,0))*P250*0.0001),)</f>
        <v>73</v>
      </c>
      <c r="X250" s="217">
        <f>ROUND(AD250+(INDEX(Ref!C$1:C$9,MATCH($AI250,Ref!$A$1:$A$9,0))*$P250*0.0001),)</f>
        <v>46</v>
      </c>
      <c r="Y250" s="217">
        <f>ROUND(AE250+(INDEX(Ref!D$1:D$9,MATCH($AI250,Ref!$A$1:$A$9,0))*$P250*0.0001),)</f>
        <v>76</v>
      </c>
      <c r="Z250" s="217">
        <f>ROUND(AF250+(INDEX(Ref!E$1:E$9,MATCH($AI250,Ref!$A$1:$A$9,0))*$P250*0.0001),)</f>
        <v>34</v>
      </c>
      <c r="AA250" s="217">
        <f>ROUND(AG250+(INDEX(Ref!F$1:F$9,MATCH($AI250,Ref!$A$1:$A$9,0))*$P250*0.0001),)</f>
        <v>39</v>
      </c>
      <c r="AB250" s="217">
        <f>ROUND(AH250+(INDEX(Ref!G$1:G$9,MATCH($AI250,Ref!$A$1:$A$9,0))*$P250*0.0001),)</f>
        <v>36</v>
      </c>
      <c r="AC250" s="137">
        <v>53</v>
      </c>
      <c r="AD250" s="137">
        <v>33</v>
      </c>
      <c r="AE250" s="137">
        <v>60</v>
      </c>
      <c r="AF250" s="137">
        <v>24</v>
      </c>
      <c r="AG250" s="137">
        <v>28</v>
      </c>
      <c r="AH250" s="137">
        <v>26</v>
      </c>
      <c r="AI250" s="208">
        <v>1</v>
      </c>
      <c r="AJ250" s="172">
        <v>3000</v>
      </c>
      <c r="AK250" s="172">
        <v>30297</v>
      </c>
      <c r="AL250" s="172">
        <v>2000</v>
      </c>
      <c r="AM250" s="172">
        <v>30299</v>
      </c>
      <c r="AN250" s="172">
        <v>0</v>
      </c>
      <c r="AO250" s="172">
        <f t="shared" si="30"/>
        <v>34297</v>
      </c>
      <c r="AP250" s="172">
        <v>0</v>
      </c>
      <c r="AQ250" s="172">
        <f t="shared" si="31"/>
        <v>34299</v>
      </c>
      <c r="AR250" s="172">
        <v>1</v>
      </c>
      <c r="AS250" s="172">
        <v>0</v>
      </c>
      <c r="AT250" s="199">
        <v>78050</v>
      </c>
      <c r="AU250" s="195" t="s">
        <v>221</v>
      </c>
    </row>
    <row r="251" spans="1:47" x14ac:dyDescent="0.2">
      <c r="A251" s="173">
        <v>55050</v>
      </c>
      <c r="B251" s="174" t="s">
        <v>219</v>
      </c>
      <c r="C251" s="172">
        <v>86050</v>
      </c>
      <c r="D251" s="172">
        <v>150050</v>
      </c>
      <c r="E251" s="206" t="s">
        <v>220</v>
      </c>
      <c r="F251" s="207">
        <v>4</v>
      </c>
      <c r="G251" s="173">
        <v>11500</v>
      </c>
      <c r="H251" s="173">
        <v>9500</v>
      </c>
      <c r="I251" s="172">
        <v>10000</v>
      </c>
      <c r="J251" s="172">
        <v>5</v>
      </c>
      <c r="K251" s="190">
        <f>IF($J251=1,INDEX('큐펫&amp;몹 정리(최신)'!P:P,MATCH($E251,'큐펫&amp;몹 정리(최신)'!$B:$B,0))*20,IF($J251=2,INDEX('큐펫&amp;몹 정리(최신)'!P:P,MATCH($E251,'큐펫&amp;몹 정리(최신)'!$B:$B,0))*25,IF($J251=3,INDEX('큐펫&amp;몹 정리(최신)'!P:P,MATCH($E251,'큐펫&amp;몹 정리(최신)'!$B:$B,0))*30,IF($J251=4,INDEX('큐펫&amp;몹 정리(최신)'!P:P,MATCH($E251,'큐펫&amp;몹 정리(최신)'!$B:$B,0))*35,INDEX('큐펫&amp;몹 정리(최신)'!P:P,MATCH($E251,'큐펫&amp;몹 정리(최신)'!$B:$B,0))*40))))</f>
        <v>1400</v>
      </c>
      <c r="L251" s="190">
        <f>IF($J251=1,INDEX('큐펫&amp;몹 정리(최신)'!Q:Q,MATCH($E251,'큐펫&amp;몹 정리(최신)'!$B:$B,0))*20,IF($J251=2,INDEX('큐펫&amp;몹 정리(최신)'!Q:Q,MATCH($E251,'큐펫&amp;몹 정리(최신)'!$B:$B,0))*25,IF($J251=3,INDEX('큐펫&amp;몹 정리(최신)'!Q:Q,MATCH($E251,'큐펫&amp;몹 정리(최신)'!$B:$B,0))*30,IF($J251=4,INDEX('큐펫&amp;몹 정리(최신)'!Q:Q,MATCH($E251,'큐펫&amp;몹 정리(최신)'!$B:$B,0))*35,INDEX('큐펫&amp;몹 정리(최신)'!Q:Q,MATCH($E251,'큐펫&amp;몹 정리(최신)'!$B:$B,0))*40))))</f>
        <v>960</v>
      </c>
      <c r="M251" s="190">
        <f>IF($J251=1,INDEX('큐펫&amp;몹 정리(최신)'!R:R,MATCH($E251,'큐펫&amp;몹 정리(최신)'!$B:$B,0))*20,IF($J251=2,INDEX('큐펫&amp;몹 정리(최신)'!R:R,MATCH($E251,'큐펫&amp;몹 정리(최신)'!$B:$B,0))*25,IF($J251=3,INDEX('큐펫&amp;몹 정리(최신)'!R:R,MATCH($E251,'큐펫&amp;몹 정리(최신)'!$B:$B,0))*30,IF($J251=4,INDEX('큐펫&amp;몹 정리(최신)'!R:R,MATCH($E251,'큐펫&amp;몹 정리(최신)'!$B:$B,0))*35,INDEX('큐펫&amp;몹 정리(최신)'!R:R,MATCH($E251,'큐펫&amp;몹 정리(최신)'!$B:$B,0))*40))))</f>
        <v>160</v>
      </c>
      <c r="N251" s="190">
        <f>IF($J251=1,INDEX('큐펫&amp;몹 정리(최신)'!S:S,MATCH($E251,'큐펫&amp;몹 정리(최신)'!$B:$B,0))*20,IF($J251=2,INDEX('큐펫&amp;몹 정리(최신)'!S:S,MATCH($E251,'큐펫&amp;몹 정리(최신)'!$B:$B,0))*25,IF($J251=3,INDEX('큐펫&amp;몹 정리(최신)'!S:S,MATCH($E251,'큐펫&amp;몹 정리(최신)'!$B:$B,0))*30,IF($J251=4,INDEX('큐펫&amp;몹 정리(최신)'!S:S,MATCH($E251,'큐펫&amp;몹 정리(최신)'!$B:$B,0))*35,INDEX('큐펫&amp;몹 정리(최신)'!S:S,MATCH($E251,'큐펫&amp;몹 정리(최신)'!$B:$B,0))*40))))</f>
        <v>680</v>
      </c>
      <c r="O251" s="190">
        <f>IF($J251=1,INDEX('큐펫&amp;몹 정리(최신)'!T:T,MATCH($E251,'큐펫&amp;몹 정리(최신)'!$B:$B,0))*20,IF($J251=2,INDEX('큐펫&amp;몹 정리(최신)'!T:T,MATCH($E251,'큐펫&amp;몹 정리(최신)'!$B:$B,0))*25,IF($J251=3,INDEX('큐펫&amp;몹 정리(최신)'!T:T,MATCH($E251,'큐펫&amp;몹 정리(최신)'!$B:$B,0))*30,IF($J251=4,INDEX('큐펫&amp;몹 정리(최신)'!T:T,MATCH($E251,'큐펫&amp;몹 정리(최신)'!$B:$B,0))*35,INDEX('큐펫&amp;몹 정리(최신)'!T:T,MATCH($E251,'큐펫&amp;몹 정리(최신)'!$B:$B,0))*40))))</f>
        <v>800</v>
      </c>
      <c r="P251" s="217">
        <v>100</v>
      </c>
      <c r="Q251" s="217">
        <f t="shared" si="24"/>
        <v>264600</v>
      </c>
      <c r="R251" s="217">
        <f t="shared" si="25"/>
        <v>66370</v>
      </c>
      <c r="S251" s="217">
        <f t="shared" si="26"/>
        <v>19609</v>
      </c>
      <c r="T251" s="217">
        <f t="shared" si="27"/>
        <v>2452</v>
      </c>
      <c r="U251" s="217">
        <f t="shared" si="28"/>
        <v>62585</v>
      </c>
      <c r="V251" s="217">
        <f t="shared" si="29"/>
        <v>36838</v>
      </c>
      <c r="W251" s="217">
        <f>ROUND(AC251+(INDEX(Ref!B$1:B$9,MATCH($AI251,Ref!$A$1:$A$9,0))*P251*0.0001),)</f>
        <v>83</v>
      </c>
      <c r="X251" s="217">
        <f>ROUND(AD251+(INDEX(Ref!C$1:C$9,MATCH($AI251,Ref!$A$1:$A$9,0))*$P251*0.0001),)</f>
        <v>52</v>
      </c>
      <c r="Y251" s="217">
        <f>ROUND(AE251+(INDEX(Ref!D$1:D$9,MATCH($AI251,Ref!$A$1:$A$9,0))*$P251*0.0001),)</f>
        <v>84</v>
      </c>
      <c r="Z251" s="217">
        <f>ROUND(AF251+(INDEX(Ref!E$1:E$9,MATCH($AI251,Ref!$A$1:$A$9,0))*$P251*0.0001),)</f>
        <v>38</v>
      </c>
      <c r="AA251" s="217">
        <f>ROUND(AG251+(INDEX(Ref!F$1:F$9,MATCH($AI251,Ref!$A$1:$A$9,0))*$P251*0.0001),)</f>
        <v>45</v>
      </c>
      <c r="AB251" s="217">
        <f>ROUND(AH251+(INDEX(Ref!G$1:G$9,MATCH($AI251,Ref!$A$1:$A$9,0))*$P251*0.0001),)</f>
        <v>42</v>
      </c>
      <c r="AC251" s="137">
        <v>58.000000000000007</v>
      </c>
      <c r="AD251" s="137">
        <v>36</v>
      </c>
      <c r="AE251" s="137">
        <v>64</v>
      </c>
      <c r="AF251" s="137">
        <v>26</v>
      </c>
      <c r="AG251" s="137">
        <v>31</v>
      </c>
      <c r="AH251" s="137">
        <v>29</v>
      </c>
      <c r="AI251" s="208">
        <v>1</v>
      </c>
      <c r="AJ251" s="172">
        <v>3000</v>
      </c>
      <c r="AK251" s="172">
        <v>30297</v>
      </c>
      <c r="AL251" s="172">
        <v>2000</v>
      </c>
      <c r="AM251" s="172">
        <v>30300</v>
      </c>
      <c r="AN251" s="172">
        <v>0</v>
      </c>
      <c r="AO251" s="172">
        <f t="shared" si="30"/>
        <v>34297</v>
      </c>
      <c r="AP251" s="172">
        <v>0</v>
      </c>
      <c r="AQ251" s="172">
        <f t="shared" si="31"/>
        <v>34300</v>
      </c>
      <c r="AR251" s="172">
        <v>1</v>
      </c>
      <c r="AS251" s="172">
        <v>0</v>
      </c>
      <c r="AT251" s="199">
        <v>78050</v>
      </c>
      <c r="AU251" s="195" t="s">
        <v>221</v>
      </c>
    </row>
    <row r="252" spans="1:47" x14ac:dyDescent="0.2">
      <c r="A252" s="173">
        <v>55051</v>
      </c>
      <c r="B252" s="174" t="s">
        <v>222</v>
      </c>
      <c r="C252" s="172">
        <v>86051</v>
      </c>
      <c r="D252" s="172">
        <v>150051</v>
      </c>
      <c r="E252" s="206" t="s">
        <v>223</v>
      </c>
      <c r="F252" s="207">
        <v>3</v>
      </c>
      <c r="G252" s="172">
        <v>13000</v>
      </c>
      <c r="H252" s="172">
        <v>9000</v>
      </c>
      <c r="I252" s="172">
        <v>10000</v>
      </c>
      <c r="J252" s="172">
        <v>1</v>
      </c>
      <c r="K252" s="190">
        <f>IF($J252=1,INDEX('큐펫&amp;몹 정리(최신)'!P:P,MATCH($E252,'큐펫&amp;몹 정리(최신)'!$B:$B,0))*20,IF($J252=2,INDEX('큐펫&amp;몹 정리(최신)'!P:P,MATCH($E252,'큐펫&amp;몹 정리(최신)'!$B:$B,0))*25,IF($J252=3,INDEX('큐펫&amp;몹 정리(최신)'!P:P,MATCH($E252,'큐펫&amp;몹 정리(최신)'!$B:$B,0))*30,IF($J252=4,INDEX('큐펫&amp;몹 정리(최신)'!P:P,MATCH($E252,'큐펫&amp;몹 정리(최신)'!$B:$B,0))*35,INDEX('큐펫&amp;몹 정리(최신)'!P:P,MATCH($E252,'큐펫&amp;몹 정리(최신)'!$B:$B,0))*40))))</f>
        <v>1000</v>
      </c>
      <c r="L252" s="190">
        <f>IF($J252=1,INDEX('큐펫&amp;몹 정리(최신)'!Q:Q,MATCH($E252,'큐펫&amp;몹 정리(최신)'!$B:$B,0))*20,IF($J252=2,INDEX('큐펫&amp;몹 정리(최신)'!Q:Q,MATCH($E252,'큐펫&amp;몹 정리(최신)'!$B:$B,0))*25,IF($J252=3,INDEX('큐펫&amp;몹 정리(최신)'!Q:Q,MATCH($E252,'큐펫&amp;몹 정리(최신)'!$B:$B,0))*30,IF($J252=4,INDEX('큐펫&amp;몹 정리(최신)'!Q:Q,MATCH($E252,'큐펫&amp;몹 정리(최신)'!$B:$B,0))*35,INDEX('큐펫&amp;몹 정리(최신)'!Q:Q,MATCH($E252,'큐펫&amp;몹 정리(최신)'!$B:$B,0))*40))))</f>
        <v>80</v>
      </c>
      <c r="M252" s="190">
        <f>IF($J252=1,INDEX('큐펫&amp;몹 정리(최신)'!R:R,MATCH($E252,'큐펫&amp;몹 정리(최신)'!$B:$B,0))*20,IF($J252=2,INDEX('큐펫&amp;몹 정리(최신)'!R:R,MATCH($E252,'큐펫&amp;몹 정리(최신)'!$B:$B,0))*25,IF($J252=3,INDEX('큐펫&amp;몹 정리(최신)'!R:R,MATCH($E252,'큐펫&amp;몹 정리(최신)'!$B:$B,0))*30,IF($J252=4,INDEX('큐펫&amp;몹 정리(최신)'!R:R,MATCH($E252,'큐펫&amp;몹 정리(최신)'!$B:$B,0))*35,INDEX('큐펫&amp;몹 정리(최신)'!R:R,MATCH($E252,'큐펫&amp;몹 정리(최신)'!$B:$B,0))*40))))</f>
        <v>100</v>
      </c>
      <c r="N252" s="190">
        <f>IF($J252=1,INDEX('큐펫&amp;몹 정리(최신)'!S:S,MATCH($E252,'큐펫&amp;몹 정리(최신)'!$B:$B,0))*20,IF($J252=2,INDEX('큐펫&amp;몹 정리(최신)'!S:S,MATCH($E252,'큐펫&amp;몹 정리(최신)'!$B:$B,0))*25,IF($J252=3,INDEX('큐펫&amp;몹 정리(최신)'!S:S,MATCH($E252,'큐펫&amp;몹 정리(최신)'!$B:$B,0))*30,IF($J252=4,INDEX('큐펫&amp;몹 정리(최신)'!S:S,MATCH($E252,'큐펫&amp;몹 정리(최신)'!$B:$B,0))*35,INDEX('큐펫&amp;몹 정리(최신)'!S:S,MATCH($E252,'큐펫&amp;몹 정리(최신)'!$B:$B,0))*40))))</f>
        <v>400</v>
      </c>
      <c r="O252" s="190">
        <f>IF($J252=1,INDEX('큐펫&amp;몹 정리(최신)'!T:T,MATCH($E252,'큐펫&amp;몹 정리(최신)'!$B:$B,0))*20,IF($J252=2,INDEX('큐펫&amp;몹 정리(최신)'!T:T,MATCH($E252,'큐펫&amp;몹 정리(최신)'!$B:$B,0))*25,IF($J252=3,INDEX('큐펫&amp;몹 정리(최신)'!T:T,MATCH($E252,'큐펫&amp;몹 정리(최신)'!$B:$B,0))*30,IF($J252=4,INDEX('큐펫&amp;몹 정리(최신)'!T:T,MATCH($E252,'큐펫&amp;몹 정리(최신)'!$B:$B,0))*35,INDEX('큐펫&amp;몹 정리(최신)'!T:T,MATCH($E252,'큐펫&amp;몹 정리(최신)'!$B:$B,0))*40))))</f>
        <v>420</v>
      </c>
      <c r="P252" s="217">
        <v>20</v>
      </c>
      <c r="Q252" s="217">
        <f t="shared" si="24"/>
        <v>32800</v>
      </c>
      <c r="R252" s="217">
        <f t="shared" si="25"/>
        <v>287</v>
      </c>
      <c r="S252" s="217">
        <f t="shared" si="26"/>
        <v>348</v>
      </c>
      <c r="T252" s="217">
        <f t="shared" si="27"/>
        <v>1784</v>
      </c>
      <c r="U252" s="217">
        <f t="shared" si="28"/>
        <v>11807</v>
      </c>
      <c r="V252" s="217">
        <f t="shared" si="29"/>
        <v>6236</v>
      </c>
      <c r="W252" s="217">
        <f>ROUND(AC252+(INDEX(Ref!B$1:B$9,MATCH($AI252,Ref!$A$1:$A$9,0))*P252*0.0001),)</f>
        <v>17</v>
      </c>
      <c r="X252" s="217">
        <f>ROUND(AD252+(INDEX(Ref!C$1:C$9,MATCH($AI252,Ref!$A$1:$A$9,0))*$P252*0.0001),)</f>
        <v>32</v>
      </c>
      <c r="Y252" s="217">
        <f>ROUND(AE252+(INDEX(Ref!D$1:D$9,MATCH($AI252,Ref!$A$1:$A$9,0))*$P252*0.0001),)</f>
        <v>39</v>
      </c>
      <c r="Z252" s="217">
        <f>ROUND(AF252+(INDEX(Ref!E$1:E$9,MATCH($AI252,Ref!$A$1:$A$9,0))*$P252*0.0001),)</f>
        <v>41</v>
      </c>
      <c r="AA252" s="217">
        <f>ROUND(AG252+(INDEX(Ref!F$1:F$9,MATCH($AI252,Ref!$A$1:$A$9,0))*$P252*0.0001),)</f>
        <v>19</v>
      </c>
      <c r="AB252" s="217">
        <f>ROUND(AH252+(INDEX(Ref!G$1:G$9,MATCH($AI252,Ref!$A$1:$A$9,0))*$P252*0.0001),)</f>
        <v>36</v>
      </c>
      <c r="AC252" s="137">
        <v>15</v>
      </c>
      <c r="AD252" s="137">
        <v>28</v>
      </c>
      <c r="AE252" s="137">
        <v>36</v>
      </c>
      <c r="AF252" s="137">
        <v>36</v>
      </c>
      <c r="AG252" s="137">
        <v>17</v>
      </c>
      <c r="AH252" s="137">
        <v>32</v>
      </c>
      <c r="AI252" s="208">
        <v>6</v>
      </c>
      <c r="AJ252" s="172">
        <v>3000</v>
      </c>
      <c r="AK252" s="172">
        <v>30301</v>
      </c>
      <c r="AL252" s="172">
        <v>2000</v>
      </c>
      <c r="AM252" s="172">
        <v>30304</v>
      </c>
      <c r="AN252" s="172">
        <v>0</v>
      </c>
      <c r="AO252" s="172">
        <f t="shared" si="30"/>
        <v>34301</v>
      </c>
      <c r="AP252" s="172">
        <v>0</v>
      </c>
      <c r="AQ252" s="172">
        <f t="shared" si="31"/>
        <v>34304</v>
      </c>
      <c r="AR252" s="172">
        <v>1</v>
      </c>
      <c r="AS252" s="172">
        <v>0</v>
      </c>
      <c r="AT252" s="199">
        <v>78051</v>
      </c>
      <c r="AU252" s="195" t="s">
        <v>224</v>
      </c>
    </row>
    <row r="253" spans="1:47" x14ac:dyDescent="0.2">
      <c r="A253" s="173">
        <v>55051</v>
      </c>
      <c r="B253" s="174" t="s">
        <v>222</v>
      </c>
      <c r="C253" s="172">
        <v>86051</v>
      </c>
      <c r="D253" s="172">
        <v>150051</v>
      </c>
      <c r="E253" s="206" t="s">
        <v>223</v>
      </c>
      <c r="F253" s="207">
        <v>3</v>
      </c>
      <c r="G253" s="172">
        <v>13000</v>
      </c>
      <c r="H253" s="172">
        <v>9000</v>
      </c>
      <c r="I253" s="172">
        <v>10000</v>
      </c>
      <c r="J253" s="172">
        <v>2</v>
      </c>
      <c r="K253" s="190">
        <f>IF($J253=1,INDEX('큐펫&amp;몹 정리(최신)'!P:P,MATCH($E253,'큐펫&amp;몹 정리(최신)'!$B:$B,0))*20,IF($J253=2,INDEX('큐펫&amp;몹 정리(최신)'!P:P,MATCH($E253,'큐펫&amp;몹 정리(최신)'!$B:$B,0))*25,IF($J253=3,INDEX('큐펫&amp;몹 정리(최신)'!P:P,MATCH($E253,'큐펫&amp;몹 정리(최신)'!$B:$B,0))*30,IF($J253=4,INDEX('큐펫&amp;몹 정리(최신)'!P:P,MATCH($E253,'큐펫&amp;몹 정리(최신)'!$B:$B,0))*35,INDEX('큐펫&amp;몹 정리(최신)'!P:P,MATCH($E253,'큐펫&amp;몹 정리(최신)'!$B:$B,0))*40))))</f>
        <v>1250</v>
      </c>
      <c r="L253" s="190">
        <f>IF($J253=1,INDEX('큐펫&amp;몹 정리(최신)'!Q:Q,MATCH($E253,'큐펫&amp;몹 정리(최신)'!$B:$B,0))*20,IF($J253=2,INDEX('큐펫&amp;몹 정리(최신)'!Q:Q,MATCH($E253,'큐펫&amp;몹 정리(최신)'!$B:$B,0))*25,IF($J253=3,INDEX('큐펫&amp;몹 정리(최신)'!Q:Q,MATCH($E253,'큐펫&amp;몹 정리(최신)'!$B:$B,0))*30,IF($J253=4,INDEX('큐펫&amp;몹 정리(최신)'!Q:Q,MATCH($E253,'큐펫&amp;몹 정리(최신)'!$B:$B,0))*35,INDEX('큐펫&amp;몹 정리(최신)'!Q:Q,MATCH($E253,'큐펫&amp;몹 정리(최신)'!$B:$B,0))*40))))</f>
        <v>100</v>
      </c>
      <c r="M253" s="190">
        <f>IF($J253=1,INDEX('큐펫&amp;몹 정리(최신)'!R:R,MATCH($E253,'큐펫&amp;몹 정리(최신)'!$B:$B,0))*20,IF($J253=2,INDEX('큐펫&amp;몹 정리(최신)'!R:R,MATCH($E253,'큐펫&amp;몹 정리(최신)'!$B:$B,0))*25,IF($J253=3,INDEX('큐펫&amp;몹 정리(최신)'!R:R,MATCH($E253,'큐펫&amp;몹 정리(최신)'!$B:$B,0))*30,IF($J253=4,INDEX('큐펫&amp;몹 정리(최신)'!R:R,MATCH($E253,'큐펫&amp;몹 정리(최신)'!$B:$B,0))*35,INDEX('큐펫&amp;몹 정리(최신)'!R:R,MATCH($E253,'큐펫&amp;몹 정리(최신)'!$B:$B,0))*40))))</f>
        <v>125</v>
      </c>
      <c r="N253" s="190">
        <f>IF($J253=1,INDEX('큐펫&amp;몹 정리(최신)'!S:S,MATCH($E253,'큐펫&amp;몹 정리(최신)'!$B:$B,0))*20,IF($J253=2,INDEX('큐펫&amp;몹 정리(최신)'!S:S,MATCH($E253,'큐펫&amp;몹 정리(최신)'!$B:$B,0))*25,IF($J253=3,INDEX('큐펫&amp;몹 정리(최신)'!S:S,MATCH($E253,'큐펫&amp;몹 정리(최신)'!$B:$B,0))*30,IF($J253=4,INDEX('큐펫&amp;몹 정리(최신)'!S:S,MATCH($E253,'큐펫&amp;몹 정리(최신)'!$B:$B,0))*35,INDEX('큐펫&amp;몹 정리(최신)'!S:S,MATCH($E253,'큐펫&amp;몹 정리(최신)'!$B:$B,0))*40))))</f>
        <v>500</v>
      </c>
      <c r="O253" s="190">
        <f>IF($J253=1,INDEX('큐펫&amp;몹 정리(최신)'!T:T,MATCH($E253,'큐펫&amp;몹 정리(최신)'!$B:$B,0))*20,IF($J253=2,INDEX('큐펫&amp;몹 정리(최신)'!T:T,MATCH($E253,'큐펫&amp;몹 정리(최신)'!$B:$B,0))*25,IF($J253=3,INDEX('큐펫&amp;몹 정리(최신)'!T:T,MATCH($E253,'큐펫&amp;몹 정리(최신)'!$B:$B,0))*30,IF($J253=4,INDEX('큐펫&amp;몹 정리(최신)'!T:T,MATCH($E253,'큐펫&amp;몹 정리(최신)'!$B:$B,0))*35,INDEX('큐펫&amp;몹 정리(최신)'!T:T,MATCH($E253,'큐펫&amp;몹 정리(최신)'!$B:$B,0))*40))))</f>
        <v>525</v>
      </c>
      <c r="P253" s="217">
        <v>40</v>
      </c>
      <c r="Q253" s="217">
        <f t="shared" si="24"/>
        <v>78200</v>
      </c>
      <c r="R253" s="217">
        <f t="shared" si="25"/>
        <v>517</v>
      </c>
      <c r="S253" s="217">
        <f t="shared" si="26"/>
        <v>658</v>
      </c>
      <c r="T253" s="217">
        <f t="shared" si="27"/>
        <v>3387</v>
      </c>
      <c r="U253" s="217">
        <f t="shared" si="28"/>
        <v>21009</v>
      </c>
      <c r="V253" s="217">
        <f t="shared" si="29"/>
        <v>11076</v>
      </c>
      <c r="W253" s="217">
        <f>ROUND(AC253+(INDEX(Ref!B$1:B$9,MATCH($AI253,Ref!$A$1:$A$9,0))*P253*0.0001),)</f>
        <v>21</v>
      </c>
      <c r="X253" s="217">
        <f>ROUND(AD253+(INDEX(Ref!C$1:C$9,MATCH($AI253,Ref!$A$1:$A$9,0))*$P253*0.0001),)</f>
        <v>40</v>
      </c>
      <c r="Y253" s="217">
        <f>ROUND(AE253+(INDEX(Ref!D$1:D$9,MATCH($AI253,Ref!$A$1:$A$9,0))*$P253*0.0001),)</f>
        <v>44</v>
      </c>
      <c r="Z253" s="217">
        <f>ROUND(AF253+(INDEX(Ref!E$1:E$9,MATCH($AI253,Ref!$A$1:$A$9,0))*$P253*0.0001),)</f>
        <v>51</v>
      </c>
      <c r="AA253" s="217">
        <f>ROUND(AG253+(INDEX(Ref!F$1:F$9,MATCH($AI253,Ref!$A$1:$A$9,0))*$P253*0.0001),)</f>
        <v>24</v>
      </c>
      <c r="AB253" s="217">
        <f>ROUND(AH253+(INDEX(Ref!G$1:G$9,MATCH($AI253,Ref!$A$1:$A$9,0))*$P253*0.0001),)</f>
        <v>44</v>
      </c>
      <c r="AC253" s="137">
        <v>17</v>
      </c>
      <c r="AD253" s="137">
        <v>32</v>
      </c>
      <c r="AE253" s="137">
        <v>39</v>
      </c>
      <c r="AF253" s="137">
        <v>41</v>
      </c>
      <c r="AG253" s="137">
        <v>19</v>
      </c>
      <c r="AH253" s="137">
        <v>36</v>
      </c>
      <c r="AI253" s="208">
        <v>6</v>
      </c>
      <c r="AJ253" s="172">
        <v>3000</v>
      </c>
      <c r="AK253" s="172">
        <v>30302</v>
      </c>
      <c r="AL253" s="172">
        <v>2000</v>
      </c>
      <c r="AM253" s="172">
        <v>30304</v>
      </c>
      <c r="AN253" s="172">
        <v>0</v>
      </c>
      <c r="AO253" s="172">
        <f t="shared" si="30"/>
        <v>34302</v>
      </c>
      <c r="AP253" s="172">
        <v>0</v>
      </c>
      <c r="AQ253" s="172">
        <f t="shared" si="31"/>
        <v>34304</v>
      </c>
      <c r="AR253" s="172">
        <v>1</v>
      </c>
      <c r="AS253" s="172">
        <v>0</v>
      </c>
      <c r="AT253" s="199">
        <v>78051</v>
      </c>
      <c r="AU253" s="195" t="s">
        <v>224</v>
      </c>
    </row>
    <row r="254" spans="1:47" x14ac:dyDescent="0.2">
      <c r="A254" s="173">
        <v>55051</v>
      </c>
      <c r="B254" s="174" t="s">
        <v>222</v>
      </c>
      <c r="C254" s="172">
        <v>86051</v>
      </c>
      <c r="D254" s="172">
        <v>150051</v>
      </c>
      <c r="E254" s="206" t="s">
        <v>223</v>
      </c>
      <c r="F254" s="207">
        <v>3</v>
      </c>
      <c r="G254" s="172">
        <v>13000</v>
      </c>
      <c r="H254" s="172">
        <v>9000</v>
      </c>
      <c r="I254" s="172">
        <v>10000</v>
      </c>
      <c r="J254" s="172">
        <v>3</v>
      </c>
      <c r="K254" s="190">
        <f>IF($J254=1,INDEX('큐펫&amp;몹 정리(최신)'!P:P,MATCH($E254,'큐펫&amp;몹 정리(최신)'!$B:$B,0))*20,IF($J254=2,INDEX('큐펫&amp;몹 정리(최신)'!P:P,MATCH($E254,'큐펫&amp;몹 정리(최신)'!$B:$B,0))*25,IF($J254=3,INDEX('큐펫&amp;몹 정리(최신)'!P:P,MATCH($E254,'큐펫&amp;몹 정리(최신)'!$B:$B,0))*30,IF($J254=4,INDEX('큐펫&amp;몹 정리(최신)'!P:P,MATCH($E254,'큐펫&amp;몹 정리(최신)'!$B:$B,0))*35,INDEX('큐펫&amp;몹 정리(최신)'!P:P,MATCH($E254,'큐펫&amp;몹 정리(최신)'!$B:$B,0))*40))))</f>
        <v>1500</v>
      </c>
      <c r="L254" s="190">
        <f>IF($J254=1,INDEX('큐펫&amp;몹 정리(최신)'!Q:Q,MATCH($E254,'큐펫&amp;몹 정리(최신)'!$B:$B,0))*20,IF($J254=2,INDEX('큐펫&amp;몹 정리(최신)'!Q:Q,MATCH($E254,'큐펫&amp;몹 정리(최신)'!$B:$B,0))*25,IF($J254=3,INDEX('큐펫&amp;몹 정리(최신)'!Q:Q,MATCH($E254,'큐펫&amp;몹 정리(최신)'!$B:$B,0))*30,IF($J254=4,INDEX('큐펫&amp;몹 정리(최신)'!Q:Q,MATCH($E254,'큐펫&amp;몹 정리(최신)'!$B:$B,0))*35,INDEX('큐펫&amp;몹 정리(최신)'!Q:Q,MATCH($E254,'큐펫&amp;몹 정리(최신)'!$B:$B,0))*40))))</f>
        <v>120</v>
      </c>
      <c r="M254" s="190">
        <f>IF($J254=1,INDEX('큐펫&amp;몹 정리(최신)'!R:R,MATCH($E254,'큐펫&amp;몹 정리(최신)'!$B:$B,0))*20,IF($J254=2,INDEX('큐펫&amp;몹 정리(최신)'!R:R,MATCH($E254,'큐펫&amp;몹 정리(최신)'!$B:$B,0))*25,IF($J254=3,INDEX('큐펫&amp;몹 정리(최신)'!R:R,MATCH($E254,'큐펫&amp;몹 정리(최신)'!$B:$B,0))*30,IF($J254=4,INDEX('큐펫&amp;몹 정리(최신)'!R:R,MATCH($E254,'큐펫&amp;몹 정리(최신)'!$B:$B,0))*35,INDEX('큐펫&amp;몹 정리(최신)'!R:R,MATCH($E254,'큐펫&amp;몹 정리(최신)'!$B:$B,0))*40))))</f>
        <v>150</v>
      </c>
      <c r="N254" s="190">
        <f>IF($J254=1,INDEX('큐펫&amp;몹 정리(최신)'!S:S,MATCH($E254,'큐펫&amp;몹 정리(최신)'!$B:$B,0))*20,IF($J254=2,INDEX('큐펫&amp;몹 정리(최신)'!S:S,MATCH($E254,'큐펫&amp;몹 정리(최신)'!$B:$B,0))*25,IF($J254=3,INDEX('큐펫&amp;몹 정리(최신)'!S:S,MATCH($E254,'큐펫&amp;몹 정리(최신)'!$B:$B,0))*30,IF($J254=4,INDEX('큐펫&amp;몹 정리(최신)'!S:S,MATCH($E254,'큐펫&amp;몹 정리(최신)'!$B:$B,0))*35,INDEX('큐펫&amp;몹 정리(최신)'!S:S,MATCH($E254,'큐펫&amp;몹 정리(최신)'!$B:$B,0))*40))))</f>
        <v>600</v>
      </c>
      <c r="O254" s="190">
        <f>IF($J254=1,INDEX('큐펫&amp;몹 정리(최신)'!T:T,MATCH($E254,'큐펫&amp;몹 정리(최신)'!$B:$B,0))*20,IF($J254=2,INDEX('큐펫&amp;몹 정리(최신)'!T:T,MATCH($E254,'큐펫&amp;몹 정리(최신)'!$B:$B,0))*25,IF($J254=3,INDEX('큐펫&amp;몹 정리(최신)'!T:T,MATCH($E254,'큐펫&amp;몹 정리(최신)'!$B:$B,0))*30,IF($J254=4,INDEX('큐펫&amp;몹 정리(최신)'!T:T,MATCH($E254,'큐펫&amp;몹 정리(최신)'!$B:$B,0))*35,INDEX('큐펫&amp;몹 정리(최신)'!T:T,MATCH($E254,'큐펫&amp;몹 정리(최신)'!$B:$B,0))*40))))</f>
        <v>630</v>
      </c>
      <c r="P254" s="217">
        <v>60</v>
      </c>
      <c r="Q254" s="217">
        <f t="shared" si="24"/>
        <v>142500</v>
      </c>
      <c r="R254" s="217">
        <f t="shared" si="25"/>
        <v>910</v>
      </c>
      <c r="S254" s="217">
        <f t="shared" si="26"/>
        <v>1043</v>
      </c>
      <c r="T254" s="217">
        <f t="shared" si="27"/>
        <v>5566</v>
      </c>
      <c r="U254" s="217">
        <f t="shared" si="28"/>
        <v>33010</v>
      </c>
      <c r="V254" s="217">
        <f t="shared" si="29"/>
        <v>17385</v>
      </c>
      <c r="W254" s="217">
        <f>ROUND(AC254+(INDEX(Ref!B$1:B$9,MATCH($AI254,Ref!$A$1:$A$9,0))*P254*0.0001),)</f>
        <v>26</v>
      </c>
      <c r="X254" s="217">
        <f>ROUND(AD254+(INDEX(Ref!C$1:C$9,MATCH($AI254,Ref!$A$1:$A$9,0))*$P254*0.0001),)</f>
        <v>47</v>
      </c>
      <c r="Y254" s="217">
        <f>ROUND(AE254+(INDEX(Ref!D$1:D$9,MATCH($AI254,Ref!$A$1:$A$9,0))*$P254*0.0001),)</f>
        <v>50</v>
      </c>
      <c r="Z254" s="217">
        <f>ROUND(AF254+(INDEX(Ref!E$1:E$9,MATCH($AI254,Ref!$A$1:$A$9,0))*$P254*0.0001),)</f>
        <v>60</v>
      </c>
      <c r="AA254" s="217">
        <f>ROUND(AG254+(INDEX(Ref!F$1:F$9,MATCH($AI254,Ref!$A$1:$A$9,0))*$P254*0.0001),)</f>
        <v>28</v>
      </c>
      <c r="AB254" s="217">
        <f>ROUND(AH254+(INDEX(Ref!G$1:G$9,MATCH($AI254,Ref!$A$1:$A$9,0))*$P254*0.0001),)</f>
        <v>53</v>
      </c>
      <c r="AC254" s="137">
        <v>19</v>
      </c>
      <c r="AD254" s="137">
        <v>36</v>
      </c>
      <c r="AE254" s="137">
        <v>42</v>
      </c>
      <c r="AF254" s="137">
        <v>46</v>
      </c>
      <c r="AG254" s="137">
        <v>21</v>
      </c>
      <c r="AH254" s="137">
        <v>40</v>
      </c>
      <c r="AI254" s="208">
        <v>6</v>
      </c>
      <c r="AJ254" s="172">
        <v>3000</v>
      </c>
      <c r="AK254" s="172">
        <v>30302</v>
      </c>
      <c r="AL254" s="172">
        <v>2000</v>
      </c>
      <c r="AM254" s="172">
        <v>30305</v>
      </c>
      <c r="AN254" s="172">
        <v>0</v>
      </c>
      <c r="AO254" s="172">
        <f t="shared" si="30"/>
        <v>34302</v>
      </c>
      <c r="AP254" s="172">
        <v>0</v>
      </c>
      <c r="AQ254" s="172">
        <f t="shared" si="31"/>
        <v>34305</v>
      </c>
      <c r="AR254" s="172">
        <v>1</v>
      </c>
      <c r="AS254" s="172">
        <v>0</v>
      </c>
      <c r="AT254" s="199">
        <v>78051</v>
      </c>
      <c r="AU254" s="195" t="s">
        <v>224</v>
      </c>
    </row>
    <row r="255" spans="1:47" x14ac:dyDescent="0.2">
      <c r="A255" s="173">
        <v>55051</v>
      </c>
      <c r="B255" s="174" t="s">
        <v>222</v>
      </c>
      <c r="C255" s="172">
        <v>86051</v>
      </c>
      <c r="D255" s="172">
        <v>150051</v>
      </c>
      <c r="E255" s="206" t="s">
        <v>223</v>
      </c>
      <c r="F255" s="207">
        <v>3</v>
      </c>
      <c r="G255" s="172">
        <v>13000</v>
      </c>
      <c r="H255" s="172">
        <v>9000</v>
      </c>
      <c r="I255" s="172">
        <v>10000</v>
      </c>
      <c r="J255" s="172">
        <v>4</v>
      </c>
      <c r="K255" s="190">
        <f>IF($J255=1,INDEX('큐펫&amp;몹 정리(최신)'!P:P,MATCH($E255,'큐펫&amp;몹 정리(최신)'!$B:$B,0))*20,IF($J255=2,INDEX('큐펫&amp;몹 정리(최신)'!P:P,MATCH($E255,'큐펫&amp;몹 정리(최신)'!$B:$B,0))*25,IF($J255=3,INDEX('큐펫&amp;몹 정리(최신)'!P:P,MATCH($E255,'큐펫&amp;몹 정리(최신)'!$B:$B,0))*30,IF($J255=4,INDEX('큐펫&amp;몹 정리(최신)'!P:P,MATCH($E255,'큐펫&amp;몹 정리(최신)'!$B:$B,0))*35,INDEX('큐펫&amp;몹 정리(최신)'!P:P,MATCH($E255,'큐펫&amp;몹 정리(최신)'!$B:$B,0))*40))))</f>
        <v>1750</v>
      </c>
      <c r="L255" s="190">
        <f>IF($J255=1,INDEX('큐펫&amp;몹 정리(최신)'!Q:Q,MATCH($E255,'큐펫&amp;몹 정리(최신)'!$B:$B,0))*20,IF($J255=2,INDEX('큐펫&amp;몹 정리(최신)'!Q:Q,MATCH($E255,'큐펫&amp;몹 정리(최신)'!$B:$B,0))*25,IF($J255=3,INDEX('큐펫&amp;몹 정리(최신)'!Q:Q,MATCH($E255,'큐펫&amp;몹 정리(최신)'!$B:$B,0))*30,IF($J255=4,INDEX('큐펫&amp;몹 정리(최신)'!Q:Q,MATCH($E255,'큐펫&amp;몹 정리(최신)'!$B:$B,0))*35,INDEX('큐펫&amp;몹 정리(최신)'!Q:Q,MATCH($E255,'큐펫&amp;몹 정리(최신)'!$B:$B,0))*40))))</f>
        <v>140</v>
      </c>
      <c r="M255" s="190">
        <f>IF($J255=1,INDEX('큐펫&amp;몹 정리(최신)'!R:R,MATCH($E255,'큐펫&amp;몹 정리(최신)'!$B:$B,0))*20,IF($J255=2,INDEX('큐펫&amp;몹 정리(최신)'!R:R,MATCH($E255,'큐펫&amp;몹 정리(최신)'!$B:$B,0))*25,IF($J255=3,INDEX('큐펫&amp;몹 정리(최신)'!R:R,MATCH($E255,'큐펫&amp;몹 정리(최신)'!$B:$B,0))*30,IF($J255=4,INDEX('큐펫&amp;몹 정리(최신)'!R:R,MATCH($E255,'큐펫&amp;몹 정리(최신)'!$B:$B,0))*35,INDEX('큐펫&amp;몹 정리(최신)'!R:R,MATCH($E255,'큐펫&amp;몹 정리(최신)'!$B:$B,0))*40))))</f>
        <v>175</v>
      </c>
      <c r="N255" s="190">
        <f>IF($J255=1,INDEX('큐펫&amp;몹 정리(최신)'!S:S,MATCH($E255,'큐펫&amp;몹 정리(최신)'!$B:$B,0))*20,IF($J255=2,INDEX('큐펫&amp;몹 정리(최신)'!S:S,MATCH($E255,'큐펫&amp;몹 정리(최신)'!$B:$B,0))*25,IF($J255=3,INDEX('큐펫&amp;몹 정리(최신)'!S:S,MATCH($E255,'큐펫&amp;몹 정리(최신)'!$B:$B,0))*30,IF($J255=4,INDEX('큐펫&amp;몹 정리(최신)'!S:S,MATCH($E255,'큐펫&amp;몹 정리(최신)'!$B:$B,0))*35,INDEX('큐펫&amp;몹 정리(최신)'!S:S,MATCH($E255,'큐펫&amp;몹 정리(최신)'!$B:$B,0))*40))))</f>
        <v>700</v>
      </c>
      <c r="O255" s="190">
        <f>IF($J255=1,INDEX('큐펫&amp;몹 정리(최신)'!T:T,MATCH($E255,'큐펫&amp;몹 정리(최신)'!$B:$B,0))*20,IF($J255=2,INDEX('큐펫&amp;몹 정리(최신)'!T:T,MATCH($E255,'큐펫&amp;몹 정리(최신)'!$B:$B,0))*25,IF($J255=3,INDEX('큐펫&amp;몹 정리(최신)'!T:T,MATCH($E255,'큐펫&amp;몹 정리(최신)'!$B:$B,0))*30,IF($J255=4,INDEX('큐펫&amp;몹 정리(최신)'!T:T,MATCH($E255,'큐펫&amp;몹 정리(최신)'!$B:$B,0))*35,INDEX('큐펫&amp;몹 정리(최신)'!T:T,MATCH($E255,'큐펫&amp;몹 정리(최신)'!$B:$B,0))*40))))</f>
        <v>735</v>
      </c>
      <c r="P255" s="217">
        <v>80</v>
      </c>
      <c r="Q255" s="217">
        <f t="shared" si="24"/>
        <v>224300</v>
      </c>
      <c r="R255" s="217">
        <f t="shared" si="25"/>
        <v>1468</v>
      </c>
      <c r="S255" s="217">
        <f t="shared" si="26"/>
        <v>1746</v>
      </c>
      <c r="T255" s="217">
        <f t="shared" si="27"/>
        <v>8774</v>
      </c>
      <c r="U255" s="217">
        <f t="shared" si="28"/>
        <v>46912</v>
      </c>
      <c r="V255" s="217">
        <f t="shared" si="29"/>
        <v>24692</v>
      </c>
      <c r="W255" s="217">
        <f>ROUND(AC255+(INDEX(Ref!B$1:B$9,MATCH($AI255,Ref!$A$1:$A$9,0))*P255*0.0001),)</f>
        <v>31</v>
      </c>
      <c r="X255" s="217">
        <f>ROUND(AD255+(INDEX(Ref!C$1:C$9,MATCH($AI255,Ref!$A$1:$A$9,0))*$P255*0.0001),)</f>
        <v>54</v>
      </c>
      <c r="Y255" s="217">
        <f>ROUND(AE255+(INDEX(Ref!D$1:D$9,MATCH($AI255,Ref!$A$1:$A$9,0))*$P255*0.0001),)</f>
        <v>54</v>
      </c>
      <c r="Z255" s="217">
        <f>ROUND(AF255+(INDEX(Ref!E$1:E$9,MATCH($AI255,Ref!$A$1:$A$9,0))*$P255*0.0001),)</f>
        <v>70</v>
      </c>
      <c r="AA255" s="217">
        <f>ROUND(AG255+(INDEX(Ref!F$1:F$9,MATCH($AI255,Ref!$A$1:$A$9,0))*$P255*0.0001),)</f>
        <v>34</v>
      </c>
      <c r="AB255" s="217">
        <f>ROUND(AH255+(INDEX(Ref!G$1:G$9,MATCH($AI255,Ref!$A$1:$A$9,0))*$P255*0.0001),)</f>
        <v>61</v>
      </c>
      <c r="AC255" s="137">
        <v>22</v>
      </c>
      <c r="AD255" s="137">
        <v>39</v>
      </c>
      <c r="AE255" s="137">
        <v>44</v>
      </c>
      <c r="AF255" s="137">
        <v>51</v>
      </c>
      <c r="AG255" s="137">
        <v>24</v>
      </c>
      <c r="AH255" s="137">
        <v>44</v>
      </c>
      <c r="AI255" s="208">
        <v>6</v>
      </c>
      <c r="AJ255" s="172">
        <v>3000</v>
      </c>
      <c r="AK255" s="172">
        <v>30303</v>
      </c>
      <c r="AL255" s="172">
        <v>2000</v>
      </c>
      <c r="AM255" s="172">
        <v>30305</v>
      </c>
      <c r="AN255" s="172">
        <v>0</v>
      </c>
      <c r="AO255" s="172">
        <f t="shared" si="30"/>
        <v>34303</v>
      </c>
      <c r="AP255" s="172">
        <v>0</v>
      </c>
      <c r="AQ255" s="172">
        <f t="shared" si="31"/>
        <v>34305</v>
      </c>
      <c r="AR255" s="172">
        <v>1</v>
      </c>
      <c r="AS255" s="172">
        <v>0</v>
      </c>
      <c r="AT255" s="199">
        <v>78051</v>
      </c>
      <c r="AU255" s="195" t="s">
        <v>224</v>
      </c>
    </row>
    <row r="256" spans="1:47" x14ac:dyDescent="0.2">
      <c r="A256" s="173">
        <v>55051</v>
      </c>
      <c r="B256" s="174" t="s">
        <v>222</v>
      </c>
      <c r="C256" s="172">
        <v>86051</v>
      </c>
      <c r="D256" s="172">
        <v>150051</v>
      </c>
      <c r="E256" s="206" t="s">
        <v>223</v>
      </c>
      <c r="F256" s="207">
        <v>3</v>
      </c>
      <c r="G256" s="172">
        <v>13000</v>
      </c>
      <c r="H256" s="172">
        <v>9000</v>
      </c>
      <c r="I256" s="172">
        <v>10000</v>
      </c>
      <c r="J256" s="172">
        <v>5</v>
      </c>
      <c r="K256" s="190">
        <f>IF($J256=1,INDEX('큐펫&amp;몹 정리(최신)'!P:P,MATCH($E256,'큐펫&amp;몹 정리(최신)'!$B:$B,0))*20,IF($J256=2,INDEX('큐펫&amp;몹 정리(최신)'!P:P,MATCH($E256,'큐펫&amp;몹 정리(최신)'!$B:$B,0))*25,IF($J256=3,INDEX('큐펫&amp;몹 정리(최신)'!P:P,MATCH($E256,'큐펫&amp;몹 정리(최신)'!$B:$B,0))*30,IF($J256=4,INDEX('큐펫&amp;몹 정리(최신)'!P:P,MATCH($E256,'큐펫&amp;몹 정리(최신)'!$B:$B,0))*35,INDEX('큐펫&amp;몹 정리(최신)'!P:P,MATCH($E256,'큐펫&amp;몹 정리(최신)'!$B:$B,0))*40))))</f>
        <v>2000</v>
      </c>
      <c r="L256" s="190">
        <f>IF($J256=1,INDEX('큐펫&amp;몹 정리(최신)'!Q:Q,MATCH($E256,'큐펫&amp;몹 정리(최신)'!$B:$B,0))*20,IF($J256=2,INDEX('큐펫&amp;몹 정리(최신)'!Q:Q,MATCH($E256,'큐펫&amp;몹 정리(최신)'!$B:$B,0))*25,IF($J256=3,INDEX('큐펫&amp;몹 정리(최신)'!Q:Q,MATCH($E256,'큐펫&amp;몹 정리(최신)'!$B:$B,0))*30,IF($J256=4,INDEX('큐펫&amp;몹 정리(최신)'!Q:Q,MATCH($E256,'큐펫&amp;몹 정리(최신)'!$B:$B,0))*35,INDEX('큐펫&amp;몹 정리(최신)'!Q:Q,MATCH($E256,'큐펫&amp;몹 정리(최신)'!$B:$B,0))*40))))</f>
        <v>160</v>
      </c>
      <c r="M256" s="190">
        <f>IF($J256=1,INDEX('큐펫&amp;몹 정리(최신)'!R:R,MATCH($E256,'큐펫&amp;몹 정리(최신)'!$B:$B,0))*20,IF($J256=2,INDEX('큐펫&amp;몹 정리(최신)'!R:R,MATCH($E256,'큐펫&amp;몹 정리(최신)'!$B:$B,0))*25,IF($J256=3,INDEX('큐펫&amp;몹 정리(최신)'!R:R,MATCH($E256,'큐펫&amp;몹 정리(최신)'!$B:$B,0))*30,IF($J256=4,INDEX('큐펫&amp;몹 정리(최신)'!R:R,MATCH($E256,'큐펫&amp;몹 정리(최신)'!$B:$B,0))*35,INDEX('큐펫&amp;몹 정리(최신)'!R:R,MATCH($E256,'큐펫&amp;몹 정리(최신)'!$B:$B,0))*40))))</f>
        <v>200</v>
      </c>
      <c r="N256" s="190">
        <f>IF($J256=1,INDEX('큐펫&amp;몹 정리(최신)'!S:S,MATCH($E256,'큐펫&amp;몹 정리(최신)'!$B:$B,0))*20,IF($J256=2,INDEX('큐펫&amp;몹 정리(최신)'!S:S,MATCH($E256,'큐펫&amp;몹 정리(최신)'!$B:$B,0))*25,IF($J256=3,INDEX('큐펫&amp;몹 정리(최신)'!S:S,MATCH($E256,'큐펫&amp;몹 정리(최신)'!$B:$B,0))*30,IF($J256=4,INDEX('큐펫&amp;몹 정리(최신)'!S:S,MATCH($E256,'큐펫&amp;몹 정리(최신)'!$B:$B,0))*35,INDEX('큐펫&amp;몹 정리(최신)'!S:S,MATCH($E256,'큐펫&amp;몹 정리(최신)'!$B:$B,0))*40))))</f>
        <v>800</v>
      </c>
      <c r="O256" s="190">
        <f>IF($J256=1,INDEX('큐펫&amp;몹 정리(최신)'!T:T,MATCH($E256,'큐펫&amp;몹 정리(최신)'!$B:$B,0))*20,IF($J256=2,INDEX('큐펫&amp;몹 정리(최신)'!T:T,MATCH($E256,'큐펫&amp;몹 정리(최신)'!$B:$B,0))*25,IF($J256=3,INDEX('큐펫&amp;몹 정리(최신)'!T:T,MATCH($E256,'큐펫&amp;몹 정리(최신)'!$B:$B,0))*30,IF($J256=4,INDEX('큐펫&amp;몹 정리(최신)'!T:T,MATCH($E256,'큐펫&amp;몹 정리(최신)'!$B:$B,0))*35,INDEX('큐펫&amp;몹 정리(최신)'!T:T,MATCH($E256,'큐펫&amp;몹 정리(최신)'!$B:$B,0))*40))))</f>
        <v>840</v>
      </c>
      <c r="P256" s="217">
        <v>100</v>
      </c>
      <c r="Q256" s="217">
        <f t="shared" si="24"/>
        <v>330000</v>
      </c>
      <c r="R256" s="217">
        <f t="shared" si="25"/>
        <v>2103</v>
      </c>
      <c r="S256" s="217">
        <f t="shared" si="26"/>
        <v>2458</v>
      </c>
      <c r="T256" s="217">
        <f t="shared" si="27"/>
        <v>13032</v>
      </c>
      <c r="U256" s="217">
        <f t="shared" si="28"/>
        <v>64014</v>
      </c>
      <c r="V256" s="217">
        <f t="shared" si="29"/>
        <v>33680</v>
      </c>
      <c r="W256" s="217">
        <f>ROUND(AC256+(INDEX(Ref!B$1:B$9,MATCH($AI256,Ref!$A$1:$A$9,0))*P256*0.0001),)</f>
        <v>35</v>
      </c>
      <c r="X256" s="217">
        <f>ROUND(AD256+(INDEX(Ref!C$1:C$9,MATCH($AI256,Ref!$A$1:$A$9,0))*$P256*0.0001),)</f>
        <v>62</v>
      </c>
      <c r="Y256" s="217">
        <f>ROUND(AE256+(INDEX(Ref!D$1:D$9,MATCH($AI256,Ref!$A$1:$A$9,0))*$P256*0.0001),)</f>
        <v>60</v>
      </c>
      <c r="Z256" s="217">
        <f>ROUND(AF256+(INDEX(Ref!E$1:E$9,MATCH($AI256,Ref!$A$1:$A$9,0))*$P256*0.0001),)</f>
        <v>80</v>
      </c>
      <c r="AA256" s="217">
        <f>ROUND(AG256+(INDEX(Ref!F$1:F$9,MATCH($AI256,Ref!$A$1:$A$9,0))*$P256*0.0001),)</f>
        <v>38</v>
      </c>
      <c r="AB256" s="217">
        <f>ROUND(AH256+(INDEX(Ref!G$1:G$9,MATCH($AI256,Ref!$A$1:$A$9,0))*$P256*0.0001),)</f>
        <v>69</v>
      </c>
      <c r="AC256" s="137">
        <v>24</v>
      </c>
      <c r="AD256" s="137">
        <v>43</v>
      </c>
      <c r="AE256" s="137">
        <v>47</v>
      </c>
      <c r="AF256" s="137">
        <v>56</v>
      </c>
      <c r="AG256" s="137">
        <v>26</v>
      </c>
      <c r="AH256" s="137">
        <v>48</v>
      </c>
      <c r="AI256" s="208">
        <v>6</v>
      </c>
      <c r="AJ256" s="172">
        <v>3000</v>
      </c>
      <c r="AK256" s="172">
        <v>30303</v>
      </c>
      <c r="AL256" s="172">
        <v>2000</v>
      </c>
      <c r="AM256" s="172">
        <v>30306</v>
      </c>
      <c r="AN256" s="172">
        <v>0</v>
      </c>
      <c r="AO256" s="172">
        <f t="shared" si="30"/>
        <v>34303</v>
      </c>
      <c r="AP256" s="172">
        <v>0</v>
      </c>
      <c r="AQ256" s="172">
        <f t="shared" si="31"/>
        <v>34306</v>
      </c>
      <c r="AR256" s="172">
        <v>1</v>
      </c>
      <c r="AS256" s="172">
        <v>0</v>
      </c>
      <c r="AT256" s="199">
        <v>78051</v>
      </c>
      <c r="AU256" s="195" t="s">
        <v>224</v>
      </c>
    </row>
    <row r="257" spans="1:47" x14ac:dyDescent="0.2">
      <c r="A257" s="173">
        <v>55052</v>
      </c>
      <c r="B257" s="174" t="s">
        <v>225</v>
      </c>
      <c r="C257" s="172">
        <v>86052</v>
      </c>
      <c r="D257" s="172">
        <v>150052</v>
      </c>
      <c r="E257" s="206" t="s">
        <v>226</v>
      </c>
      <c r="F257" s="207">
        <v>5</v>
      </c>
      <c r="G257" s="172">
        <v>10000</v>
      </c>
      <c r="H257" s="172">
        <v>10000</v>
      </c>
      <c r="I257" s="172">
        <v>10000</v>
      </c>
      <c r="J257" s="172">
        <v>1</v>
      </c>
      <c r="K257" s="190">
        <f>IF($J257=1,INDEX('큐펫&amp;몹 정리(최신)'!P:P,MATCH($E257,'큐펫&amp;몹 정리(최신)'!$B:$B,0))*20,IF($J257=2,INDEX('큐펫&amp;몹 정리(최신)'!P:P,MATCH($E257,'큐펫&amp;몹 정리(최신)'!$B:$B,0))*25,IF($J257=3,INDEX('큐펫&amp;몹 정리(최신)'!P:P,MATCH($E257,'큐펫&amp;몹 정리(최신)'!$B:$B,0))*30,IF($J257=4,INDEX('큐펫&amp;몹 정리(최신)'!P:P,MATCH($E257,'큐펫&amp;몹 정리(최신)'!$B:$B,0))*35,INDEX('큐펫&amp;몹 정리(최신)'!P:P,MATCH($E257,'큐펫&amp;몹 정리(최신)'!$B:$B,0))*40))))</f>
        <v>800</v>
      </c>
      <c r="L257" s="190">
        <f>IF($J257=1,INDEX('큐펫&amp;몹 정리(최신)'!Q:Q,MATCH($E257,'큐펫&amp;몹 정리(최신)'!$B:$B,0))*20,IF($J257=2,INDEX('큐펫&amp;몹 정리(최신)'!Q:Q,MATCH($E257,'큐펫&amp;몹 정리(최신)'!$B:$B,0))*25,IF($J257=3,INDEX('큐펫&amp;몹 정리(최신)'!Q:Q,MATCH($E257,'큐펫&amp;몹 정리(최신)'!$B:$B,0))*30,IF($J257=4,INDEX('큐펫&amp;몹 정리(최신)'!Q:Q,MATCH($E257,'큐펫&amp;몹 정리(최신)'!$B:$B,0))*35,INDEX('큐펫&amp;몹 정리(최신)'!Q:Q,MATCH($E257,'큐펫&amp;몹 정리(최신)'!$B:$B,0))*40))))</f>
        <v>100</v>
      </c>
      <c r="M257" s="190">
        <f>IF($J257=1,INDEX('큐펫&amp;몹 정리(최신)'!R:R,MATCH($E257,'큐펫&amp;몹 정리(최신)'!$B:$B,0))*20,IF($J257=2,INDEX('큐펫&amp;몹 정리(최신)'!R:R,MATCH($E257,'큐펫&amp;몹 정리(최신)'!$B:$B,0))*25,IF($J257=3,INDEX('큐펫&amp;몹 정리(최신)'!R:R,MATCH($E257,'큐펫&amp;몹 정리(최신)'!$B:$B,0))*30,IF($J257=4,INDEX('큐펫&amp;몹 정리(최신)'!R:R,MATCH($E257,'큐펫&amp;몹 정리(최신)'!$B:$B,0))*35,INDEX('큐펫&amp;몹 정리(최신)'!R:R,MATCH($E257,'큐펫&amp;몹 정리(최신)'!$B:$B,0))*40))))</f>
        <v>440</v>
      </c>
      <c r="N257" s="190">
        <f>IF($J257=1,INDEX('큐펫&amp;몹 정리(최신)'!S:S,MATCH($E257,'큐펫&amp;몹 정리(최신)'!$B:$B,0))*20,IF($J257=2,INDEX('큐펫&amp;몹 정리(최신)'!S:S,MATCH($E257,'큐펫&amp;몹 정리(최신)'!$B:$B,0))*25,IF($J257=3,INDEX('큐펫&amp;몹 정리(최신)'!S:S,MATCH($E257,'큐펫&amp;몹 정리(최신)'!$B:$B,0))*30,IF($J257=4,INDEX('큐펫&amp;몹 정리(최신)'!S:S,MATCH($E257,'큐펫&amp;몹 정리(최신)'!$B:$B,0))*35,INDEX('큐펫&amp;몹 정리(최신)'!S:S,MATCH($E257,'큐펫&amp;몹 정리(최신)'!$B:$B,0))*40))))</f>
        <v>240</v>
      </c>
      <c r="O257" s="190">
        <f>IF($J257=1,INDEX('큐펫&amp;몹 정리(최신)'!T:T,MATCH($E257,'큐펫&amp;몹 정리(최신)'!$B:$B,0))*20,IF($J257=2,INDEX('큐펫&amp;몹 정리(최신)'!T:T,MATCH($E257,'큐펫&amp;몹 정리(최신)'!$B:$B,0))*25,IF($J257=3,INDEX('큐펫&amp;몹 정리(최신)'!T:T,MATCH($E257,'큐펫&amp;몹 정리(최신)'!$B:$B,0))*30,IF($J257=4,INDEX('큐펫&amp;몹 정리(최신)'!T:T,MATCH($E257,'큐펫&amp;몹 정리(최신)'!$B:$B,0))*35,INDEX('큐펫&amp;몹 정리(최신)'!T:T,MATCH($E257,'큐펫&amp;몹 정리(최신)'!$B:$B,0))*40))))</f>
        <v>420</v>
      </c>
      <c r="P257" s="217">
        <v>20</v>
      </c>
      <c r="Q257" s="217">
        <f t="shared" si="24"/>
        <v>29440</v>
      </c>
      <c r="R257" s="217">
        <f t="shared" si="25"/>
        <v>695</v>
      </c>
      <c r="S257" s="217">
        <f t="shared" si="26"/>
        <v>860</v>
      </c>
      <c r="T257" s="217">
        <f t="shared" si="27"/>
        <v>4587</v>
      </c>
      <c r="U257" s="217">
        <f t="shared" si="28"/>
        <v>9488</v>
      </c>
      <c r="V257" s="217">
        <f t="shared" si="29"/>
        <v>8327</v>
      </c>
      <c r="W257" s="217">
        <f>ROUND(AC257+(INDEX(Ref!B$1:B$9,MATCH($AI257,Ref!$A$1:$A$9,0))*P257*0.0001),)</f>
        <v>25</v>
      </c>
      <c r="X257" s="217">
        <f>ROUND(AD257+(INDEX(Ref!C$1:C$9,MATCH($AI257,Ref!$A$1:$A$9,0))*$P257*0.0001),)</f>
        <v>21</v>
      </c>
      <c r="Y257" s="217">
        <f>ROUND(AE257+(INDEX(Ref!D$1:D$9,MATCH($AI257,Ref!$A$1:$A$9,0))*$P257*0.0001),)</f>
        <v>59</v>
      </c>
      <c r="Z257" s="217">
        <f>ROUND(AF257+(INDEX(Ref!E$1:E$9,MATCH($AI257,Ref!$A$1:$A$9,0))*$P257*0.0001),)</f>
        <v>32</v>
      </c>
      <c r="AA257" s="217">
        <f>ROUND(AG257+(INDEX(Ref!F$1:F$9,MATCH($AI257,Ref!$A$1:$A$9,0))*$P257*0.0001),)</f>
        <v>28</v>
      </c>
      <c r="AB257" s="217">
        <f>ROUND(AH257+(INDEX(Ref!G$1:G$9,MATCH($AI257,Ref!$A$1:$A$9,0))*$P257*0.0001),)</f>
        <v>19</v>
      </c>
      <c r="AC257" s="137">
        <v>22</v>
      </c>
      <c r="AD257" s="137">
        <v>18</v>
      </c>
      <c r="AE257" s="137">
        <v>54</v>
      </c>
      <c r="AF257" s="137">
        <v>28</v>
      </c>
      <c r="AG257" s="137">
        <v>25</v>
      </c>
      <c r="AH257" s="137">
        <v>17</v>
      </c>
      <c r="AI257" s="208">
        <v>4</v>
      </c>
      <c r="AJ257" s="172">
        <v>3000</v>
      </c>
      <c r="AK257" s="172">
        <v>30307</v>
      </c>
      <c r="AL257" s="172">
        <v>2000</v>
      </c>
      <c r="AM257" s="172">
        <v>30310</v>
      </c>
      <c r="AN257" s="172">
        <v>0</v>
      </c>
      <c r="AO257" s="172">
        <f t="shared" si="30"/>
        <v>34307</v>
      </c>
      <c r="AP257" s="172">
        <v>0</v>
      </c>
      <c r="AQ257" s="172">
        <f t="shared" si="31"/>
        <v>34310</v>
      </c>
      <c r="AR257" s="172">
        <v>1</v>
      </c>
      <c r="AS257" s="172">
        <v>0</v>
      </c>
      <c r="AT257" s="199">
        <v>78052</v>
      </c>
      <c r="AU257" s="195" t="s">
        <v>227</v>
      </c>
    </row>
    <row r="258" spans="1:47" x14ac:dyDescent="0.2">
      <c r="A258" s="173">
        <v>55052</v>
      </c>
      <c r="B258" s="174" t="s">
        <v>225</v>
      </c>
      <c r="C258" s="172">
        <v>86052</v>
      </c>
      <c r="D258" s="172">
        <v>150052</v>
      </c>
      <c r="E258" s="206" t="s">
        <v>226</v>
      </c>
      <c r="F258" s="207">
        <v>5</v>
      </c>
      <c r="G258" s="172">
        <v>10000</v>
      </c>
      <c r="H258" s="172">
        <v>10000</v>
      </c>
      <c r="I258" s="172">
        <v>10000</v>
      </c>
      <c r="J258" s="172">
        <v>2</v>
      </c>
      <c r="K258" s="190">
        <f>IF($J258=1,INDEX('큐펫&amp;몹 정리(최신)'!P:P,MATCH($E258,'큐펫&amp;몹 정리(최신)'!$B:$B,0))*20,IF($J258=2,INDEX('큐펫&amp;몹 정리(최신)'!P:P,MATCH($E258,'큐펫&amp;몹 정리(최신)'!$B:$B,0))*25,IF($J258=3,INDEX('큐펫&amp;몹 정리(최신)'!P:P,MATCH($E258,'큐펫&amp;몹 정리(최신)'!$B:$B,0))*30,IF($J258=4,INDEX('큐펫&amp;몹 정리(최신)'!P:P,MATCH($E258,'큐펫&amp;몹 정리(최신)'!$B:$B,0))*35,INDEX('큐펫&amp;몹 정리(최신)'!P:P,MATCH($E258,'큐펫&amp;몹 정리(최신)'!$B:$B,0))*40))))</f>
        <v>1000</v>
      </c>
      <c r="L258" s="190">
        <f>IF($J258=1,INDEX('큐펫&amp;몹 정리(최신)'!Q:Q,MATCH($E258,'큐펫&amp;몹 정리(최신)'!$B:$B,0))*20,IF($J258=2,INDEX('큐펫&amp;몹 정리(최신)'!Q:Q,MATCH($E258,'큐펫&amp;몹 정리(최신)'!$B:$B,0))*25,IF($J258=3,INDEX('큐펫&amp;몹 정리(최신)'!Q:Q,MATCH($E258,'큐펫&amp;몹 정리(최신)'!$B:$B,0))*30,IF($J258=4,INDEX('큐펫&amp;몹 정리(최신)'!Q:Q,MATCH($E258,'큐펫&amp;몹 정리(최신)'!$B:$B,0))*35,INDEX('큐펫&amp;몹 정리(최신)'!Q:Q,MATCH($E258,'큐펫&amp;몹 정리(최신)'!$B:$B,0))*40))))</f>
        <v>125</v>
      </c>
      <c r="M258" s="190">
        <f>IF($J258=1,INDEX('큐펫&amp;몹 정리(최신)'!R:R,MATCH($E258,'큐펫&amp;몹 정리(최신)'!$B:$B,0))*20,IF($J258=2,INDEX('큐펫&amp;몹 정리(최신)'!R:R,MATCH($E258,'큐펫&amp;몹 정리(최신)'!$B:$B,0))*25,IF($J258=3,INDEX('큐펫&amp;몹 정리(최신)'!R:R,MATCH($E258,'큐펫&amp;몹 정리(최신)'!$B:$B,0))*30,IF($J258=4,INDEX('큐펫&amp;몹 정리(최신)'!R:R,MATCH($E258,'큐펫&amp;몹 정리(최신)'!$B:$B,0))*35,INDEX('큐펫&amp;몹 정리(최신)'!R:R,MATCH($E258,'큐펫&amp;몹 정리(최신)'!$B:$B,0))*40))))</f>
        <v>550</v>
      </c>
      <c r="N258" s="190">
        <f>IF($J258=1,INDEX('큐펫&amp;몹 정리(최신)'!S:S,MATCH($E258,'큐펫&amp;몹 정리(최신)'!$B:$B,0))*20,IF($J258=2,INDEX('큐펫&amp;몹 정리(최신)'!S:S,MATCH($E258,'큐펫&amp;몹 정리(최신)'!$B:$B,0))*25,IF($J258=3,INDEX('큐펫&amp;몹 정리(최신)'!S:S,MATCH($E258,'큐펫&amp;몹 정리(최신)'!$B:$B,0))*30,IF($J258=4,INDEX('큐펫&amp;몹 정리(최신)'!S:S,MATCH($E258,'큐펫&amp;몹 정리(최신)'!$B:$B,0))*35,INDEX('큐펫&amp;몹 정리(최신)'!S:S,MATCH($E258,'큐펫&amp;몹 정리(최신)'!$B:$B,0))*40))))</f>
        <v>300</v>
      </c>
      <c r="O258" s="190">
        <f>IF($J258=1,INDEX('큐펫&amp;몹 정리(최신)'!T:T,MATCH($E258,'큐펫&amp;몹 정리(최신)'!$B:$B,0))*20,IF($J258=2,INDEX('큐펫&amp;몹 정리(최신)'!T:T,MATCH($E258,'큐펫&amp;몹 정리(최신)'!$B:$B,0))*25,IF($J258=3,INDEX('큐펫&amp;몹 정리(최신)'!T:T,MATCH($E258,'큐펫&amp;몹 정리(최신)'!$B:$B,0))*30,IF($J258=4,INDEX('큐펫&amp;몹 정리(최신)'!T:T,MATCH($E258,'큐펫&amp;몹 정리(최신)'!$B:$B,0))*35,INDEX('큐펫&amp;몹 정리(최신)'!T:T,MATCH($E258,'큐펫&amp;몹 정리(최신)'!$B:$B,0))*40))))</f>
        <v>525</v>
      </c>
      <c r="P258" s="217">
        <v>40</v>
      </c>
      <c r="Q258" s="217">
        <f t="shared" si="24"/>
        <v>72600</v>
      </c>
      <c r="R258" s="217">
        <f t="shared" si="25"/>
        <v>1296</v>
      </c>
      <c r="S258" s="217">
        <f t="shared" si="26"/>
        <v>1633</v>
      </c>
      <c r="T258" s="217">
        <f t="shared" si="27"/>
        <v>8910</v>
      </c>
      <c r="U258" s="217">
        <f t="shared" si="28"/>
        <v>16359</v>
      </c>
      <c r="V258" s="217">
        <f t="shared" si="29"/>
        <v>14346</v>
      </c>
      <c r="W258" s="217">
        <f>ROUND(AC258+(INDEX(Ref!B$1:B$9,MATCH($AI258,Ref!$A$1:$A$9,0))*P258*0.0001),)</f>
        <v>31</v>
      </c>
      <c r="X258" s="217">
        <f>ROUND(AD258+(INDEX(Ref!C$1:C$9,MATCH($AI258,Ref!$A$1:$A$9,0))*$P258*0.0001),)</f>
        <v>26</v>
      </c>
      <c r="Y258" s="217">
        <f>ROUND(AE258+(INDEX(Ref!D$1:D$9,MATCH($AI258,Ref!$A$1:$A$9,0))*$P258*0.0001),)</f>
        <v>69</v>
      </c>
      <c r="Z258" s="217">
        <f>ROUND(AF258+(INDEX(Ref!E$1:E$9,MATCH($AI258,Ref!$A$1:$A$9,0))*$P258*0.0001),)</f>
        <v>40</v>
      </c>
      <c r="AA258" s="217">
        <f>ROUND(AG258+(INDEX(Ref!F$1:F$9,MATCH($AI258,Ref!$A$1:$A$9,0))*$P258*0.0001),)</f>
        <v>35</v>
      </c>
      <c r="AB258" s="217">
        <f>ROUND(AH258+(INDEX(Ref!G$1:G$9,MATCH($AI258,Ref!$A$1:$A$9,0))*$P258*0.0001),)</f>
        <v>24</v>
      </c>
      <c r="AC258" s="137">
        <v>25</v>
      </c>
      <c r="AD258" s="137">
        <v>21</v>
      </c>
      <c r="AE258" s="137">
        <v>59</v>
      </c>
      <c r="AF258" s="137">
        <v>32</v>
      </c>
      <c r="AG258" s="137">
        <v>28</v>
      </c>
      <c r="AH258" s="137">
        <v>19</v>
      </c>
      <c r="AI258" s="208">
        <v>4</v>
      </c>
      <c r="AJ258" s="172">
        <v>3000</v>
      </c>
      <c r="AK258" s="172">
        <v>30308</v>
      </c>
      <c r="AL258" s="172">
        <v>2000</v>
      </c>
      <c r="AM258" s="172">
        <v>30310</v>
      </c>
      <c r="AN258" s="172">
        <v>0</v>
      </c>
      <c r="AO258" s="172">
        <f t="shared" si="30"/>
        <v>34308</v>
      </c>
      <c r="AP258" s="172">
        <v>0</v>
      </c>
      <c r="AQ258" s="172">
        <f t="shared" si="31"/>
        <v>34310</v>
      </c>
      <c r="AR258" s="172">
        <v>1</v>
      </c>
      <c r="AS258" s="172">
        <v>0</v>
      </c>
      <c r="AT258" s="199">
        <v>78052</v>
      </c>
      <c r="AU258" s="195" t="s">
        <v>227</v>
      </c>
    </row>
    <row r="259" spans="1:47" x14ac:dyDescent="0.2">
      <c r="A259" s="173">
        <v>55052</v>
      </c>
      <c r="B259" s="174" t="s">
        <v>225</v>
      </c>
      <c r="C259" s="172">
        <v>86052</v>
      </c>
      <c r="D259" s="172">
        <v>150052</v>
      </c>
      <c r="E259" s="206" t="s">
        <v>226</v>
      </c>
      <c r="F259" s="207">
        <v>5</v>
      </c>
      <c r="G259" s="172">
        <v>10000</v>
      </c>
      <c r="H259" s="172">
        <v>10000</v>
      </c>
      <c r="I259" s="172">
        <v>10000</v>
      </c>
      <c r="J259" s="172">
        <v>3</v>
      </c>
      <c r="K259" s="190">
        <f>IF($J259=1,INDEX('큐펫&amp;몹 정리(최신)'!P:P,MATCH($E259,'큐펫&amp;몹 정리(최신)'!$B:$B,0))*20,IF($J259=2,INDEX('큐펫&amp;몹 정리(최신)'!P:P,MATCH($E259,'큐펫&amp;몹 정리(최신)'!$B:$B,0))*25,IF($J259=3,INDEX('큐펫&amp;몹 정리(최신)'!P:P,MATCH($E259,'큐펫&amp;몹 정리(최신)'!$B:$B,0))*30,IF($J259=4,INDEX('큐펫&amp;몹 정리(최신)'!P:P,MATCH($E259,'큐펫&amp;몹 정리(최신)'!$B:$B,0))*35,INDEX('큐펫&amp;몹 정리(최신)'!P:P,MATCH($E259,'큐펫&amp;몹 정리(최신)'!$B:$B,0))*40))))</f>
        <v>1200</v>
      </c>
      <c r="L259" s="190">
        <f>IF($J259=1,INDEX('큐펫&amp;몹 정리(최신)'!Q:Q,MATCH($E259,'큐펫&amp;몹 정리(최신)'!$B:$B,0))*20,IF($J259=2,INDEX('큐펫&amp;몹 정리(최신)'!Q:Q,MATCH($E259,'큐펫&amp;몹 정리(최신)'!$B:$B,0))*25,IF($J259=3,INDEX('큐펫&amp;몹 정리(최신)'!Q:Q,MATCH($E259,'큐펫&amp;몹 정리(최신)'!$B:$B,0))*30,IF($J259=4,INDEX('큐펫&amp;몹 정리(최신)'!Q:Q,MATCH($E259,'큐펫&amp;몹 정리(최신)'!$B:$B,0))*35,INDEX('큐펫&amp;몹 정리(최신)'!Q:Q,MATCH($E259,'큐펫&amp;몹 정리(최신)'!$B:$B,0))*40))))</f>
        <v>150</v>
      </c>
      <c r="M259" s="190">
        <f>IF($J259=1,INDEX('큐펫&amp;몹 정리(최신)'!R:R,MATCH($E259,'큐펫&amp;몹 정리(최신)'!$B:$B,0))*20,IF($J259=2,INDEX('큐펫&amp;몹 정리(최신)'!R:R,MATCH($E259,'큐펫&amp;몹 정리(최신)'!$B:$B,0))*25,IF($J259=3,INDEX('큐펫&amp;몹 정리(최신)'!R:R,MATCH($E259,'큐펫&amp;몹 정리(최신)'!$B:$B,0))*30,IF($J259=4,INDEX('큐펫&amp;몹 정리(최신)'!R:R,MATCH($E259,'큐펫&amp;몹 정리(최신)'!$B:$B,0))*35,INDEX('큐펫&amp;몹 정리(최신)'!R:R,MATCH($E259,'큐펫&amp;몹 정리(최신)'!$B:$B,0))*40))))</f>
        <v>660</v>
      </c>
      <c r="N259" s="190">
        <f>IF($J259=1,INDEX('큐펫&amp;몹 정리(최신)'!S:S,MATCH($E259,'큐펫&amp;몹 정리(최신)'!$B:$B,0))*20,IF($J259=2,INDEX('큐펫&amp;몹 정리(최신)'!S:S,MATCH($E259,'큐펫&amp;몹 정리(최신)'!$B:$B,0))*25,IF($J259=3,INDEX('큐펫&amp;몹 정리(최신)'!S:S,MATCH($E259,'큐펫&amp;몹 정리(최신)'!$B:$B,0))*30,IF($J259=4,INDEX('큐펫&amp;몹 정리(최신)'!S:S,MATCH($E259,'큐펫&amp;몹 정리(최신)'!$B:$B,0))*35,INDEX('큐펫&amp;몹 정리(최신)'!S:S,MATCH($E259,'큐펫&amp;몹 정리(최신)'!$B:$B,0))*40))))</f>
        <v>360</v>
      </c>
      <c r="O259" s="190">
        <f>IF($J259=1,INDEX('큐펫&amp;몹 정리(최신)'!T:T,MATCH($E259,'큐펫&amp;몹 정리(최신)'!$B:$B,0))*20,IF($J259=2,INDEX('큐펫&amp;몹 정리(최신)'!T:T,MATCH($E259,'큐펫&amp;몹 정리(최신)'!$B:$B,0))*25,IF($J259=3,INDEX('큐펫&amp;몹 정리(최신)'!T:T,MATCH($E259,'큐펫&amp;몹 정리(최신)'!$B:$B,0))*30,IF($J259=4,INDEX('큐펫&amp;몹 정리(최신)'!T:T,MATCH($E259,'큐펫&amp;몹 정리(최신)'!$B:$B,0))*35,INDEX('큐펫&amp;몹 정리(최신)'!T:T,MATCH($E259,'큐펫&amp;몹 정리(최신)'!$B:$B,0))*40))))</f>
        <v>630</v>
      </c>
      <c r="P259" s="217">
        <v>60</v>
      </c>
      <c r="Q259" s="217">
        <f t="shared" ref="Q259:Q322" si="32">ROUNDDOWN((100*QUOTIENT(K259,20))+((P259*K259)*(1+(Y259/100))),)</f>
        <v>134160</v>
      </c>
      <c r="R259" s="217">
        <f t="shared" ref="R259:R322" si="33">ROUNDDOWN((((W259*W259)*L259)/100)+(W259*2)+(AA259/4)+(AB259/5)+(P259/2),)</f>
        <v>2062</v>
      </c>
      <c r="S259" s="217">
        <f t="shared" ref="S259:S322" si="34">ROUNDDOWN((((AA259*AA259)*L259)/100)+(AA259*2)+(W259/4)+(AB259/5)+(P259/2),)</f>
        <v>2774</v>
      </c>
      <c r="T259" s="217">
        <f t="shared" ref="T259:T322" si="35">ROUNDDOWN((((((Z259*Z259)*M259)/100+(Z259*2))+(AB259/4))+(AA259/8))+(P259/2),)</f>
        <v>15344</v>
      </c>
      <c r="U259" s="217">
        <f t="shared" ref="U259:U322" si="36">ROUNDDOWN(((Y259+P259)*N259)/2,)+ROUNDDOWN(W259/4,)+ROUNDDOWN(X259/10,)</f>
        <v>24852</v>
      </c>
      <c r="V259" s="217">
        <f t="shared" ref="V259:V322" si="37">ROUNDDOWN(((Y259+P259)*O259)/4,)+Z259</f>
        <v>21783</v>
      </c>
      <c r="W259" s="217">
        <f>ROUND(AC259+(INDEX(Ref!B$1:B$9,MATCH($AI259,Ref!$A$1:$A$9,0))*P259*0.0001),)</f>
        <v>36</v>
      </c>
      <c r="X259" s="217">
        <f>ROUND(AD259+(INDEX(Ref!C$1:C$9,MATCH($AI259,Ref!$A$1:$A$9,0))*$P259*0.0001),)</f>
        <v>31</v>
      </c>
      <c r="Y259" s="217">
        <f>ROUND(AE259+(INDEX(Ref!D$1:D$9,MATCH($AI259,Ref!$A$1:$A$9,0))*$P259*0.0001),)</f>
        <v>78</v>
      </c>
      <c r="Z259" s="217">
        <f>ROUND(AF259+(INDEX(Ref!E$1:E$9,MATCH($AI259,Ref!$A$1:$A$9,0))*$P259*0.0001),)</f>
        <v>48</v>
      </c>
      <c r="AA259" s="217">
        <f>ROUND(AG259+(INDEX(Ref!F$1:F$9,MATCH($AI259,Ref!$A$1:$A$9,0))*$P259*0.0001),)</f>
        <v>42</v>
      </c>
      <c r="AB259" s="217">
        <f>ROUND(AH259+(INDEX(Ref!G$1:G$9,MATCH($AI259,Ref!$A$1:$A$9,0))*$P259*0.0001),)</f>
        <v>28</v>
      </c>
      <c r="AC259" s="137">
        <v>27</v>
      </c>
      <c r="AD259" s="137">
        <v>23</v>
      </c>
      <c r="AE259" s="137">
        <v>64</v>
      </c>
      <c r="AF259" s="137">
        <v>37</v>
      </c>
      <c r="AG259" s="137">
        <v>32</v>
      </c>
      <c r="AH259" s="137">
        <v>21</v>
      </c>
      <c r="AI259" s="208">
        <v>4</v>
      </c>
      <c r="AJ259" s="172">
        <v>3000</v>
      </c>
      <c r="AK259" s="172">
        <v>30308</v>
      </c>
      <c r="AL259" s="172">
        <v>2000</v>
      </c>
      <c r="AM259" s="172">
        <v>30311</v>
      </c>
      <c r="AN259" s="172">
        <v>0</v>
      </c>
      <c r="AO259" s="172">
        <f t="shared" si="30"/>
        <v>34308</v>
      </c>
      <c r="AP259" s="172">
        <v>0</v>
      </c>
      <c r="AQ259" s="172">
        <f t="shared" si="31"/>
        <v>34311</v>
      </c>
      <c r="AR259" s="172">
        <v>1</v>
      </c>
      <c r="AS259" s="172">
        <v>0</v>
      </c>
      <c r="AT259" s="199">
        <v>78052</v>
      </c>
      <c r="AU259" s="195" t="s">
        <v>227</v>
      </c>
    </row>
    <row r="260" spans="1:47" x14ac:dyDescent="0.2">
      <c r="A260" s="173">
        <v>55052</v>
      </c>
      <c r="B260" s="174" t="s">
        <v>225</v>
      </c>
      <c r="C260" s="172">
        <v>86052</v>
      </c>
      <c r="D260" s="172">
        <v>150052</v>
      </c>
      <c r="E260" s="206" t="s">
        <v>226</v>
      </c>
      <c r="F260" s="207">
        <v>5</v>
      </c>
      <c r="G260" s="172">
        <v>10000</v>
      </c>
      <c r="H260" s="172">
        <v>10000</v>
      </c>
      <c r="I260" s="172">
        <v>10000</v>
      </c>
      <c r="J260" s="172">
        <v>4</v>
      </c>
      <c r="K260" s="190">
        <f>IF($J260=1,INDEX('큐펫&amp;몹 정리(최신)'!P:P,MATCH($E260,'큐펫&amp;몹 정리(최신)'!$B:$B,0))*20,IF($J260=2,INDEX('큐펫&amp;몹 정리(최신)'!P:P,MATCH($E260,'큐펫&amp;몹 정리(최신)'!$B:$B,0))*25,IF($J260=3,INDEX('큐펫&amp;몹 정리(최신)'!P:P,MATCH($E260,'큐펫&amp;몹 정리(최신)'!$B:$B,0))*30,IF($J260=4,INDEX('큐펫&amp;몹 정리(최신)'!P:P,MATCH($E260,'큐펫&amp;몹 정리(최신)'!$B:$B,0))*35,INDEX('큐펫&amp;몹 정리(최신)'!P:P,MATCH($E260,'큐펫&amp;몹 정리(최신)'!$B:$B,0))*40))))</f>
        <v>1400</v>
      </c>
      <c r="L260" s="190">
        <f>IF($J260=1,INDEX('큐펫&amp;몹 정리(최신)'!Q:Q,MATCH($E260,'큐펫&amp;몹 정리(최신)'!$B:$B,0))*20,IF($J260=2,INDEX('큐펫&amp;몹 정리(최신)'!Q:Q,MATCH($E260,'큐펫&amp;몹 정리(최신)'!$B:$B,0))*25,IF($J260=3,INDEX('큐펫&amp;몹 정리(최신)'!Q:Q,MATCH($E260,'큐펫&amp;몹 정리(최신)'!$B:$B,0))*30,IF($J260=4,INDEX('큐펫&amp;몹 정리(최신)'!Q:Q,MATCH($E260,'큐펫&amp;몹 정리(최신)'!$B:$B,0))*35,INDEX('큐펫&amp;몹 정리(최신)'!Q:Q,MATCH($E260,'큐펫&amp;몹 정리(최신)'!$B:$B,0))*40))))</f>
        <v>175</v>
      </c>
      <c r="M260" s="190">
        <f>IF($J260=1,INDEX('큐펫&amp;몹 정리(최신)'!R:R,MATCH($E260,'큐펫&amp;몹 정리(최신)'!$B:$B,0))*20,IF($J260=2,INDEX('큐펫&amp;몹 정리(최신)'!R:R,MATCH($E260,'큐펫&amp;몹 정리(최신)'!$B:$B,0))*25,IF($J260=3,INDEX('큐펫&amp;몹 정리(최신)'!R:R,MATCH($E260,'큐펫&amp;몹 정리(최신)'!$B:$B,0))*30,IF($J260=4,INDEX('큐펫&amp;몹 정리(최신)'!R:R,MATCH($E260,'큐펫&amp;몹 정리(최신)'!$B:$B,0))*35,INDEX('큐펫&amp;몹 정리(최신)'!R:R,MATCH($E260,'큐펫&amp;몹 정리(최신)'!$B:$B,0))*40))))</f>
        <v>770</v>
      </c>
      <c r="N260" s="190">
        <f>IF($J260=1,INDEX('큐펫&amp;몹 정리(최신)'!S:S,MATCH($E260,'큐펫&amp;몹 정리(최신)'!$B:$B,0))*20,IF($J260=2,INDEX('큐펫&amp;몹 정리(최신)'!S:S,MATCH($E260,'큐펫&amp;몹 정리(최신)'!$B:$B,0))*25,IF($J260=3,INDEX('큐펫&amp;몹 정리(최신)'!S:S,MATCH($E260,'큐펫&amp;몹 정리(최신)'!$B:$B,0))*30,IF($J260=4,INDEX('큐펫&amp;몹 정리(최신)'!S:S,MATCH($E260,'큐펫&amp;몹 정리(최신)'!$B:$B,0))*35,INDEX('큐펫&amp;몹 정리(최신)'!S:S,MATCH($E260,'큐펫&amp;몹 정리(최신)'!$B:$B,0))*40))))</f>
        <v>420</v>
      </c>
      <c r="O260" s="190">
        <f>IF($J260=1,INDEX('큐펫&amp;몹 정리(최신)'!T:T,MATCH($E260,'큐펫&amp;몹 정리(최신)'!$B:$B,0))*20,IF($J260=2,INDEX('큐펫&amp;몹 정리(최신)'!T:T,MATCH($E260,'큐펫&amp;몹 정리(최신)'!$B:$B,0))*25,IF($J260=3,INDEX('큐펫&amp;몹 정리(최신)'!T:T,MATCH($E260,'큐펫&amp;몹 정리(최신)'!$B:$B,0))*30,IF($J260=4,INDEX('큐펫&amp;몹 정리(최신)'!T:T,MATCH($E260,'큐펫&amp;몹 정리(최신)'!$B:$B,0))*35,INDEX('큐펫&amp;몹 정리(최신)'!T:T,MATCH($E260,'큐펫&amp;몹 정리(최신)'!$B:$B,0))*40))))</f>
        <v>735</v>
      </c>
      <c r="P260" s="217">
        <v>80</v>
      </c>
      <c r="Q260" s="217">
        <f t="shared" si="32"/>
        <v>217560</v>
      </c>
      <c r="R260" s="217">
        <f t="shared" si="33"/>
        <v>3380</v>
      </c>
      <c r="S260" s="217">
        <f t="shared" si="34"/>
        <v>4357</v>
      </c>
      <c r="T260" s="217">
        <f t="shared" si="35"/>
        <v>22615</v>
      </c>
      <c r="U260" s="217">
        <f t="shared" si="36"/>
        <v>35293</v>
      </c>
      <c r="V260" s="217">
        <f t="shared" si="37"/>
        <v>30924</v>
      </c>
      <c r="W260" s="217">
        <f>ROUND(AC260+(INDEX(Ref!B$1:B$9,MATCH($AI260,Ref!$A$1:$A$9,0))*P260*0.0001),)</f>
        <v>43</v>
      </c>
      <c r="X260" s="217">
        <f>ROUND(AD260+(INDEX(Ref!C$1:C$9,MATCH($AI260,Ref!$A$1:$A$9,0))*$P260*0.0001),)</f>
        <v>36</v>
      </c>
      <c r="Y260" s="217">
        <f>ROUND(AE260+(INDEX(Ref!D$1:D$9,MATCH($AI260,Ref!$A$1:$A$9,0))*$P260*0.0001),)</f>
        <v>88</v>
      </c>
      <c r="Z260" s="217">
        <f>ROUND(AF260+(INDEX(Ref!E$1:E$9,MATCH($AI260,Ref!$A$1:$A$9,0))*$P260*0.0001),)</f>
        <v>54</v>
      </c>
      <c r="AA260" s="217">
        <f>ROUND(AG260+(INDEX(Ref!F$1:F$9,MATCH($AI260,Ref!$A$1:$A$9,0))*$P260*0.0001),)</f>
        <v>49</v>
      </c>
      <c r="AB260" s="217">
        <f>ROUND(AH260+(INDEX(Ref!G$1:G$9,MATCH($AI260,Ref!$A$1:$A$9,0))*$P260*0.0001),)</f>
        <v>34</v>
      </c>
      <c r="AC260" s="137">
        <v>31</v>
      </c>
      <c r="AD260" s="137">
        <v>26</v>
      </c>
      <c r="AE260" s="137">
        <v>69</v>
      </c>
      <c r="AF260" s="137">
        <v>39</v>
      </c>
      <c r="AG260" s="137">
        <v>35</v>
      </c>
      <c r="AH260" s="137">
        <v>24</v>
      </c>
      <c r="AI260" s="208">
        <v>4</v>
      </c>
      <c r="AJ260" s="172">
        <v>3000</v>
      </c>
      <c r="AK260" s="172">
        <v>30309</v>
      </c>
      <c r="AL260" s="172">
        <v>2000</v>
      </c>
      <c r="AM260" s="172">
        <v>30311</v>
      </c>
      <c r="AN260" s="172">
        <v>0</v>
      </c>
      <c r="AO260" s="172">
        <f t="shared" si="30"/>
        <v>34309</v>
      </c>
      <c r="AP260" s="172">
        <v>0</v>
      </c>
      <c r="AQ260" s="172">
        <f t="shared" si="31"/>
        <v>34311</v>
      </c>
      <c r="AR260" s="172">
        <v>1</v>
      </c>
      <c r="AS260" s="172">
        <v>0</v>
      </c>
      <c r="AT260" s="199">
        <v>78052</v>
      </c>
      <c r="AU260" s="195" t="s">
        <v>227</v>
      </c>
    </row>
    <row r="261" spans="1:47" x14ac:dyDescent="0.2">
      <c r="A261" s="173">
        <v>55052</v>
      </c>
      <c r="B261" s="174" t="s">
        <v>225</v>
      </c>
      <c r="C261" s="172">
        <v>86052</v>
      </c>
      <c r="D261" s="172">
        <v>150052</v>
      </c>
      <c r="E261" s="206" t="s">
        <v>226</v>
      </c>
      <c r="F261" s="207">
        <v>5</v>
      </c>
      <c r="G261" s="172">
        <v>10000</v>
      </c>
      <c r="H261" s="172">
        <v>10000</v>
      </c>
      <c r="I261" s="172">
        <v>10000</v>
      </c>
      <c r="J261" s="172">
        <v>5</v>
      </c>
      <c r="K261" s="190">
        <f>IF($J261=1,INDEX('큐펫&amp;몹 정리(최신)'!P:P,MATCH($E261,'큐펫&amp;몹 정리(최신)'!$B:$B,0))*20,IF($J261=2,INDEX('큐펫&amp;몹 정리(최신)'!P:P,MATCH($E261,'큐펫&amp;몹 정리(최신)'!$B:$B,0))*25,IF($J261=3,INDEX('큐펫&amp;몹 정리(최신)'!P:P,MATCH($E261,'큐펫&amp;몹 정리(최신)'!$B:$B,0))*30,IF($J261=4,INDEX('큐펫&amp;몹 정리(최신)'!P:P,MATCH($E261,'큐펫&amp;몹 정리(최신)'!$B:$B,0))*35,INDEX('큐펫&amp;몹 정리(최신)'!P:P,MATCH($E261,'큐펫&amp;몹 정리(최신)'!$B:$B,0))*40))))</f>
        <v>1600</v>
      </c>
      <c r="L261" s="190">
        <f>IF($J261=1,INDEX('큐펫&amp;몹 정리(최신)'!Q:Q,MATCH($E261,'큐펫&amp;몹 정리(최신)'!$B:$B,0))*20,IF($J261=2,INDEX('큐펫&amp;몹 정리(최신)'!Q:Q,MATCH($E261,'큐펫&amp;몹 정리(최신)'!$B:$B,0))*25,IF($J261=3,INDEX('큐펫&amp;몹 정리(최신)'!Q:Q,MATCH($E261,'큐펫&amp;몹 정리(최신)'!$B:$B,0))*30,IF($J261=4,INDEX('큐펫&amp;몹 정리(최신)'!Q:Q,MATCH($E261,'큐펫&amp;몹 정리(최신)'!$B:$B,0))*35,INDEX('큐펫&amp;몹 정리(최신)'!Q:Q,MATCH($E261,'큐펫&amp;몹 정리(최신)'!$B:$B,0))*40))))</f>
        <v>200</v>
      </c>
      <c r="M261" s="190">
        <f>IF($J261=1,INDEX('큐펫&amp;몹 정리(최신)'!R:R,MATCH($E261,'큐펫&amp;몹 정리(최신)'!$B:$B,0))*20,IF($J261=2,INDEX('큐펫&amp;몹 정리(최신)'!R:R,MATCH($E261,'큐펫&amp;몹 정리(최신)'!$B:$B,0))*25,IF($J261=3,INDEX('큐펫&amp;몹 정리(최신)'!R:R,MATCH($E261,'큐펫&amp;몹 정리(최신)'!$B:$B,0))*30,IF($J261=4,INDEX('큐펫&amp;몹 정리(최신)'!R:R,MATCH($E261,'큐펫&amp;몹 정리(최신)'!$B:$B,0))*35,INDEX('큐펫&amp;몹 정리(최신)'!R:R,MATCH($E261,'큐펫&amp;몹 정리(최신)'!$B:$B,0))*40))))</f>
        <v>880</v>
      </c>
      <c r="N261" s="190">
        <f>IF($J261=1,INDEX('큐펫&amp;몹 정리(최신)'!S:S,MATCH($E261,'큐펫&amp;몹 정리(최신)'!$B:$B,0))*20,IF($J261=2,INDEX('큐펫&amp;몹 정리(최신)'!S:S,MATCH($E261,'큐펫&amp;몹 정리(최신)'!$B:$B,0))*25,IF($J261=3,INDEX('큐펫&amp;몹 정리(최신)'!S:S,MATCH($E261,'큐펫&amp;몹 정리(최신)'!$B:$B,0))*30,IF($J261=4,INDEX('큐펫&amp;몹 정리(최신)'!S:S,MATCH($E261,'큐펫&amp;몹 정리(최신)'!$B:$B,0))*35,INDEX('큐펫&amp;몹 정리(최신)'!S:S,MATCH($E261,'큐펫&amp;몹 정리(최신)'!$B:$B,0))*40))))</f>
        <v>480</v>
      </c>
      <c r="O261" s="190">
        <f>IF($J261=1,INDEX('큐펫&amp;몹 정리(최신)'!T:T,MATCH($E261,'큐펫&amp;몹 정리(최신)'!$B:$B,0))*20,IF($J261=2,INDEX('큐펫&amp;몹 정리(최신)'!T:T,MATCH($E261,'큐펫&amp;몹 정리(최신)'!$B:$B,0))*25,IF($J261=3,INDEX('큐펫&amp;몹 정리(최신)'!T:T,MATCH($E261,'큐펫&amp;몹 정리(최신)'!$B:$B,0))*30,IF($J261=4,INDEX('큐펫&amp;몹 정리(최신)'!T:T,MATCH($E261,'큐펫&amp;몹 정리(최신)'!$B:$B,0))*35,INDEX('큐펫&amp;몹 정리(최신)'!T:T,MATCH($E261,'큐펫&amp;몹 정리(최신)'!$B:$B,0))*40))))</f>
        <v>840</v>
      </c>
      <c r="P261" s="217">
        <v>100</v>
      </c>
      <c r="Q261" s="217">
        <f t="shared" si="32"/>
        <v>324800</v>
      </c>
      <c r="R261" s="217">
        <f t="shared" si="33"/>
        <v>4971</v>
      </c>
      <c r="S261" s="217">
        <f t="shared" si="34"/>
        <v>6229</v>
      </c>
      <c r="T261" s="217">
        <f t="shared" si="35"/>
        <v>34017</v>
      </c>
      <c r="U261" s="217">
        <f t="shared" si="36"/>
        <v>47536</v>
      </c>
      <c r="V261" s="217">
        <f t="shared" si="37"/>
        <v>41642</v>
      </c>
      <c r="W261" s="217">
        <f>ROUND(AC261+(INDEX(Ref!B$1:B$9,MATCH($AI261,Ref!$A$1:$A$9,0))*P261*0.0001),)</f>
        <v>49</v>
      </c>
      <c r="X261" s="217">
        <f>ROUND(AD261+(INDEX(Ref!C$1:C$9,MATCH($AI261,Ref!$A$1:$A$9,0))*$P261*0.0001),)</f>
        <v>42</v>
      </c>
      <c r="Y261" s="217">
        <f>ROUND(AE261+(INDEX(Ref!D$1:D$9,MATCH($AI261,Ref!$A$1:$A$9,0))*$P261*0.0001),)</f>
        <v>98</v>
      </c>
      <c r="Z261" s="217">
        <f>ROUND(AF261+(INDEX(Ref!E$1:E$9,MATCH($AI261,Ref!$A$1:$A$9,0))*$P261*0.0001),)</f>
        <v>62</v>
      </c>
      <c r="AA261" s="217">
        <f>ROUND(AG261+(INDEX(Ref!F$1:F$9,MATCH($AI261,Ref!$A$1:$A$9,0))*$P261*0.0001),)</f>
        <v>55</v>
      </c>
      <c r="AB261" s="217">
        <f>ROUND(AH261+(INDEX(Ref!G$1:G$9,MATCH($AI261,Ref!$A$1:$A$9,0))*$P261*0.0001),)</f>
        <v>38</v>
      </c>
      <c r="AC261" s="137">
        <v>34</v>
      </c>
      <c r="AD261" s="137">
        <v>29</v>
      </c>
      <c r="AE261" s="137">
        <v>74</v>
      </c>
      <c r="AF261" s="137">
        <v>43</v>
      </c>
      <c r="AG261" s="137">
        <v>38</v>
      </c>
      <c r="AH261" s="137">
        <v>26</v>
      </c>
      <c r="AI261" s="208">
        <v>4</v>
      </c>
      <c r="AJ261" s="172">
        <v>3000</v>
      </c>
      <c r="AK261" s="172">
        <v>30309</v>
      </c>
      <c r="AL261" s="172">
        <v>2000</v>
      </c>
      <c r="AM261" s="172">
        <v>30312</v>
      </c>
      <c r="AN261" s="172">
        <v>0</v>
      </c>
      <c r="AO261" s="172">
        <f t="shared" si="30"/>
        <v>34309</v>
      </c>
      <c r="AP261" s="172">
        <v>0</v>
      </c>
      <c r="AQ261" s="172">
        <f t="shared" si="31"/>
        <v>34312</v>
      </c>
      <c r="AR261" s="172">
        <v>1</v>
      </c>
      <c r="AS261" s="172">
        <v>0</v>
      </c>
      <c r="AT261" s="199">
        <v>78052</v>
      </c>
      <c r="AU261" s="195" t="s">
        <v>227</v>
      </c>
    </row>
    <row r="262" spans="1:47" x14ac:dyDescent="0.2">
      <c r="A262" s="173">
        <v>55053</v>
      </c>
      <c r="B262" s="174" t="s">
        <v>228</v>
      </c>
      <c r="C262" s="172">
        <v>86053</v>
      </c>
      <c r="D262" s="172">
        <v>150053</v>
      </c>
      <c r="E262" s="206" t="s">
        <v>229</v>
      </c>
      <c r="F262" s="207">
        <v>2</v>
      </c>
      <c r="G262" s="172">
        <v>8500</v>
      </c>
      <c r="H262" s="172">
        <v>8500</v>
      </c>
      <c r="I262" s="172">
        <v>10000</v>
      </c>
      <c r="J262" s="172">
        <v>1</v>
      </c>
      <c r="K262" s="190">
        <f>IF($J262=1,INDEX('큐펫&amp;몹 정리(최신)'!P:P,MATCH($E262,'큐펫&amp;몹 정리(최신)'!$B:$B,0))*20,IF($J262=2,INDEX('큐펫&amp;몹 정리(최신)'!P:P,MATCH($E262,'큐펫&amp;몹 정리(최신)'!$B:$B,0))*25,IF($J262=3,INDEX('큐펫&amp;몹 정리(최신)'!P:P,MATCH($E262,'큐펫&amp;몹 정리(최신)'!$B:$B,0))*30,IF($J262=4,INDEX('큐펫&amp;몹 정리(최신)'!P:P,MATCH($E262,'큐펫&amp;몹 정리(최신)'!$B:$B,0))*35,INDEX('큐펫&amp;몹 정리(최신)'!P:P,MATCH($E262,'큐펫&amp;몹 정리(최신)'!$B:$B,0))*40))))</f>
        <v>760</v>
      </c>
      <c r="L262" s="190">
        <f>IF($J262=1,INDEX('큐펫&amp;몹 정리(최신)'!Q:Q,MATCH($E262,'큐펫&amp;몹 정리(최신)'!$B:$B,0))*20,IF($J262=2,INDEX('큐펫&amp;몹 정리(최신)'!Q:Q,MATCH($E262,'큐펫&amp;몹 정리(최신)'!$B:$B,0))*25,IF($J262=3,INDEX('큐펫&amp;몹 정리(최신)'!Q:Q,MATCH($E262,'큐펫&amp;몹 정리(최신)'!$B:$B,0))*30,IF($J262=4,INDEX('큐펫&amp;몹 정리(최신)'!Q:Q,MATCH($E262,'큐펫&amp;몹 정리(최신)'!$B:$B,0))*35,INDEX('큐펫&amp;몹 정리(최신)'!Q:Q,MATCH($E262,'큐펫&amp;몹 정리(최신)'!$B:$B,0))*40))))</f>
        <v>420</v>
      </c>
      <c r="M262" s="190">
        <f>IF($J262=1,INDEX('큐펫&amp;몹 정리(최신)'!R:R,MATCH($E262,'큐펫&amp;몹 정리(최신)'!$B:$B,0))*20,IF($J262=2,INDEX('큐펫&amp;몹 정리(최신)'!R:R,MATCH($E262,'큐펫&amp;몹 정리(최신)'!$B:$B,0))*25,IF($J262=3,INDEX('큐펫&amp;몹 정리(최신)'!R:R,MATCH($E262,'큐펫&amp;몹 정리(최신)'!$B:$B,0))*30,IF($J262=4,INDEX('큐펫&amp;몹 정리(최신)'!R:R,MATCH($E262,'큐펫&amp;몹 정리(최신)'!$B:$B,0))*35,INDEX('큐펫&amp;몹 정리(최신)'!R:R,MATCH($E262,'큐펫&amp;몹 정리(최신)'!$B:$B,0))*40))))</f>
        <v>80</v>
      </c>
      <c r="N262" s="190">
        <f>IF($J262=1,INDEX('큐펫&amp;몹 정리(최신)'!S:S,MATCH($E262,'큐펫&amp;몹 정리(최신)'!$B:$B,0))*20,IF($J262=2,INDEX('큐펫&amp;몹 정리(최신)'!S:S,MATCH($E262,'큐펫&amp;몹 정리(최신)'!$B:$B,0))*25,IF($J262=3,INDEX('큐펫&amp;몹 정리(최신)'!S:S,MATCH($E262,'큐펫&amp;몹 정리(최신)'!$B:$B,0))*30,IF($J262=4,INDEX('큐펫&amp;몹 정리(최신)'!S:S,MATCH($E262,'큐펫&amp;몹 정리(최신)'!$B:$B,0))*35,INDEX('큐펫&amp;몹 정리(최신)'!S:S,MATCH($E262,'큐펫&amp;몹 정리(최신)'!$B:$B,0))*40))))</f>
        <v>340</v>
      </c>
      <c r="O262" s="190">
        <f>IF($J262=1,INDEX('큐펫&amp;몹 정리(최신)'!T:T,MATCH($E262,'큐펫&amp;몹 정리(최신)'!$B:$B,0))*20,IF($J262=2,INDEX('큐펫&amp;몹 정리(최신)'!T:T,MATCH($E262,'큐펫&amp;몹 정리(최신)'!$B:$B,0))*25,IF($J262=3,INDEX('큐펫&amp;몹 정리(최신)'!T:T,MATCH($E262,'큐펫&amp;몹 정리(최신)'!$B:$B,0))*30,IF($J262=4,INDEX('큐펫&amp;몹 정리(최신)'!T:T,MATCH($E262,'큐펫&amp;몹 정리(최신)'!$B:$B,0))*35,INDEX('큐펫&amp;몹 정리(최신)'!T:T,MATCH($E262,'큐펫&amp;몹 정리(최신)'!$B:$B,0))*40))))</f>
        <v>400</v>
      </c>
      <c r="P262" s="217">
        <v>20</v>
      </c>
      <c r="Q262" s="217">
        <f t="shared" si="32"/>
        <v>25536</v>
      </c>
      <c r="R262" s="217">
        <f t="shared" si="33"/>
        <v>4946</v>
      </c>
      <c r="S262" s="217">
        <f t="shared" si="34"/>
        <v>3373</v>
      </c>
      <c r="T262" s="217">
        <f t="shared" si="35"/>
        <v>416</v>
      </c>
      <c r="U262" s="217">
        <f t="shared" si="36"/>
        <v>10720</v>
      </c>
      <c r="V262" s="217">
        <f t="shared" si="37"/>
        <v>6321</v>
      </c>
      <c r="W262" s="217">
        <f>ROUND(AC262+(INDEX(Ref!B$1:B$9,MATCH($AI262,Ref!$A$1:$A$9,0))*P262*0.0001),)</f>
        <v>34</v>
      </c>
      <c r="X262" s="217">
        <f>ROUND(AD262+(INDEX(Ref!C$1:C$9,MATCH($AI262,Ref!$A$1:$A$9,0))*$P262*0.0001),)</f>
        <v>26</v>
      </c>
      <c r="Y262" s="217">
        <f>ROUND(AE262+(INDEX(Ref!D$1:D$9,MATCH($AI262,Ref!$A$1:$A$9,0))*$P262*0.0001),)</f>
        <v>43</v>
      </c>
      <c r="Z262" s="217">
        <f>ROUND(AF262+(INDEX(Ref!E$1:E$9,MATCH($AI262,Ref!$A$1:$A$9,0))*$P262*0.0001),)</f>
        <v>21</v>
      </c>
      <c r="AA262" s="217">
        <f>ROUND(AG262+(INDEX(Ref!F$1:F$9,MATCH($AI262,Ref!$A$1:$A$9,0))*$P262*0.0001),)</f>
        <v>28</v>
      </c>
      <c r="AB262" s="217">
        <f>ROUND(AH262+(INDEX(Ref!G$1:G$9,MATCH($AI262,Ref!$A$1:$A$9,0))*$P262*0.0001),)</f>
        <v>32</v>
      </c>
      <c r="AC262" s="137">
        <v>30</v>
      </c>
      <c r="AD262" s="137">
        <v>23</v>
      </c>
      <c r="AE262" s="137">
        <v>40</v>
      </c>
      <c r="AF262" s="137">
        <v>18</v>
      </c>
      <c r="AG262" s="137">
        <v>25</v>
      </c>
      <c r="AH262" s="137">
        <v>28</v>
      </c>
      <c r="AI262" s="208">
        <v>7</v>
      </c>
      <c r="AJ262" s="172">
        <v>3000</v>
      </c>
      <c r="AK262" s="172">
        <v>30313</v>
      </c>
      <c r="AL262" s="172">
        <v>2000</v>
      </c>
      <c r="AM262" s="172">
        <v>30316</v>
      </c>
      <c r="AN262" s="172">
        <v>0</v>
      </c>
      <c r="AO262" s="172">
        <f t="shared" si="30"/>
        <v>34313</v>
      </c>
      <c r="AP262" s="172">
        <v>0</v>
      </c>
      <c r="AQ262" s="172">
        <f t="shared" si="31"/>
        <v>34316</v>
      </c>
      <c r="AR262" s="172">
        <v>1</v>
      </c>
      <c r="AS262" s="172">
        <v>0</v>
      </c>
      <c r="AT262" s="199">
        <v>78053</v>
      </c>
      <c r="AU262" s="195" t="s">
        <v>230</v>
      </c>
    </row>
    <row r="263" spans="1:47" x14ac:dyDescent="0.2">
      <c r="A263" s="173">
        <v>55053</v>
      </c>
      <c r="B263" s="174" t="s">
        <v>228</v>
      </c>
      <c r="C263" s="172">
        <v>86053</v>
      </c>
      <c r="D263" s="172">
        <v>150053</v>
      </c>
      <c r="E263" s="206" t="s">
        <v>229</v>
      </c>
      <c r="F263" s="207">
        <v>2</v>
      </c>
      <c r="G263" s="172">
        <v>8500</v>
      </c>
      <c r="H263" s="172">
        <v>8500</v>
      </c>
      <c r="I263" s="172">
        <v>10000</v>
      </c>
      <c r="J263" s="172">
        <v>2</v>
      </c>
      <c r="K263" s="190">
        <f>IF($J263=1,INDEX('큐펫&amp;몹 정리(최신)'!P:P,MATCH($E263,'큐펫&amp;몹 정리(최신)'!$B:$B,0))*20,IF($J263=2,INDEX('큐펫&amp;몹 정리(최신)'!P:P,MATCH($E263,'큐펫&amp;몹 정리(최신)'!$B:$B,0))*25,IF($J263=3,INDEX('큐펫&amp;몹 정리(최신)'!P:P,MATCH($E263,'큐펫&amp;몹 정리(최신)'!$B:$B,0))*30,IF($J263=4,INDEX('큐펫&amp;몹 정리(최신)'!P:P,MATCH($E263,'큐펫&amp;몹 정리(최신)'!$B:$B,0))*35,INDEX('큐펫&amp;몹 정리(최신)'!P:P,MATCH($E263,'큐펫&amp;몹 정리(최신)'!$B:$B,0))*40))))</f>
        <v>950</v>
      </c>
      <c r="L263" s="190">
        <f>IF($J263=1,INDEX('큐펫&amp;몹 정리(최신)'!Q:Q,MATCH($E263,'큐펫&amp;몹 정리(최신)'!$B:$B,0))*20,IF($J263=2,INDEX('큐펫&amp;몹 정리(최신)'!Q:Q,MATCH($E263,'큐펫&amp;몹 정리(최신)'!$B:$B,0))*25,IF($J263=3,INDEX('큐펫&amp;몹 정리(최신)'!Q:Q,MATCH($E263,'큐펫&amp;몹 정리(최신)'!$B:$B,0))*30,IF($J263=4,INDEX('큐펫&amp;몹 정리(최신)'!Q:Q,MATCH($E263,'큐펫&amp;몹 정리(최신)'!$B:$B,0))*35,INDEX('큐펫&amp;몹 정리(최신)'!Q:Q,MATCH($E263,'큐펫&amp;몹 정리(최신)'!$B:$B,0))*40))))</f>
        <v>525</v>
      </c>
      <c r="M263" s="190">
        <f>IF($J263=1,INDEX('큐펫&amp;몹 정리(최신)'!R:R,MATCH($E263,'큐펫&amp;몹 정리(최신)'!$B:$B,0))*20,IF($J263=2,INDEX('큐펫&amp;몹 정리(최신)'!R:R,MATCH($E263,'큐펫&amp;몹 정리(최신)'!$B:$B,0))*25,IF($J263=3,INDEX('큐펫&amp;몹 정리(최신)'!R:R,MATCH($E263,'큐펫&amp;몹 정리(최신)'!$B:$B,0))*30,IF($J263=4,INDEX('큐펫&amp;몹 정리(최신)'!R:R,MATCH($E263,'큐펫&amp;몹 정리(최신)'!$B:$B,0))*35,INDEX('큐펫&amp;몹 정리(최신)'!R:R,MATCH($E263,'큐펫&amp;몹 정리(최신)'!$B:$B,0))*40))))</f>
        <v>100</v>
      </c>
      <c r="N263" s="190">
        <f>IF($J263=1,INDEX('큐펫&amp;몹 정리(최신)'!S:S,MATCH($E263,'큐펫&amp;몹 정리(최신)'!$B:$B,0))*20,IF($J263=2,INDEX('큐펫&amp;몹 정리(최신)'!S:S,MATCH($E263,'큐펫&amp;몹 정리(최신)'!$B:$B,0))*25,IF($J263=3,INDEX('큐펫&amp;몹 정리(최신)'!S:S,MATCH($E263,'큐펫&amp;몹 정리(최신)'!$B:$B,0))*30,IF($J263=4,INDEX('큐펫&amp;몹 정리(최신)'!S:S,MATCH($E263,'큐펫&amp;몹 정리(최신)'!$B:$B,0))*35,INDEX('큐펫&amp;몹 정리(최신)'!S:S,MATCH($E263,'큐펫&amp;몹 정리(최신)'!$B:$B,0))*40))))</f>
        <v>425</v>
      </c>
      <c r="O263" s="190">
        <f>IF($J263=1,INDEX('큐펫&amp;몹 정리(최신)'!T:T,MATCH($E263,'큐펫&amp;몹 정리(최신)'!$B:$B,0))*20,IF($J263=2,INDEX('큐펫&amp;몹 정리(최신)'!T:T,MATCH($E263,'큐펫&amp;몹 정리(최신)'!$B:$B,0))*25,IF($J263=3,INDEX('큐펫&amp;몹 정리(최신)'!T:T,MATCH($E263,'큐펫&amp;몹 정리(최신)'!$B:$B,0))*30,IF($J263=4,INDEX('큐펫&amp;몹 정리(최신)'!T:T,MATCH($E263,'큐펫&amp;몹 정리(최신)'!$B:$B,0))*35,INDEX('큐펫&amp;몹 정리(최신)'!T:T,MATCH($E263,'큐펫&amp;몹 정리(최신)'!$B:$B,0))*40))))</f>
        <v>500</v>
      </c>
      <c r="P263" s="217">
        <v>40</v>
      </c>
      <c r="Q263" s="217">
        <f t="shared" si="32"/>
        <v>61320</v>
      </c>
      <c r="R263" s="217">
        <f t="shared" si="33"/>
        <v>9381</v>
      </c>
      <c r="S263" s="217">
        <f t="shared" si="34"/>
        <v>6539</v>
      </c>
      <c r="T263" s="217">
        <f t="shared" si="35"/>
        <v>762</v>
      </c>
      <c r="U263" s="217">
        <f t="shared" si="36"/>
        <v>18925</v>
      </c>
      <c r="V263" s="217">
        <f t="shared" si="37"/>
        <v>11151</v>
      </c>
      <c r="W263" s="217">
        <f>ROUND(AC263+(INDEX(Ref!B$1:B$9,MATCH($AI263,Ref!$A$1:$A$9,0))*P263*0.0001),)</f>
        <v>42</v>
      </c>
      <c r="X263" s="217">
        <f>ROUND(AD263+(INDEX(Ref!C$1:C$9,MATCH($AI263,Ref!$A$1:$A$9,0))*$P263*0.0001),)</f>
        <v>32</v>
      </c>
      <c r="Y263" s="217">
        <f>ROUND(AE263+(INDEX(Ref!D$1:D$9,MATCH($AI263,Ref!$A$1:$A$9,0))*$P263*0.0001),)</f>
        <v>49</v>
      </c>
      <c r="Z263" s="217">
        <f>ROUND(AF263+(INDEX(Ref!E$1:E$9,MATCH($AI263,Ref!$A$1:$A$9,0))*$P263*0.0001),)</f>
        <v>26</v>
      </c>
      <c r="AA263" s="217">
        <f>ROUND(AG263+(INDEX(Ref!F$1:F$9,MATCH($AI263,Ref!$A$1:$A$9,0))*$P263*0.0001),)</f>
        <v>35</v>
      </c>
      <c r="AB263" s="217">
        <f>ROUND(AH263+(INDEX(Ref!G$1:G$9,MATCH($AI263,Ref!$A$1:$A$9,0))*$P263*0.0001),)</f>
        <v>40</v>
      </c>
      <c r="AC263" s="137">
        <v>34</v>
      </c>
      <c r="AD263" s="137">
        <v>26</v>
      </c>
      <c r="AE263" s="137">
        <v>43</v>
      </c>
      <c r="AF263" s="137">
        <v>21</v>
      </c>
      <c r="AG263" s="137">
        <v>28</v>
      </c>
      <c r="AH263" s="137">
        <v>32</v>
      </c>
      <c r="AI263" s="208">
        <v>7</v>
      </c>
      <c r="AJ263" s="172">
        <v>3000</v>
      </c>
      <c r="AK263" s="172">
        <v>30314</v>
      </c>
      <c r="AL263" s="172">
        <v>2000</v>
      </c>
      <c r="AM263" s="172">
        <v>30316</v>
      </c>
      <c r="AN263" s="172">
        <v>0</v>
      </c>
      <c r="AO263" s="172">
        <f t="shared" si="30"/>
        <v>34314</v>
      </c>
      <c r="AP263" s="172">
        <v>0</v>
      </c>
      <c r="AQ263" s="172">
        <f t="shared" si="31"/>
        <v>34316</v>
      </c>
      <c r="AR263" s="172">
        <v>1</v>
      </c>
      <c r="AS263" s="172">
        <v>0</v>
      </c>
      <c r="AT263" s="199">
        <v>78053</v>
      </c>
      <c r="AU263" s="195" t="s">
        <v>230</v>
      </c>
    </row>
    <row r="264" spans="1:47" x14ac:dyDescent="0.2">
      <c r="A264" s="173">
        <v>55053</v>
      </c>
      <c r="B264" s="174" t="s">
        <v>228</v>
      </c>
      <c r="C264" s="172">
        <v>86053</v>
      </c>
      <c r="D264" s="172">
        <v>150053</v>
      </c>
      <c r="E264" s="206" t="s">
        <v>229</v>
      </c>
      <c r="F264" s="207">
        <v>2</v>
      </c>
      <c r="G264" s="172">
        <v>8500</v>
      </c>
      <c r="H264" s="172">
        <v>8500</v>
      </c>
      <c r="I264" s="172">
        <v>10000</v>
      </c>
      <c r="J264" s="172">
        <v>3</v>
      </c>
      <c r="K264" s="190">
        <f>IF($J264=1,INDEX('큐펫&amp;몹 정리(최신)'!P:P,MATCH($E264,'큐펫&amp;몹 정리(최신)'!$B:$B,0))*20,IF($J264=2,INDEX('큐펫&amp;몹 정리(최신)'!P:P,MATCH($E264,'큐펫&amp;몹 정리(최신)'!$B:$B,0))*25,IF($J264=3,INDEX('큐펫&amp;몹 정리(최신)'!P:P,MATCH($E264,'큐펫&amp;몹 정리(최신)'!$B:$B,0))*30,IF($J264=4,INDEX('큐펫&amp;몹 정리(최신)'!P:P,MATCH($E264,'큐펫&amp;몹 정리(최신)'!$B:$B,0))*35,INDEX('큐펫&amp;몹 정리(최신)'!P:P,MATCH($E264,'큐펫&amp;몹 정리(최신)'!$B:$B,0))*40))))</f>
        <v>1140</v>
      </c>
      <c r="L264" s="190">
        <f>IF($J264=1,INDEX('큐펫&amp;몹 정리(최신)'!Q:Q,MATCH($E264,'큐펫&amp;몹 정리(최신)'!$B:$B,0))*20,IF($J264=2,INDEX('큐펫&amp;몹 정리(최신)'!Q:Q,MATCH($E264,'큐펫&amp;몹 정리(최신)'!$B:$B,0))*25,IF($J264=3,INDEX('큐펫&amp;몹 정리(최신)'!Q:Q,MATCH($E264,'큐펫&amp;몹 정리(최신)'!$B:$B,0))*30,IF($J264=4,INDEX('큐펫&amp;몹 정리(최신)'!Q:Q,MATCH($E264,'큐펫&amp;몹 정리(최신)'!$B:$B,0))*35,INDEX('큐펫&amp;몹 정리(최신)'!Q:Q,MATCH($E264,'큐펫&amp;몹 정리(최신)'!$B:$B,0))*40))))</f>
        <v>630</v>
      </c>
      <c r="M264" s="190">
        <f>IF($J264=1,INDEX('큐펫&amp;몹 정리(최신)'!R:R,MATCH($E264,'큐펫&amp;몹 정리(최신)'!$B:$B,0))*20,IF($J264=2,INDEX('큐펫&amp;몹 정리(최신)'!R:R,MATCH($E264,'큐펫&amp;몹 정리(최신)'!$B:$B,0))*25,IF($J264=3,INDEX('큐펫&amp;몹 정리(최신)'!R:R,MATCH($E264,'큐펫&amp;몹 정리(최신)'!$B:$B,0))*30,IF($J264=4,INDEX('큐펫&amp;몹 정리(최신)'!R:R,MATCH($E264,'큐펫&amp;몹 정리(최신)'!$B:$B,0))*35,INDEX('큐펫&amp;몹 정리(최신)'!R:R,MATCH($E264,'큐펫&amp;몹 정리(최신)'!$B:$B,0))*40))))</f>
        <v>120</v>
      </c>
      <c r="N264" s="190">
        <f>IF($J264=1,INDEX('큐펫&amp;몹 정리(최신)'!S:S,MATCH($E264,'큐펫&amp;몹 정리(최신)'!$B:$B,0))*20,IF($J264=2,INDEX('큐펫&amp;몹 정리(최신)'!S:S,MATCH($E264,'큐펫&amp;몹 정리(최신)'!$B:$B,0))*25,IF($J264=3,INDEX('큐펫&amp;몹 정리(최신)'!S:S,MATCH($E264,'큐펫&amp;몹 정리(최신)'!$B:$B,0))*30,IF($J264=4,INDEX('큐펫&amp;몹 정리(최신)'!S:S,MATCH($E264,'큐펫&amp;몹 정리(최신)'!$B:$B,0))*35,INDEX('큐펫&amp;몹 정리(최신)'!S:S,MATCH($E264,'큐펫&amp;몹 정리(최신)'!$B:$B,0))*40))))</f>
        <v>510</v>
      </c>
      <c r="O264" s="190">
        <f>IF($J264=1,INDEX('큐펫&amp;몹 정리(최신)'!T:T,MATCH($E264,'큐펫&amp;몹 정리(최신)'!$B:$B,0))*20,IF($J264=2,INDEX('큐펫&amp;몹 정리(최신)'!T:T,MATCH($E264,'큐펫&amp;몹 정리(최신)'!$B:$B,0))*25,IF($J264=3,INDEX('큐펫&amp;몹 정리(최신)'!T:T,MATCH($E264,'큐펫&amp;몹 정리(최신)'!$B:$B,0))*30,IF($J264=4,INDEX('큐펫&amp;몹 정리(최신)'!T:T,MATCH($E264,'큐펫&amp;몹 정리(최신)'!$B:$B,0))*35,INDEX('큐펫&amp;몹 정리(최신)'!T:T,MATCH($E264,'큐펫&amp;몹 정리(최신)'!$B:$B,0))*40))))</f>
        <v>600</v>
      </c>
      <c r="P264" s="217">
        <v>60</v>
      </c>
      <c r="Q264" s="217">
        <f t="shared" si="32"/>
        <v>111036</v>
      </c>
      <c r="R264" s="217">
        <f t="shared" si="33"/>
        <v>15899</v>
      </c>
      <c r="S264" s="217">
        <f t="shared" si="34"/>
        <v>11249</v>
      </c>
      <c r="T264" s="217">
        <f t="shared" si="35"/>
        <v>1262</v>
      </c>
      <c r="U264" s="217">
        <f t="shared" si="36"/>
        <v>29086</v>
      </c>
      <c r="V264" s="217">
        <f t="shared" si="37"/>
        <v>17131</v>
      </c>
      <c r="W264" s="217">
        <f>ROUND(AC264+(INDEX(Ref!B$1:B$9,MATCH($AI264,Ref!$A$1:$A$9,0))*P264*0.0001),)</f>
        <v>50</v>
      </c>
      <c r="X264" s="217">
        <f>ROUND(AD264+(INDEX(Ref!C$1:C$9,MATCH($AI264,Ref!$A$1:$A$9,0))*$P264*0.0001),)</f>
        <v>40</v>
      </c>
      <c r="Y264" s="217">
        <f>ROUND(AE264+(INDEX(Ref!D$1:D$9,MATCH($AI264,Ref!$A$1:$A$9,0))*$P264*0.0001),)</f>
        <v>54</v>
      </c>
      <c r="Z264" s="217">
        <f>ROUND(AF264+(INDEX(Ref!E$1:E$9,MATCH($AI264,Ref!$A$1:$A$9,0))*$P264*0.0001),)</f>
        <v>31</v>
      </c>
      <c r="AA264" s="217">
        <f>ROUND(AG264+(INDEX(Ref!F$1:F$9,MATCH($AI264,Ref!$A$1:$A$9,0))*$P264*0.0001),)</f>
        <v>42</v>
      </c>
      <c r="AB264" s="217">
        <f>ROUND(AH264+(INDEX(Ref!G$1:G$9,MATCH($AI264,Ref!$A$1:$A$9,0))*$P264*0.0001),)</f>
        <v>47</v>
      </c>
      <c r="AC264" s="137">
        <v>38</v>
      </c>
      <c r="AD264" s="137">
        <v>30</v>
      </c>
      <c r="AE264" s="137">
        <v>45</v>
      </c>
      <c r="AF264" s="137">
        <v>23</v>
      </c>
      <c r="AG264" s="137">
        <v>32</v>
      </c>
      <c r="AH264" s="137">
        <v>36</v>
      </c>
      <c r="AI264" s="208">
        <v>7</v>
      </c>
      <c r="AJ264" s="172">
        <v>3000</v>
      </c>
      <c r="AK264" s="172">
        <v>30314</v>
      </c>
      <c r="AL264" s="172">
        <v>2000</v>
      </c>
      <c r="AM264" s="172">
        <v>30317</v>
      </c>
      <c r="AN264" s="172">
        <v>0</v>
      </c>
      <c r="AO264" s="172">
        <f t="shared" si="30"/>
        <v>34314</v>
      </c>
      <c r="AP264" s="172">
        <v>0</v>
      </c>
      <c r="AQ264" s="172">
        <f t="shared" si="31"/>
        <v>34317</v>
      </c>
      <c r="AR264" s="172">
        <v>1</v>
      </c>
      <c r="AS264" s="172">
        <v>0</v>
      </c>
      <c r="AT264" s="199">
        <v>78053</v>
      </c>
      <c r="AU264" s="195" t="s">
        <v>230</v>
      </c>
    </row>
    <row r="265" spans="1:47" x14ac:dyDescent="0.2">
      <c r="A265" s="173">
        <v>55053</v>
      </c>
      <c r="B265" s="174" t="s">
        <v>228</v>
      </c>
      <c r="C265" s="172">
        <v>86053</v>
      </c>
      <c r="D265" s="172">
        <v>150053</v>
      </c>
      <c r="E265" s="206" t="s">
        <v>229</v>
      </c>
      <c r="F265" s="207">
        <v>2</v>
      </c>
      <c r="G265" s="172">
        <v>8500</v>
      </c>
      <c r="H265" s="172">
        <v>8500</v>
      </c>
      <c r="I265" s="172">
        <v>10000</v>
      </c>
      <c r="J265" s="172">
        <v>4</v>
      </c>
      <c r="K265" s="190">
        <f>IF($J265=1,INDEX('큐펫&amp;몹 정리(최신)'!P:P,MATCH($E265,'큐펫&amp;몹 정리(최신)'!$B:$B,0))*20,IF($J265=2,INDEX('큐펫&amp;몹 정리(최신)'!P:P,MATCH($E265,'큐펫&amp;몹 정리(최신)'!$B:$B,0))*25,IF($J265=3,INDEX('큐펫&amp;몹 정리(최신)'!P:P,MATCH($E265,'큐펫&amp;몹 정리(최신)'!$B:$B,0))*30,IF($J265=4,INDEX('큐펫&amp;몹 정리(최신)'!P:P,MATCH($E265,'큐펫&amp;몹 정리(최신)'!$B:$B,0))*35,INDEX('큐펫&amp;몹 정리(최신)'!P:P,MATCH($E265,'큐펫&amp;몹 정리(최신)'!$B:$B,0))*40))))</f>
        <v>1330</v>
      </c>
      <c r="L265" s="190">
        <f>IF($J265=1,INDEX('큐펫&amp;몹 정리(최신)'!Q:Q,MATCH($E265,'큐펫&amp;몹 정리(최신)'!$B:$B,0))*20,IF($J265=2,INDEX('큐펫&amp;몹 정리(최신)'!Q:Q,MATCH($E265,'큐펫&amp;몹 정리(최신)'!$B:$B,0))*25,IF($J265=3,INDEX('큐펫&amp;몹 정리(최신)'!Q:Q,MATCH($E265,'큐펫&amp;몹 정리(최신)'!$B:$B,0))*30,IF($J265=4,INDEX('큐펫&amp;몹 정리(최신)'!Q:Q,MATCH($E265,'큐펫&amp;몹 정리(최신)'!$B:$B,0))*35,INDEX('큐펫&amp;몹 정리(최신)'!Q:Q,MATCH($E265,'큐펫&amp;몹 정리(최신)'!$B:$B,0))*40))))</f>
        <v>735</v>
      </c>
      <c r="M265" s="190">
        <f>IF($J265=1,INDEX('큐펫&amp;몹 정리(최신)'!R:R,MATCH($E265,'큐펫&amp;몹 정리(최신)'!$B:$B,0))*20,IF($J265=2,INDEX('큐펫&amp;몹 정리(최신)'!R:R,MATCH($E265,'큐펫&amp;몹 정리(최신)'!$B:$B,0))*25,IF($J265=3,INDEX('큐펫&amp;몹 정리(최신)'!R:R,MATCH($E265,'큐펫&amp;몹 정리(최신)'!$B:$B,0))*30,IF($J265=4,INDEX('큐펫&amp;몹 정리(최신)'!R:R,MATCH($E265,'큐펫&amp;몹 정리(최신)'!$B:$B,0))*35,INDEX('큐펫&amp;몹 정리(최신)'!R:R,MATCH($E265,'큐펫&amp;몹 정리(최신)'!$B:$B,0))*40))))</f>
        <v>140</v>
      </c>
      <c r="N265" s="190">
        <f>IF($J265=1,INDEX('큐펫&amp;몹 정리(최신)'!S:S,MATCH($E265,'큐펫&amp;몹 정리(최신)'!$B:$B,0))*20,IF($J265=2,INDEX('큐펫&amp;몹 정리(최신)'!S:S,MATCH($E265,'큐펫&amp;몹 정리(최신)'!$B:$B,0))*25,IF($J265=3,INDEX('큐펫&amp;몹 정리(최신)'!S:S,MATCH($E265,'큐펫&amp;몹 정리(최신)'!$B:$B,0))*30,IF($J265=4,INDEX('큐펫&amp;몹 정리(최신)'!S:S,MATCH($E265,'큐펫&amp;몹 정리(최신)'!$B:$B,0))*35,INDEX('큐펫&amp;몹 정리(최신)'!S:S,MATCH($E265,'큐펫&amp;몹 정리(최신)'!$B:$B,0))*40))))</f>
        <v>595</v>
      </c>
      <c r="O265" s="190">
        <f>IF($J265=1,INDEX('큐펫&amp;몹 정리(최신)'!T:T,MATCH($E265,'큐펫&amp;몹 정리(최신)'!$B:$B,0))*20,IF($J265=2,INDEX('큐펫&amp;몹 정리(최신)'!T:T,MATCH($E265,'큐펫&amp;몹 정리(최신)'!$B:$B,0))*25,IF($J265=3,INDEX('큐펫&amp;몹 정리(최신)'!T:T,MATCH($E265,'큐펫&amp;몹 정리(최신)'!$B:$B,0))*30,IF($J265=4,INDEX('큐펫&amp;몹 정리(최신)'!T:T,MATCH($E265,'큐펫&amp;몹 정리(최신)'!$B:$B,0))*35,INDEX('큐펫&amp;몹 정리(최신)'!T:T,MATCH($E265,'큐펫&amp;몹 정리(최신)'!$B:$B,0))*40))))</f>
        <v>700</v>
      </c>
      <c r="P265" s="217">
        <v>80</v>
      </c>
      <c r="Q265" s="217">
        <f t="shared" si="32"/>
        <v>177904</v>
      </c>
      <c r="R265" s="217">
        <f t="shared" si="33"/>
        <v>24904</v>
      </c>
      <c r="S265" s="217">
        <f t="shared" si="34"/>
        <v>17810</v>
      </c>
      <c r="T265" s="217">
        <f t="shared" si="35"/>
        <v>1946</v>
      </c>
      <c r="U265" s="217">
        <f t="shared" si="36"/>
        <v>41965</v>
      </c>
      <c r="V265" s="217">
        <f t="shared" si="37"/>
        <v>24711</v>
      </c>
      <c r="W265" s="217">
        <f>ROUND(AC265+(INDEX(Ref!B$1:B$9,MATCH($AI265,Ref!$A$1:$A$9,0))*P265*0.0001),)</f>
        <v>58</v>
      </c>
      <c r="X265" s="217">
        <f>ROUND(AD265+(INDEX(Ref!C$1:C$9,MATCH($AI265,Ref!$A$1:$A$9,0))*$P265*0.0001),)</f>
        <v>46</v>
      </c>
      <c r="Y265" s="217">
        <f>ROUND(AE265+(INDEX(Ref!D$1:D$9,MATCH($AI265,Ref!$A$1:$A$9,0))*$P265*0.0001),)</f>
        <v>61</v>
      </c>
      <c r="Z265" s="217">
        <f>ROUND(AF265+(INDEX(Ref!E$1:E$9,MATCH($AI265,Ref!$A$1:$A$9,0))*$P265*0.0001),)</f>
        <v>36</v>
      </c>
      <c r="AA265" s="217">
        <f>ROUND(AG265+(INDEX(Ref!F$1:F$9,MATCH($AI265,Ref!$A$1:$A$9,0))*$P265*0.0001),)</f>
        <v>49</v>
      </c>
      <c r="AB265" s="217">
        <f>ROUND(AH265+(INDEX(Ref!G$1:G$9,MATCH($AI265,Ref!$A$1:$A$9,0))*$P265*0.0001),)</f>
        <v>54</v>
      </c>
      <c r="AC265" s="137">
        <v>42</v>
      </c>
      <c r="AD265" s="137">
        <v>33</v>
      </c>
      <c r="AE265" s="137">
        <v>49</v>
      </c>
      <c r="AF265" s="137">
        <v>26</v>
      </c>
      <c r="AG265" s="137">
        <v>35</v>
      </c>
      <c r="AH265" s="137">
        <v>39</v>
      </c>
      <c r="AI265" s="208">
        <v>7</v>
      </c>
      <c r="AJ265" s="172">
        <v>3000</v>
      </c>
      <c r="AK265" s="172">
        <v>30315</v>
      </c>
      <c r="AL265" s="172">
        <v>2000</v>
      </c>
      <c r="AM265" s="172">
        <v>30317</v>
      </c>
      <c r="AN265" s="172">
        <v>0</v>
      </c>
      <c r="AO265" s="172">
        <f t="shared" si="30"/>
        <v>34315</v>
      </c>
      <c r="AP265" s="172">
        <v>0</v>
      </c>
      <c r="AQ265" s="172">
        <f t="shared" si="31"/>
        <v>34317</v>
      </c>
      <c r="AR265" s="172">
        <v>1</v>
      </c>
      <c r="AS265" s="172">
        <v>0</v>
      </c>
      <c r="AT265" s="199">
        <v>78053</v>
      </c>
      <c r="AU265" s="195" t="s">
        <v>230</v>
      </c>
    </row>
    <row r="266" spans="1:47" x14ac:dyDescent="0.2">
      <c r="A266" s="173">
        <v>55053</v>
      </c>
      <c r="B266" s="174" t="s">
        <v>228</v>
      </c>
      <c r="C266" s="172">
        <v>86053</v>
      </c>
      <c r="D266" s="172">
        <v>150053</v>
      </c>
      <c r="E266" s="206" t="s">
        <v>229</v>
      </c>
      <c r="F266" s="207">
        <v>2</v>
      </c>
      <c r="G266" s="172">
        <v>8500</v>
      </c>
      <c r="H266" s="172">
        <v>8500</v>
      </c>
      <c r="I266" s="172">
        <v>10000</v>
      </c>
      <c r="J266" s="172">
        <v>5</v>
      </c>
      <c r="K266" s="190">
        <f>IF($J266=1,INDEX('큐펫&amp;몹 정리(최신)'!P:P,MATCH($E266,'큐펫&amp;몹 정리(최신)'!$B:$B,0))*20,IF($J266=2,INDEX('큐펫&amp;몹 정리(최신)'!P:P,MATCH($E266,'큐펫&amp;몹 정리(최신)'!$B:$B,0))*25,IF($J266=3,INDEX('큐펫&amp;몹 정리(최신)'!P:P,MATCH($E266,'큐펫&amp;몹 정리(최신)'!$B:$B,0))*30,IF($J266=4,INDEX('큐펫&amp;몹 정리(최신)'!P:P,MATCH($E266,'큐펫&amp;몹 정리(최신)'!$B:$B,0))*35,INDEX('큐펫&amp;몹 정리(최신)'!P:P,MATCH($E266,'큐펫&amp;몹 정리(최신)'!$B:$B,0))*40))))</f>
        <v>1520</v>
      </c>
      <c r="L266" s="190">
        <f>IF($J266=1,INDEX('큐펫&amp;몹 정리(최신)'!Q:Q,MATCH($E266,'큐펫&amp;몹 정리(최신)'!$B:$B,0))*20,IF($J266=2,INDEX('큐펫&amp;몹 정리(최신)'!Q:Q,MATCH($E266,'큐펫&amp;몹 정리(최신)'!$B:$B,0))*25,IF($J266=3,INDEX('큐펫&amp;몹 정리(최신)'!Q:Q,MATCH($E266,'큐펫&amp;몹 정리(최신)'!$B:$B,0))*30,IF($J266=4,INDEX('큐펫&amp;몹 정리(최신)'!Q:Q,MATCH($E266,'큐펫&amp;몹 정리(최신)'!$B:$B,0))*35,INDEX('큐펫&amp;몹 정리(최신)'!Q:Q,MATCH($E266,'큐펫&amp;몹 정리(최신)'!$B:$B,0))*40))))</f>
        <v>840</v>
      </c>
      <c r="M266" s="190">
        <f>IF($J266=1,INDEX('큐펫&amp;몹 정리(최신)'!R:R,MATCH($E266,'큐펫&amp;몹 정리(최신)'!$B:$B,0))*20,IF($J266=2,INDEX('큐펫&amp;몹 정리(최신)'!R:R,MATCH($E266,'큐펫&amp;몹 정리(최신)'!$B:$B,0))*25,IF($J266=3,INDEX('큐펫&amp;몹 정리(최신)'!R:R,MATCH($E266,'큐펫&amp;몹 정리(최신)'!$B:$B,0))*30,IF($J266=4,INDEX('큐펫&amp;몹 정리(최신)'!R:R,MATCH($E266,'큐펫&amp;몹 정리(최신)'!$B:$B,0))*35,INDEX('큐펫&amp;몹 정리(최신)'!R:R,MATCH($E266,'큐펫&amp;몹 정리(최신)'!$B:$B,0))*40))))</f>
        <v>160</v>
      </c>
      <c r="N266" s="190">
        <f>IF($J266=1,INDEX('큐펫&amp;몹 정리(최신)'!S:S,MATCH($E266,'큐펫&amp;몹 정리(최신)'!$B:$B,0))*20,IF($J266=2,INDEX('큐펫&amp;몹 정리(최신)'!S:S,MATCH($E266,'큐펫&amp;몹 정리(최신)'!$B:$B,0))*25,IF($J266=3,INDEX('큐펫&amp;몹 정리(최신)'!S:S,MATCH($E266,'큐펫&amp;몹 정리(최신)'!$B:$B,0))*30,IF($J266=4,INDEX('큐펫&amp;몹 정리(최신)'!S:S,MATCH($E266,'큐펫&amp;몹 정리(최신)'!$B:$B,0))*35,INDEX('큐펫&amp;몹 정리(최신)'!S:S,MATCH($E266,'큐펫&amp;몹 정리(최신)'!$B:$B,0))*40))))</f>
        <v>680</v>
      </c>
      <c r="O266" s="190">
        <f>IF($J266=1,INDEX('큐펫&amp;몹 정리(최신)'!T:T,MATCH($E266,'큐펫&amp;몹 정리(최신)'!$B:$B,0))*20,IF($J266=2,INDEX('큐펫&amp;몹 정리(최신)'!T:T,MATCH($E266,'큐펫&amp;몹 정리(최신)'!$B:$B,0))*25,IF($J266=3,INDEX('큐펫&amp;몹 정리(최신)'!T:T,MATCH($E266,'큐펫&amp;몹 정리(최신)'!$B:$B,0))*30,IF($J266=4,INDEX('큐펫&amp;몹 정리(최신)'!T:T,MATCH($E266,'큐펫&amp;몹 정리(최신)'!$B:$B,0))*35,INDEX('큐펫&amp;몹 정리(최신)'!T:T,MATCH($E266,'큐펫&amp;몹 정리(최신)'!$B:$B,0))*40))))</f>
        <v>800</v>
      </c>
      <c r="P266" s="217">
        <v>100</v>
      </c>
      <c r="Q266" s="217">
        <f t="shared" si="32"/>
        <v>261440</v>
      </c>
      <c r="R266" s="217">
        <f t="shared" si="33"/>
        <v>36798</v>
      </c>
      <c r="S266" s="217">
        <f t="shared" si="34"/>
        <v>25598</v>
      </c>
      <c r="T266" s="217">
        <f t="shared" si="35"/>
        <v>2978</v>
      </c>
      <c r="U266" s="217">
        <f t="shared" si="36"/>
        <v>56801</v>
      </c>
      <c r="V266" s="217">
        <f t="shared" si="37"/>
        <v>33442</v>
      </c>
      <c r="W266" s="217">
        <f>ROUND(AC266+(INDEX(Ref!B$1:B$9,MATCH($AI266,Ref!$A$1:$A$9,0))*P266*0.0001),)</f>
        <v>66</v>
      </c>
      <c r="X266" s="217">
        <f>ROUND(AD266+(INDEX(Ref!C$1:C$9,MATCH($AI266,Ref!$A$1:$A$9,0))*$P266*0.0001),)</f>
        <v>52</v>
      </c>
      <c r="Y266" s="217">
        <f>ROUND(AE266+(INDEX(Ref!D$1:D$9,MATCH($AI266,Ref!$A$1:$A$9,0))*$P266*0.0001),)</f>
        <v>67</v>
      </c>
      <c r="Z266" s="217">
        <f>ROUND(AF266+(INDEX(Ref!E$1:E$9,MATCH($AI266,Ref!$A$1:$A$9,0))*$P266*0.0001),)</f>
        <v>42</v>
      </c>
      <c r="AA266" s="217">
        <f>ROUND(AG266+(INDEX(Ref!F$1:F$9,MATCH($AI266,Ref!$A$1:$A$9,0))*$P266*0.0001),)</f>
        <v>55</v>
      </c>
      <c r="AB266" s="217">
        <f>ROUND(AH266+(INDEX(Ref!G$1:G$9,MATCH($AI266,Ref!$A$1:$A$9,0))*$P266*0.0001),)</f>
        <v>62</v>
      </c>
      <c r="AC266" s="137">
        <v>46</v>
      </c>
      <c r="AD266" s="137">
        <v>36</v>
      </c>
      <c r="AE266" s="137">
        <v>52</v>
      </c>
      <c r="AF266" s="137">
        <v>29</v>
      </c>
      <c r="AG266" s="137">
        <v>38</v>
      </c>
      <c r="AH266" s="137">
        <v>43</v>
      </c>
      <c r="AI266" s="208">
        <v>7</v>
      </c>
      <c r="AJ266" s="172">
        <v>3000</v>
      </c>
      <c r="AK266" s="172">
        <v>30315</v>
      </c>
      <c r="AL266" s="172">
        <v>2000</v>
      </c>
      <c r="AM266" s="172">
        <v>30318</v>
      </c>
      <c r="AN266" s="172">
        <v>0</v>
      </c>
      <c r="AO266" s="172">
        <f t="shared" si="30"/>
        <v>34315</v>
      </c>
      <c r="AP266" s="172">
        <v>0</v>
      </c>
      <c r="AQ266" s="172">
        <f t="shared" si="31"/>
        <v>34318</v>
      </c>
      <c r="AR266" s="172">
        <v>1</v>
      </c>
      <c r="AS266" s="172">
        <v>0</v>
      </c>
      <c r="AT266" s="199">
        <v>78053</v>
      </c>
      <c r="AU266" s="195" t="s">
        <v>230</v>
      </c>
    </row>
    <row r="267" spans="1:47" x14ac:dyDescent="0.2">
      <c r="A267" s="173">
        <v>55054</v>
      </c>
      <c r="B267" s="174" t="s">
        <v>231</v>
      </c>
      <c r="C267" s="172">
        <v>86054</v>
      </c>
      <c r="D267" s="172">
        <v>150054</v>
      </c>
      <c r="E267" s="206" t="s">
        <v>232</v>
      </c>
      <c r="F267" s="207">
        <v>3</v>
      </c>
      <c r="G267" s="172">
        <v>13000</v>
      </c>
      <c r="H267" s="172">
        <v>9000</v>
      </c>
      <c r="I267" s="172">
        <v>10000</v>
      </c>
      <c r="J267" s="172">
        <v>1</v>
      </c>
      <c r="K267" s="190">
        <f>IF($J267=1,INDEX('큐펫&amp;몹 정리(최신)'!P:P,MATCH($E267,'큐펫&amp;몹 정리(최신)'!$B:$B,0))*20,IF($J267=2,INDEX('큐펫&amp;몹 정리(최신)'!P:P,MATCH($E267,'큐펫&amp;몹 정리(최신)'!$B:$B,0))*25,IF($J267=3,INDEX('큐펫&amp;몹 정리(최신)'!P:P,MATCH($E267,'큐펫&amp;몹 정리(최신)'!$B:$B,0))*30,IF($J267=4,INDEX('큐펫&amp;몹 정리(최신)'!P:P,MATCH($E267,'큐펫&amp;몹 정리(최신)'!$B:$B,0))*35,INDEX('큐펫&amp;몹 정리(최신)'!P:P,MATCH($E267,'큐펫&amp;몹 정리(최신)'!$B:$B,0))*40))))</f>
        <v>900</v>
      </c>
      <c r="L267" s="190">
        <f>IF($J267=1,INDEX('큐펫&amp;몹 정리(최신)'!Q:Q,MATCH($E267,'큐펫&amp;몹 정리(최신)'!$B:$B,0))*20,IF($J267=2,INDEX('큐펫&amp;몹 정리(최신)'!Q:Q,MATCH($E267,'큐펫&amp;몹 정리(최신)'!$B:$B,0))*25,IF($J267=3,INDEX('큐펫&amp;몹 정리(최신)'!Q:Q,MATCH($E267,'큐펫&amp;몹 정리(최신)'!$B:$B,0))*30,IF($J267=4,INDEX('큐펫&amp;몹 정리(최신)'!Q:Q,MATCH($E267,'큐펫&amp;몹 정리(최신)'!$B:$B,0))*35,INDEX('큐펫&amp;몹 정리(최신)'!Q:Q,MATCH($E267,'큐펫&amp;몹 정리(최신)'!$B:$B,0))*40))))</f>
        <v>100</v>
      </c>
      <c r="M267" s="190">
        <f>IF($J267=1,INDEX('큐펫&amp;몹 정리(최신)'!R:R,MATCH($E267,'큐펫&amp;몹 정리(최신)'!$B:$B,0))*20,IF($J267=2,INDEX('큐펫&amp;몹 정리(최신)'!R:R,MATCH($E267,'큐펫&amp;몹 정리(최신)'!$B:$B,0))*25,IF($J267=3,INDEX('큐펫&amp;몹 정리(최신)'!R:R,MATCH($E267,'큐펫&amp;몹 정리(최신)'!$B:$B,0))*30,IF($J267=4,INDEX('큐펫&amp;몹 정리(최신)'!R:R,MATCH($E267,'큐펫&amp;몹 정리(최신)'!$B:$B,0))*35,INDEX('큐펫&amp;몹 정리(최신)'!R:R,MATCH($E267,'큐펫&amp;몹 정리(최신)'!$B:$B,0))*40))))</f>
        <v>80</v>
      </c>
      <c r="N267" s="190">
        <f>IF($J267=1,INDEX('큐펫&amp;몹 정리(최신)'!S:S,MATCH($E267,'큐펫&amp;몹 정리(최신)'!$B:$B,0))*20,IF($J267=2,INDEX('큐펫&amp;몹 정리(최신)'!S:S,MATCH($E267,'큐펫&amp;몹 정리(최신)'!$B:$B,0))*25,IF($J267=3,INDEX('큐펫&amp;몹 정리(최신)'!S:S,MATCH($E267,'큐펫&amp;몹 정리(최신)'!$B:$B,0))*30,IF($J267=4,INDEX('큐펫&amp;몹 정리(최신)'!S:S,MATCH($E267,'큐펫&amp;몹 정리(최신)'!$B:$B,0))*35,INDEX('큐펫&amp;몹 정리(최신)'!S:S,MATCH($E267,'큐펫&amp;몹 정리(최신)'!$B:$B,0))*40))))</f>
        <v>320</v>
      </c>
      <c r="O267" s="190">
        <f>IF($J267=1,INDEX('큐펫&amp;몹 정리(최신)'!T:T,MATCH($E267,'큐펫&amp;몹 정리(최신)'!$B:$B,0))*20,IF($J267=2,INDEX('큐펫&amp;몹 정리(최신)'!T:T,MATCH($E267,'큐펫&amp;몹 정리(최신)'!$B:$B,0))*25,IF($J267=3,INDEX('큐펫&amp;몹 정리(최신)'!T:T,MATCH($E267,'큐펫&amp;몹 정리(최신)'!$B:$B,0))*30,IF($J267=4,INDEX('큐펫&amp;몹 정리(최신)'!T:T,MATCH($E267,'큐펫&amp;몹 정리(최신)'!$B:$B,0))*35,INDEX('큐펫&amp;몹 정리(최신)'!T:T,MATCH($E267,'큐펫&amp;몹 정리(최신)'!$B:$B,0))*40))))</f>
        <v>600</v>
      </c>
      <c r="P267" s="217">
        <v>20</v>
      </c>
      <c r="Q267" s="217">
        <f t="shared" si="32"/>
        <v>29520</v>
      </c>
      <c r="R267" s="217">
        <f t="shared" si="33"/>
        <v>350</v>
      </c>
      <c r="S267" s="217">
        <f t="shared" si="34"/>
        <v>1784</v>
      </c>
      <c r="T267" s="217">
        <f t="shared" si="35"/>
        <v>350</v>
      </c>
      <c r="U267" s="217">
        <f t="shared" si="36"/>
        <v>9447</v>
      </c>
      <c r="V267" s="217">
        <f t="shared" si="37"/>
        <v>8869</v>
      </c>
      <c r="W267" s="217">
        <f>ROUND(AC267+(INDEX(Ref!B$1:B$9,MATCH($AI267,Ref!$A$1:$A$9,0))*P267*0.0001),)</f>
        <v>17</v>
      </c>
      <c r="X267" s="217">
        <f>ROUND(AD267+(INDEX(Ref!C$1:C$9,MATCH($AI267,Ref!$A$1:$A$9,0))*$P267*0.0001),)</f>
        <v>32</v>
      </c>
      <c r="Y267" s="217">
        <f>ROUND(AE267+(INDEX(Ref!D$1:D$9,MATCH($AI267,Ref!$A$1:$A$9,0))*$P267*0.0001),)</f>
        <v>39</v>
      </c>
      <c r="Z267" s="217">
        <f>ROUND(AF267+(INDEX(Ref!E$1:E$9,MATCH($AI267,Ref!$A$1:$A$9,0))*$P267*0.0001),)</f>
        <v>19</v>
      </c>
      <c r="AA267" s="217">
        <f>ROUND(AG267+(INDEX(Ref!F$1:F$9,MATCH($AI267,Ref!$A$1:$A$9,0))*$P267*0.0001),)</f>
        <v>41</v>
      </c>
      <c r="AB267" s="217">
        <f>ROUND(AH267+(INDEX(Ref!G$1:G$9,MATCH($AI267,Ref!$A$1:$A$9,0))*$P267*0.0001),)</f>
        <v>36</v>
      </c>
      <c r="AC267" s="137">
        <v>15</v>
      </c>
      <c r="AD267" s="137">
        <v>28</v>
      </c>
      <c r="AE267" s="137">
        <v>36</v>
      </c>
      <c r="AF267" s="137">
        <v>17</v>
      </c>
      <c r="AG267" s="137">
        <v>36</v>
      </c>
      <c r="AH267" s="137">
        <v>32</v>
      </c>
      <c r="AI267" s="208">
        <v>5</v>
      </c>
      <c r="AJ267" s="172">
        <v>3000</v>
      </c>
      <c r="AK267" s="172">
        <v>30319</v>
      </c>
      <c r="AL267" s="172">
        <v>2000</v>
      </c>
      <c r="AM267" s="172">
        <v>30322</v>
      </c>
      <c r="AN267" s="172">
        <v>0</v>
      </c>
      <c r="AO267" s="172">
        <f t="shared" si="30"/>
        <v>34319</v>
      </c>
      <c r="AP267" s="172">
        <v>0</v>
      </c>
      <c r="AQ267" s="172">
        <f t="shared" si="31"/>
        <v>34322</v>
      </c>
      <c r="AR267" s="172">
        <v>1</v>
      </c>
      <c r="AS267" s="172">
        <v>0</v>
      </c>
      <c r="AT267" s="199">
        <v>78054</v>
      </c>
      <c r="AU267" s="195" t="s">
        <v>233</v>
      </c>
    </row>
    <row r="268" spans="1:47" x14ac:dyDescent="0.2">
      <c r="A268" s="173">
        <v>55054</v>
      </c>
      <c r="B268" s="174" t="s">
        <v>231</v>
      </c>
      <c r="C268" s="172">
        <v>86054</v>
      </c>
      <c r="D268" s="172">
        <v>150054</v>
      </c>
      <c r="E268" s="206" t="s">
        <v>232</v>
      </c>
      <c r="F268" s="207">
        <v>3</v>
      </c>
      <c r="G268" s="172">
        <v>13000</v>
      </c>
      <c r="H268" s="172">
        <v>9000</v>
      </c>
      <c r="I268" s="172">
        <v>10000</v>
      </c>
      <c r="J268" s="172">
        <v>2</v>
      </c>
      <c r="K268" s="190">
        <f>IF($J268=1,INDEX('큐펫&amp;몹 정리(최신)'!P:P,MATCH($E268,'큐펫&amp;몹 정리(최신)'!$B:$B,0))*20,IF($J268=2,INDEX('큐펫&amp;몹 정리(최신)'!P:P,MATCH($E268,'큐펫&amp;몹 정리(최신)'!$B:$B,0))*25,IF($J268=3,INDEX('큐펫&amp;몹 정리(최신)'!P:P,MATCH($E268,'큐펫&amp;몹 정리(최신)'!$B:$B,0))*30,IF($J268=4,INDEX('큐펫&amp;몹 정리(최신)'!P:P,MATCH($E268,'큐펫&amp;몹 정리(최신)'!$B:$B,0))*35,INDEX('큐펫&amp;몹 정리(최신)'!P:P,MATCH($E268,'큐펫&amp;몹 정리(최신)'!$B:$B,0))*40))))</f>
        <v>1125</v>
      </c>
      <c r="L268" s="190">
        <f>IF($J268=1,INDEX('큐펫&amp;몹 정리(최신)'!Q:Q,MATCH($E268,'큐펫&amp;몹 정리(최신)'!$B:$B,0))*20,IF($J268=2,INDEX('큐펫&amp;몹 정리(최신)'!Q:Q,MATCH($E268,'큐펫&amp;몹 정리(최신)'!$B:$B,0))*25,IF($J268=3,INDEX('큐펫&amp;몹 정리(최신)'!Q:Q,MATCH($E268,'큐펫&amp;몹 정리(최신)'!$B:$B,0))*30,IF($J268=4,INDEX('큐펫&amp;몹 정리(최신)'!Q:Q,MATCH($E268,'큐펫&amp;몹 정리(최신)'!$B:$B,0))*35,INDEX('큐펫&amp;몹 정리(최신)'!Q:Q,MATCH($E268,'큐펫&amp;몹 정리(최신)'!$B:$B,0))*40))))</f>
        <v>125</v>
      </c>
      <c r="M268" s="190">
        <f>IF($J268=1,INDEX('큐펫&amp;몹 정리(최신)'!R:R,MATCH($E268,'큐펫&amp;몹 정리(최신)'!$B:$B,0))*20,IF($J268=2,INDEX('큐펫&amp;몹 정리(최신)'!R:R,MATCH($E268,'큐펫&amp;몹 정리(최신)'!$B:$B,0))*25,IF($J268=3,INDEX('큐펫&amp;몹 정리(최신)'!R:R,MATCH($E268,'큐펫&amp;몹 정리(최신)'!$B:$B,0))*30,IF($J268=4,INDEX('큐펫&amp;몹 정리(최신)'!R:R,MATCH($E268,'큐펫&amp;몹 정리(최신)'!$B:$B,0))*35,INDEX('큐펫&amp;몹 정리(최신)'!R:R,MATCH($E268,'큐펫&amp;몹 정리(최신)'!$B:$B,0))*40))))</f>
        <v>100</v>
      </c>
      <c r="N268" s="190">
        <f>IF($J268=1,INDEX('큐펫&amp;몹 정리(최신)'!S:S,MATCH($E268,'큐펫&amp;몹 정리(최신)'!$B:$B,0))*20,IF($J268=2,INDEX('큐펫&amp;몹 정리(최신)'!S:S,MATCH($E268,'큐펫&amp;몹 정리(최신)'!$B:$B,0))*25,IF($J268=3,INDEX('큐펫&amp;몹 정리(최신)'!S:S,MATCH($E268,'큐펫&amp;몹 정리(최신)'!$B:$B,0))*30,IF($J268=4,INDEX('큐펫&amp;몹 정리(최신)'!S:S,MATCH($E268,'큐펫&amp;몹 정리(최신)'!$B:$B,0))*35,INDEX('큐펫&amp;몹 정리(최신)'!S:S,MATCH($E268,'큐펫&amp;몹 정리(최신)'!$B:$B,0))*40))))</f>
        <v>400</v>
      </c>
      <c r="O268" s="190">
        <f>IF($J268=1,INDEX('큐펫&amp;몹 정리(최신)'!T:T,MATCH($E268,'큐펫&amp;몹 정리(최신)'!$B:$B,0))*20,IF($J268=2,INDEX('큐펫&amp;몹 정리(최신)'!T:T,MATCH($E268,'큐펫&amp;몹 정리(최신)'!$B:$B,0))*25,IF($J268=3,INDEX('큐펫&amp;몹 정리(최신)'!T:T,MATCH($E268,'큐펫&amp;몹 정리(최신)'!$B:$B,0))*30,IF($J268=4,INDEX('큐펫&amp;몹 정리(최신)'!T:T,MATCH($E268,'큐펫&amp;몹 정리(최신)'!$B:$B,0))*35,INDEX('큐펫&amp;몹 정리(최신)'!T:T,MATCH($E268,'큐펫&amp;몹 정리(최신)'!$B:$B,0))*40))))</f>
        <v>750</v>
      </c>
      <c r="P268" s="217">
        <v>40</v>
      </c>
      <c r="Q268" s="217">
        <f t="shared" si="32"/>
        <v>70400</v>
      </c>
      <c r="R268" s="217">
        <f t="shared" si="33"/>
        <v>634</v>
      </c>
      <c r="S268" s="217">
        <f t="shared" si="34"/>
        <v>3387</v>
      </c>
      <c r="T268" s="217">
        <f t="shared" si="35"/>
        <v>661</v>
      </c>
      <c r="U268" s="217">
        <f t="shared" si="36"/>
        <v>16809</v>
      </c>
      <c r="V268" s="217">
        <f t="shared" si="37"/>
        <v>15774</v>
      </c>
      <c r="W268" s="217">
        <f>ROUND(AC268+(INDEX(Ref!B$1:B$9,MATCH($AI268,Ref!$A$1:$A$9,0))*P268*0.0001),)</f>
        <v>21</v>
      </c>
      <c r="X268" s="217">
        <f>ROUND(AD268+(INDEX(Ref!C$1:C$9,MATCH($AI268,Ref!$A$1:$A$9,0))*$P268*0.0001),)</f>
        <v>40</v>
      </c>
      <c r="Y268" s="217">
        <f>ROUND(AE268+(INDEX(Ref!D$1:D$9,MATCH($AI268,Ref!$A$1:$A$9,0))*$P268*0.0001),)</f>
        <v>44</v>
      </c>
      <c r="Z268" s="217">
        <f>ROUND(AF268+(INDEX(Ref!E$1:E$9,MATCH($AI268,Ref!$A$1:$A$9,0))*$P268*0.0001),)</f>
        <v>24</v>
      </c>
      <c r="AA268" s="217">
        <f>ROUND(AG268+(INDEX(Ref!F$1:F$9,MATCH($AI268,Ref!$A$1:$A$9,0))*$P268*0.0001),)</f>
        <v>51</v>
      </c>
      <c r="AB268" s="217">
        <f>ROUND(AH268+(INDEX(Ref!G$1:G$9,MATCH($AI268,Ref!$A$1:$A$9,0))*$P268*0.0001),)</f>
        <v>44</v>
      </c>
      <c r="AC268" s="137">
        <v>17</v>
      </c>
      <c r="AD268" s="137">
        <v>32</v>
      </c>
      <c r="AE268" s="137">
        <v>39</v>
      </c>
      <c r="AF268" s="137">
        <v>19</v>
      </c>
      <c r="AG268" s="137">
        <v>41</v>
      </c>
      <c r="AH268" s="137">
        <v>36</v>
      </c>
      <c r="AI268" s="208">
        <v>5</v>
      </c>
      <c r="AJ268" s="172">
        <v>3000</v>
      </c>
      <c r="AK268" s="172">
        <v>30320</v>
      </c>
      <c r="AL268" s="172">
        <v>2000</v>
      </c>
      <c r="AM268" s="172">
        <v>30322</v>
      </c>
      <c r="AN268" s="172">
        <v>0</v>
      </c>
      <c r="AO268" s="172">
        <f t="shared" si="30"/>
        <v>34320</v>
      </c>
      <c r="AP268" s="172">
        <v>0</v>
      </c>
      <c r="AQ268" s="172">
        <f t="shared" si="31"/>
        <v>34322</v>
      </c>
      <c r="AR268" s="172">
        <v>1</v>
      </c>
      <c r="AS268" s="172">
        <v>0</v>
      </c>
      <c r="AT268" s="199">
        <v>78054</v>
      </c>
      <c r="AU268" s="195" t="s">
        <v>233</v>
      </c>
    </row>
    <row r="269" spans="1:47" x14ac:dyDescent="0.2">
      <c r="A269" s="173">
        <v>55054</v>
      </c>
      <c r="B269" s="174" t="s">
        <v>231</v>
      </c>
      <c r="C269" s="172">
        <v>86054</v>
      </c>
      <c r="D269" s="172">
        <v>150054</v>
      </c>
      <c r="E269" s="206" t="s">
        <v>232</v>
      </c>
      <c r="F269" s="207">
        <v>3</v>
      </c>
      <c r="G269" s="172">
        <v>13000</v>
      </c>
      <c r="H269" s="172">
        <v>9000</v>
      </c>
      <c r="I269" s="172">
        <v>10000</v>
      </c>
      <c r="J269" s="172">
        <v>3</v>
      </c>
      <c r="K269" s="190">
        <f>IF($J269=1,INDEX('큐펫&amp;몹 정리(최신)'!P:P,MATCH($E269,'큐펫&amp;몹 정리(최신)'!$B:$B,0))*20,IF($J269=2,INDEX('큐펫&amp;몹 정리(최신)'!P:P,MATCH($E269,'큐펫&amp;몹 정리(최신)'!$B:$B,0))*25,IF($J269=3,INDEX('큐펫&amp;몹 정리(최신)'!P:P,MATCH($E269,'큐펫&amp;몹 정리(최신)'!$B:$B,0))*30,IF($J269=4,INDEX('큐펫&amp;몹 정리(최신)'!P:P,MATCH($E269,'큐펫&amp;몹 정리(최신)'!$B:$B,0))*35,INDEX('큐펫&amp;몹 정리(최신)'!P:P,MATCH($E269,'큐펫&amp;몹 정리(최신)'!$B:$B,0))*40))))</f>
        <v>1350</v>
      </c>
      <c r="L269" s="190">
        <f>IF($J269=1,INDEX('큐펫&amp;몹 정리(최신)'!Q:Q,MATCH($E269,'큐펫&amp;몹 정리(최신)'!$B:$B,0))*20,IF($J269=2,INDEX('큐펫&amp;몹 정리(최신)'!Q:Q,MATCH($E269,'큐펫&amp;몹 정리(최신)'!$B:$B,0))*25,IF($J269=3,INDEX('큐펫&amp;몹 정리(최신)'!Q:Q,MATCH($E269,'큐펫&amp;몹 정리(최신)'!$B:$B,0))*30,IF($J269=4,INDEX('큐펫&amp;몹 정리(최신)'!Q:Q,MATCH($E269,'큐펫&amp;몹 정리(최신)'!$B:$B,0))*35,INDEX('큐펫&amp;몹 정리(최신)'!Q:Q,MATCH($E269,'큐펫&amp;몹 정리(최신)'!$B:$B,0))*40))))</f>
        <v>150</v>
      </c>
      <c r="M269" s="190">
        <f>IF($J269=1,INDEX('큐펫&amp;몹 정리(최신)'!R:R,MATCH($E269,'큐펫&amp;몹 정리(최신)'!$B:$B,0))*20,IF($J269=2,INDEX('큐펫&amp;몹 정리(최신)'!R:R,MATCH($E269,'큐펫&amp;몹 정리(최신)'!$B:$B,0))*25,IF($J269=3,INDEX('큐펫&amp;몹 정리(최신)'!R:R,MATCH($E269,'큐펫&amp;몹 정리(최신)'!$B:$B,0))*30,IF($J269=4,INDEX('큐펫&amp;몹 정리(최신)'!R:R,MATCH($E269,'큐펫&amp;몹 정리(최신)'!$B:$B,0))*35,INDEX('큐펫&amp;몹 정리(최신)'!R:R,MATCH($E269,'큐펫&amp;몹 정리(최신)'!$B:$B,0))*40))))</f>
        <v>120</v>
      </c>
      <c r="N269" s="190">
        <f>IF($J269=1,INDEX('큐펫&amp;몹 정리(최신)'!S:S,MATCH($E269,'큐펫&amp;몹 정리(최신)'!$B:$B,0))*20,IF($J269=2,INDEX('큐펫&amp;몹 정리(최신)'!S:S,MATCH($E269,'큐펫&amp;몹 정리(최신)'!$B:$B,0))*25,IF($J269=3,INDEX('큐펫&amp;몹 정리(최신)'!S:S,MATCH($E269,'큐펫&amp;몹 정리(최신)'!$B:$B,0))*30,IF($J269=4,INDEX('큐펫&amp;몹 정리(최신)'!S:S,MATCH($E269,'큐펫&amp;몹 정리(최신)'!$B:$B,0))*35,INDEX('큐펫&amp;몹 정리(최신)'!S:S,MATCH($E269,'큐펫&amp;몹 정리(최신)'!$B:$B,0))*40))))</f>
        <v>480</v>
      </c>
      <c r="O269" s="190">
        <f>IF($J269=1,INDEX('큐펫&amp;몹 정리(최신)'!T:T,MATCH($E269,'큐펫&amp;몹 정리(최신)'!$B:$B,0))*20,IF($J269=2,INDEX('큐펫&amp;몹 정리(최신)'!T:T,MATCH($E269,'큐펫&amp;몹 정리(최신)'!$B:$B,0))*25,IF($J269=3,INDEX('큐펫&amp;몹 정리(최신)'!T:T,MATCH($E269,'큐펫&amp;몹 정리(최신)'!$B:$B,0))*30,IF($J269=4,INDEX('큐펫&amp;몹 정리(최신)'!T:T,MATCH($E269,'큐펫&amp;몹 정리(최신)'!$B:$B,0))*35,INDEX('큐펫&amp;몹 정리(최신)'!T:T,MATCH($E269,'큐펫&amp;몹 정리(최신)'!$B:$B,0))*40))))</f>
        <v>900</v>
      </c>
      <c r="P269" s="217">
        <v>60</v>
      </c>
      <c r="Q269" s="217">
        <f t="shared" si="32"/>
        <v>128200</v>
      </c>
      <c r="R269" s="217">
        <f t="shared" si="33"/>
        <v>1121</v>
      </c>
      <c r="S269" s="217">
        <f t="shared" si="34"/>
        <v>5567</v>
      </c>
      <c r="T269" s="217">
        <f t="shared" si="35"/>
        <v>1047</v>
      </c>
      <c r="U269" s="217">
        <f t="shared" si="36"/>
        <v>26410</v>
      </c>
      <c r="V269" s="217">
        <f t="shared" si="37"/>
        <v>24778</v>
      </c>
      <c r="W269" s="217">
        <f>ROUND(AC269+(INDEX(Ref!B$1:B$9,MATCH($AI269,Ref!$A$1:$A$9,0))*P269*0.0001),)</f>
        <v>26</v>
      </c>
      <c r="X269" s="217">
        <f>ROUND(AD269+(INDEX(Ref!C$1:C$9,MATCH($AI269,Ref!$A$1:$A$9,0))*$P269*0.0001),)</f>
        <v>47</v>
      </c>
      <c r="Y269" s="217">
        <f>ROUND(AE269+(INDEX(Ref!D$1:D$9,MATCH($AI269,Ref!$A$1:$A$9,0))*$P269*0.0001),)</f>
        <v>50</v>
      </c>
      <c r="Z269" s="217">
        <f>ROUND(AF269+(INDEX(Ref!E$1:E$9,MATCH($AI269,Ref!$A$1:$A$9,0))*$P269*0.0001),)</f>
        <v>28</v>
      </c>
      <c r="AA269" s="217">
        <f>ROUND(AG269+(INDEX(Ref!F$1:F$9,MATCH($AI269,Ref!$A$1:$A$9,0))*$P269*0.0001),)</f>
        <v>60</v>
      </c>
      <c r="AB269" s="217">
        <f>ROUND(AH269+(INDEX(Ref!G$1:G$9,MATCH($AI269,Ref!$A$1:$A$9,0))*$P269*0.0001),)</f>
        <v>53</v>
      </c>
      <c r="AC269" s="137">
        <v>19</v>
      </c>
      <c r="AD269" s="137">
        <v>36</v>
      </c>
      <c r="AE269" s="137">
        <v>42</v>
      </c>
      <c r="AF269" s="137">
        <v>21</v>
      </c>
      <c r="AG269" s="137">
        <v>46</v>
      </c>
      <c r="AH269" s="137">
        <v>40</v>
      </c>
      <c r="AI269" s="208">
        <v>5</v>
      </c>
      <c r="AJ269" s="172">
        <v>3000</v>
      </c>
      <c r="AK269" s="172">
        <v>30320</v>
      </c>
      <c r="AL269" s="172">
        <v>2000</v>
      </c>
      <c r="AM269" s="172">
        <v>30323</v>
      </c>
      <c r="AN269" s="172">
        <v>0</v>
      </c>
      <c r="AO269" s="172">
        <f t="shared" ref="AO269:AO332" si="38">AK269+4000</f>
        <v>34320</v>
      </c>
      <c r="AP269" s="172">
        <v>0</v>
      </c>
      <c r="AQ269" s="172">
        <f t="shared" ref="AQ269:AQ332" si="39">AM269+4000</f>
        <v>34323</v>
      </c>
      <c r="AR269" s="172">
        <v>1</v>
      </c>
      <c r="AS269" s="172">
        <v>0</v>
      </c>
      <c r="AT269" s="199">
        <v>78054</v>
      </c>
      <c r="AU269" s="195" t="s">
        <v>233</v>
      </c>
    </row>
    <row r="270" spans="1:47" x14ac:dyDescent="0.2">
      <c r="A270" s="173">
        <v>55054</v>
      </c>
      <c r="B270" s="174" t="s">
        <v>231</v>
      </c>
      <c r="C270" s="172">
        <v>86054</v>
      </c>
      <c r="D270" s="172">
        <v>150054</v>
      </c>
      <c r="E270" s="206" t="s">
        <v>232</v>
      </c>
      <c r="F270" s="207">
        <v>3</v>
      </c>
      <c r="G270" s="172">
        <v>13000</v>
      </c>
      <c r="H270" s="172">
        <v>9000</v>
      </c>
      <c r="I270" s="172">
        <v>10000</v>
      </c>
      <c r="J270" s="172">
        <v>4</v>
      </c>
      <c r="K270" s="190">
        <f>IF($J270=1,INDEX('큐펫&amp;몹 정리(최신)'!P:P,MATCH($E270,'큐펫&amp;몹 정리(최신)'!$B:$B,0))*20,IF($J270=2,INDEX('큐펫&amp;몹 정리(최신)'!P:P,MATCH($E270,'큐펫&amp;몹 정리(최신)'!$B:$B,0))*25,IF($J270=3,INDEX('큐펫&amp;몹 정리(최신)'!P:P,MATCH($E270,'큐펫&amp;몹 정리(최신)'!$B:$B,0))*30,IF($J270=4,INDEX('큐펫&amp;몹 정리(최신)'!P:P,MATCH($E270,'큐펫&amp;몹 정리(최신)'!$B:$B,0))*35,INDEX('큐펫&amp;몹 정리(최신)'!P:P,MATCH($E270,'큐펫&amp;몹 정리(최신)'!$B:$B,0))*40))))</f>
        <v>1575</v>
      </c>
      <c r="L270" s="190">
        <f>IF($J270=1,INDEX('큐펫&amp;몹 정리(최신)'!Q:Q,MATCH($E270,'큐펫&amp;몹 정리(최신)'!$B:$B,0))*20,IF($J270=2,INDEX('큐펫&amp;몹 정리(최신)'!Q:Q,MATCH($E270,'큐펫&amp;몹 정리(최신)'!$B:$B,0))*25,IF($J270=3,INDEX('큐펫&amp;몹 정리(최신)'!Q:Q,MATCH($E270,'큐펫&amp;몹 정리(최신)'!$B:$B,0))*30,IF($J270=4,INDEX('큐펫&amp;몹 정리(최신)'!Q:Q,MATCH($E270,'큐펫&amp;몹 정리(최신)'!$B:$B,0))*35,INDEX('큐펫&amp;몹 정리(최신)'!Q:Q,MATCH($E270,'큐펫&amp;몹 정리(최신)'!$B:$B,0))*40))))</f>
        <v>175</v>
      </c>
      <c r="M270" s="190">
        <f>IF($J270=1,INDEX('큐펫&amp;몹 정리(최신)'!R:R,MATCH($E270,'큐펫&amp;몹 정리(최신)'!$B:$B,0))*20,IF($J270=2,INDEX('큐펫&amp;몹 정리(최신)'!R:R,MATCH($E270,'큐펫&amp;몹 정리(최신)'!$B:$B,0))*25,IF($J270=3,INDEX('큐펫&amp;몹 정리(최신)'!R:R,MATCH($E270,'큐펫&amp;몹 정리(최신)'!$B:$B,0))*30,IF($J270=4,INDEX('큐펫&amp;몹 정리(최신)'!R:R,MATCH($E270,'큐펫&amp;몹 정리(최신)'!$B:$B,0))*35,INDEX('큐펫&amp;몹 정리(최신)'!R:R,MATCH($E270,'큐펫&amp;몹 정리(최신)'!$B:$B,0))*40))))</f>
        <v>140</v>
      </c>
      <c r="N270" s="190">
        <f>IF($J270=1,INDEX('큐펫&amp;몹 정리(최신)'!S:S,MATCH($E270,'큐펫&amp;몹 정리(최신)'!$B:$B,0))*20,IF($J270=2,INDEX('큐펫&amp;몹 정리(최신)'!S:S,MATCH($E270,'큐펫&amp;몹 정리(최신)'!$B:$B,0))*25,IF($J270=3,INDEX('큐펫&amp;몹 정리(최신)'!S:S,MATCH($E270,'큐펫&amp;몹 정리(최신)'!$B:$B,0))*30,IF($J270=4,INDEX('큐펫&amp;몹 정리(최신)'!S:S,MATCH($E270,'큐펫&amp;몹 정리(최신)'!$B:$B,0))*35,INDEX('큐펫&amp;몹 정리(최신)'!S:S,MATCH($E270,'큐펫&amp;몹 정리(최신)'!$B:$B,0))*40))))</f>
        <v>560</v>
      </c>
      <c r="O270" s="190">
        <f>IF($J270=1,INDEX('큐펫&amp;몹 정리(최신)'!T:T,MATCH($E270,'큐펫&amp;몹 정리(최신)'!$B:$B,0))*20,IF($J270=2,INDEX('큐펫&amp;몹 정리(최신)'!T:T,MATCH($E270,'큐펫&amp;몹 정리(최신)'!$B:$B,0))*25,IF($J270=3,INDEX('큐펫&amp;몹 정리(최신)'!T:T,MATCH($E270,'큐펫&amp;몹 정리(최신)'!$B:$B,0))*30,IF($J270=4,INDEX('큐펫&amp;몹 정리(최신)'!T:T,MATCH($E270,'큐펫&amp;몹 정리(최신)'!$B:$B,0))*35,INDEX('큐펫&amp;몹 정리(최신)'!T:T,MATCH($E270,'큐펫&amp;몹 정리(최신)'!$B:$B,0))*40))))</f>
        <v>1050</v>
      </c>
      <c r="P270" s="217">
        <v>80</v>
      </c>
      <c r="Q270" s="217">
        <f t="shared" si="32"/>
        <v>201840</v>
      </c>
      <c r="R270" s="217">
        <f t="shared" si="33"/>
        <v>1813</v>
      </c>
      <c r="S270" s="217">
        <f t="shared" si="34"/>
        <v>8774</v>
      </c>
      <c r="T270" s="217">
        <f t="shared" si="35"/>
        <v>1750</v>
      </c>
      <c r="U270" s="217">
        <f t="shared" si="36"/>
        <v>37532</v>
      </c>
      <c r="V270" s="217">
        <f t="shared" si="37"/>
        <v>35209</v>
      </c>
      <c r="W270" s="217">
        <f>ROUND(AC270+(INDEX(Ref!B$1:B$9,MATCH($AI270,Ref!$A$1:$A$9,0))*P270*0.0001),)</f>
        <v>31</v>
      </c>
      <c r="X270" s="217">
        <f>ROUND(AD270+(INDEX(Ref!C$1:C$9,MATCH($AI270,Ref!$A$1:$A$9,0))*$P270*0.0001),)</f>
        <v>54</v>
      </c>
      <c r="Y270" s="217">
        <f>ROUND(AE270+(INDEX(Ref!D$1:D$9,MATCH($AI270,Ref!$A$1:$A$9,0))*$P270*0.0001),)</f>
        <v>54</v>
      </c>
      <c r="Z270" s="217">
        <f>ROUND(AF270+(INDEX(Ref!E$1:E$9,MATCH($AI270,Ref!$A$1:$A$9,0))*$P270*0.0001),)</f>
        <v>34</v>
      </c>
      <c r="AA270" s="217">
        <f>ROUND(AG270+(INDEX(Ref!F$1:F$9,MATCH($AI270,Ref!$A$1:$A$9,0))*$P270*0.0001),)</f>
        <v>70</v>
      </c>
      <c r="AB270" s="217">
        <f>ROUND(AH270+(INDEX(Ref!G$1:G$9,MATCH($AI270,Ref!$A$1:$A$9,0))*$P270*0.0001),)</f>
        <v>61</v>
      </c>
      <c r="AC270" s="137">
        <v>22</v>
      </c>
      <c r="AD270" s="137">
        <v>39</v>
      </c>
      <c r="AE270" s="137">
        <v>44</v>
      </c>
      <c r="AF270" s="137">
        <v>24</v>
      </c>
      <c r="AG270" s="137">
        <v>51</v>
      </c>
      <c r="AH270" s="137">
        <v>44</v>
      </c>
      <c r="AI270" s="208">
        <v>5</v>
      </c>
      <c r="AJ270" s="172">
        <v>3000</v>
      </c>
      <c r="AK270" s="172">
        <v>30321</v>
      </c>
      <c r="AL270" s="172">
        <v>2000</v>
      </c>
      <c r="AM270" s="172">
        <v>30323</v>
      </c>
      <c r="AN270" s="172">
        <v>0</v>
      </c>
      <c r="AO270" s="172">
        <f t="shared" si="38"/>
        <v>34321</v>
      </c>
      <c r="AP270" s="172">
        <v>0</v>
      </c>
      <c r="AQ270" s="172">
        <f t="shared" si="39"/>
        <v>34323</v>
      </c>
      <c r="AR270" s="172">
        <v>1</v>
      </c>
      <c r="AS270" s="172">
        <v>0</v>
      </c>
      <c r="AT270" s="199">
        <v>78054</v>
      </c>
      <c r="AU270" s="195" t="s">
        <v>233</v>
      </c>
    </row>
    <row r="271" spans="1:47" x14ac:dyDescent="0.2">
      <c r="A271" s="173">
        <v>55054</v>
      </c>
      <c r="B271" s="174" t="s">
        <v>231</v>
      </c>
      <c r="C271" s="172">
        <v>86054</v>
      </c>
      <c r="D271" s="172">
        <v>150054</v>
      </c>
      <c r="E271" s="206" t="s">
        <v>232</v>
      </c>
      <c r="F271" s="207">
        <v>3</v>
      </c>
      <c r="G271" s="172">
        <v>13000</v>
      </c>
      <c r="H271" s="172">
        <v>9000</v>
      </c>
      <c r="I271" s="172">
        <v>10000</v>
      </c>
      <c r="J271" s="172">
        <v>5</v>
      </c>
      <c r="K271" s="190">
        <f>IF($J271=1,INDEX('큐펫&amp;몹 정리(최신)'!P:P,MATCH($E271,'큐펫&amp;몹 정리(최신)'!$B:$B,0))*20,IF($J271=2,INDEX('큐펫&amp;몹 정리(최신)'!P:P,MATCH($E271,'큐펫&amp;몹 정리(최신)'!$B:$B,0))*25,IF($J271=3,INDEX('큐펫&amp;몹 정리(최신)'!P:P,MATCH($E271,'큐펫&amp;몹 정리(최신)'!$B:$B,0))*30,IF($J271=4,INDEX('큐펫&amp;몹 정리(최신)'!P:P,MATCH($E271,'큐펫&amp;몹 정리(최신)'!$B:$B,0))*35,INDEX('큐펫&amp;몹 정리(최신)'!P:P,MATCH($E271,'큐펫&amp;몹 정리(최신)'!$B:$B,0))*40))))</f>
        <v>1800</v>
      </c>
      <c r="L271" s="190">
        <f>IF($J271=1,INDEX('큐펫&amp;몹 정리(최신)'!Q:Q,MATCH($E271,'큐펫&amp;몹 정리(최신)'!$B:$B,0))*20,IF($J271=2,INDEX('큐펫&amp;몹 정리(최신)'!Q:Q,MATCH($E271,'큐펫&amp;몹 정리(최신)'!$B:$B,0))*25,IF($J271=3,INDEX('큐펫&amp;몹 정리(최신)'!Q:Q,MATCH($E271,'큐펫&amp;몹 정리(최신)'!$B:$B,0))*30,IF($J271=4,INDEX('큐펫&amp;몹 정리(최신)'!Q:Q,MATCH($E271,'큐펫&amp;몹 정리(최신)'!$B:$B,0))*35,INDEX('큐펫&amp;몹 정리(최신)'!Q:Q,MATCH($E271,'큐펫&amp;몹 정리(최신)'!$B:$B,0))*40))))</f>
        <v>200</v>
      </c>
      <c r="M271" s="190">
        <f>IF($J271=1,INDEX('큐펫&amp;몹 정리(최신)'!R:R,MATCH($E271,'큐펫&amp;몹 정리(최신)'!$B:$B,0))*20,IF($J271=2,INDEX('큐펫&amp;몹 정리(최신)'!R:R,MATCH($E271,'큐펫&amp;몹 정리(최신)'!$B:$B,0))*25,IF($J271=3,INDEX('큐펫&amp;몹 정리(최신)'!R:R,MATCH($E271,'큐펫&amp;몹 정리(최신)'!$B:$B,0))*30,IF($J271=4,INDEX('큐펫&amp;몹 정리(최신)'!R:R,MATCH($E271,'큐펫&amp;몹 정리(최신)'!$B:$B,0))*35,INDEX('큐펫&amp;몹 정리(최신)'!R:R,MATCH($E271,'큐펫&amp;몹 정리(최신)'!$B:$B,0))*40))))</f>
        <v>160</v>
      </c>
      <c r="N271" s="190">
        <f>IF($J271=1,INDEX('큐펫&amp;몹 정리(최신)'!S:S,MATCH($E271,'큐펫&amp;몹 정리(최신)'!$B:$B,0))*20,IF($J271=2,INDEX('큐펫&amp;몹 정리(최신)'!S:S,MATCH($E271,'큐펫&amp;몹 정리(최신)'!$B:$B,0))*25,IF($J271=3,INDEX('큐펫&amp;몹 정리(최신)'!S:S,MATCH($E271,'큐펫&amp;몹 정리(최신)'!$B:$B,0))*30,IF($J271=4,INDEX('큐펫&amp;몹 정리(최신)'!S:S,MATCH($E271,'큐펫&amp;몹 정리(최신)'!$B:$B,0))*35,INDEX('큐펫&amp;몹 정리(최신)'!S:S,MATCH($E271,'큐펫&amp;몹 정리(최신)'!$B:$B,0))*40))))</f>
        <v>640</v>
      </c>
      <c r="O271" s="190">
        <f>IF($J271=1,INDEX('큐펫&amp;몹 정리(최신)'!T:T,MATCH($E271,'큐펫&amp;몹 정리(최신)'!$B:$B,0))*20,IF($J271=2,INDEX('큐펫&amp;몹 정리(최신)'!T:T,MATCH($E271,'큐펫&amp;몹 정리(최신)'!$B:$B,0))*25,IF($J271=3,INDEX('큐펫&amp;몹 정리(최신)'!T:T,MATCH($E271,'큐펫&amp;몹 정리(최신)'!$B:$B,0))*30,IF($J271=4,INDEX('큐펫&amp;몹 정리(최신)'!T:T,MATCH($E271,'큐펫&amp;몹 정리(최신)'!$B:$B,0))*35,INDEX('큐펫&amp;몹 정리(최신)'!T:T,MATCH($E271,'큐펫&amp;몹 정리(최신)'!$B:$B,0))*40))))</f>
        <v>1200</v>
      </c>
      <c r="P271" s="217">
        <v>100</v>
      </c>
      <c r="Q271" s="217">
        <f t="shared" si="32"/>
        <v>297000</v>
      </c>
      <c r="R271" s="217">
        <f t="shared" si="33"/>
        <v>2603</v>
      </c>
      <c r="S271" s="217">
        <f t="shared" si="34"/>
        <v>13032</v>
      </c>
      <c r="T271" s="217">
        <f t="shared" si="35"/>
        <v>2463</v>
      </c>
      <c r="U271" s="217">
        <f t="shared" si="36"/>
        <v>51214</v>
      </c>
      <c r="V271" s="217">
        <f t="shared" si="37"/>
        <v>48038</v>
      </c>
      <c r="W271" s="217">
        <f>ROUND(AC271+(INDEX(Ref!B$1:B$9,MATCH($AI271,Ref!$A$1:$A$9,0))*P271*0.0001),)</f>
        <v>35</v>
      </c>
      <c r="X271" s="217">
        <f>ROUND(AD271+(INDEX(Ref!C$1:C$9,MATCH($AI271,Ref!$A$1:$A$9,0))*$P271*0.0001),)</f>
        <v>62</v>
      </c>
      <c r="Y271" s="217">
        <f>ROUND(AE271+(INDEX(Ref!D$1:D$9,MATCH($AI271,Ref!$A$1:$A$9,0))*$P271*0.0001),)</f>
        <v>60</v>
      </c>
      <c r="Z271" s="217">
        <f>ROUND(AF271+(INDEX(Ref!E$1:E$9,MATCH($AI271,Ref!$A$1:$A$9,0))*$P271*0.0001),)</f>
        <v>38</v>
      </c>
      <c r="AA271" s="217">
        <f>ROUND(AG271+(INDEX(Ref!F$1:F$9,MATCH($AI271,Ref!$A$1:$A$9,0))*$P271*0.0001),)</f>
        <v>80</v>
      </c>
      <c r="AB271" s="217">
        <f>ROUND(AH271+(INDEX(Ref!G$1:G$9,MATCH($AI271,Ref!$A$1:$A$9,0))*$P271*0.0001),)</f>
        <v>69</v>
      </c>
      <c r="AC271" s="137">
        <v>24</v>
      </c>
      <c r="AD271" s="137">
        <v>43</v>
      </c>
      <c r="AE271" s="137">
        <v>47</v>
      </c>
      <c r="AF271" s="137">
        <v>26</v>
      </c>
      <c r="AG271" s="137">
        <v>56</v>
      </c>
      <c r="AH271" s="137">
        <v>48</v>
      </c>
      <c r="AI271" s="208">
        <v>5</v>
      </c>
      <c r="AJ271" s="172">
        <v>3000</v>
      </c>
      <c r="AK271" s="172">
        <v>30321</v>
      </c>
      <c r="AL271" s="172">
        <v>2000</v>
      </c>
      <c r="AM271" s="172">
        <v>30324</v>
      </c>
      <c r="AN271" s="172">
        <v>0</v>
      </c>
      <c r="AO271" s="172">
        <f t="shared" si="38"/>
        <v>34321</v>
      </c>
      <c r="AP271" s="172">
        <v>0</v>
      </c>
      <c r="AQ271" s="172">
        <f t="shared" si="39"/>
        <v>34324</v>
      </c>
      <c r="AR271" s="172">
        <v>1</v>
      </c>
      <c r="AS271" s="172">
        <v>0</v>
      </c>
      <c r="AT271" s="199">
        <v>78054</v>
      </c>
      <c r="AU271" s="195" t="s">
        <v>233</v>
      </c>
    </row>
    <row r="272" spans="1:47" x14ac:dyDescent="0.2">
      <c r="A272" s="173">
        <v>55055</v>
      </c>
      <c r="B272" s="174" t="s">
        <v>234</v>
      </c>
      <c r="C272" s="172">
        <v>86055</v>
      </c>
      <c r="D272" s="172">
        <v>150055</v>
      </c>
      <c r="E272" s="206" t="s">
        <v>235</v>
      </c>
      <c r="F272" s="207">
        <v>5</v>
      </c>
      <c r="G272" s="172">
        <v>8500</v>
      </c>
      <c r="H272" s="172">
        <v>8500</v>
      </c>
      <c r="I272" s="172">
        <v>10000</v>
      </c>
      <c r="J272" s="172">
        <v>1</v>
      </c>
      <c r="K272" s="190">
        <f>IF($J272=1,INDEX('큐펫&amp;몹 정리(최신)'!P:P,MATCH($E272,'큐펫&amp;몹 정리(최신)'!$B:$B,0))*20,IF($J272=2,INDEX('큐펫&amp;몹 정리(최신)'!P:P,MATCH($E272,'큐펫&amp;몹 정리(최신)'!$B:$B,0))*25,IF($J272=3,INDEX('큐펫&amp;몹 정리(최신)'!P:P,MATCH($E272,'큐펫&amp;몹 정리(최신)'!$B:$B,0))*30,IF($J272=4,INDEX('큐펫&amp;몹 정리(최신)'!P:P,MATCH($E272,'큐펫&amp;몹 정리(최신)'!$B:$B,0))*35,INDEX('큐펫&amp;몹 정리(최신)'!P:P,MATCH($E272,'큐펫&amp;몹 정리(최신)'!$B:$B,0))*40))))</f>
        <v>760</v>
      </c>
      <c r="L272" s="190">
        <f>IF($J272=1,INDEX('큐펫&amp;몹 정리(최신)'!Q:Q,MATCH($E272,'큐펫&amp;몹 정리(최신)'!$B:$B,0))*20,IF($J272=2,INDEX('큐펫&amp;몹 정리(최신)'!Q:Q,MATCH($E272,'큐펫&amp;몹 정리(최신)'!$B:$B,0))*25,IF($J272=3,INDEX('큐펫&amp;몹 정리(최신)'!Q:Q,MATCH($E272,'큐펫&amp;몹 정리(최신)'!$B:$B,0))*30,IF($J272=4,INDEX('큐펫&amp;몹 정리(최신)'!Q:Q,MATCH($E272,'큐펫&amp;몹 정리(최신)'!$B:$B,0))*35,INDEX('큐펫&amp;몹 정리(최신)'!Q:Q,MATCH($E272,'큐펫&amp;몹 정리(최신)'!$B:$B,0))*40))))</f>
        <v>80</v>
      </c>
      <c r="M272" s="190">
        <f>IF($J272=1,INDEX('큐펫&amp;몹 정리(최신)'!R:R,MATCH($E272,'큐펫&amp;몹 정리(최신)'!$B:$B,0))*20,IF($J272=2,INDEX('큐펫&amp;몹 정리(최신)'!R:R,MATCH($E272,'큐펫&amp;몹 정리(최신)'!$B:$B,0))*25,IF($J272=3,INDEX('큐펫&amp;몹 정리(최신)'!R:R,MATCH($E272,'큐펫&amp;몹 정리(최신)'!$B:$B,0))*30,IF($J272=4,INDEX('큐펫&amp;몹 정리(최신)'!R:R,MATCH($E272,'큐펫&amp;몹 정리(최신)'!$B:$B,0))*35,INDEX('큐펫&amp;몹 정리(최신)'!R:R,MATCH($E272,'큐펫&amp;몹 정리(최신)'!$B:$B,0))*40))))</f>
        <v>420</v>
      </c>
      <c r="N272" s="190">
        <f>IF($J272=1,INDEX('큐펫&amp;몹 정리(최신)'!S:S,MATCH($E272,'큐펫&amp;몹 정리(최신)'!$B:$B,0))*20,IF($J272=2,INDEX('큐펫&amp;몹 정리(최신)'!S:S,MATCH($E272,'큐펫&amp;몹 정리(최신)'!$B:$B,0))*25,IF($J272=3,INDEX('큐펫&amp;몹 정리(최신)'!S:S,MATCH($E272,'큐펫&amp;몹 정리(최신)'!$B:$B,0))*30,IF($J272=4,INDEX('큐펫&amp;몹 정리(최신)'!S:S,MATCH($E272,'큐펫&amp;몹 정리(최신)'!$B:$B,0))*35,INDEX('큐펫&amp;몹 정리(최신)'!S:S,MATCH($E272,'큐펫&amp;몹 정리(최신)'!$B:$B,0))*40))))</f>
        <v>340</v>
      </c>
      <c r="O272" s="190">
        <f>IF($J272=1,INDEX('큐펫&amp;몹 정리(최신)'!T:T,MATCH($E272,'큐펫&amp;몹 정리(최신)'!$B:$B,0))*20,IF($J272=2,INDEX('큐펫&amp;몹 정리(최신)'!T:T,MATCH($E272,'큐펫&amp;몹 정리(최신)'!$B:$B,0))*25,IF($J272=3,INDEX('큐펫&amp;몹 정리(최신)'!T:T,MATCH($E272,'큐펫&amp;몹 정리(최신)'!$B:$B,0))*30,IF($J272=4,INDEX('큐펫&amp;몹 정리(최신)'!T:T,MATCH($E272,'큐펫&amp;몹 정리(최신)'!$B:$B,0))*35,INDEX('큐펫&amp;몹 정리(최신)'!T:T,MATCH($E272,'큐펫&amp;몹 정리(최신)'!$B:$B,0))*40))))</f>
        <v>400</v>
      </c>
      <c r="P272" s="217">
        <v>20</v>
      </c>
      <c r="Q272" s="217">
        <f t="shared" si="32"/>
        <v>25536</v>
      </c>
      <c r="R272" s="217">
        <f t="shared" si="33"/>
        <v>418</v>
      </c>
      <c r="S272" s="217">
        <f t="shared" si="34"/>
        <v>704</v>
      </c>
      <c r="T272" s="217">
        <f t="shared" si="35"/>
        <v>4944</v>
      </c>
      <c r="U272" s="217">
        <f t="shared" si="36"/>
        <v>10717</v>
      </c>
      <c r="V272" s="217">
        <f t="shared" si="37"/>
        <v>6334</v>
      </c>
      <c r="W272" s="217">
        <f>ROUND(AC272+(INDEX(Ref!B$1:B$9,MATCH($AI272,Ref!$A$1:$A$9,0))*P272*0.0001),)</f>
        <v>21</v>
      </c>
      <c r="X272" s="217">
        <f>ROUND(AD272+(INDEX(Ref!C$1:C$9,MATCH($AI272,Ref!$A$1:$A$9,0))*$P272*0.0001),)</f>
        <v>26</v>
      </c>
      <c r="Y272" s="217">
        <f>ROUND(AE272+(INDEX(Ref!D$1:D$9,MATCH($AI272,Ref!$A$1:$A$9,0))*$P272*0.0001),)</f>
        <v>43</v>
      </c>
      <c r="Z272" s="217">
        <f>ROUND(AF272+(INDEX(Ref!E$1:E$9,MATCH($AI272,Ref!$A$1:$A$9,0))*$P272*0.0001),)</f>
        <v>34</v>
      </c>
      <c r="AA272" s="217">
        <f>ROUND(AG272+(INDEX(Ref!F$1:F$9,MATCH($AI272,Ref!$A$1:$A$9,0))*$P272*0.0001),)</f>
        <v>28</v>
      </c>
      <c r="AB272" s="217">
        <f>ROUND(AH272+(INDEX(Ref!G$1:G$9,MATCH($AI272,Ref!$A$1:$A$9,0))*$P272*0.0001),)</f>
        <v>32</v>
      </c>
      <c r="AC272" s="137">
        <v>18</v>
      </c>
      <c r="AD272" s="137">
        <v>23</v>
      </c>
      <c r="AE272" s="137">
        <v>40</v>
      </c>
      <c r="AF272" s="137">
        <v>30</v>
      </c>
      <c r="AG272" s="137">
        <v>25</v>
      </c>
      <c r="AH272" s="137">
        <v>28</v>
      </c>
      <c r="AI272" s="208">
        <v>8</v>
      </c>
      <c r="AJ272" s="172">
        <v>3000</v>
      </c>
      <c r="AK272" s="172">
        <v>30325</v>
      </c>
      <c r="AL272" s="172">
        <v>2000</v>
      </c>
      <c r="AM272" s="172">
        <v>30328</v>
      </c>
      <c r="AN272" s="172">
        <v>0</v>
      </c>
      <c r="AO272" s="172">
        <f t="shared" si="38"/>
        <v>34325</v>
      </c>
      <c r="AP272" s="172">
        <v>0</v>
      </c>
      <c r="AQ272" s="172">
        <f t="shared" si="39"/>
        <v>34328</v>
      </c>
      <c r="AR272" s="172">
        <v>1</v>
      </c>
      <c r="AS272" s="172">
        <v>0</v>
      </c>
      <c r="AT272" s="199">
        <v>78055</v>
      </c>
      <c r="AU272" s="195" t="s">
        <v>236</v>
      </c>
    </row>
    <row r="273" spans="1:47" x14ac:dyDescent="0.2">
      <c r="A273" s="173">
        <v>55055</v>
      </c>
      <c r="B273" s="174" t="s">
        <v>234</v>
      </c>
      <c r="C273" s="172">
        <v>86055</v>
      </c>
      <c r="D273" s="172">
        <v>150055</v>
      </c>
      <c r="E273" s="206" t="s">
        <v>235</v>
      </c>
      <c r="F273" s="207">
        <v>5</v>
      </c>
      <c r="G273" s="172">
        <v>8500</v>
      </c>
      <c r="H273" s="172">
        <v>8500</v>
      </c>
      <c r="I273" s="172">
        <v>10000</v>
      </c>
      <c r="J273" s="172">
        <v>2</v>
      </c>
      <c r="K273" s="190">
        <f>IF($J273=1,INDEX('큐펫&amp;몹 정리(최신)'!P:P,MATCH($E273,'큐펫&amp;몹 정리(최신)'!$B:$B,0))*20,IF($J273=2,INDEX('큐펫&amp;몹 정리(최신)'!P:P,MATCH($E273,'큐펫&amp;몹 정리(최신)'!$B:$B,0))*25,IF($J273=3,INDEX('큐펫&amp;몹 정리(최신)'!P:P,MATCH($E273,'큐펫&amp;몹 정리(최신)'!$B:$B,0))*30,IF($J273=4,INDEX('큐펫&amp;몹 정리(최신)'!P:P,MATCH($E273,'큐펫&amp;몹 정리(최신)'!$B:$B,0))*35,INDEX('큐펫&amp;몹 정리(최신)'!P:P,MATCH($E273,'큐펫&amp;몹 정리(최신)'!$B:$B,0))*40))))</f>
        <v>950</v>
      </c>
      <c r="L273" s="190">
        <f>IF($J273=1,INDEX('큐펫&amp;몹 정리(최신)'!Q:Q,MATCH($E273,'큐펫&amp;몹 정리(최신)'!$B:$B,0))*20,IF($J273=2,INDEX('큐펫&amp;몹 정리(최신)'!Q:Q,MATCH($E273,'큐펫&amp;몹 정리(최신)'!$B:$B,0))*25,IF($J273=3,INDEX('큐펫&amp;몹 정리(최신)'!Q:Q,MATCH($E273,'큐펫&amp;몹 정리(최신)'!$B:$B,0))*30,IF($J273=4,INDEX('큐펫&amp;몹 정리(최신)'!Q:Q,MATCH($E273,'큐펫&amp;몹 정리(최신)'!$B:$B,0))*35,INDEX('큐펫&amp;몹 정리(최신)'!Q:Q,MATCH($E273,'큐펫&amp;몹 정리(최신)'!$B:$B,0))*40))))</f>
        <v>100</v>
      </c>
      <c r="M273" s="190">
        <f>IF($J273=1,INDEX('큐펫&amp;몹 정리(최신)'!R:R,MATCH($E273,'큐펫&amp;몹 정리(최신)'!$B:$B,0))*20,IF($J273=2,INDEX('큐펫&amp;몹 정리(최신)'!R:R,MATCH($E273,'큐펫&amp;몹 정리(최신)'!$B:$B,0))*25,IF($J273=3,INDEX('큐펫&amp;몹 정리(최신)'!R:R,MATCH($E273,'큐펫&amp;몹 정리(최신)'!$B:$B,0))*30,IF($J273=4,INDEX('큐펫&amp;몹 정리(최신)'!R:R,MATCH($E273,'큐펫&amp;몹 정리(최신)'!$B:$B,0))*35,INDEX('큐펫&amp;몹 정리(최신)'!R:R,MATCH($E273,'큐펫&amp;몹 정리(최신)'!$B:$B,0))*40))))</f>
        <v>525</v>
      </c>
      <c r="N273" s="190">
        <f>IF($J273=1,INDEX('큐펫&amp;몹 정리(최신)'!S:S,MATCH($E273,'큐펫&amp;몹 정리(최신)'!$B:$B,0))*20,IF($J273=2,INDEX('큐펫&amp;몹 정리(최신)'!S:S,MATCH($E273,'큐펫&amp;몹 정리(최신)'!$B:$B,0))*25,IF($J273=3,INDEX('큐펫&amp;몹 정리(최신)'!S:S,MATCH($E273,'큐펫&amp;몹 정리(최신)'!$B:$B,0))*30,IF($J273=4,INDEX('큐펫&amp;몹 정리(최신)'!S:S,MATCH($E273,'큐펫&amp;몹 정리(최신)'!$B:$B,0))*35,INDEX('큐펫&amp;몹 정리(최신)'!S:S,MATCH($E273,'큐펫&amp;몹 정리(최신)'!$B:$B,0))*40))))</f>
        <v>425</v>
      </c>
      <c r="O273" s="190">
        <f>IF($J273=1,INDEX('큐펫&amp;몹 정리(최신)'!T:T,MATCH($E273,'큐펫&amp;몹 정리(최신)'!$B:$B,0))*20,IF($J273=2,INDEX('큐펫&amp;몹 정리(최신)'!T:T,MATCH($E273,'큐펫&amp;몹 정리(최신)'!$B:$B,0))*25,IF($J273=3,INDEX('큐펫&amp;몹 정리(최신)'!T:T,MATCH($E273,'큐펫&amp;몹 정리(최신)'!$B:$B,0))*30,IF($J273=4,INDEX('큐펫&amp;몹 정리(최신)'!T:T,MATCH($E273,'큐펫&amp;몹 정리(최신)'!$B:$B,0))*35,INDEX('큐펫&amp;몹 정리(최신)'!T:T,MATCH($E273,'큐펫&amp;몹 정리(최신)'!$B:$B,0))*40))))</f>
        <v>500</v>
      </c>
      <c r="P273" s="217">
        <v>40</v>
      </c>
      <c r="Q273" s="217">
        <f t="shared" si="32"/>
        <v>61320</v>
      </c>
      <c r="R273" s="217">
        <f t="shared" si="33"/>
        <v>764</v>
      </c>
      <c r="S273" s="217">
        <f t="shared" si="34"/>
        <v>1329</v>
      </c>
      <c r="T273" s="217">
        <f t="shared" si="35"/>
        <v>9379</v>
      </c>
      <c r="U273" s="217">
        <f t="shared" si="36"/>
        <v>18921</v>
      </c>
      <c r="V273" s="217">
        <f t="shared" si="37"/>
        <v>11167</v>
      </c>
      <c r="W273" s="217">
        <f>ROUND(AC273+(INDEX(Ref!B$1:B$9,MATCH($AI273,Ref!$A$1:$A$9,0))*P273*0.0001),)</f>
        <v>26</v>
      </c>
      <c r="X273" s="217">
        <f>ROUND(AD273+(INDEX(Ref!C$1:C$9,MATCH($AI273,Ref!$A$1:$A$9,0))*$P273*0.0001),)</f>
        <v>32</v>
      </c>
      <c r="Y273" s="217">
        <f>ROUND(AE273+(INDEX(Ref!D$1:D$9,MATCH($AI273,Ref!$A$1:$A$9,0))*$P273*0.0001),)</f>
        <v>49</v>
      </c>
      <c r="Z273" s="217">
        <f>ROUND(AF273+(INDEX(Ref!E$1:E$9,MATCH($AI273,Ref!$A$1:$A$9,0))*$P273*0.0001),)</f>
        <v>42</v>
      </c>
      <c r="AA273" s="217">
        <f>ROUND(AG273+(INDEX(Ref!F$1:F$9,MATCH($AI273,Ref!$A$1:$A$9,0))*$P273*0.0001),)</f>
        <v>35</v>
      </c>
      <c r="AB273" s="217">
        <f>ROUND(AH273+(INDEX(Ref!G$1:G$9,MATCH($AI273,Ref!$A$1:$A$9,0))*$P273*0.0001),)</f>
        <v>40</v>
      </c>
      <c r="AC273" s="137">
        <v>21</v>
      </c>
      <c r="AD273" s="137">
        <v>26</v>
      </c>
      <c r="AE273" s="137">
        <v>43</v>
      </c>
      <c r="AF273" s="137">
        <v>34</v>
      </c>
      <c r="AG273" s="137">
        <v>28</v>
      </c>
      <c r="AH273" s="137">
        <v>32</v>
      </c>
      <c r="AI273" s="208">
        <v>8</v>
      </c>
      <c r="AJ273" s="172">
        <v>3000</v>
      </c>
      <c r="AK273" s="172">
        <v>30326</v>
      </c>
      <c r="AL273" s="172">
        <v>2000</v>
      </c>
      <c r="AM273" s="172">
        <v>30328</v>
      </c>
      <c r="AN273" s="172">
        <v>0</v>
      </c>
      <c r="AO273" s="172">
        <f t="shared" si="38"/>
        <v>34326</v>
      </c>
      <c r="AP273" s="172">
        <v>0</v>
      </c>
      <c r="AQ273" s="172">
        <f t="shared" si="39"/>
        <v>34328</v>
      </c>
      <c r="AR273" s="172">
        <v>1</v>
      </c>
      <c r="AS273" s="172">
        <v>0</v>
      </c>
      <c r="AT273" s="199">
        <v>78055</v>
      </c>
      <c r="AU273" s="195" t="s">
        <v>236</v>
      </c>
    </row>
    <row r="274" spans="1:47" x14ac:dyDescent="0.2">
      <c r="A274" s="173">
        <v>55055</v>
      </c>
      <c r="B274" s="174" t="s">
        <v>234</v>
      </c>
      <c r="C274" s="172">
        <v>86055</v>
      </c>
      <c r="D274" s="172">
        <v>150055</v>
      </c>
      <c r="E274" s="206" t="s">
        <v>235</v>
      </c>
      <c r="F274" s="207">
        <v>5</v>
      </c>
      <c r="G274" s="172">
        <v>8500</v>
      </c>
      <c r="H274" s="172">
        <v>8500</v>
      </c>
      <c r="I274" s="172">
        <v>10000</v>
      </c>
      <c r="J274" s="172">
        <v>3</v>
      </c>
      <c r="K274" s="190">
        <f>IF($J274=1,INDEX('큐펫&amp;몹 정리(최신)'!P:P,MATCH($E274,'큐펫&amp;몹 정리(최신)'!$B:$B,0))*20,IF($J274=2,INDEX('큐펫&amp;몹 정리(최신)'!P:P,MATCH($E274,'큐펫&amp;몹 정리(최신)'!$B:$B,0))*25,IF($J274=3,INDEX('큐펫&amp;몹 정리(최신)'!P:P,MATCH($E274,'큐펫&amp;몹 정리(최신)'!$B:$B,0))*30,IF($J274=4,INDEX('큐펫&amp;몹 정리(최신)'!P:P,MATCH($E274,'큐펫&amp;몹 정리(최신)'!$B:$B,0))*35,INDEX('큐펫&amp;몹 정리(최신)'!P:P,MATCH($E274,'큐펫&amp;몹 정리(최신)'!$B:$B,0))*40))))</f>
        <v>1140</v>
      </c>
      <c r="L274" s="190">
        <f>IF($J274=1,INDEX('큐펫&amp;몹 정리(최신)'!Q:Q,MATCH($E274,'큐펫&amp;몹 정리(최신)'!$B:$B,0))*20,IF($J274=2,INDEX('큐펫&amp;몹 정리(최신)'!Q:Q,MATCH($E274,'큐펫&amp;몹 정리(최신)'!$B:$B,0))*25,IF($J274=3,INDEX('큐펫&amp;몹 정리(최신)'!Q:Q,MATCH($E274,'큐펫&amp;몹 정리(최신)'!$B:$B,0))*30,IF($J274=4,INDEX('큐펫&amp;몹 정리(최신)'!Q:Q,MATCH($E274,'큐펫&amp;몹 정리(최신)'!$B:$B,0))*35,INDEX('큐펫&amp;몹 정리(최신)'!Q:Q,MATCH($E274,'큐펫&amp;몹 정리(최신)'!$B:$B,0))*40))))</f>
        <v>120</v>
      </c>
      <c r="M274" s="190">
        <f>IF($J274=1,INDEX('큐펫&amp;몹 정리(최신)'!R:R,MATCH($E274,'큐펫&amp;몹 정리(최신)'!$B:$B,0))*20,IF($J274=2,INDEX('큐펫&amp;몹 정리(최신)'!R:R,MATCH($E274,'큐펫&amp;몹 정리(최신)'!$B:$B,0))*25,IF($J274=3,INDEX('큐펫&amp;몹 정리(최신)'!R:R,MATCH($E274,'큐펫&amp;몹 정리(최신)'!$B:$B,0))*30,IF($J274=4,INDEX('큐펫&amp;몹 정리(최신)'!R:R,MATCH($E274,'큐펫&amp;몹 정리(최신)'!$B:$B,0))*35,INDEX('큐펫&amp;몹 정리(최신)'!R:R,MATCH($E274,'큐펫&amp;몹 정리(최신)'!$B:$B,0))*40))))</f>
        <v>630</v>
      </c>
      <c r="N274" s="190">
        <f>IF($J274=1,INDEX('큐펫&amp;몹 정리(최신)'!S:S,MATCH($E274,'큐펫&amp;몹 정리(최신)'!$B:$B,0))*20,IF($J274=2,INDEX('큐펫&amp;몹 정리(최신)'!S:S,MATCH($E274,'큐펫&amp;몹 정리(최신)'!$B:$B,0))*25,IF($J274=3,INDEX('큐펫&amp;몹 정리(최신)'!S:S,MATCH($E274,'큐펫&amp;몹 정리(최신)'!$B:$B,0))*30,IF($J274=4,INDEX('큐펫&amp;몹 정리(최신)'!S:S,MATCH($E274,'큐펫&amp;몹 정리(최신)'!$B:$B,0))*35,INDEX('큐펫&amp;몹 정리(최신)'!S:S,MATCH($E274,'큐펫&amp;몹 정리(최신)'!$B:$B,0))*40))))</f>
        <v>510</v>
      </c>
      <c r="O274" s="190">
        <f>IF($J274=1,INDEX('큐펫&amp;몹 정리(최신)'!T:T,MATCH($E274,'큐펫&amp;몹 정리(최신)'!$B:$B,0))*20,IF($J274=2,INDEX('큐펫&amp;몹 정리(최신)'!T:T,MATCH($E274,'큐펫&amp;몹 정리(최신)'!$B:$B,0))*25,IF($J274=3,INDEX('큐펫&amp;몹 정리(최신)'!T:T,MATCH($E274,'큐펫&amp;몹 정리(최신)'!$B:$B,0))*30,IF($J274=4,INDEX('큐펫&amp;몹 정리(최신)'!T:T,MATCH($E274,'큐펫&amp;몹 정리(최신)'!$B:$B,0))*35,INDEX('큐펫&amp;몹 정리(최신)'!T:T,MATCH($E274,'큐펫&amp;몹 정리(최신)'!$B:$B,0))*40))))</f>
        <v>600</v>
      </c>
      <c r="P274" s="217">
        <v>60</v>
      </c>
      <c r="Q274" s="217">
        <f t="shared" si="32"/>
        <v>111036</v>
      </c>
      <c r="R274" s="217">
        <f t="shared" si="33"/>
        <v>1265</v>
      </c>
      <c r="S274" s="217">
        <f t="shared" si="34"/>
        <v>2247</v>
      </c>
      <c r="T274" s="217">
        <f t="shared" si="35"/>
        <v>15897</v>
      </c>
      <c r="U274" s="217">
        <f t="shared" si="36"/>
        <v>29081</v>
      </c>
      <c r="V274" s="217">
        <f t="shared" si="37"/>
        <v>17150</v>
      </c>
      <c r="W274" s="217">
        <f>ROUND(AC274+(INDEX(Ref!B$1:B$9,MATCH($AI274,Ref!$A$1:$A$9,0))*P274*0.0001),)</f>
        <v>31</v>
      </c>
      <c r="X274" s="217">
        <f>ROUND(AD274+(INDEX(Ref!C$1:C$9,MATCH($AI274,Ref!$A$1:$A$9,0))*$P274*0.0001),)</f>
        <v>40</v>
      </c>
      <c r="Y274" s="217">
        <f>ROUND(AE274+(INDEX(Ref!D$1:D$9,MATCH($AI274,Ref!$A$1:$A$9,0))*$P274*0.0001),)</f>
        <v>54</v>
      </c>
      <c r="Z274" s="217">
        <f>ROUND(AF274+(INDEX(Ref!E$1:E$9,MATCH($AI274,Ref!$A$1:$A$9,0))*$P274*0.0001),)</f>
        <v>50</v>
      </c>
      <c r="AA274" s="217">
        <f>ROUND(AG274+(INDEX(Ref!F$1:F$9,MATCH($AI274,Ref!$A$1:$A$9,0))*$P274*0.0001),)</f>
        <v>42</v>
      </c>
      <c r="AB274" s="217">
        <f>ROUND(AH274+(INDEX(Ref!G$1:G$9,MATCH($AI274,Ref!$A$1:$A$9,0))*$P274*0.0001),)</f>
        <v>47</v>
      </c>
      <c r="AC274" s="137">
        <v>23</v>
      </c>
      <c r="AD274" s="137">
        <v>30</v>
      </c>
      <c r="AE274" s="137">
        <v>45</v>
      </c>
      <c r="AF274" s="137">
        <v>38</v>
      </c>
      <c r="AG274" s="137">
        <v>32</v>
      </c>
      <c r="AH274" s="137">
        <v>36</v>
      </c>
      <c r="AI274" s="208">
        <v>8</v>
      </c>
      <c r="AJ274" s="172">
        <v>3000</v>
      </c>
      <c r="AK274" s="172">
        <v>30326</v>
      </c>
      <c r="AL274" s="172">
        <v>2000</v>
      </c>
      <c r="AM274" s="172">
        <v>30329</v>
      </c>
      <c r="AN274" s="172">
        <v>0</v>
      </c>
      <c r="AO274" s="172">
        <f t="shared" si="38"/>
        <v>34326</v>
      </c>
      <c r="AP274" s="172">
        <v>0</v>
      </c>
      <c r="AQ274" s="172">
        <f t="shared" si="39"/>
        <v>34329</v>
      </c>
      <c r="AR274" s="172">
        <v>1</v>
      </c>
      <c r="AS274" s="172">
        <v>0</v>
      </c>
      <c r="AT274" s="199">
        <v>78055</v>
      </c>
      <c r="AU274" s="195" t="s">
        <v>236</v>
      </c>
    </row>
    <row r="275" spans="1:47" x14ac:dyDescent="0.2">
      <c r="A275" s="173">
        <v>55055</v>
      </c>
      <c r="B275" s="174" t="s">
        <v>234</v>
      </c>
      <c r="C275" s="172">
        <v>86055</v>
      </c>
      <c r="D275" s="172">
        <v>150055</v>
      </c>
      <c r="E275" s="206" t="s">
        <v>235</v>
      </c>
      <c r="F275" s="207">
        <v>5</v>
      </c>
      <c r="G275" s="172">
        <v>8500</v>
      </c>
      <c r="H275" s="172">
        <v>8500</v>
      </c>
      <c r="I275" s="172">
        <v>10000</v>
      </c>
      <c r="J275" s="172">
        <v>4</v>
      </c>
      <c r="K275" s="190">
        <f>IF($J275=1,INDEX('큐펫&amp;몹 정리(최신)'!P:P,MATCH($E275,'큐펫&amp;몹 정리(최신)'!$B:$B,0))*20,IF($J275=2,INDEX('큐펫&amp;몹 정리(최신)'!P:P,MATCH($E275,'큐펫&amp;몹 정리(최신)'!$B:$B,0))*25,IF($J275=3,INDEX('큐펫&amp;몹 정리(최신)'!P:P,MATCH($E275,'큐펫&amp;몹 정리(최신)'!$B:$B,0))*30,IF($J275=4,INDEX('큐펫&amp;몹 정리(최신)'!P:P,MATCH($E275,'큐펫&amp;몹 정리(최신)'!$B:$B,0))*35,INDEX('큐펫&amp;몹 정리(최신)'!P:P,MATCH($E275,'큐펫&amp;몹 정리(최신)'!$B:$B,0))*40))))</f>
        <v>1330</v>
      </c>
      <c r="L275" s="190">
        <f>IF($J275=1,INDEX('큐펫&amp;몹 정리(최신)'!Q:Q,MATCH($E275,'큐펫&amp;몹 정리(최신)'!$B:$B,0))*20,IF($J275=2,INDEX('큐펫&amp;몹 정리(최신)'!Q:Q,MATCH($E275,'큐펫&amp;몹 정리(최신)'!$B:$B,0))*25,IF($J275=3,INDEX('큐펫&amp;몹 정리(최신)'!Q:Q,MATCH($E275,'큐펫&amp;몹 정리(최신)'!$B:$B,0))*30,IF($J275=4,INDEX('큐펫&amp;몹 정리(최신)'!Q:Q,MATCH($E275,'큐펫&amp;몹 정리(최신)'!$B:$B,0))*35,INDEX('큐펫&amp;몹 정리(최신)'!Q:Q,MATCH($E275,'큐펫&amp;몹 정리(최신)'!$B:$B,0))*40))))</f>
        <v>140</v>
      </c>
      <c r="M275" s="190">
        <f>IF($J275=1,INDEX('큐펫&amp;몹 정리(최신)'!R:R,MATCH($E275,'큐펫&amp;몹 정리(최신)'!$B:$B,0))*20,IF($J275=2,INDEX('큐펫&amp;몹 정리(최신)'!R:R,MATCH($E275,'큐펫&amp;몹 정리(최신)'!$B:$B,0))*25,IF($J275=3,INDEX('큐펫&amp;몹 정리(최신)'!R:R,MATCH($E275,'큐펫&amp;몹 정리(최신)'!$B:$B,0))*30,IF($J275=4,INDEX('큐펫&amp;몹 정리(최신)'!R:R,MATCH($E275,'큐펫&amp;몹 정리(최신)'!$B:$B,0))*35,INDEX('큐펫&amp;몹 정리(최신)'!R:R,MATCH($E275,'큐펫&amp;몹 정리(최신)'!$B:$B,0))*40))))</f>
        <v>735</v>
      </c>
      <c r="N275" s="190">
        <f>IF($J275=1,INDEX('큐펫&amp;몹 정리(최신)'!S:S,MATCH($E275,'큐펫&amp;몹 정리(최신)'!$B:$B,0))*20,IF($J275=2,INDEX('큐펫&amp;몹 정리(최신)'!S:S,MATCH($E275,'큐펫&amp;몹 정리(최신)'!$B:$B,0))*25,IF($J275=3,INDEX('큐펫&amp;몹 정리(최신)'!S:S,MATCH($E275,'큐펫&amp;몹 정리(최신)'!$B:$B,0))*30,IF($J275=4,INDEX('큐펫&amp;몹 정리(최신)'!S:S,MATCH($E275,'큐펫&amp;몹 정리(최신)'!$B:$B,0))*35,INDEX('큐펫&amp;몹 정리(최신)'!S:S,MATCH($E275,'큐펫&amp;몹 정리(최신)'!$B:$B,0))*40))))</f>
        <v>595</v>
      </c>
      <c r="O275" s="190">
        <f>IF($J275=1,INDEX('큐펫&amp;몹 정리(최신)'!T:T,MATCH($E275,'큐펫&amp;몹 정리(최신)'!$B:$B,0))*20,IF($J275=2,INDEX('큐펫&amp;몹 정리(최신)'!T:T,MATCH($E275,'큐펫&amp;몹 정리(최신)'!$B:$B,0))*25,IF($J275=3,INDEX('큐펫&amp;몹 정리(최신)'!T:T,MATCH($E275,'큐펫&amp;몹 정리(최신)'!$B:$B,0))*30,IF($J275=4,INDEX('큐펫&amp;몹 정리(최신)'!T:T,MATCH($E275,'큐펫&amp;몹 정리(최신)'!$B:$B,0))*35,INDEX('큐펫&amp;몹 정리(최신)'!T:T,MATCH($E275,'큐펫&amp;몹 정리(최신)'!$B:$B,0))*40))))</f>
        <v>700</v>
      </c>
      <c r="P275" s="217">
        <v>80</v>
      </c>
      <c r="Q275" s="217">
        <f t="shared" si="32"/>
        <v>177904</v>
      </c>
      <c r="R275" s="217">
        <f t="shared" si="33"/>
        <v>1949</v>
      </c>
      <c r="S275" s="217">
        <f t="shared" si="34"/>
        <v>3519</v>
      </c>
      <c r="T275" s="217">
        <f t="shared" si="35"/>
        <v>24901</v>
      </c>
      <c r="U275" s="217">
        <f t="shared" si="36"/>
        <v>41960</v>
      </c>
      <c r="V275" s="217">
        <f t="shared" si="37"/>
        <v>24733</v>
      </c>
      <c r="W275" s="217">
        <f>ROUND(AC275+(INDEX(Ref!B$1:B$9,MATCH($AI275,Ref!$A$1:$A$9,0))*P275*0.0001),)</f>
        <v>36</v>
      </c>
      <c r="X275" s="217">
        <f>ROUND(AD275+(INDEX(Ref!C$1:C$9,MATCH($AI275,Ref!$A$1:$A$9,0))*$P275*0.0001),)</f>
        <v>46</v>
      </c>
      <c r="Y275" s="217">
        <f>ROUND(AE275+(INDEX(Ref!D$1:D$9,MATCH($AI275,Ref!$A$1:$A$9,0))*$P275*0.0001),)</f>
        <v>61</v>
      </c>
      <c r="Z275" s="217">
        <f>ROUND(AF275+(INDEX(Ref!E$1:E$9,MATCH($AI275,Ref!$A$1:$A$9,0))*$P275*0.0001),)</f>
        <v>58</v>
      </c>
      <c r="AA275" s="217">
        <f>ROUND(AG275+(INDEX(Ref!F$1:F$9,MATCH($AI275,Ref!$A$1:$A$9,0))*$P275*0.0001),)</f>
        <v>49</v>
      </c>
      <c r="AB275" s="217">
        <f>ROUND(AH275+(INDEX(Ref!G$1:G$9,MATCH($AI275,Ref!$A$1:$A$9,0))*$P275*0.0001),)</f>
        <v>54</v>
      </c>
      <c r="AC275" s="137">
        <v>26</v>
      </c>
      <c r="AD275" s="137">
        <v>33</v>
      </c>
      <c r="AE275" s="137">
        <v>49</v>
      </c>
      <c r="AF275" s="137">
        <v>42</v>
      </c>
      <c r="AG275" s="137">
        <v>35</v>
      </c>
      <c r="AH275" s="137">
        <v>39</v>
      </c>
      <c r="AI275" s="208">
        <v>8</v>
      </c>
      <c r="AJ275" s="172">
        <v>3000</v>
      </c>
      <c r="AK275" s="172">
        <v>30327</v>
      </c>
      <c r="AL275" s="172">
        <v>2000</v>
      </c>
      <c r="AM275" s="172">
        <v>30329</v>
      </c>
      <c r="AN275" s="172">
        <v>0</v>
      </c>
      <c r="AO275" s="172">
        <f t="shared" si="38"/>
        <v>34327</v>
      </c>
      <c r="AP275" s="172">
        <v>0</v>
      </c>
      <c r="AQ275" s="172">
        <f t="shared" si="39"/>
        <v>34329</v>
      </c>
      <c r="AR275" s="172">
        <v>1</v>
      </c>
      <c r="AS275" s="172">
        <v>0</v>
      </c>
      <c r="AT275" s="199">
        <v>78055</v>
      </c>
      <c r="AU275" s="195" t="s">
        <v>236</v>
      </c>
    </row>
    <row r="276" spans="1:47" x14ac:dyDescent="0.2">
      <c r="A276" s="173">
        <v>55055</v>
      </c>
      <c r="B276" s="174" t="s">
        <v>234</v>
      </c>
      <c r="C276" s="172">
        <v>86055</v>
      </c>
      <c r="D276" s="172">
        <v>150055</v>
      </c>
      <c r="E276" s="206" t="s">
        <v>235</v>
      </c>
      <c r="F276" s="207">
        <v>5</v>
      </c>
      <c r="G276" s="172">
        <v>8500</v>
      </c>
      <c r="H276" s="172">
        <v>8500</v>
      </c>
      <c r="I276" s="172">
        <v>10000</v>
      </c>
      <c r="J276" s="172">
        <v>5</v>
      </c>
      <c r="K276" s="190">
        <f>IF($J276=1,INDEX('큐펫&amp;몹 정리(최신)'!P:P,MATCH($E276,'큐펫&amp;몹 정리(최신)'!$B:$B,0))*20,IF($J276=2,INDEX('큐펫&amp;몹 정리(최신)'!P:P,MATCH($E276,'큐펫&amp;몹 정리(최신)'!$B:$B,0))*25,IF($J276=3,INDEX('큐펫&amp;몹 정리(최신)'!P:P,MATCH($E276,'큐펫&amp;몹 정리(최신)'!$B:$B,0))*30,IF($J276=4,INDEX('큐펫&amp;몹 정리(최신)'!P:P,MATCH($E276,'큐펫&amp;몹 정리(최신)'!$B:$B,0))*35,INDEX('큐펫&amp;몹 정리(최신)'!P:P,MATCH($E276,'큐펫&amp;몹 정리(최신)'!$B:$B,0))*40))))</f>
        <v>1520</v>
      </c>
      <c r="L276" s="190">
        <f>IF($J276=1,INDEX('큐펫&amp;몹 정리(최신)'!Q:Q,MATCH($E276,'큐펫&amp;몹 정리(최신)'!$B:$B,0))*20,IF($J276=2,INDEX('큐펫&amp;몹 정리(최신)'!Q:Q,MATCH($E276,'큐펫&amp;몹 정리(최신)'!$B:$B,0))*25,IF($J276=3,INDEX('큐펫&amp;몹 정리(최신)'!Q:Q,MATCH($E276,'큐펫&amp;몹 정리(최신)'!$B:$B,0))*30,IF($J276=4,INDEX('큐펫&amp;몹 정리(최신)'!Q:Q,MATCH($E276,'큐펫&amp;몹 정리(최신)'!$B:$B,0))*35,INDEX('큐펫&amp;몹 정리(최신)'!Q:Q,MATCH($E276,'큐펫&amp;몹 정리(최신)'!$B:$B,0))*40))))</f>
        <v>160</v>
      </c>
      <c r="M276" s="190">
        <f>IF($J276=1,INDEX('큐펫&amp;몹 정리(최신)'!R:R,MATCH($E276,'큐펫&amp;몹 정리(최신)'!$B:$B,0))*20,IF($J276=2,INDEX('큐펫&amp;몹 정리(최신)'!R:R,MATCH($E276,'큐펫&amp;몹 정리(최신)'!$B:$B,0))*25,IF($J276=3,INDEX('큐펫&amp;몹 정리(최신)'!R:R,MATCH($E276,'큐펫&amp;몹 정리(최신)'!$B:$B,0))*30,IF($J276=4,INDEX('큐펫&amp;몹 정리(최신)'!R:R,MATCH($E276,'큐펫&amp;몹 정리(최신)'!$B:$B,0))*35,INDEX('큐펫&amp;몹 정리(최신)'!R:R,MATCH($E276,'큐펫&amp;몹 정리(최신)'!$B:$B,0))*40))))</f>
        <v>840</v>
      </c>
      <c r="N276" s="190">
        <f>IF($J276=1,INDEX('큐펫&amp;몹 정리(최신)'!S:S,MATCH($E276,'큐펫&amp;몹 정리(최신)'!$B:$B,0))*20,IF($J276=2,INDEX('큐펫&amp;몹 정리(최신)'!S:S,MATCH($E276,'큐펫&amp;몹 정리(최신)'!$B:$B,0))*25,IF($J276=3,INDEX('큐펫&amp;몹 정리(최신)'!S:S,MATCH($E276,'큐펫&amp;몹 정리(최신)'!$B:$B,0))*30,IF($J276=4,INDEX('큐펫&amp;몹 정리(최신)'!S:S,MATCH($E276,'큐펫&amp;몹 정리(최신)'!$B:$B,0))*35,INDEX('큐펫&amp;몹 정리(최신)'!S:S,MATCH($E276,'큐펫&amp;몹 정리(최신)'!$B:$B,0))*40))))</f>
        <v>680</v>
      </c>
      <c r="O276" s="190">
        <f>IF($J276=1,INDEX('큐펫&amp;몹 정리(최신)'!T:T,MATCH($E276,'큐펫&amp;몹 정리(최신)'!$B:$B,0))*20,IF($J276=2,INDEX('큐펫&amp;몹 정리(최신)'!T:T,MATCH($E276,'큐펫&amp;몹 정리(최신)'!$B:$B,0))*25,IF($J276=3,INDEX('큐펫&amp;몹 정리(최신)'!T:T,MATCH($E276,'큐펫&amp;몹 정리(최신)'!$B:$B,0))*30,IF($J276=4,INDEX('큐펫&amp;몹 정리(최신)'!T:T,MATCH($E276,'큐펫&amp;몹 정리(최신)'!$B:$B,0))*35,INDEX('큐펫&amp;몹 정리(최신)'!T:T,MATCH($E276,'큐펫&amp;몹 정리(최신)'!$B:$B,0))*40))))</f>
        <v>800</v>
      </c>
      <c r="P276" s="217">
        <v>100</v>
      </c>
      <c r="Q276" s="217">
        <f t="shared" si="32"/>
        <v>259920</v>
      </c>
      <c r="R276" s="217">
        <f t="shared" si="33"/>
        <v>2982</v>
      </c>
      <c r="S276" s="217">
        <f t="shared" si="34"/>
        <v>5202</v>
      </c>
      <c r="T276" s="217">
        <f t="shared" si="35"/>
        <v>36794</v>
      </c>
      <c r="U276" s="217">
        <f t="shared" si="36"/>
        <v>56455</v>
      </c>
      <c r="V276" s="217">
        <f t="shared" si="37"/>
        <v>33266</v>
      </c>
      <c r="W276" s="217">
        <f>ROUND(AC276+(INDEX(Ref!B$1:B$9,MATCH($AI276,Ref!$A$1:$A$9,0))*P276*0.0001),)</f>
        <v>42</v>
      </c>
      <c r="X276" s="217">
        <f>ROUND(AD276+(INDEX(Ref!C$1:C$9,MATCH($AI276,Ref!$A$1:$A$9,0))*$P276*0.0001),)</f>
        <v>52</v>
      </c>
      <c r="Y276" s="217">
        <f>ROUND(AE276+(INDEX(Ref!D$1:D$9,MATCH($AI276,Ref!$A$1:$A$9,0))*$P276*0.0001),)</f>
        <v>66</v>
      </c>
      <c r="Z276" s="217">
        <f>ROUND(AF276+(INDEX(Ref!E$1:E$9,MATCH($AI276,Ref!$A$1:$A$9,0))*$P276*0.0001),)</f>
        <v>66</v>
      </c>
      <c r="AA276" s="217">
        <f>ROUND(AG276+(INDEX(Ref!F$1:F$9,MATCH($AI276,Ref!$A$1:$A$9,0))*$P276*0.0001),)</f>
        <v>56</v>
      </c>
      <c r="AB276" s="217">
        <f>ROUND(AH276+(INDEX(Ref!G$1:G$9,MATCH($AI276,Ref!$A$1:$A$9,0))*$P276*0.0001),)</f>
        <v>62</v>
      </c>
      <c r="AC276" s="137">
        <v>29</v>
      </c>
      <c r="AD276" s="137">
        <v>36</v>
      </c>
      <c r="AE276" s="137">
        <v>51</v>
      </c>
      <c r="AF276" s="137">
        <v>46</v>
      </c>
      <c r="AG276" s="137">
        <v>39</v>
      </c>
      <c r="AH276" s="137">
        <v>43</v>
      </c>
      <c r="AI276" s="208">
        <v>8</v>
      </c>
      <c r="AJ276" s="172">
        <v>3000</v>
      </c>
      <c r="AK276" s="172">
        <v>30327</v>
      </c>
      <c r="AL276" s="172">
        <v>2000</v>
      </c>
      <c r="AM276" s="172">
        <v>30330</v>
      </c>
      <c r="AN276" s="172">
        <v>0</v>
      </c>
      <c r="AO276" s="172">
        <f t="shared" si="38"/>
        <v>34327</v>
      </c>
      <c r="AP276" s="172">
        <v>0</v>
      </c>
      <c r="AQ276" s="172">
        <f t="shared" si="39"/>
        <v>34330</v>
      </c>
      <c r="AR276" s="172">
        <v>1</v>
      </c>
      <c r="AS276" s="172">
        <v>0</v>
      </c>
      <c r="AT276" s="199">
        <v>78055</v>
      </c>
      <c r="AU276" s="195" t="s">
        <v>236</v>
      </c>
    </row>
    <row r="277" spans="1:47" x14ac:dyDescent="0.2">
      <c r="A277" s="173">
        <v>55056</v>
      </c>
      <c r="B277" s="174" t="s">
        <v>237</v>
      </c>
      <c r="C277" s="172">
        <v>86056</v>
      </c>
      <c r="D277" s="172">
        <v>150056</v>
      </c>
      <c r="E277" s="206" t="s">
        <v>238</v>
      </c>
      <c r="F277" s="207">
        <v>3</v>
      </c>
      <c r="G277" s="172">
        <v>10000</v>
      </c>
      <c r="H277" s="172">
        <v>10000</v>
      </c>
      <c r="I277" s="172">
        <v>10000</v>
      </c>
      <c r="J277" s="172">
        <v>1</v>
      </c>
      <c r="K277" s="190">
        <f>IF($J277=1,INDEX('큐펫&amp;몹 정리(최신)'!P:P,MATCH($E277,'큐펫&amp;몹 정리(최신)'!$B:$B,0))*20,IF($J277=2,INDEX('큐펫&amp;몹 정리(최신)'!P:P,MATCH($E277,'큐펫&amp;몹 정리(최신)'!$B:$B,0))*25,IF($J277=3,INDEX('큐펫&amp;몹 정리(최신)'!P:P,MATCH($E277,'큐펫&amp;몹 정리(최신)'!$B:$B,0))*30,IF($J277=4,INDEX('큐펫&amp;몹 정리(최신)'!P:P,MATCH($E277,'큐펫&amp;몹 정리(최신)'!$B:$B,0))*35,INDEX('큐펫&amp;몹 정리(최신)'!P:P,MATCH($E277,'큐펫&amp;몹 정리(최신)'!$B:$B,0))*40))))</f>
        <v>800</v>
      </c>
      <c r="L277" s="190">
        <f>IF($J277=1,INDEX('큐펫&amp;몹 정리(최신)'!Q:Q,MATCH($E277,'큐펫&amp;몹 정리(최신)'!$B:$B,0))*20,IF($J277=2,INDEX('큐펫&amp;몹 정리(최신)'!Q:Q,MATCH($E277,'큐펫&amp;몹 정리(최신)'!$B:$B,0))*25,IF($J277=3,INDEX('큐펫&amp;몹 정리(최신)'!Q:Q,MATCH($E277,'큐펫&amp;몹 정리(최신)'!$B:$B,0))*30,IF($J277=4,INDEX('큐펫&amp;몹 정리(최신)'!Q:Q,MATCH($E277,'큐펫&amp;몹 정리(최신)'!$B:$B,0))*35,INDEX('큐펫&amp;몹 정리(최신)'!Q:Q,MATCH($E277,'큐펫&amp;몹 정리(최신)'!$B:$B,0))*40))))</f>
        <v>100</v>
      </c>
      <c r="M277" s="190">
        <f>IF($J277=1,INDEX('큐펫&amp;몹 정리(최신)'!R:R,MATCH($E277,'큐펫&amp;몹 정리(최신)'!$B:$B,0))*20,IF($J277=2,INDEX('큐펫&amp;몹 정리(최신)'!R:R,MATCH($E277,'큐펫&amp;몹 정리(최신)'!$B:$B,0))*25,IF($J277=3,INDEX('큐펫&amp;몹 정리(최신)'!R:R,MATCH($E277,'큐펫&amp;몹 정리(최신)'!$B:$B,0))*30,IF($J277=4,INDEX('큐펫&amp;몹 정리(최신)'!R:R,MATCH($E277,'큐펫&amp;몹 정리(최신)'!$B:$B,0))*35,INDEX('큐펫&amp;몹 정리(최신)'!R:R,MATCH($E277,'큐펫&amp;몹 정리(최신)'!$B:$B,0))*40))))</f>
        <v>440</v>
      </c>
      <c r="N277" s="190">
        <f>IF($J277=1,INDEX('큐펫&amp;몹 정리(최신)'!S:S,MATCH($E277,'큐펫&amp;몹 정리(최신)'!$B:$B,0))*20,IF($J277=2,INDEX('큐펫&amp;몹 정리(최신)'!S:S,MATCH($E277,'큐펫&amp;몹 정리(최신)'!$B:$B,0))*25,IF($J277=3,INDEX('큐펫&amp;몹 정리(최신)'!S:S,MATCH($E277,'큐펫&amp;몹 정리(최신)'!$B:$B,0))*30,IF($J277=4,INDEX('큐펫&amp;몹 정리(최신)'!S:S,MATCH($E277,'큐펫&amp;몹 정리(최신)'!$B:$B,0))*35,INDEX('큐펫&amp;몹 정리(최신)'!S:S,MATCH($E277,'큐펫&amp;몹 정리(최신)'!$B:$B,0))*40))))</f>
        <v>240</v>
      </c>
      <c r="O277" s="190">
        <f>IF($J277=1,INDEX('큐펫&amp;몹 정리(최신)'!T:T,MATCH($E277,'큐펫&amp;몹 정리(최신)'!$B:$B,0))*20,IF($J277=2,INDEX('큐펫&amp;몹 정리(최신)'!T:T,MATCH($E277,'큐펫&amp;몹 정리(최신)'!$B:$B,0))*25,IF($J277=3,INDEX('큐펫&amp;몹 정리(최신)'!T:T,MATCH($E277,'큐펫&amp;몹 정리(최신)'!$B:$B,0))*30,IF($J277=4,INDEX('큐펫&amp;몹 정리(최신)'!T:T,MATCH($E277,'큐펫&amp;몹 정리(최신)'!$B:$B,0))*35,INDEX('큐펫&amp;몹 정리(최신)'!T:T,MATCH($E277,'큐펫&amp;몹 정리(최신)'!$B:$B,0))*40))))</f>
        <v>420</v>
      </c>
      <c r="P277" s="217">
        <v>20</v>
      </c>
      <c r="Q277" s="217">
        <f t="shared" si="32"/>
        <v>29440</v>
      </c>
      <c r="R277" s="217">
        <f t="shared" si="33"/>
        <v>695</v>
      </c>
      <c r="S277" s="217">
        <f t="shared" si="34"/>
        <v>860</v>
      </c>
      <c r="T277" s="217">
        <f t="shared" si="35"/>
        <v>4587</v>
      </c>
      <c r="U277" s="217">
        <f t="shared" si="36"/>
        <v>9488</v>
      </c>
      <c r="V277" s="217">
        <f t="shared" si="37"/>
        <v>8327</v>
      </c>
      <c r="W277" s="217">
        <f>ROUND(AC277+(INDEX(Ref!B$1:B$9,MATCH($AI277,Ref!$A$1:$A$9,0))*P277*0.0001),)</f>
        <v>25</v>
      </c>
      <c r="X277" s="217">
        <f>ROUND(AD277+(INDEX(Ref!C$1:C$9,MATCH($AI277,Ref!$A$1:$A$9,0))*$P277*0.0001),)</f>
        <v>21</v>
      </c>
      <c r="Y277" s="217">
        <f>ROUND(AE277+(INDEX(Ref!D$1:D$9,MATCH($AI277,Ref!$A$1:$A$9,0))*$P277*0.0001),)</f>
        <v>59</v>
      </c>
      <c r="Z277" s="217">
        <f>ROUND(AF277+(INDEX(Ref!E$1:E$9,MATCH($AI277,Ref!$A$1:$A$9,0))*$P277*0.0001),)</f>
        <v>32</v>
      </c>
      <c r="AA277" s="217">
        <f>ROUND(AG277+(INDEX(Ref!F$1:F$9,MATCH($AI277,Ref!$A$1:$A$9,0))*$P277*0.0001),)</f>
        <v>28</v>
      </c>
      <c r="AB277" s="217">
        <f>ROUND(AH277+(INDEX(Ref!G$1:G$9,MATCH($AI277,Ref!$A$1:$A$9,0))*$P277*0.0001),)</f>
        <v>19</v>
      </c>
      <c r="AC277" s="137">
        <v>22</v>
      </c>
      <c r="AD277" s="137">
        <v>18</v>
      </c>
      <c r="AE277" s="137">
        <v>54</v>
      </c>
      <c r="AF277" s="137">
        <v>28</v>
      </c>
      <c r="AG277" s="137">
        <v>25</v>
      </c>
      <c r="AH277" s="137">
        <v>17</v>
      </c>
      <c r="AI277" s="208">
        <v>4</v>
      </c>
      <c r="AJ277" s="172">
        <v>3000</v>
      </c>
      <c r="AK277" s="172">
        <v>30331</v>
      </c>
      <c r="AL277" s="172">
        <v>2000</v>
      </c>
      <c r="AM277" s="172">
        <v>30334</v>
      </c>
      <c r="AN277" s="172">
        <v>0</v>
      </c>
      <c r="AO277" s="172">
        <f t="shared" si="38"/>
        <v>34331</v>
      </c>
      <c r="AP277" s="172">
        <v>0</v>
      </c>
      <c r="AQ277" s="172">
        <f t="shared" si="39"/>
        <v>34334</v>
      </c>
      <c r="AR277" s="172">
        <v>1</v>
      </c>
      <c r="AS277" s="172">
        <v>0</v>
      </c>
      <c r="AT277" s="199">
        <v>78056</v>
      </c>
      <c r="AU277" s="195" t="s">
        <v>239</v>
      </c>
    </row>
    <row r="278" spans="1:47" x14ac:dyDescent="0.2">
      <c r="A278" s="173">
        <v>55056</v>
      </c>
      <c r="B278" s="174" t="s">
        <v>237</v>
      </c>
      <c r="C278" s="172">
        <v>86056</v>
      </c>
      <c r="D278" s="172">
        <v>150056</v>
      </c>
      <c r="E278" s="206" t="s">
        <v>238</v>
      </c>
      <c r="F278" s="207">
        <v>3</v>
      </c>
      <c r="G278" s="172">
        <v>10000</v>
      </c>
      <c r="H278" s="172">
        <v>10000</v>
      </c>
      <c r="I278" s="172">
        <v>10000</v>
      </c>
      <c r="J278" s="172">
        <v>2</v>
      </c>
      <c r="K278" s="190">
        <f>IF($J278=1,INDEX('큐펫&amp;몹 정리(최신)'!P:P,MATCH($E278,'큐펫&amp;몹 정리(최신)'!$B:$B,0))*20,IF($J278=2,INDEX('큐펫&amp;몹 정리(최신)'!P:P,MATCH($E278,'큐펫&amp;몹 정리(최신)'!$B:$B,0))*25,IF($J278=3,INDEX('큐펫&amp;몹 정리(최신)'!P:P,MATCH($E278,'큐펫&amp;몹 정리(최신)'!$B:$B,0))*30,IF($J278=4,INDEX('큐펫&amp;몹 정리(최신)'!P:P,MATCH($E278,'큐펫&amp;몹 정리(최신)'!$B:$B,0))*35,INDEX('큐펫&amp;몹 정리(최신)'!P:P,MATCH($E278,'큐펫&amp;몹 정리(최신)'!$B:$B,0))*40))))</f>
        <v>1000</v>
      </c>
      <c r="L278" s="190">
        <f>IF($J278=1,INDEX('큐펫&amp;몹 정리(최신)'!Q:Q,MATCH($E278,'큐펫&amp;몹 정리(최신)'!$B:$B,0))*20,IF($J278=2,INDEX('큐펫&amp;몹 정리(최신)'!Q:Q,MATCH($E278,'큐펫&amp;몹 정리(최신)'!$B:$B,0))*25,IF($J278=3,INDEX('큐펫&amp;몹 정리(최신)'!Q:Q,MATCH($E278,'큐펫&amp;몹 정리(최신)'!$B:$B,0))*30,IF($J278=4,INDEX('큐펫&amp;몹 정리(최신)'!Q:Q,MATCH($E278,'큐펫&amp;몹 정리(최신)'!$B:$B,0))*35,INDEX('큐펫&amp;몹 정리(최신)'!Q:Q,MATCH($E278,'큐펫&amp;몹 정리(최신)'!$B:$B,0))*40))))</f>
        <v>125</v>
      </c>
      <c r="M278" s="190">
        <f>IF($J278=1,INDEX('큐펫&amp;몹 정리(최신)'!R:R,MATCH($E278,'큐펫&amp;몹 정리(최신)'!$B:$B,0))*20,IF($J278=2,INDEX('큐펫&amp;몹 정리(최신)'!R:R,MATCH($E278,'큐펫&amp;몹 정리(최신)'!$B:$B,0))*25,IF($J278=3,INDEX('큐펫&amp;몹 정리(최신)'!R:R,MATCH($E278,'큐펫&amp;몹 정리(최신)'!$B:$B,0))*30,IF($J278=4,INDEX('큐펫&amp;몹 정리(최신)'!R:R,MATCH($E278,'큐펫&amp;몹 정리(최신)'!$B:$B,0))*35,INDEX('큐펫&amp;몹 정리(최신)'!R:R,MATCH($E278,'큐펫&amp;몹 정리(최신)'!$B:$B,0))*40))))</f>
        <v>550</v>
      </c>
      <c r="N278" s="190">
        <f>IF($J278=1,INDEX('큐펫&amp;몹 정리(최신)'!S:S,MATCH($E278,'큐펫&amp;몹 정리(최신)'!$B:$B,0))*20,IF($J278=2,INDEX('큐펫&amp;몹 정리(최신)'!S:S,MATCH($E278,'큐펫&amp;몹 정리(최신)'!$B:$B,0))*25,IF($J278=3,INDEX('큐펫&amp;몹 정리(최신)'!S:S,MATCH($E278,'큐펫&amp;몹 정리(최신)'!$B:$B,0))*30,IF($J278=4,INDEX('큐펫&amp;몹 정리(최신)'!S:S,MATCH($E278,'큐펫&amp;몹 정리(최신)'!$B:$B,0))*35,INDEX('큐펫&amp;몹 정리(최신)'!S:S,MATCH($E278,'큐펫&amp;몹 정리(최신)'!$B:$B,0))*40))))</f>
        <v>300</v>
      </c>
      <c r="O278" s="190">
        <f>IF($J278=1,INDEX('큐펫&amp;몹 정리(최신)'!T:T,MATCH($E278,'큐펫&amp;몹 정리(최신)'!$B:$B,0))*20,IF($J278=2,INDEX('큐펫&amp;몹 정리(최신)'!T:T,MATCH($E278,'큐펫&amp;몹 정리(최신)'!$B:$B,0))*25,IF($J278=3,INDEX('큐펫&amp;몹 정리(최신)'!T:T,MATCH($E278,'큐펫&amp;몹 정리(최신)'!$B:$B,0))*30,IF($J278=4,INDEX('큐펫&amp;몹 정리(최신)'!T:T,MATCH($E278,'큐펫&amp;몹 정리(최신)'!$B:$B,0))*35,INDEX('큐펫&amp;몹 정리(최신)'!T:T,MATCH($E278,'큐펫&amp;몹 정리(최신)'!$B:$B,0))*40))))</f>
        <v>525</v>
      </c>
      <c r="P278" s="217">
        <v>40</v>
      </c>
      <c r="Q278" s="217">
        <f t="shared" si="32"/>
        <v>72600</v>
      </c>
      <c r="R278" s="217">
        <f t="shared" si="33"/>
        <v>1296</v>
      </c>
      <c r="S278" s="217">
        <f t="shared" si="34"/>
        <v>1633</v>
      </c>
      <c r="T278" s="217">
        <f t="shared" si="35"/>
        <v>8910</v>
      </c>
      <c r="U278" s="217">
        <f t="shared" si="36"/>
        <v>16359</v>
      </c>
      <c r="V278" s="217">
        <f t="shared" si="37"/>
        <v>14346</v>
      </c>
      <c r="W278" s="217">
        <f>ROUND(AC278+(INDEX(Ref!B$1:B$9,MATCH($AI278,Ref!$A$1:$A$9,0))*P278*0.0001),)</f>
        <v>31</v>
      </c>
      <c r="X278" s="217">
        <f>ROUND(AD278+(INDEX(Ref!C$1:C$9,MATCH($AI278,Ref!$A$1:$A$9,0))*$P278*0.0001),)</f>
        <v>26</v>
      </c>
      <c r="Y278" s="217">
        <f>ROUND(AE278+(INDEX(Ref!D$1:D$9,MATCH($AI278,Ref!$A$1:$A$9,0))*$P278*0.0001),)</f>
        <v>69</v>
      </c>
      <c r="Z278" s="217">
        <f>ROUND(AF278+(INDEX(Ref!E$1:E$9,MATCH($AI278,Ref!$A$1:$A$9,0))*$P278*0.0001),)</f>
        <v>40</v>
      </c>
      <c r="AA278" s="217">
        <f>ROUND(AG278+(INDEX(Ref!F$1:F$9,MATCH($AI278,Ref!$A$1:$A$9,0))*$P278*0.0001),)</f>
        <v>35</v>
      </c>
      <c r="AB278" s="217">
        <f>ROUND(AH278+(INDEX(Ref!G$1:G$9,MATCH($AI278,Ref!$A$1:$A$9,0))*$P278*0.0001),)</f>
        <v>24</v>
      </c>
      <c r="AC278" s="137">
        <v>25</v>
      </c>
      <c r="AD278" s="137">
        <v>21</v>
      </c>
      <c r="AE278" s="137">
        <v>59</v>
      </c>
      <c r="AF278" s="137">
        <v>32</v>
      </c>
      <c r="AG278" s="137">
        <v>28</v>
      </c>
      <c r="AH278" s="137">
        <v>19</v>
      </c>
      <c r="AI278" s="208">
        <v>4</v>
      </c>
      <c r="AJ278" s="172">
        <v>3000</v>
      </c>
      <c r="AK278" s="172">
        <v>30332</v>
      </c>
      <c r="AL278" s="172">
        <v>2000</v>
      </c>
      <c r="AM278" s="172">
        <v>30334</v>
      </c>
      <c r="AN278" s="172">
        <v>0</v>
      </c>
      <c r="AO278" s="172">
        <f t="shared" si="38"/>
        <v>34332</v>
      </c>
      <c r="AP278" s="172">
        <v>0</v>
      </c>
      <c r="AQ278" s="172">
        <f t="shared" si="39"/>
        <v>34334</v>
      </c>
      <c r="AR278" s="172">
        <v>1</v>
      </c>
      <c r="AS278" s="172">
        <v>0</v>
      </c>
      <c r="AT278" s="199">
        <v>78056</v>
      </c>
      <c r="AU278" s="195" t="s">
        <v>239</v>
      </c>
    </row>
    <row r="279" spans="1:47" x14ac:dyDescent="0.2">
      <c r="A279" s="173">
        <v>55056</v>
      </c>
      <c r="B279" s="174" t="s">
        <v>237</v>
      </c>
      <c r="C279" s="172">
        <v>86056</v>
      </c>
      <c r="D279" s="172">
        <v>150056</v>
      </c>
      <c r="E279" s="206" t="s">
        <v>238</v>
      </c>
      <c r="F279" s="207">
        <v>3</v>
      </c>
      <c r="G279" s="172">
        <v>10000</v>
      </c>
      <c r="H279" s="172">
        <v>10000</v>
      </c>
      <c r="I279" s="172">
        <v>10000</v>
      </c>
      <c r="J279" s="172">
        <v>3</v>
      </c>
      <c r="K279" s="190">
        <f>IF($J279=1,INDEX('큐펫&amp;몹 정리(최신)'!P:P,MATCH($E279,'큐펫&amp;몹 정리(최신)'!$B:$B,0))*20,IF($J279=2,INDEX('큐펫&amp;몹 정리(최신)'!P:P,MATCH($E279,'큐펫&amp;몹 정리(최신)'!$B:$B,0))*25,IF($J279=3,INDEX('큐펫&amp;몹 정리(최신)'!P:P,MATCH($E279,'큐펫&amp;몹 정리(최신)'!$B:$B,0))*30,IF($J279=4,INDEX('큐펫&amp;몹 정리(최신)'!P:P,MATCH($E279,'큐펫&amp;몹 정리(최신)'!$B:$B,0))*35,INDEX('큐펫&amp;몹 정리(최신)'!P:P,MATCH($E279,'큐펫&amp;몹 정리(최신)'!$B:$B,0))*40))))</f>
        <v>1200</v>
      </c>
      <c r="L279" s="190">
        <f>IF($J279=1,INDEX('큐펫&amp;몹 정리(최신)'!Q:Q,MATCH($E279,'큐펫&amp;몹 정리(최신)'!$B:$B,0))*20,IF($J279=2,INDEX('큐펫&amp;몹 정리(최신)'!Q:Q,MATCH($E279,'큐펫&amp;몹 정리(최신)'!$B:$B,0))*25,IF($J279=3,INDEX('큐펫&amp;몹 정리(최신)'!Q:Q,MATCH($E279,'큐펫&amp;몹 정리(최신)'!$B:$B,0))*30,IF($J279=4,INDEX('큐펫&amp;몹 정리(최신)'!Q:Q,MATCH($E279,'큐펫&amp;몹 정리(최신)'!$B:$B,0))*35,INDEX('큐펫&amp;몹 정리(최신)'!Q:Q,MATCH($E279,'큐펫&amp;몹 정리(최신)'!$B:$B,0))*40))))</f>
        <v>150</v>
      </c>
      <c r="M279" s="190">
        <f>IF($J279=1,INDEX('큐펫&amp;몹 정리(최신)'!R:R,MATCH($E279,'큐펫&amp;몹 정리(최신)'!$B:$B,0))*20,IF($J279=2,INDEX('큐펫&amp;몹 정리(최신)'!R:R,MATCH($E279,'큐펫&amp;몹 정리(최신)'!$B:$B,0))*25,IF($J279=3,INDEX('큐펫&amp;몹 정리(최신)'!R:R,MATCH($E279,'큐펫&amp;몹 정리(최신)'!$B:$B,0))*30,IF($J279=4,INDEX('큐펫&amp;몹 정리(최신)'!R:R,MATCH($E279,'큐펫&amp;몹 정리(최신)'!$B:$B,0))*35,INDEX('큐펫&amp;몹 정리(최신)'!R:R,MATCH($E279,'큐펫&amp;몹 정리(최신)'!$B:$B,0))*40))))</f>
        <v>660</v>
      </c>
      <c r="N279" s="190">
        <f>IF($J279=1,INDEX('큐펫&amp;몹 정리(최신)'!S:S,MATCH($E279,'큐펫&amp;몹 정리(최신)'!$B:$B,0))*20,IF($J279=2,INDEX('큐펫&amp;몹 정리(최신)'!S:S,MATCH($E279,'큐펫&amp;몹 정리(최신)'!$B:$B,0))*25,IF($J279=3,INDEX('큐펫&amp;몹 정리(최신)'!S:S,MATCH($E279,'큐펫&amp;몹 정리(최신)'!$B:$B,0))*30,IF($J279=4,INDEX('큐펫&amp;몹 정리(최신)'!S:S,MATCH($E279,'큐펫&amp;몹 정리(최신)'!$B:$B,0))*35,INDEX('큐펫&amp;몹 정리(최신)'!S:S,MATCH($E279,'큐펫&amp;몹 정리(최신)'!$B:$B,0))*40))))</f>
        <v>360</v>
      </c>
      <c r="O279" s="190">
        <f>IF($J279=1,INDEX('큐펫&amp;몹 정리(최신)'!T:T,MATCH($E279,'큐펫&amp;몹 정리(최신)'!$B:$B,0))*20,IF($J279=2,INDEX('큐펫&amp;몹 정리(최신)'!T:T,MATCH($E279,'큐펫&amp;몹 정리(최신)'!$B:$B,0))*25,IF($J279=3,INDEX('큐펫&amp;몹 정리(최신)'!T:T,MATCH($E279,'큐펫&amp;몹 정리(최신)'!$B:$B,0))*30,IF($J279=4,INDEX('큐펫&amp;몹 정리(최신)'!T:T,MATCH($E279,'큐펫&amp;몹 정리(최신)'!$B:$B,0))*35,INDEX('큐펫&amp;몹 정리(최신)'!T:T,MATCH($E279,'큐펫&amp;몹 정리(최신)'!$B:$B,0))*40))))</f>
        <v>630</v>
      </c>
      <c r="P279" s="217">
        <v>60</v>
      </c>
      <c r="Q279" s="217">
        <f t="shared" si="32"/>
        <v>134160</v>
      </c>
      <c r="R279" s="217">
        <f t="shared" si="33"/>
        <v>2062</v>
      </c>
      <c r="S279" s="217">
        <f t="shared" si="34"/>
        <v>2774</v>
      </c>
      <c r="T279" s="217">
        <f t="shared" si="35"/>
        <v>15344</v>
      </c>
      <c r="U279" s="217">
        <f t="shared" si="36"/>
        <v>24852</v>
      </c>
      <c r="V279" s="217">
        <f t="shared" si="37"/>
        <v>21783</v>
      </c>
      <c r="W279" s="217">
        <f>ROUND(AC279+(INDEX(Ref!B$1:B$9,MATCH($AI279,Ref!$A$1:$A$9,0))*P279*0.0001),)</f>
        <v>36</v>
      </c>
      <c r="X279" s="217">
        <f>ROUND(AD279+(INDEX(Ref!C$1:C$9,MATCH($AI279,Ref!$A$1:$A$9,0))*$P279*0.0001),)</f>
        <v>31</v>
      </c>
      <c r="Y279" s="217">
        <f>ROUND(AE279+(INDEX(Ref!D$1:D$9,MATCH($AI279,Ref!$A$1:$A$9,0))*$P279*0.0001),)</f>
        <v>78</v>
      </c>
      <c r="Z279" s="217">
        <f>ROUND(AF279+(INDEX(Ref!E$1:E$9,MATCH($AI279,Ref!$A$1:$A$9,0))*$P279*0.0001),)</f>
        <v>48</v>
      </c>
      <c r="AA279" s="217">
        <f>ROUND(AG279+(INDEX(Ref!F$1:F$9,MATCH($AI279,Ref!$A$1:$A$9,0))*$P279*0.0001),)</f>
        <v>42</v>
      </c>
      <c r="AB279" s="217">
        <f>ROUND(AH279+(INDEX(Ref!G$1:G$9,MATCH($AI279,Ref!$A$1:$A$9,0))*$P279*0.0001),)</f>
        <v>28</v>
      </c>
      <c r="AC279" s="137">
        <v>27</v>
      </c>
      <c r="AD279" s="137">
        <v>23</v>
      </c>
      <c r="AE279" s="137">
        <v>64</v>
      </c>
      <c r="AF279" s="137">
        <v>37</v>
      </c>
      <c r="AG279" s="137">
        <v>32</v>
      </c>
      <c r="AH279" s="137">
        <v>21</v>
      </c>
      <c r="AI279" s="208">
        <v>4</v>
      </c>
      <c r="AJ279" s="172">
        <v>3000</v>
      </c>
      <c r="AK279" s="172">
        <v>30332</v>
      </c>
      <c r="AL279" s="172">
        <v>2000</v>
      </c>
      <c r="AM279" s="172">
        <v>30335</v>
      </c>
      <c r="AN279" s="172">
        <v>0</v>
      </c>
      <c r="AO279" s="172">
        <f t="shared" si="38"/>
        <v>34332</v>
      </c>
      <c r="AP279" s="172">
        <v>0</v>
      </c>
      <c r="AQ279" s="172">
        <f t="shared" si="39"/>
        <v>34335</v>
      </c>
      <c r="AR279" s="172">
        <v>1</v>
      </c>
      <c r="AS279" s="172">
        <v>0</v>
      </c>
      <c r="AT279" s="199">
        <v>78056</v>
      </c>
      <c r="AU279" s="195" t="s">
        <v>239</v>
      </c>
    </row>
    <row r="280" spans="1:47" x14ac:dyDescent="0.2">
      <c r="A280" s="173">
        <v>55056</v>
      </c>
      <c r="B280" s="174" t="s">
        <v>237</v>
      </c>
      <c r="C280" s="172">
        <v>86056</v>
      </c>
      <c r="D280" s="172">
        <v>150056</v>
      </c>
      <c r="E280" s="206" t="s">
        <v>238</v>
      </c>
      <c r="F280" s="207">
        <v>3</v>
      </c>
      <c r="G280" s="172">
        <v>10000</v>
      </c>
      <c r="H280" s="172">
        <v>10000</v>
      </c>
      <c r="I280" s="172">
        <v>10000</v>
      </c>
      <c r="J280" s="172">
        <v>4</v>
      </c>
      <c r="K280" s="190">
        <f>IF($J280=1,INDEX('큐펫&amp;몹 정리(최신)'!P:P,MATCH($E280,'큐펫&amp;몹 정리(최신)'!$B:$B,0))*20,IF($J280=2,INDEX('큐펫&amp;몹 정리(최신)'!P:P,MATCH($E280,'큐펫&amp;몹 정리(최신)'!$B:$B,0))*25,IF($J280=3,INDEX('큐펫&amp;몹 정리(최신)'!P:P,MATCH($E280,'큐펫&amp;몹 정리(최신)'!$B:$B,0))*30,IF($J280=4,INDEX('큐펫&amp;몹 정리(최신)'!P:P,MATCH($E280,'큐펫&amp;몹 정리(최신)'!$B:$B,0))*35,INDEX('큐펫&amp;몹 정리(최신)'!P:P,MATCH($E280,'큐펫&amp;몹 정리(최신)'!$B:$B,0))*40))))</f>
        <v>1400</v>
      </c>
      <c r="L280" s="190">
        <f>IF($J280=1,INDEX('큐펫&amp;몹 정리(최신)'!Q:Q,MATCH($E280,'큐펫&amp;몹 정리(최신)'!$B:$B,0))*20,IF($J280=2,INDEX('큐펫&amp;몹 정리(최신)'!Q:Q,MATCH($E280,'큐펫&amp;몹 정리(최신)'!$B:$B,0))*25,IF($J280=3,INDEX('큐펫&amp;몹 정리(최신)'!Q:Q,MATCH($E280,'큐펫&amp;몹 정리(최신)'!$B:$B,0))*30,IF($J280=4,INDEX('큐펫&amp;몹 정리(최신)'!Q:Q,MATCH($E280,'큐펫&amp;몹 정리(최신)'!$B:$B,0))*35,INDEX('큐펫&amp;몹 정리(최신)'!Q:Q,MATCH($E280,'큐펫&amp;몹 정리(최신)'!$B:$B,0))*40))))</f>
        <v>175</v>
      </c>
      <c r="M280" s="190">
        <f>IF($J280=1,INDEX('큐펫&amp;몹 정리(최신)'!R:R,MATCH($E280,'큐펫&amp;몹 정리(최신)'!$B:$B,0))*20,IF($J280=2,INDEX('큐펫&amp;몹 정리(최신)'!R:R,MATCH($E280,'큐펫&amp;몹 정리(최신)'!$B:$B,0))*25,IF($J280=3,INDEX('큐펫&amp;몹 정리(최신)'!R:R,MATCH($E280,'큐펫&amp;몹 정리(최신)'!$B:$B,0))*30,IF($J280=4,INDEX('큐펫&amp;몹 정리(최신)'!R:R,MATCH($E280,'큐펫&amp;몹 정리(최신)'!$B:$B,0))*35,INDEX('큐펫&amp;몹 정리(최신)'!R:R,MATCH($E280,'큐펫&amp;몹 정리(최신)'!$B:$B,0))*40))))</f>
        <v>770</v>
      </c>
      <c r="N280" s="190">
        <f>IF($J280=1,INDEX('큐펫&amp;몹 정리(최신)'!S:S,MATCH($E280,'큐펫&amp;몹 정리(최신)'!$B:$B,0))*20,IF($J280=2,INDEX('큐펫&amp;몹 정리(최신)'!S:S,MATCH($E280,'큐펫&amp;몹 정리(최신)'!$B:$B,0))*25,IF($J280=3,INDEX('큐펫&amp;몹 정리(최신)'!S:S,MATCH($E280,'큐펫&amp;몹 정리(최신)'!$B:$B,0))*30,IF($J280=4,INDEX('큐펫&amp;몹 정리(최신)'!S:S,MATCH($E280,'큐펫&amp;몹 정리(최신)'!$B:$B,0))*35,INDEX('큐펫&amp;몹 정리(최신)'!S:S,MATCH($E280,'큐펫&amp;몹 정리(최신)'!$B:$B,0))*40))))</f>
        <v>420</v>
      </c>
      <c r="O280" s="190">
        <f>IF($J280=1,INDEX('큐펫&amp;몹 정리(최신)'!T:T,MATCH($E280,'큐펫&amp;몹 정리(최신)'!$B:$B,0))*20,IF($J280=2,INDEX('큐펫&amp;몹 정리(최신)'!T:T,MATCH($E280,'큐펫&amp;몹 정리(최신)'!$B:$B,0))*25,IF($J280=3,INDEX('큐펫&amp;몹 정리(최신)'!T:T,MATCH($E280,'큐펫&amp;몹 정리(최신)'!$B:$B,0))*30,IF($J280=4,INDEX('큐펫&amp;몹 정리(최신)'!T:T,MATCH($E280,'큐펫&amp;몹 정리(최신)'!$B:$B,0))*35,INDEX('큐펫&amp;몹 정리(최신)'!T:T,MATCH($E280,'큐펫&amp;몹 정리(최신)'!$B:$B,0))*40))))</f>
        <v>735</v>
      </c>
      <c r="P280" s="217">
        <v>80</v>
      </c>
      <c r="Q280" s="217">
        <f t="shared" si="32"/>
        <v>217560</v>
      </c>
      <c r="R280" s="217">
        <f t="shared" si="33"/>
        <v>3380</v>
      </c>
      <c r="S280" s="217">
        <f t="shared" si="34"/>
        <v>4357</v>
      </c>
      <c r="T280" s="217">
        <f t="shared" si="35"/>
        <v>22615</v>
      </c>
      <c r="U280" s="217">
        <f t="shared" si="36"/>
        <v>35293</v>
      </c>
      <c r="V280" s="217">
        <f t="shared" si="37"/>
        <v>30924</v>
      </c>
      <c r="W280" s="217">
        <f>ROUND(AC280+(INDEX(Ref!B$1:B$9,MATCH($AI280,Ref!$A$1:$A$9,0))*P280*0.0001),)</f>
        <v>43</v>
      </c>
      <c r="X280" s="217">
        <f>ROUND(AD280+(INDEX(Ref!C$1:C$9,MATCH($AI280,Ref!$A$1:$A$9,0))*$P280*0.0001),)</f>
        <v>36</v>
      </c>
      <c r="Y280" s="217">
        <f>ROUND(AE280+(INDEX(Ref!D$1:D$9,MATCH($AI280,Ref!$A$1:$A$9,0))*$P280*0.0001),)</f>
        <v>88</v>
      </c>
      <c r="Z280" s="217">
        <f>ROUND(AF280+(INDEX(Ref!E$1:E$9,MATCH($AI280,Ref!$A$1:$A$9,0))*$P280*0.0001),)</f>
        <v>54</v>
      </c>
      <c r="AA280" s="217">
        <f>ROUND(AG280+(INDEX(Ref!F$1:F$9,MATCH($AI280,Ref!$A$1:$A$9,0))*$P280*0.0001),)</f>
        <v>49</v>
      </c>
      <c r="AB280" s="217">
        <f>ROUND(AH280+(INDEX(Ref!G$1:G$9,MATCH($AI280,Ref!$A$1:$A$9,0))*$P280*0.0001),)</f>
        <v>34</v>
      </c>
      <c r="AC280" s="137">
        <v>31</v>
      </c>
      <c r="AD280" s="137">
        <v>26</v>
      </c>
      <c r="AE280" s="137">
        <v>69</v>
      </c>
      <c r="AF280" s="137">
        <v>39</v>
      </c>
      <c r="AG280" s="137">
        <v>35</v>
      </c>
      <c r="AH280" s="137">
        <v>24</v>
      </c>
      <c r="AI280" s="208">
        <v>4</v>
      </c>
      <c r="AJ280" s="172">
        <v>3000</v>
      </c>
      <c r="AK280" s="172">
        <v>30333</v>
      </c>
      <c r="AL280" s="172">
        <v>2000</v>
      </c>
      <c r="AM280" s="172">
        <v>30335</v>
      </c>
      <c r="AN280" s="172">
        <v>0</v>
      </c>
      <c r="AO280" s="172">
        <f t="shared" si="38"/>
        <v>34333</v>
      </c>
      <c r="AP280" s="172">
        <v>0</v>
      </c>
      <c r="AQ280" s="172">
        <f t="shared" si="39"/>
        <v>34335</v>
      </c>
      <c r="AR280" s="172">
        <v>1</v>
      </c>
      <c r="AS280" s="172">
        <v>0</v>
      </c>
      <c r="AT280" s="199">
        <v>78056</v>
      </c>
      <c r="AU280" s="195" t="s">
        <v>239</v>
      </c>
    </row>
    <row r="281" spans="1:47" x14ac:dyDescent="0.2">
      <c r="A281" s="173">
        <v>55056</v>
      </c>
      <c r="B281" s="174" t="s">
        <v>237</v>
      </c>
      <c r="C281" s="172">
        <v>86056</v>
      </c>
      <c r="D281" s="172">
        <v>150056</v>
      </c>
      <c r="E281" s="206" t="s">
        <v>238</v>
      </c>
      <c r="F281" s="207">
        <v>3</v>
      </c>
      <c r="G281" s="172">
        <v>10000</v>
      </c>
      <c r="H281" s="172">
        <v>10000</v>
      </c>
      <c r="I281" s="172">
        <v>10000</v>
      </c>
      <c r="J281" s="172">
        <v>5</v>
      </c>
      <c r="K281" s="190">
        <f>IF($J281=1,INDEX('큐펫&amp;몹 정리(최신)'!P:P,MATCH($E281,'큐펫&amp;몹 정리(최신)'!$B:$B,0))*20,IF($J281=2,INDEX('큐펫&amp;몹 정리(최신)'!P:P,MATCH($E281,'큐펫&amp;몹 정리(최신)'!$B:$B,0))*25,IF($J281=3,INDEX('큐펫&amp;몹 정리(최신)'!P:P,MATCH($E281,'큐펫&amp;몹 정리(최신)'!$B:$B,0))*30,IF($J281=4,INDEX('큐펫&amp;몹 정리(최신)'!P:P,MATCH($E281,'큐펫&amp;몹 정리(최신)'!$B:$B,0))*35,INDEX('큐펫&amp;몹 정리(최신)'!P:P,MATCH($E281,'큐펫&amp;몹 정리(최신)'!$B:$B,0))*40))))</f>
        <v>1600</v>
      </c>
      <c r="L281" s="190">
        <f>IF($J281=1,INDEX('큐펫&amp;몹 정리(최신)'!Q:Q,MATCH($E281,'큐펫&amp;몹 정리(최신)'!$B:$B,0))*20,IF($J281=2,INDEX('큐펫&amp;몹 정리(최신)'!Q:Q,MATCH($E281,'큐펫&amp;몹 정리(최신)'!$B:$B,0))*25,IF($J281=3,INDEX('큐펫&amp;몹 정리(최신)'!Q:Q,MATCH($E281,'큐펫&amp;몹 정리(최신)'!$B:$B,0))*30,IF($J281=4,INDEX('큐펫&amp;몹 정리(최신)'!Q:Q,MATCH($E281,'큐펫&amp;몹 정리(최신)'!$B:$B,0))*35,INDEX('큐펫&amp;몹 정리(최신)'!Q:Q,MATCH($E281,'큐펫&amp;몹 정리(최신)'!$B:$B,0))*40))))</f>
        <v>200</v>
      </c>
      <c r="M281" s="190">
        <f>IF($J281=1,INDEX('큐펫&amp;몹 정리(최신)'!R:R,MATCH($E281,'큐펫&amp;몹 정리(최신)'!$B:$B,0))*20,IF($J281=2,INDEX('큐펫&amp;몹 정리(최신)'!R:R,MATCH($E281,'큐펫&amp;몹 정리(최신)'!$B:$B,0))*25,IF($J281=3,INDEX('큐펫&amp;몹 정리(최신)'!R:R,MATCH($E281,'큐펫&amp;몹 정리(최신)'!$B:$B,0))*30,IF($J281=4,INDEX('큐펫&amp;몹 정리(최신)'!R:R,MATCH($E281,'큐펫&amp;몹 정리(최신)'!$B:$B,0))*35,INDEX('큐펫&amp;몹 정리(최신)'!R:R,MATCH($E281,'큐펫&amp;몹 정리(최신)'!$B:$B,0))*40))))</f>
        <v>880</v>
      </c>
      <c r="N281" s="190">
        <f>IF($J281=1,INDEX('큐펫&amp;몹 정리(최신)'!S:S,MATCH($E281,'큐펫&amp;몹 정리(최신)'!$B:$B,0))*20,IF($J281=2,INDEX('큐펫&amp;몹 정리(최신)'!S:S,MATCH($E281,'큐펫&amp;몹 정리(최신)'!$B:$B,0))*25,IF($J281=3,INDEX('큐펫&amp;몹 정리(최신)'!S:S,MATCH($E281,'큐펫&amp;몹 정리(최신)'!$B:$B,0))*30,IF($J281=4,INDEX('큐펫&amp;몹 정리(최신)'!S:S,MATCH($E281,'큐펫&amp;몹 정리(최신)'!$B:$B,0))*35,INDEX('큐펫&amp;몹 정리(최신)'!S:S,MATCH($E281,'큐펫&amp;몹 정리(최신)'!$B:$B,0))*40))))</f>
        <v>480</v>
      </c>
      <c r="O281" s="190">
        <f>IF($J281=1,INDEX('큐펫&amp;몹 정리(최신)'!T:T,MATCH($E281,'큐펫&amp;몹 정리(최신)'!$B:$B,0))*20,IF($J281=2,INDEX('큐펫&amp;몹 정리(최신)'!T:T,MATCH($E281,'큐펫&amp;몹 정리(최신)'!$B:$B,0))*25,IF($J281=3,INDEX('큐펫&amp;몹 정리(최신)'!T:T,MATCH($E281,'큐펫&amp;몹 정리(최신)'!$B:$B,0))*30,IF($J281=4,INDEX('큐펫&amp;몹 정리(최신)'!T:T,MATCH($E281,'큐펫&amp;몹 정리(최신)'!$B:$B,0))*35,INDEX('큐펫&amp;몹 정리(최신)'!T:T,MATCH($E281,'큐펫&amp;몹 정리(최신)'!$B:$B,0))*40))))</f>
        <v>840</v>
      </c>
      <c r="P281" s="217">
        <v>100</v>
      </c>
      <c r="Q281" s="217">
        <f t="shared" si="32"/>
        <v>324800</v>
      </c>
      <c r="R281" s="217">
        <f t="shared" si="33"/>
        <v>4971</v>
      </c>
      <c r="S281" s="217">
        <f t="shared" si="34"/>
        <v>6229</v>
      </c>
      <c r="T281" s="217">
        <f t="shared" si="35"/>
        <v>34017</v>
      </c>
      <c r="U281" s="217">
        <f t="shared" si="36"/>
        <v>47536</v>
      </c>
      <c r="V281" s="217">
        <f t="shared" si="37"/>
        <v>41642</v>
      </c>
      <c r="W281" s="217">
        <f>ROUND(AC281+(INDEX(Ref!B$1:B$9,MATCH($AI281,Ref!$A$1:$A$9,0))*P281*0.0001),)</f>
        <v>49</v>
      </c>
      <c r="X281" s="217">
        <f>ROUND(AD281+(INDEX(Ref!C$1:C$9,MATCH($AI281,Ref!$A$1:$A$9,0))*$P281*0.0001),)</f>
        <v>42</v>
      </c>
      <c r="Y281" s="217">
        <f>ROUND(AE281+(INDEX(Ref!D$1:D$9,MATCH($AI281,Ref!$A$1:$A$9,0))*$P281*0.0001),)</f>
        <v>98</v>
      </c>
      <c r="Z281" s="217">
        <f>ROUND(AF281+(INDEX(Ref!E$1:E$9,MATCH($AI281,Ref!$A$1:$A$9,0))*$P281*0.0001),)</f>
        <v>62</v>
      </c>
      <c r="AA281" s="217">
        <f>ROUND(AG281+(INDEX(Ref!F$1:F$9,MATCH($AI281,Ref!$A$1:$A$9,0))*$P281*0.0001),)</f>
        <v>55</v>
      </c>
      <c r="AB281" s="217">
        <f>ROUND(AH281+(INDEX(Ref!G$1:G$9,MATCH($AI281,Ref!$A$1:$A$9,0))*$P281*0.0001),)</f>
        <v>38</v>
      </c>
      <c r="AC281" s="137">
        <v>34</v>
      </c>
      <c r="AD281" s="137">
        <v>29</v>
      </c>
      <c r="AE281" s="137">
        <v>74</v>
      </c>
      <c r="AF281" s="137">
        <v>43</v>
      </c>
      <c r="AG281" s="137">
        <v>38</v>
      </c>
      <c r="AH281" s="137">
        <v>26</v>
      </c>
      <c r="AI281" s="208">
        <v>4</v>
      </c>
      <c r="AJ281" s="172">
        <v>3000</v>
      </c>
      <c r="AK281" s="172">
        <v>30333</v>
      </c>
      <c r="AL281" s="172">
        <v>2000</v>
      </c>
      <c r="AM281" s="172">
        <v>30336</v>
      </c>
      <c r="AN281" s="172">
        <v>0</v>
      </c>
      <c r="AO281" s="172">
        <f t="shared" si="38"/>
        <v>34333</v>
      </c>
      <c r="AP281" s="172">
        <v>0</v>
      </c>
      <c r="AQ281" s="172">
        <f t="shared" si="39"/>
        <v>34336</v>
      </c>
      <c r="AR281" s="172">
        <v>1</v>
      </c>
      <c r="AS281" s="172">
        <v>0</v>
      </c>
      <c r="AT281" s="199">
        <v>78056</v>
      </c>
      <c r="AU281" s="195" t="s">
        <v>239</v>
      </c>
    </row>
    <row r="282" spans="1:47" x14ac:dyDescent="0.2">
      <c r="A282" s="173">
        <v>55057</v>
      </c>
      <c r="B282" s="174" t="s">
        <v>240</v>
      </c>
      <c r="C282" s="172">
        <v>86057</v>
      </c>
      <c r="D282" s="172">
        <v>150057</v>
      </c>
      <c r="E282" s="206" t="s">
        <v>241</v>
      </c>
      <c r="F282" s="207">
        <v>3</v>
      </c>
      <c r="G282" s="173">
        <v>11500</v>
      </c>
      <c r="H282" s="173">
        <v>9500</v>
      </c>
      <c r="I282" s="172">
        <v>10000</v>
      </c>
      <c r="J282" s="172">
        <v>1</v>
      </c>
      <c r="K282" s="190">
        <f>IF($J282=1,INDEX('큐펫&amp;몹 정리(최신)'!P:P,MATCH($E282,'큐펫&amp;몹 정리(최신)'!$B:$B,0))*20,IF($J282=2,INDEX('큐펫&amp;몹 정리(최신)'!P:P,MATCH($E282,'큐펫&amp;몹 정리(최신)'!$B:$B,0))*25,IF($J282=3,INDEX('큐펫&amp;몹 정리(최신)'!P:P,MATCH($E282,'큐펫&amp;몹 정리(최신)'!$B:$B,0))*30,IF($J282=4,INDEX('큐펫&amp;몹 정리(최신)'!P:P,MATCH($E282,'큐펫&amp;몹 정리(최신)'!$B:$B,0))*35,INDEX('큐펫&amp;몹 정리(최신)'!P:P,MATCH($E282,'큐펫&amp;몹 정리(최신)'!$B:$B,0))*40))))</f>
        <v>800</v>
      </c>
      <c r="L282" s="190">
        <f>IF($J282=1,INDEX('큐펫&amp;몹 정리(최신)'!Q:Q,MATCH($E282,'큐펫&amp;몹 정리(최신)'!$B:$B,0))*20,IF($J282=2,INDEX('큐펫&amp;몹 정리(최신)'!Q:Q,MATCH($E282,'큐펫&amp;몹 정리(최신)'!$B:$B,0))*25,IF($J282=3,INDEX('큐펫&amp;몹 정리(최신)'!Q:Q,MATCH($E282,'큐펫&amp;몹 정리(최신)'!$B:$B,0))*30,IF($J282=4,INDEX('큐펫&amp;몹 정리(최신)'!Q:Q,MATCH($E282,'큐펫&amp;몹 정리(최신)'!$B:$B,0))*35,INDEX('큐펫&amp;몹 정리(최신)'!Q:Q,MATCH($E282,'큐펫&amp;몹 정리(최신)'!$B:$B,0))*40))))</f>
        <v>480</v>
      </c>
      <c r="M282" s="190">
        <f>IF($J282=1,INDEX('큐펫&amp;몹 정리(최신)'!R:R,MATCH($E282,'큐펫&amp;몹 정리(최신)'!$B:$B,0))*20,IF($J282=2,INDEX('큐펫&amp;몹 정리(최신)'!R:R,MATCH($E282,'큐펫&amp;몹 정리(최신)'!$B:$B,0))*25,IF($J282=3,INDEX('큐펫&amp;몹 정리(최신)'!R:R,MATCH($E282,'큐펫&amp;몹 정리(최신)'!$B:$B,0))*30,IF($J282=4,INDEX('큐펫&amp;몹 정리(최신)'!R:R,MATCH($E282,'큐펫&amp;몹 정리(최신)'!$B:$B,0))*35,INDEX('큐펫&amp;몹 정리(최신)'!R:R,MATCH($E282,'큐펫&amp;몹 정리(최신)'!$B:$B,0))*40))))</f>
        <v>80</v>
      </c>
      <c r="N282" s="190">
        <f>IF($J282=1,INDEX('큐펫&amp;몹 정리(최신)'!S:S,MATCH($E282,'큐펫&amp;몹 정리(최신)'!$B:$B,0))*20,IF($J282=2,INDEX('큐펫&amp;몹 정리(최신)'!S:S,MATCH($E282,'큐펫&amp;몹 정리(최신)'!$B:$B,0))*25,IF($J282=3,INDEX('큐펫&amp;몹 정리(최신)'!S:S,MATCH($E282,'큐펫&amp;몹 정리(최신)'!$B:$B,0))*30,IF($J282=4,INDEX('큐펫&amp;몹 정리(최신)'!S:S,MATCH($E282,'큐펫&amp;몹 정리(최신)'!$B:$B,0))*35,INDEX('큐펫&amp;몹 정리(최신)'!S:S,MATCH($E282,'큐펫&amp;몹 정리(최신)'!$B:$B,0))*40))))</f>
        <v>340</v>
      </c>
      <c r="O282" s="190">
        <f>IF($J282=1,INDEX('큐펫&amp;몹 정리(최신)'!T:T,MATCH($E282,'큐펫&amp;몹 정리(최신)'!$B:$B,0))*20,IF($J282=2,INDEX('큐펫&amp;몹 정리(최신)'!T:T,MATCH($E282,'큐펫&amp;몹 정리(최신)'!$B:$B,0))*25,IF($J282=3,INDEX('큐펫&amp;몹 정리(최신)'!T:T,MATCH($E282,'큐펫&amp;몹 정리(최신)'!$B:$B,0))*30,IF($J282=4,INDEX('큐펫&amp;몹 정리(최신)'!T:T,MATCH($E282,'큐펫&amp;몹 정리(최신)'!$B:$B,0))*35,INDEX('큐펫&amp;몹 정리(최신)'!T:T,MATCH($E282,'큐펫&amp;몹 정리(최신)'!$B:$B,0))*40))))</f>
        <v>300</v>
      </c>
      <c r="P282" s="217">
        <v>20</v>
      </c>
      <c r="Q282" s="217">
        <f t="shared" si="32"/>
        <v>28320</v>
      </c>
      <c r="R282" s="217">
        <f t="shared" si="33"/>
        <v>8981</v>
      </c>
      <c r="S282" s="217">
        <f t="shared" si="34"/>
        <v>2610</v>
      </c>
      <c r="T282" s="217">
        <f t="shared" si="35"/>
        <v>344</v>
      </c>
      <c r="U282" s="217">
        <f t="shared" si="36"/>
        <v>12252</v>
      </c>
      <c r="V282" s="217">
        <f t="shared" si="37"/>
        <v>5419</v>
      </c>
      <c r="W282" s="217">
        <f>ROUND(AC282+(INDEX(Ref!B$1:B$9,MATCH($AI282,Ref!$A$1:$A$9,0))*P282*0.0001),)</f>
        <v>43</v>
      </c>
      <c r="X282" s="217">
        <f>ROUND(AD282+(INDEX(Ref!C$1:C$9,MATCH($AI282,Ref!$A$1:$A$9,0))*$P282*0.0001),)</f>
        <v>26</v>
      </c>
      <c r="Y282" s="217">
        <f>ROUND(AE282+(INDEX(Ref!D$1:D$9,MATCH($AI282,Ref!$A$1:$A$9,0))*$P282*0.0001),)</f>
        <v>52</v>
      </c>
      <c r="Z282" s="217">
        <f>ROUND(AF282+(INDEX(Ref!E$1:E$9,MATCH($AI282,Ref!$A$1:$A$9,0))*$P282*0.0001),)</f>
        <v>19</v>
      </c>
      <c r="AA282" s="217">
        <f>ROUND(AG282+(INDEX(Ref!F$1:F$9,MATCH($AI282,Ref!$A$1:$A$9,0))*$P282*0.0001),)</f>
        <v>23</v>
      </c>
      <c r="AB282" s="217">
        <f>ROUND(AH282+(INDEX(Ref!G$1:G$9,MATCH($AI282,Ref!$A$1:$A$9,0))*$P282*0.0001),)</f>
        <v>21</v>
      </c>
      <c r="AC282" s="137">
        <v>38</v>
      </c>
      <c r="AD282" s="137">
        <v>23</v>
      </c>
      <c r="AE282" s="137">
        <v>48</v>
      </c>
      <c r="AF282" s="137">
        <v>17</v>
      </c>
      <c r="AG282" s="137">
        <v>20</v>
      </c>
      <c r="AH282" s="137">
        <v>18</v>
      </c>
      <c r="AI282" s="208">
        <v>1</v>
      </c>
      <c r="AJ282" s="172">
        <v>3000</v>
      </c>
      <c r="AK282" s="172">
        <v>30337</v>
      </c>
      <c r="AL282" s="172">
        <v>2000</v>
      </c>
      <c r="AM282" s="172">
        <v>30340</v>
      </c>
      <c r="AN282" s="172">
        <v>0</v>
      </c>
      <c r="AO282" s="172">
        <f t="shared" si="38"/>
        <v>34337</v>
      </c>
      <c r="AP282" s="172">
        <v>0</v>
      </c>
      <c r="AQ282" s="172">
        <f t="shared" si="39"/>
        <v>34340</v>
      </c>
      <c r="AR282" s="172">
        <v>1</v>
      </c>
      <c r="AS282" s="172">
        <v>0</v>
      </c>
      <c r="AT282" s="199">
        <v>78057</v>
      </c>
      <c r="AU282" s="195" t="s">
        <v>242</v>
      </c>
    </row>
    <row r="283" spans="1:47" x14ac:dyDescent="0.2">
      <c r="A283" s="173">
        <v>55057</v>
      </c>
      <c r="B283" s="174" t="s">
        <v>240</v>
      </c>
      <c r="C283" s="172">
        <v>86057</v>
      </c>
      <c r="D283" s="172">
        <v>150057</v>
      </c>
      <c r="E283" s="206" t="s">
        <v>241</v>
      </c>
      <c r="F283" s="207">
        <v>3</v>
      </c>
      <c r="G283" s="173">
        <v>11500</v>
      </c>
      <c r="H283" s="173">
        <v>9500</v>
      </c>
      <c r="I283" s="172">
        <v>10000</v>
      </c>
      <c r="J283" s="172">
        <v>2</v>
      </c>
      <c r="K283" s="190">
        <f>IF($J283=1,INDEX('큐펫&amp;몹 정리(최신)'!P:P,MATCH($E283,'큐펫&amp;몹 정리(최신)'!$B:$B,0))*20,IF($J283=2,INDEX('큐펫&amp;몹 정리(최신)'!P:P,MATCH($E283,'큐펫&amp;몹 정리(최신)'!$B:$B,0))*25,IF($J283=3,INDEX('큐펫&amp;몹 정리(최신)'!P:P,MATCH($E283,'큐펫&amp;몹 정리(최신)'!$B:$B,0))*30,IF($J283=4,INDEX('큐펫&amp;몹 정리(최신)'!P:P,MATCH($E283,'큐펫&amp;몹 정리(최신)'!$B:$B,0))*35,INDEX('큐펫&amp;몹 정리(최신)'!P:P,MATCH($E283,'큐펫&amp;몹 정리(최신)'!$B:$B,0))*40))))</f>
        <v>1000</v>
      </c>
      <c r="L283" s="190">
        <f>IF($J283=1,INDEX('큐펫&amp;몹 정리(최신)'!Q:Q,MATCH($E283,'큐펫&amp;몹 정리(최신)'!$B:$B,0))*20,IF($J283=2,INDEX('큐펫&amp;몹 정리(최신)'!Q:Q,MATCH($E283,'큐펫&amp;몹 정리(최신)'!$B:$B,0))*25,IF($J283=3,INDEX('큐펫&amp;몹 정리(최신)'!Q:Q,MATCH($E283,'큐펫&amp;몹 정리(최신)'!$B:$B,0))*30,IF($J283=4,INDEX('큐펫&amp;몹 정리(최신)'!Q:Q,MATCH($E283,'큐펫&amp;몹 정리(최신)'!$B:$B,0))*35,INDEX('큐펫&amp;몹 정리(최신)'!Q:Q,MATCH($E283,'큐펫&amp;몹 정리(최신)'!$B:$B,0))*40))))</f>
        <v>600</v>
      </c>
      <c r="M283" s="190">
        <f>IF($J283=1,INDEX('큐펫&amp;몹 정리(최신)'!R:R,MATCH($E283,'큐펫&amp;몹 정리(최신)'!$B:$B,0))*20,IF($J283=2,INDEX('큐펫&amp;몹 정리(최신)'!R:R,MATCH($E283,'큐펫&amp;몹 정리(최신)'!$B:$B,0))*25,IF($J283=3,INDEX('큐펫&amp;몹 정리(최신)'!R:R,MATCH($E283,'큐펫&amp;몹 정리(최신)'!$B:$B,0))*30,IF($J283=4,INDEX('큐펫&amp;몹 정리(최신)'!R:R,MATCH($E283,'큐펫&amp;몹 정리(최신)'!$B:$B,0))*35,INDEX('큐펫&amp;몹 정리(최신)'!R:R,MATCH($E283,'큐펫&amp;몹 정리(최신)'!$B:$B,0))*40))))</f>
        <v>100</v>
      </c>
      <c r="N283" s="190">
        <f>IF($J283=1,INDEX('큐펫&amp;몹 정리(최신)'!S:S,MATCH($E283,'큐펫&amp;몹 정리(최신)'!$B:$B,0))*20,IF($J283=2,INDEX('큐펫&amp;몹 정리(최신)'!S:S,MATCH($E283,'큐펫&amp;몹 정리(최신)'!$B:$B,0))*25,IF($J283=3,INDEX('큐펫&amp;몹 정리(최신)'!S:S,MATCH($E283,'큐펫&amp;몹 정리(최신)'!$B:$B,0))*30,IF($J283=4,INDEX('큐펫&amp;몹 정리(최신)'!S:S,MATCH($E283,'큐펫&amp;몹 정리(최신)'!$B:$B,0))*35,INDEX('큐펫&amp;몹 정리(최신)'!S:S,MATCH($E283,'큐펫&amp;몹 정리(최신)'!$B:$B,0))*40))))</f>
        <v>425</v>
      </c>
      <c r="O283" s="190">
        <f>IF($J283=1,INDEX('큐펫&amp;몹 정리(최신)'!T:T,MATCH($E283,'큐펫&amp;몹 정리(최신)'!$B:$B,0))*20,IF($J283=2,INDEX('큐펫&amp;몹 정리(최신)'!T:T,MATCH($E283,'큐펫&amp;몹 정리(최신)'!$B:$B,0))*25,IF($J283=3,INDEX('큐펫&amp;몹 정리(최신)'!T:T,MATCH($E283,'큐펫&amp;몹 정리(최신)'!$B:$B,0))*30,IF($J283=4,INDEX('큐펫&amp;몹 정리(최신)'!T:T,MATCH($E283,'큐펫&amp;몹 정리(최신)'!$B:$B,0))*35,INDEX('큐펫&amp;몹 정리(최신)'!T:T,MATCH($E283,'큐펫&amp;몹 정리(최신)'!$B:$B,0))*40))))</f>
        <v>375</v>
      </c>
      <c r="P283" s="217">
        <v>40</v>
      </c>
      <c r="Q283" s="217">
        <f t="shared" si="32"/>
        <v>69000</v>
      </c>
      <c r="R283" s="217">
        <f t="shared" si="33"/>
        <v>16992</v>
      </c>
      <c r="S283" s="217">
        <f t="shared" si="34"/>
        <v>5142</v>
      </c>
      <c r="T283" s="217">
        <f t="shared" si="35"/>
        <v>654</v>
      </c>
      <c r="U283" s="217">
        <f t="shared" si="36"/>
        <v>21266</v>
      </c>
      <c r="V283" s="217">
        <f t="shared" si="37"/>
        <v>9399</v>
      </c>
      <c r="W283" s="217">
        <f>ROUND(AC283+(INDEX(Ref!B$1:B$9,MATCH($AI283,Ref!$A$1:$A$9,0))*P283*0.0001),)</f>
        <v>53</v>
      </c>
      <c r="X283" s="217">
        <f>ROUND(AD283+(INDEX(Ref!C$1:C$9,MATCH($AI283,Ref!$A$1:$A$9,0))*$P283*0.0001),)</f>
        <v>32</v>
      </c>
      <c r="Y283" s="217">
        <f>ROUND(AE283+(INDEX(Ref!D$1:D$9,MATCH($AI283,Ref!$A$1:$A$9,0))*$P283*0.0001),)</f>
        <v>60</v>
      </c>
      <c r="Z283" s="217">
        <f>ROUND(AF283+(INDEX(Ref!E$1:E$9,MATCH($AI283,Ref!$A$1:$A$9,0))*$P283*0.0001),)</f>
        <v>24</v>
      </c>
      <c r="AA283" s="217">
        <f>ROUND(AG283+(INDEX(Ref!F$1:F$9,MATCH($AI283,Ref!$A$1:$A$9,0))*$P283*0.0001),)</f>
        <v>29</v>
      </c>
      <c r="AB283" s="217">
        <f>ROUND(AH283+(INDEX(Ref!G$1:G$9,MATCH($AI283,Ref!$A$1:$A$9,0))*$P283*0.0001),)</f>
        <v>26</v>
      </c>
      <c r="AC283" s="137">
        <v>43</v>
      </c>
      <c r="AD283" s="137">
        <v>26</v>
      </c>
      <c r="AE283" s="137">
        <v>52</v>
      </c>
      <c r="AF283" s="137">
        <v>19</v>
      </c>
      <c r="AG283" s="137">
        <v>23</v>
      </c>
      <c r="AH283" s="137">
        <v>21</v>
      </c>
      <c r="AI283" s="208">
        <v>1</v>
      </c>
      <c r="AJ283" s="172">
        <v>3000</v>
      </c>
      <c r="AK283" s="172">
        <v>30338</v>
      </c>
      <c r="AL283" s="172">
        <v>2000</v>
      </c>
      <c r="AM283" s="172">
        <v>30340</v>
      </c>
      <c r="AN283" s="172">
        <v>0</v>
      </c>
      <c r="AO283" s="172">
        <f t="shared" si="38"/>
        <v>34338</v>
      </c>
      <c r="AP283" s="172">
        <v>0</v>
      </c>
      <c r="AQ283" s="172">
        <f t="shared" si="39"/>
        <v>34340</v>
      </c>
      <c r="AR283" s="172">
        <v>1</v>
      </c>
      <c r="AS283" s="172">
        <v>0</v>
      </c>
      <c r="AT283" s="199">
        <v>78057</v>
      </c>
      <c r="AU283" s="195" t="s">
        <v>242</v>
      </c>
    </row>
    <row r="284" spans="1:47" x14ac:dyDescent="0.2">
      <c r="A284" s="173">
        <v>55057</v>
      </c>
      <c r="B284" s="174" t="s">
        <v>240</v>
      </c>
      <c r="C284" s="172">
        <v>86057</v>
      </c>
      <c r="D284" s="172">
        <v>150057</v>
      </c>
      <c r="E284" s="206" t="s">
        <v>241</v>
      </c>
      <c r="F284" s="207">
        <v>3</v>
      </c>
      <c r="G284" s="173">
        <v>11500</v>
      </c>
      <c r="H284" s="173">
        <v>9500</v>
      </c>
      <c r="I284" s="172">
        <v>10000</v>
      </c>
      <c r="J284" s="172">
        <v>3</v>
      </c>
      <c r="K284" s="190">
        <f>IF($J284=1,INDEX('큐펫&amp;몹 정리(최신)'!P:P,MATCH($E284,'큐펫&amp;몹 정리(최신)'!$B:$B,0))*20,IF($J284=2,INDEX('큐펫&amp;몹 정리(최신)'!P:P,MATCH($E284,'큐펫&amp;몹 정리(최신)'!$B:$B,0))*25,IF($J284=3,INDEX('큐펫&amp;몹 정리(최신)'!P:P,MATCH($E284,'큐펫&amp;몹 정리(최신)'!$B:$B,0))*30,IF($J284=4,INDEX('큐펫&amp;몹 정리(최신)'!P:P,MATCH($E284,'큐펫&amp;몹 정리(최신)'!$B:$B,0))*35,INDEX('큐펫&amp;몹 정리(최신)'!P:P,MATCH($E284,'큐펫&amp;몹 정리(최신)'!$B:$B,0))*40))))</f>
        <v>1200</v>
      </c>
      <c r="L284" s="190">
        <f>IF($J284=1,INDEX('큐펫&amp;몹 정리(최신)'!Q:Q,MATCH($E284,'큐펫&amp;몹 정리(최신)'!$B:$B,0))*20,IF($J284=2,INDEX('큐펫&amp;몹 정리(최신)'!Q:Q,MATCH($E284,'큐펫&amp;몹 정리(최신)'!$B:$B,0))*25,IF($J284=3,INDEX('큐펫&amp;몹 정리(최신)'!Q:Q,MATCH($E284,'큐펫&amp;몹 정리(최신)'!$B:$B,0))*30,IF($J284=4,INDEX('큐펫&amp;몹 정리(최신)'!Q:Q,MATCH($E284,'큐펫&amp;몹 정리(최신)'!$B:$B,0))*35,INDEX('큐펫&amp;몹 정리(최신)'!Q:Q,MATCH($E284,'큐펫&amp;몹 정리(최신)'!$B:$B,0))*40))))</f>
        <v>720</v>
      </c>
      <c r="M284" s="190">
        <f>IF($J284=1,INDEX('큐펫&amp;몹 정리(최신)'!R:R,MATCH($E284,'큐펫&amp;몹 정리(최신)'!$B:$B,0))*20,IF($J284=2,INDEX('큐펫&amp;몹 정리(최신)'!R:R,MATCH($E284,'큐펫&amp;몹 정리(최신)'!$B:$B,0))*25,IF($J284=3,INDEX('큐펫&amp;몹 정리(최신)'!R:R,MATCH($E284,'큐펫&amp;몹 정리(최신)'!$B:$B,0))*30,IF($J284=4,INDEX('큐펫&amp;몹 정리(최신)'!R:R,MATCH($E284,'큐펫&amp;몹 정리(최신)'!$B:$B,0))*35,INDEX('큐펫&amp;몹 정리(최신)'!R:R,MATCH($E284,'큐펫&amp;몹 정리(최신)'!$B:$B,0))*40))))</f>
        <v>120</v>
      </c>
      <c r="N284" s="190">
        <f>IF($J284=1,INDEX('큐펫&amp;몹 정리(최신)'!S:S,MATCH($E284,'큐펫&amp;몹 정리(최신)'!$B:$B,0))*20,IF($J284=2,INDEX('큐펫&amp;몹 정리(최신)'!S:S,MATCH($E284,'큐펫&amp;몹 정리(최신)'!$B:$B,0))*25,IF($J284=3,INDEX('큐펫&amp;몹 정리(최신)'!S:S,MATCH($E284,'큐펫&amp;몹 정리(최신)'!$B:$B,0))*30,IF($J284=4,INDEX('큐펫&amp;몹 정리(최신)'!S:S,MATCH($E284,'큐펫&amp;몹 정리(최신)'!$B:$B,0))*35,INDEX('큐펫&amp;몹 정리(최신)'!S:S,MATCH($E284,'큐펫&amp;몹 정리(최신)'!$B:$B,0))*40))))</f>
        <v>510</v>
      </c>
      <c r="O284" s="190">
        <f>IF($J284=1,INDEX('큐펫&amp;몹 정리(최신)'!T:T,MATCH($E284,'큐펫&amp;몹 정리(최신)'!$B:$B,0))*20,IF($J284=2,INDEX('큐펫&amp;몹 정리(최신)'!T:T,MATCH($E284,'큐펫&amp;몹 정리(최신)'!$B:$B,0))*25,IF($J284=3,INDEX('큐펫&amp;몹 정리(최신)'!T:T,MATCH($E284,'큐펫&amp;몹 정리(최신)'!$B:$B,0))*30,IF($J284=4,INDEX('큐펫&amp;몹 정리(최신)'!T:T,MATCH($E284,'큐펫&amp;몹 정리(최신)'!$B:$B,0))*35,INDEX('큐펫&amp;몹 정리(최신)'!T:T,MATCH($E284,'큐펫&amp;몹 정리(최신)'!$B:$B,0))*40))))</f>
        <v>450</v>
      </c>
      <c r="P284" s="217">
        <v>60</v>
      </c>
      <c r="Q284" s="217">
        <f t="shared" si="32"/>
        <v>126960</v>
      </c>
      <c r="R284" s="217">
        <f t="shared" si="33"/>
        <v>28747</v>
      </c>
      <c r="S284" s="217">
        <f t="shared" si="34"/>
        <v>8443</v>
      </c>
      <c r="T284" s="217">
        <f t="shared" si="35"/>
        <v>1038</v>
      </c>
      <c r="U284" s="217">
        <f t="shared" si="36"/>
        <v>32659</v>
      </c>
      <c r="V284" s="217">
        <f t="shared" si="37"/>
        <v>14428</v>
      </c>
      <c r="W284" s="217">
        <f>ROUND(AC284+(INDEX(Ref!B$1:B$9,MATCH($AI284,Ref!$A$1:$A$9,0))*P284*0.0001),)</f>
        <v>63</v>
      </c>
      <c r="X284" s="217">
        <f>ROUND(AD284+(INDEX(Ref!C$1:C$9,MATCH($AI284,Ref!$A$1:$A$9,0))*$P284*0.0001),)</f>
        <v>40</v>
      </c>
      <c r="Y284" s="217">
        <f>ROUND(AE284+(INDEX(Ref!D$1:D$9,MATCH($AI284,Ref!$A$1:$A$9,0))*$P284*0.0001),)</f>
        <v>68</v>
      </c>
      <c r="Z284" s="217">
        <f>ROUND(AF284+(INDEX(Ref!E$1:E$9,MATCH($AI284,Ref!$A$1:$A$9,0))*$P284*0.0001),)</f>
        <v>28</v>
      </c>
      <c r="AA284" s="217">
        <f>ROUND(AG284+(INDEX(Ref!F$1:F$9,MATCH($AI284,Ref!$A$1:$A$9,0))*$P284*0.0001),)</f>
        <v>34</v>
      </c>
      <c r="AB284" s="217">
        <f>ROUND(AH284+(INDEX(Ref!G$1:G$9,MATCH($AI284,Ref!$A$1:$A$9,0))*$P284*0.0001),)</f>
        <v>31</v>
      </c>
      <c r="AC284" s="137">
        <v>48.000000000000007</v>
      </c>
      <c r="AD284" s="137">
        <v>30</v>
      </c>
      <c r="AE284" s="137">
        <v>56</v>
      </c>
      <c r="AF284" s="137">
        <v>21</v>
      </c>
      <c r="AG284" s="137">
        <v>26</v>
      </c>
      <c r="AH284" s="137">
        <v>23</v>
      </c>
      <c r="AI284" s="208">
        <v>1</v>
      </c>
      <c r="AJ284" s="172">
        <v>3000</v>
      </c>
      <c r="AK284" s="172">
        <v>30338</v>
      </c>
      <c r="AL284" s="172">
        <v>2000</v>
      </c>
      <c r="AM284" s="172">
        <v>30341</v>
      </c>
      <c r="AN284" s="172">
        <v>0</v>
      </c>
      <c r="AO284" s="172">
        <f t="shared" si="38"/>
        <v>34338</v>
      </c>
      <c r="AP284" s="172">
        <v>0</v>
      </c>
      <c r="AQ284" s="172">
        <f t="shared" si="39"/>
        <v>34341</v>
      </c>
      <c r="AR284" s="172">
        <v>1</v>
      </c>
      <c r="AS284" s="172">
        <v>0</v>
      </c>
      <c r="AT284" s="199">
        <v>78057</v>
      </c>
      <c r="AU284" s="195" t="s">
        <v>242</v>
      </c>
    </row>
    <row r="285" spans="1:47" x14ac:dyDescent="0.2">
      <c r="A285" s="173">
        <v>55057</v>
      </c>
      <c r="B285" s="174" t="s">
        <v>240</v>
      </c>
      <c r="C285" s="172">
        <v>86057</v>
      </c>
      <c r="D285" s="172">
        <v>150057</v>
      </c>
      <c r="E285" s="206" t="s">
        <v>241</v>
      </c>
      <c r="F285" s="207">
        <v>3</v>
      </c>
      <c r="G285" s="173">
        <v>11500</v>
      </c>
      <c r="H285" s="173">
        <v>9500</v>
      </c>
      <c r="I285" s="172">
        <v>10000</v>
      </c>
      <c r="J285" s="172">
        <v>4</v>
      </c>
      <c r="K285" s="190">
        <f>IF($J285=1,INDEX('큐펫&amp;몹 정리(최신)'!P:P,MATCH($E285,'큐펫&amp;몹 정리(최신)'!$B:$B,0))*20,IF($J285=2,INDEX('큐펫&amp;몹 정리(최신)'!P:P,MATCH($E285,'큐펫&amp;몹 정리(최신)'!$B:$B,0))*25,IF($J285=3,INDEX('큐펫&amp;몹 정리(최신)'!P:P,MATCH($E285,'큐펫&amp;몹 정리(최신)'!$B:$B,0))*30,IF($J285=4,INDEX('큐펫&amp;몹 정리(최신)'!P:P,MATCH($E285,'큐펫&amp;몹 정리(최신)'!$B:$B,0))*35,INDEX('큐펫&amp;몹 정리(최신)'!P:P,MATCH($E285,'큐펫&amp;몹 정리(최신)'!$B:$B,0))*40))))</f>
        <v>1400</v>
      </c>
      <c r="L285" s="190">
        <f>IF($J285=1,INDEX('큐펫&amp;몹 정리(최신)'!Q:Q,MATCH($E285,'큐펫&amp;몹 정리(최신)'!$B:$B,0))*20,IF($J285=2,INDEX('큐펫&amp;몹 정리(최신)'!Q:Q,MATCH($E285,'큐펫&amp;몹 정리(최신)'!$B:$B,0))*25,IF($J285=3,INDEX('큐펫&amp;몹 정리(최신)'!Q:Q,MATCH($E285,'큐펫&amp;몹 정리(최신)'!$B:$B,0))*30,IF($J285=4,INDEX('큐펫&amp;몹 정리(최신)'!Q:Q,MATCH($E285,'큐펫&amp;몹 정리(최신)'!$B:$B,0))*35,INDEX('큐펫&amp;몹 정리(최신)'!Q:Q,MATCH($E285,'큐펫&amp;몹 정리(최신)'!$B:$B,0))*40))))</f>
        <v>840</v>
      </c>
      <c r="M285" s="190">
        <f>IF($J285=1,INDEX('큐펫&amp;몹 정리(최신)'!R:R,MATCH($E285,'큐펫&amp;몹 정리(최신)'!$B:$B,0))*20,IF($J285=2,INDEX('큐펫&amp;몹 정리(최신)'!R:R,MATCH($E285,'큐펫&amp;몹 정리(최신)'!$B:$B,0))*25,IF($J285=3,INDEX('큐펫&amp;몹 정리(최신)'!R:R,MATCH($E285,'큐펫&amp;몹 정리(최신)'!$B:$B,0))*30,IF($J285=4,INDEX('큐펫&amp;몹 정리(최신)'!R:R,MATCH($E285,'큐펫&amp;몹 정리(최신)'!$B:$B,0))*35,INDEX('큐펫&amp;몹 정리(최신)'!R:R,MATCH($E285,'큐펫&amp;몹 정리(최신)'!$B:$B,0))*40))))</f>
        <v>140</v>
      </c>
      <c r="N285" s="190">
        <f>IF($J285=1,INDEX('큐펫&amp;몹 정리(최신)'!S:S,MATCH($E285,'큐펫&amp;몹 정리(최신)'!$B:$B,0))*20,IF($J285=2,INDEX('큐펫&amp;몹 정리(최신)'!S:S,MATCH($E285,'큐펫&amp;몹 정리(최신)'!$B:$B,0))*25,IF($J285=3,INDEX('큐펫&amp;몹 정리(최신)'!S:S,MATCH($E285,'큐펫&amp;몹 정리(최신)'!$B:$B,0))*30,IF($J285=4,INDEX('큐펫&amp;몹 정리(최신)'!S:S,MATCH($E285,'큐펫&amp;몹 정리(최신)'!$B:$B,0))*35,INDEX('큐펫&amp;몹 정리(최신)'!S:S,MATCH($E285,'큐펫&amp;몹 정리(최신)'!$B:$B,0))*40))))</f>
        <v>595</v>
      </c>
      <c r="O285" s="190">
        <f>IF($J285=1,INDEX('큐펫&amp;몹 정리(최신)'!T:T,MATCH($E285,'큐펫&amp;몹 정리(최신)'!$B:$B,0))*20,IF($J285=2,INDEX('큐펫&amp;몹 정리(최신)'!T:T,MATCH($E285,'큐펫&amp;몹 정리(최신)'!$B:$B,0))*25,IF($J285=3,INDEX('큐펫&amp;몹 정리(최신)'!T:T,MATCH($E285,'큐펫&amp;몹 정리(최신)'!$B:$B,0))*30,IF($J285=4,INDEX('큐펫&amp;몹 정리(최신)'!T:T,MATCH($E285,'큐펫&amp;몹 정리(최신)'!$B:$B,0))*35,INDEX('큐펫&amp;몹 정리(최신)'!T:T,MATCH($E285,'큐펫&amp;몹 정리(최신)'!$B:$B,0))*40))))</f>
        <v>525</v>
      </c>
      <c r="P285" s="217">
        <v>80</v>
      </c>
      <c r="Q285" s="217">
        <f t="shared" si="32"/>
        <v>204120</v>
      </c>
      <c r="R285" s="217">
        <f t="shared" si="33"/>
        <v>44966</v>
      </c>
      <c r="S285" s="217">
        <f t="shared" si="34"/>
        <v>12919</v>
      </c>
      <c r="T285" s="217">
        <f t="shared" si="35"/>
        <v>1740</v>
      </c>
      <c r="U285" s="217">
        <f t="shared" si="36"/>
        <v>46432</v>
      </c>
      <c r="V285" s="217">
        <f t="shared" si="37"/>
        <v>20509</v>
      </c>
      <c r="W285" s="217">
        <f>ROUND(AC285+(INDEX(Ref!B$1:B$9,MATCH($AI285,Ref!$A$1:$A$9,0))*P285*0.0001),)</f>
        <v>73</v>
      </c>
      <c r="X285" s="217">
        <f>ROUND(AD285+(INDEX(Ref!C$1:C$9,MATCH($AI285,Ref!$A$1:$A$9,0))*$P285*0.0001),)</f>
        <v>46</v>
      </c>
      <c r="Y285" s="217">
        <f>ROUND(AE285+(INDEX(Ref!D$1:D$9,MATCH($AI285,Ref!$A$1:$A$9,0))*$P285*0.0001),)</f>
        <v>76</v>
      </c>
      <c r="Z285" s="217">
        <f>ROUND(AF285+(INDEX(Ref!E$1:E$9,MATCH($AI285,Ref!$A$1:$A$9,0))*$P285*0.0001),)</f>
        <v>34</v>
      </c>
      <c r="AA285" s="217">
        <f>ROUND(AG285+(INDEX(Ref!F$1:F$9,MATCH($AI285,Ref!$A$1:$A$9,0))*$P285*0.0001),)</f>
        <v>39</v>
      </c>
      <c r="AB285" s="217">
        <f>ROUND(AH285+(INDEX(Ref!G$1:G$9,MATCH($AI285,Ref!$A$1:$A$9,0))*$P285*0.0001),)</f>
        <v>36</v>
      </c>
      <c r="AC285" s="137">
        <v>53</v>
      </c>
      <c r="AD285" s="137">
        <v>33</v>
      </c>
      <c r="AE285" s="137">
        <v>60</v>
      </c>
      <c r="AF285" s="137">
        <v>24</v>
      </c>
      <c r="AG285" s="137">
        <v>28</v>
      </c>
      <c r="AH285" s="137">
        <v>26</v>
      </c>
      <c r="AI285" s="208">
        <v>1</v>
      </c>
      <c r="AJ285" s="172">
        <v>3000</v>
      </c>
      <c r="AK285" s="172">
        <v>30339</v>
      </c>
      <c r="AL285" s="172">
        <v>2000</v>
      </c>
      <c r="AM285" s="172">
        <v>30341</v>
      </c>
      <c r="AN285" s="172">
        <v>0</v>
      </c>
      <c r="AO285" s="172">
        <f t="shared" si="38"/>
        <v>34339</v>
      </c>
      <c r="AP285" s="172">
        <v>0</v>
      </c>
      <c r="AQ285" s="172">
        <f t="shared" si="39"/>
        <v>34341</v>
      </c>
      <c r="AR285" s="172">
        <v>1</v>
      </c>
      <c r="AS285" s="172">
        <v>0</v>
      </c>
      <c r="AT285" s="199">
        <v>78057</v>
      </c>
      <c r="AU285" s="195" t="s">
        <v>242</v>
      </c>
    </row>
    <row r="286" spans="1:47" x14ac:dyDescent="0.2">
      <c r="A286" s="173">
        <v>55057</v>
      </c>
      <c r="B286" s="174" t="s">
        <v>240</v>
      </c>
      <c r="C286" s="172">
        <v>86057</v>
      </c>
      <c r="D286" s="172">
        <v>150057</v>
      </c>
      <c r="E286" s="206" t="s">
        <v>241</v>
      </c>
      <c r="F286" s="207">
        <v>3</v>
      </c>
      <c r="G286" s="173">
        <v>11500</v>
      </c>
      <c r="H286" s="173">
        <v>9500</v>
      </c>
      <c r="I286" s="172">
        <v>10000</v>
      </c>
      <c r="J286" s="172">
        <v>5</v>
      </c>
      <c r="K286" s="190">
        <f>IF($J286=1,INDEX('큐펫&amp;몹 정리(최신)'!P:P,MATCH($E286,'큐펫&amp;몹 정리(최신)'!$B:$B,0))*20,IF($J286=2,INDEX('큐펫&amp;몹 정리(최신)'!P:P,MATCH($E286,'큐펫&amp;몹 정리(최신)'!$B:$B,0))*25,IF($J286=3,INDEX('큐펫&amp;몹 정리(최신)'!P:P,MATCH($E286,'큐펫&amp;몹 정리(최신)'!$B:$B,0))*30,IF($J286=4,INDEX('큐펫&amp;몹 정리(최신)'!P:P,MATCH($E286,'큐펫&amp;몹 정리(최신)'!$B:$B,0))*35,INDEX('큐펫&amp;몹 정리(최신)'!P:P,MATCH($E286,'큐펫&amp;몹 정리(최신)'!$B:$B,0))*40))))</f>
        <v>1600</v>
      </c>
      <c r="L286" s="190">
        <f>IF($J286=1,INDEX('큐펫&amp;몹 정리(최신)'!Q:Q,MATCH($E286,'큐펫&amp;몹 정리(최신)'!$B:$B,0))*20,IF($J286=2,INDEX('큐펫&amp;몹 정리(최신)'!Q:Q,MATCH($E286,'큐펫&amp;몹 정리(최신)'!$B:$B,0))*25,IF($J286=3,INDEX('큐펫&amp;몹 정리(최신)'!Q:Q,MATCH($E286,'큐펫&amp;몹 정리(최신)'!$B:$B,0))*30,IF($J286=4,INDEX('큐펫&amp;몹 정리(최신)'!Q:Q,MATCH($E286,'큐펫&amp;몹 정리(최신)'!$B:$B,0))*35,INDEX('큐펫&amp;몹 정리(최신)'!Q:Q,MATCH($E286,'큐펫&amp;몹 정리(최신)'!$B:$B,0))*40))))</f>
        <v>960</v>
      </c>
      <c r="M286" s="190">
        <f>IF($J286=1,INDEX('큐펫&amp;몹 정리(최신)'!R:R,MATCH($E286,'큐펫&amp;몹 정리(최신)'!$B:$B,0))*20,IF($J286=2,INDEX('큐펫&amp;몹 정리(최신)'!R:R,MATCH($E286,'큐펫&amp;몹 정리(최신)'!$B:$B,0))*25,IF($J286=3,INDEX('큐펫&amp;몹 정리(최신)'!R:R,MATCH($E286,'큐펫&amp;몹 정리(최신)'!$B:$B,0))*30,IF($J286=4,INDEX('큐펫&amp;몹 정리(최신)'!R:R,MATCH($E286,'큐펫&amp;몹 정리(최신)'!$B:$B,0))*35,INDEX('큐펫&amp;몹 정리(최신)'!R:R,MATCH($E286,'큐펫&amp;몹 정리(최신)'!$B:$B,0))*40))))</f>
        <v>160</v>
      </c>
      <c r="N286" s="190">
        <f>IF($J286=1,INDEX('큐펫&amp;몹 정리(최신)'!S:S,MATCH($E286,'큐펫&amp;몹 정리(최신)'!$B:$B,0))*20,IF($J286=2,INDEX('큐펫&amp;몹 정리(최신)'!S:S,MATCH($E286,'큐펫&amp;몹 정리(최신)'!$B:$B,0))*25,IF($J286=3,INDEX('큐펫&amp;몹 정리(최신)'!S:S,MATCH($E286,'큐펫&amp;몹 정리(최신)'!$B:$B,0))*30,IF($J286=4,INDEX('큐펫&amp;몹 정리(최신)'!S:S,MATCH($E286,'큐펫&amp;몹 정리(최신)'!$B:$B,0))*35,INDEX('큐펫&amp;몹 정리(최신)'!S:S,MATCH($E286,'큐펫&amp;몹 정리(최신)'!$B:$B,0))*40))))</f>
        <v>680</v>
      </c>
      <c r="O286" s="190">
        <f>IF($J286=1,INDEX('큐펫&amp;몹 정리(최신)'!T:T,MATCH($E286,'큐펫&amp;몹 정리(최신)'!$B:$B,0))*20,IF($J286=2,INDEX('큐펫&amp;몹 정리(최신)'!T:T,MATCH($E286,'큐펫&amp;몹 정리(최신)'!$B:$B,0))*25,IF($J286=3,INDEX('큐펫&amp;몹 정리(최신)'!T:T,MATCH($E286,'큐펫&amp;몹 정리(최신)'!$B:$B,0))*30,IF($J286=4,INDEX('큐펫&amp;몹 정리(최신)'!T:T,MATCH($E286,'큐펫&amp;몹 정리(최신)'!$B:$B,0))*35,INDEX('큐펫&amp;몹 정리(최신)'!T:T,MATCH($E286,'큐펫&amp;몹 정리(최신)'!$B:$B,0))*40))))</f>
        <v>600</v>
      </c>
      <c r="P286" s="217">
        <v>100</v>
      </c>
      <c r="Q286" s="217">
        <f t="shared" si="32"/>
        <v>302400</v>
      </c>
      <c r="R286" s="217">
        <f t="shared" si="33"/>
        <v>66370</v>
      </c>
      <c r="S286" s="217">
        <f t="shared" si="34"/>
        <v>19609</v>
      </c>
      <c r="T286" s="217">
        <f t="shared" si="35"/>
        <v>2452</v>
      </c>
      <c r="U286" s="217">
        <f t="shared" si="36"/>
        <v>62585</v>
      </c>
      <c r="V286" s="217">
        <f t="shared" si="37"/>
        <v>27638</v>
      </c>
      <c r="W286" s="217">
        <f>ROUND(AC286+(INDEX(Ref!B$1:B$9,MATCH($AI286,Ref!$A$1:$A$9,0))*P286*0.0001),)</f>
        <v>83</v>
      </c>
      <c r="X286" s="217">
        <f>ROUND(AD286+(INDEX(Ref!C$1:C$9,MATCH($AI286,Ref!$A$1:$A$9,0))*$P286*0.0001),)</f>
        <v>52</v>
      </c>
      <c r="Y286" s="217">
        <f>ROUND(AE286+(INDEX(Ref!D$1:D$9,MATCH($AI286,Ref!$A$1:$A$9,0))*$P286*0.0001),)</f>
        <v>84</v>
      </c>
      <c r="Z286" s="217">
        <f>ROUND(AF286+(INDEX(Ref!E$1:E$9,MATCH($AI286,Ref!$A$1:$A$9,0))*$P286*0.0001),)</f>
        <v>38</v>
      </c>
      <c r="AA286" s="217">
        <f>ROUND(AG286+(INDEX(Ref!F$1:F$9,MATCH($AI286,Ref!$A$1:$A$9,0))*$P286*0.0001),)</f>
        <v>45</v>
      </c>
      <c r="AB286" s="217">
        <f>ROUND(AH286+(INDEX(Ref!G$1:G$9,MATCH($AI286,Ref!$A$1:$A$9,0))*$P286*0.0001),)</f>
        <v>42</v>
      </c>
      <c r="AC286" s="137">
        <v>58.000000000000007</v>
      </c>
      <c r="AD286" s="137">
        <v>36</v>
      </c>
      <c r="AE286" s="137">
        <v>64</v>
      </c>
      <c r="AF286" s="137">
        <v>26</v>
      </c>
      <c r="AG286" s="137">
        <v>31</v>
      </c>
      <c r="AH286" s="137">
        <v>29</v>
      </c>
      <c r="AI286" s="208">
        <v>1</v>
      </c>
      <c r="AJ286" s="172">
        <v>3000</v>
      </c>
      <c r="AK286" s="172">
        <v>30339</v>
      </c>
      <c r="AL286" s="172">
        <v>2000</v>
      </c>
      <c r="AM286" s="172">
        <v>30342</v>
      </c>
      <c r="AN286" s="172">
        <v>0</v>
      </c>
      <c r="AO286" s="172">
        <f t="shared" si="38"/>
        <v>34339</v>
      </c>
      <c r="AP286" s="172">
        <v>0</v>
      </c>
      <c r="AQ286" s="172">
        <f t="shared" si="39"/>
        <v>34342</v>
      </c>
      <c r="AR286" s="172">
        <v>1</v>
      </c>
      <c r="AS286" s="172">
        <v>0</v>
      </c>
      <c r="AT286" s="199">
        <v>78057</v>
      </c>
      <c r="AU286" s="195" t="s">
        <v>242</v>
      </c>
    </row>
    <row r="287" spans="1:47" x14ac:dyDescent="0.2">
      <c r="A287" s="173">
        <v>55058</v>
      </c>
      <c r="B287" s="174" t="s">
        <v>243</v>
      </c>
      <c r="C287" s="172">
        <v>86058</v>
      </c>
      <c r="D287" s="172">
        <v>150058</v>
      </c>
      <c r="E287" s="206" t="s">
        <v>244</v>
      </c>
      <c r="F287" s="207">
        <v>4</v>
      </c>
      <c r="G287" s="172">
        <v>10000</v>
      </c>
      <c r="H287" s="172">
        <v>10000</v>
      </c>
      <c r="I287" s="172">
        <v>10000</v>
      </c>
      <c r="J287" s="172">
        <v>1</v>
      </c>
      <c r="K287" s="190">
        <f>IF($J287=1,INDEX('큐펫&amp;몹 정리(최신)'!P:P,MATCH($E287,'큐펫&amp;몹 정리(최신)'!$B:$B,0))*20,IF($J287=2,INDEX('큐펫&amp;몹 정리(최신)'!P:P,MATCH($E287,'큐펫&amp;몹 정리(최신)'!$B:$B,0))*25,IF($J287=3,INDEX('큐펫&amp;몹 정리(최신)'!P:P,MATCH($E287,'큐펫&amp;몹 정리(최신)'!$B:$B,0))*30,IF($J287=4,INDEX('큐펫&amp;몹 정리(최신)'!P:P,MATCH($E287,'큐펫&amp;몹 정리(최신)'!$B:$B,0))*35,INDEX('큐펫&amp;몹 정리(최신)'!P:P,MATCH($E287,'큐펫&amp;몹 정리(최신)'!$B:$B,0))*40))))</f>
        <v>800</v>
      </c>
      <c r="L287" s="190">
        <f>IF($J287=1,INDEX('큐펫&amp;몹 정리(최신)'!Q:Q,MATCH($E287,'큐펫&amp;몹 정리(최신)'!$B:$B,0))*20,IF($J287=2,INDEX('큐펫&amp;몹 정리(최신)'!Q:Q,MATCH($E287,'큐펫&amp;몹 정리(최신)'!$B:$B,0))*25,IF($J287=3,INDEX('큐펫&amp;몹 정리(최신)'!Q:Q,MATCH($E287,'큐펫&amp;몹 정리(최신)'!$B:$B,0))*30,IF($J287=4,INDEX('큐펫&amp;몹 정리(최신)'!Q:Q,MATCH($E287,'큐펫&amp;몹 정리(최신)'!$B:$B,0))*35,INDEX('큐펫&amp;몹 정리(최신)'!Q:Q,MATCH($E287,'큐펫&amp;몹 정리(최신)'!$B:$B,0))*40))))</f>
        <v>440</v>
      </c>
      <c r="M287" s="190">
        <f>IF($J287=1,INDEX('큐펫&amp;몹 정리(최신)'!R:R,MATCH($E287,'큐펫&amp;몹 정리(최신)'!$B:$B,0))*20,IF($J287=2,INDEX('큐펫&amp;몹 정리(최신)'!R:R,MATCH($E287,'큐펫&amp;몹 정리(최신)'!$B:$B,0))*25,IF($J287=3,INDEX('큐펫&amp;몹 정리(최신)'!R:R,MATCH($E287,'큐펫&amp;몹 정리(최신)'!$B:$B,0))*30,IF($J287=4,INDEX('큐펫&amp;몹 정리(최신)'!R:R,MATCH($E287,'큐펫&amp;몹 정리(최신)'!$B:$B,0))*35,INDEX('큐펫&amp;몹 정리(최신)'!R:R,MATCH($E287,'큐펫&amp;몹 정리(최신)'!$B:$B,0))*40))))</f>
        <v>100</v>
      </c>
      <c r="N287" s="190">
        <f>IF($J287=1,INDEX('큐펫&amp;몹 정리(최신)'!S:S,MATCH($E287,'큐펫&amp;몹 정리(최신)'!$B:$B,0))*20,IF($J287=2,INDEX('큐펫&amp;몹 정리(최신)'!S:S,MATCH($E287,'큐펫&amp;몹 정리(최신)'!$B:$B,0))*25,IF($J287=3,INDEX('큐펫&amp;몹 정리(최신)'!S:S,MATCH($E287,'큐펫&amp;몹 정리(최신)'!$B:$B,0))*30,IF($J287=4,INDEX('큐펫&amp;몹 정리(최신)'!S:S,MATCH($E287,'큐펫&amp;몹 정리(최신)'!$B:$B,0))*35,INDEX('큐펫&amp;몹 정리(최신)'!S:S,MATCH($E287,'큐펫&amp;몹 정리(최신)'!$B:$B,0))*40))))</f>
        <v>420</v>
      </c>
      <c r="O287" s="190">
        <f>IF($J287=1,INDEX('큐펫&amp;몹 정리(최신)'!T:T,MATCH($E287,'큐펫&amp;몹 정리(최신)'!$B:$B,0))*20,IF($J287=2,INDEX('큐펫&amp;몹 정리(최신)'!T:T,MATCH($E287,'큐펫&amp;몹 정리(최신)'!$B:$B,0))*25,IF($J287=3,INDEX('큐펫&amp;몹 정리(최신)'!T:T,MATCH($E287,'큐펫&amp;몹 정리(최신)'!$B:$B,0))*30,IF($J287=4,INDEX('큐펫&amp;몹 정리(최신)'!T:T,MATCH($E287,'큐펫&amp;몹 정리(최신)'!$B:$B,0))*35,INDEX('큐펫&amp;몹 정리(최신)'!T:T,MATCH($E287,'큐펫&amp;몹 정리(최신)'!$B:$B,0))*40))))</f>
        <v>240</v>
      </c>
      <c r="P287" s="217">
        <v>20</v>
      </c>
      <c r="Q287" s="217">
        <f t="shared" si="32"/>
        <v>29440</v>
      </c>
      <c r="R287" s="217">
        <f t="shared" si="33"/>
        <v>4590</v>
      </c>
      <c r="S287" s="217">
        <f t="shared" si="34"/>
        <v>3527</v>
      </c>
      <c r="T287" s="217">
        <f t="shared" si="35"/>
        <v>693</v>
      </c>
      <c r="U287" s="217">
        <f t="shared" si="36"/>
        <v>16600</v>
      </c>
      <c r="V287" s="217">
        <f t="shared" si="37"/>
        <v>4765</v>
      </c>
      <c r="W287" s="217">
        <f>ROUND(AC287+(INDEX(Ref!B$1:B$9,MATCH($AI287,Ref!$A$1:$A$9,0))*P287*0.0001),)</f>
        <v>32</v>
      </c>
      <c r="X287" s="217">
        <f>ROUND(AD287+(INDEX(Ref!C$1:C$9,MATCH($AI287,Ref!$A$1:$A$9,0))*$P287*0.0001),)</f>
        <v>21</v>
      </c>
      <c r="Y287" s="217">
        <f>ROUND(AE287+(INDEX(Ref!D$1:D$9,MATCH($AI287,Ref!$A$1:$A$9,0))*$P287*0.0001),)</f>
        <v>59</v>
      </c>
      <c r="Z287" s="217">
        <f>ROUND(AF287+(INDEX(Ref!E$1:E$9,MATCH($AI287,Ref!$A$1:$A$9,0))*$P287*0.0001),)</f>
        <v>25</v>
      </c>
      <c r="AA287" s="217">
        <f>ROUND(AG287+(INDEX(Ref!F$1:F$9,MATCH($AI287,Ref!$A$1:$A$9,0))*$P287*0.0001),)</f>
        <v>28</v>
      </c>
      <c r="AB287" s="217">
        <f>ROUND(AH287+(INDEX(Ref!G$1:G$9,MATCH($AI287,Ref!$A$1:$A$9,0))*$P287*0.0001),)</f>
        <v>19</v>
      </c>
      <c r="AC287" s="137">
        <v>28</v>
      </c>
      <c r="AD287" s="137">
        <v>18</v>
      </c>
      <c r="AE287" s="137">
        <v>54</v>
      </c>
      <c r="AF287" s="137">
        <v>22</v>
      </c>
      <c r="AG287" s="137">
        <v>25</v>
      </c>
      <c r="AH287" s="137">
        <v>17</v>
      </c>
      <c r="AI287" s="208">
        <v>3</v>
      </c>
      <c r="AJ287" s="172">
        <v>3000</v>
      </c>
      <c r="AK287" s="172">
        <v>30343</v>
      </c>
      <c r="AL287" s="172">
        <v>2000</v>
      </c>
      <c r="AM287" s="172">
        <v>30346</v>
      </c>
      <c r="AN287" s="172">
        <v>0</v>
      </c>
      <c r="AO287" s="172">
        <f t="shared" si="38"/>
        <v>34343</v>
      </c>
      <c r="AP287" s="172">
        <v>0</v>
      </c>
      <c r="AQ287" s="172">
        <f t="shared" si="39"/>
        <v>34346</v>
      </c>
      <c r="AR287" s="172">
        <v>1</v>
      </c>
      <c r="AS287" s="172">
        <v>0</v>
      </c>
      <c r="AT287" s="199">
        <v>78058</v>
      </c>
      <c r="AU287" s="195" t="s">
        <v>245</v>
      </c>
    </row>
    <row r="288" spans="1:47" x14ac:dyDescent="0.2">
      <c r="A288" s="173">
        <v>55058</v>
      </c>
      <c r="B288" s="174" t="s">
        <v>243</v>
      </c>
      <c r="C288" s="172">
        <v>86058</v>
      </c>
      <c r="D288" s="172">
        <v>150058</v>
      </c>
      <c r="E288" s="206" t="s">
        <v>244</v>
      </c>
      <c r="F288" s="207">
        <v>4</v>
      </c>
      <c r="G288" s="172">
        <v>10000</v>
      </c>
      <c r="H288" s="172">
        <v>10000</v>
      </c>
      <c r="I288" s="172">
        <v>10000</v>
      </c>
      <c r="J288" s="172">
        <v>2</v>
      </c>
      <c r="K288" s="190">
        <f>IF($J288=1,INDEX('큐펫&amp;몹 정리(최신)'!P:P,MATCH($E288,'큐펫&amp;몹 정리(최신)'!$B:$B,0))*20,IF($J288=2,INDEX('큐펫&amp;몹 정리(최신)'!P:P,MATCH($E288,'큐펫&amp;몹 정리(최신)'!$B:$B,0))*25,IF($J288=3,INDEX('큐펫&amp;몹 정리(최신)'!P:P,MATCH($E288,'큐펫&amp;몹 정리(최신)'!$B:$B,0))*30,IF($J288=4,INDEX('큐펫&amp;몹 정리(최신)'!P:P,MATCH($E288,'큐펫&amp;몹 정리(최신)'!$B:$B,0))*35,INDEX('큐펫&amp;몹 정리(최신)'!P:P,MATCH($E288,'큐펫&amp;몹 정리(최신)'!$B:$B,0))*40))))</f>
        <v>1000</v>
      </c>
      <c r="L288" s="190">
        <f>IF($J288=1,INDEX('큐펫&amp;몹 정리(최신)'!Q:Q,MATCH($E288,'큐펫&amp;몹 정리(최신)'!$B:$B,0))*20,IF($J288=2,INDEX('큐펫&amp;몹 정리(최신)'!Q:Q,MATCH($E288,'큐펫&amp;몹 정리(최신)'!$B:$B,0))*25,IF($J288=3,INDEX('큐펫&amp;몹 정리(최신)'!Q:Q,MATCH($E288,'큐펫&amp;몹 정리(최신)'!$B:$B,0))*30,IF($J288=4,INDEX('큐펫&amp;몹 정리(최신)'!Q:Q,MATCH($E288,'큐펫&amp;몹 정리(최신)'!$B:$B,0))*35,INDEX('큐펫&amp;몹 정리(최신)'!Q:Q,MATCH($E288,'큐펫&amp;몹 정리(최신)'!$B:$B,0))*40))))</f>
        <v>550</v>
      </c>
      <c r="M288" s="190">
        <f>IF($J288=1,INDEX('큐펫&amp;몹 정리(최신)'!R:R,MATCH($E288,'큐펫&amp;몹 정리(최신)'!$B:$B,0))*20,IF($J288=2,INDEX('큐펫&amp;몹 정리(최신)'!R:R,MATCH($E288,'큐펫&amp;몹 정리(최신)'!$B:$B,0))*25,IF($J288=3,INDEX('큐펫&amp;몹 정리(최신)'!R:R,MATCH($E288,'큐펫&amp;몹 정리(최신)'!$B:$B,0))*30,IF($J288=4,INDEX('큐펫&amp;몹 정리(최신)'!R:R,MATCH($E288,'큐펫&amp;몹 정리(최신)'!$B:$B,0))*35,INDEX('큐펫&amp;몹 정리(최신)'!R:R,MATCH($E288,'큐펫&amp;몹 정리(최신)'!$B:$B,0))*40))))</f>
        <v>125</v>
      </c>
      <c r="N288" s="190">
        <f>IF($J288=1,INDEX('큐펫&amp;몹 정리(최신)'!S:S,MATCH($E288,'큐펫&amp;몹 정리(최신)'!$B:$B,0))*20,IF($J288=2,INDEX('큐펫&amp;몹 정리(최신)'!S:S,MATCH($E288,'큐펫&amp;몹 정리(최신)'!$B:$B,0))*25,IF($J288=3,INDEX('큐펫&amp;몹 정리(최신)'!S:S,MATCH($E288,'큐펫&amp;몹 정리(최신)'!$B:$B,0))*30,IF($J288=4,INDEX('큐펫&amp;몹 정리(최신)'!S:S,MATCH($E288,'큐펫&amp;몹 정리(최신)'!$B:$B,0))*35,INDEX('큐펫&amp;몹 정리(최신)'!S:S,MATCH($E288,'큐펫&amp;몹 정리(최신)'!$B:$B,0))*40))))</f>
        <v>525</v>
      </c>
      <c r="O288" s="190">
        <f>IF($J288=1,INDEX('큐펫&amp;몹 정리(최신)'!T:T,MATCH($E288,'큐펫&amp;몹 정리(최신)'!$B:$B,0))*20,IF($J288=2,INDEX('큐펫&amp;몹 정리(최신)'!T:T,MATCH($E288,'큐펫&amp;몹 정리(최신)'!$B:$B,0))*25,IF($J288=3,INDEX('큐펫&amp;몹 정리(최신)'!T:T,MATCH($E288,'큐펫&amp;몹 정리(최신)'!$B:$B,0))*30,IF($J288=4,INDEX('큐펫&amp;몹 정리(최신)'!T:T,MATCH($E288,'큐펫&amp;몹 정리(최신)'!$B:$B,0))*35,INDEX('큐펫&amp;몹 정리(최신)'!T:T,MATCH($E288,'큐펫&amp;몹 정리(최신)'!$B:$B,0))*40))))</f>
        <v>300</v>
      </c>
      <c r="P288" s="217">
        <v>40</v>
      </c>
      <c r="Q288" s="217">
        <f t="shared" si="32"/>
        <v>72600</v>
      </c>
      <c r="R288" s="217">
        <f t="shared" si="33"/>
        <v>8913</v>
      </c>
      <c r="S288" s="217">
        <f t="shared" si="34"/>
        <v>6842</v>
      </c>
      <c r="T288" s="217">
        <f t="shared" si="35"/>
        <v>1293</v>
      </c>
      <c r="U288" s="217">
        <f t="shared" si="36"/>
        <v>28624</v>
      </c>
      <c r="V288" s="217">
        <f t="shared" si="37"/>
        <v>8206</v>
      </c>
      <c r="W288" s="217">
        <f>ROUND(AC288+(INDEX(Ref!B$1:B$9,MATCH($AI288,Ref!$A$1:$A$9,0))*P288*0.0001),)</f>
        <v>40</v>
      </c>
      <c r="X288" s="217">
        <f>ROUND(AD288+(INDEX(Ref!C$1:C$9,MATCH($AI288,Ref!$A$1:$A$9,0))*$P288*0.0001),)</f>
        <v>26</v>
      </c>
      <c r="Y288" s="217">
        <f>ROUND(AE288+(INDEX(Ref!D$1:D$9,MATCH($AI288,Ref!$A$1:$A$9,0))*$P288*0.0001),)</f>
        <v>69</v>
      </c>
      <c r="Z288" s="217">
        <f>ROUND(AF288+(INDEX(Ref!E$1:E$9,MATCH($AI288,Ref!$A$1:$A$9,0))*$P288*0.0001),)</f>
        <v>31</v>
      </c>
      <c r="AA288" s="217">
        <f>ROUND(AG288+(INDEX(Ref!F$1:F$9,MATCH($AI288,Ref!$A$1:$A$9,0))*$P288*0.0001),)</f>
        <v>35</v>
      </c>
      <c r="AB288" s="217">
        <f>ROUND(AH288+(INDEX(Ref!G$1:G$9,MATCH($AI288,Ref!$A$1:$A$9,0))*$P288*0.0001),)</f>
        <v>24</v>
      </c>
      <c r="AC288" s="137">
        <v>32</v>
      </c>
      <c r="AD288" s="137">
        <v>21</v>
      </c>
      <c r="AE288" s="137">
        <v>59</v>
      </c>
      <c r="AF288" s="137">
        <v>25</v>
      </c>
      <c r="AG288" s="137">
        <v>28</v>
      </c>
      <c r="AH288" s="137">
        <v>19</v>
      </c>
      <c r="AI288" s="208">
        <v>3</v>
      </c>
      <c r="AJ288" s="172">
        <v>3000</v>
      </c>
      <c r="AK288" s="172">
        <v>30344</v>
      </c>
      <c r="AL288" s="172">
        <v>2000</v>
      </c>
      <c r="AM288" s="172">
        <v>30346</v>
      </c>
      <c r="AN288" s="172">
        <v>0</v>
      </c>
      <c r="AO288" s="172">
        <f t="shared" si="38"/>
        <v>34344</v>
      </c>
      <c r="AP288" s="172">
        <v>0</v>
      </c>
      <c r="AQ288" s="172">
        <f t="shared" si="39"/>
        <v>34346</v>
      </c>
      <c r="AR288" s="172">
        <v>1</v>
      </c>
      <c r="AS288" s="172">
        <v>0</v>
      </c>
      <c r="AT288" s="199">
        <v>78058</v>
      </c>
      <c r="AU288" s="195" t="s">
        <v>245</v>
      </c>
    </row>
    <row r="289" spans="1:47" x14ac:dyDescent="0.2">
      <c r="A289" s="173">
        <v>55058</v>
      </c>
      <c r="B289" s="174" t="s">
        <v>243</v>
      </c>
      <c r="C289" s="172">
        <v>86058</v>
      </c>
      <c r="D289" s="172">
        <v>150058</v>
      </c>
      <c r="E289" s="206" t="s">
        <v>244</v>
      </c>
      <c r="F289" s="207">
        <v>4</v>
      </c>
      <c r="G289" s="172">
        <v>10000</v>
      </c>
      <c r="H289" s="172">
        <v>10000</v>
      </c>
      <c r="I289" s="172">
        <v>10000</v>
      </c>
      <c r="J289" s="172">
        <v>3</v>
      </c>
      <c r="K289" s="190">
        <f>IF($J289=1,INDEX('큐펫&amp;몹 정리(최신)'!P:P,MATCH($E289,'큐펫&amp;몹 정리(최신)'!$B:$B,0))*20,IF($J289=2,INDEX('큐펫&amp;몹 정리(최신)'!P:P,MATCH($E289,'큐펫&amp;몹 정리(최신)'!$B:$B,0))*25,IF($J289=3,INDEX('큐펫&amp;몹 정리(최신)'!P:P,MATCH($E289,'큐펫&amp;몹 정리(최신)'!$B:$B,0))*30,IF($J289=4,INDEX('큐펫&amp;몹 정리(최신)'!P:P,MATCH($E289,'큐펫&amp;몹 정리(최신)'!$B:$B,0))*35,INDEX('큐펫&amp;몹 정리(최신)'!P:P,MATCH($E289,'큐펫&amp;몹 정리(최신)'!$B:$B,0))*40))))</f>
        <v>1200</v>
      </c>
      <c r="L289" s="190">
        <f>IF($J289=1,INDEX('큐펫&amp;몹 정리(최신)'!Q:Q,MATCH($E289,'큐펫&amp;몹 정리(최신)'!$B:$B,0))*20,IF($J289=2,INDEX('큐펫&amp;몹 정리(최신)'!Q:Q,MATCH($E289,'큐펫&amp;몹 정리(최신)'!$B:$B,0))*25,IF($J289=3,INDEX('큐펫&amp;몹 정리(최신)'!Q:Q,MATCH($E289,'큐펫&amp;몹 정리(최신)'!$B:$B,0))*30,IF($J289=4,INDEX('큐펫&amp;몹 정리(최신)'!Q:Q,MATCH($E289,'큐펫&amp;몹 정리(최신)'!$B:$B,0))*35,INDEX('큐펫&amp;몹 정리(최신)'!Q:Q,MATCH($E289,'큐펫&amp;몹 정리(최신)'!$B:$B,0))*40))))</f>
        <v>660</v>
      </c>
      <c r="M289" s="190">
        <f>IF($J289=1,INDEX('큐펫&amp;몹 정리(최신)'!R:R,MATCH($E289,'큐펫&amp;몹 정리(최신)'!$B:$B,0))*20,IF($J289=2,INDEX('큐펫&amp;몹 정리(최신)'!R:R,MATCH($E289,'큐펫&amp;몹 정리(최신)'!$B:$B,0))*25,IF($J289=3,INDEX('큐펫&amp;몹 정리(최신)'!R:R,MATCH($E289,'큐펫&amp;몹 정리(최신)'!$B:$B,0))*30,IF($J289=4,INDEX('큐펫&amp;몹 정리(최신)'!R:R,MATCH($E289,'큐펫&amp;몹 정리(최신)'!$B:$B,0))*35,INDEX('큐펫&amp;몹 정리(최신)'!R:R,MATCH($E289,'큐펫&amp;몹 정리(최신)'!$B:$B,0))*40))))</f>
        <v>150</v>
      </c>
      <c r="N289" s="190">
        <f>IF($J289=1,INDEX('큐펫&amp;몹 정리(최신)'!S:S,MATCH($E289,'큐펫&amp;몹 정리(최신)'!$B:$B,0))*20,IF($J289=2,INDEX('큐펫&amp;몹 정리(최신)'!S:S,MATCH($E289,'큐펫&amp;몹 정리(최신)'!$B:$B,0))*25,IF($J289=3,INDEX('큐펫&amp;몹 정리(최신)'!S:S,MATCH($E289,'큐펫&amp;몹 정리(최신)'!$B:$B,0))*30,IF($J289=4,INDEX('큐펫&amp;몹 정리(최신)'!S:S,MATCH($E289,'큐펫&amp;몹 정리(최신)'!$B:$B,0))*35,INDEX('큐펫&amp;몹 정리(최신)'!S:S,MATCH($E289,'큐펫&amp;몹 정리(최신)'!$B:$B,0))*40))))</f>
        <v>630</v>
      </c>
      <c r="O289" s="190">
        <f>IF($J289=1,INDEX('큐펫&amp;몹 정리(최신)'!T:T,MATCH($E289,'큐펫&amp;몹 정리(최신)'!$B:$B,0))*20,IF($J289=2,INDEX('큐펫&amp;몹 정리(최신)'!T:T,MATCH($E289,'큐펫&amp;몹 정리(최신)'!$B:$B,0))*25,IF($J289=3,INDEX('큐펫&amp;몹 정리(최신)'!T:T,MATCH($E289,'큐펫&amp;몹 정리(최신)'!$B:$B,0))*30,IF($J289=4,INDEX('큐펫&amp;몹 정리(최신)'!T:T,MATCH($E289,'큐펫&amp;몹 정리(최신)'!$B:$B,0))*35,INDEX('큐펫&amp;몹 정리(최신)'!T:T,MATCH($E289,'큐펫&amp;몹 정리(최신)'!$B:$B,0))*40))))</f>
        <v>360</v>
      </c>
      <c r="P289" s="217">
        <v>60</v>
      </c>
      <c r="Q289" s="217">
        <f t="shared" si="32"/>
        <v>134160</v>
      </c>
      <c r="R289" s="217">
        <f t="shared" si="33"/>
        <v>14719</v>
      </c>
      <c r="S289" s="217">
        <f t="shared" si="34"/>
        <v>11773</v>
      </c>
      <c r="T289" s="217">
        <f t="shared" si="35"/>
        <v>2169</v>
      </c>
      <c r="U289" s="217">
        <f t="shared" si="36"/>
        <v>43484</v>
      </c>
      <c r="V289" s="217">
        <f t="shared" si="37"/>
        <v>12457</v>
      </c>
      <c r="W289" s="217">
        <f>ROUND(AC289+(INDEX(Ref!B$1:B$9,MATCH($AI289,Ref!$A$1:$A$9,0))*P289*0.0001),)</f>
        <v>47</v>
      </c>
      <c r="X289" s="217">
        <f>ROUND(AD289+(INDEX(Ref!C$1:C$9,MATCH($AI289,Ref!$A$1:$A$9,0))*$P289*0.0001),)</f>
        <v>31</v>
      </c>
      <c r="Y289" s="217">
        <f>ROUND(AE289+(INDEX(Ref!D$1:D$9,MATCH($AI289,Ref!$A$1:$A$9,0))*$P289*0.0001),)</f>
        <v>78</v>
      </c>
      <c r="Z289" s="217">
        <f>ROUND(AF289+(INDEX(Ref!E$1:E$9,MATCH($AI289,Ref!$A$1:$A$9,0))*$P289*0.0001),)</f>
        <v>37</v>
      </c>
      <c r="AA289" s="217">
        <f>ROUND(AG289+(INDEX(Ref!F$1:F$9,MATCH($AI289,Ref!$A$1:$A$9,0))*$P289*0.0001),)</f>
        <v>42</v>
      </c>
      <c r="AB289" s="217">
        <f>ROUND(AH289+(INDEX(Ref!G$1:G$9,MATCH($AI289,Ref!$A$1:$A$9,0))*$P289*0.0001),)</f>
        <v>28</v>
      </c>
      <c r="AC289" s="137">
        <v>36</v>
      </c>
      <c r="AD289" s="137">
        <v>23</v>
      </c>
      <c r="AE289" s="137">
        <v>64</v>
      </c>
      <c r="AF289" s="137">
        <v>28</v>
      </c>
      <c r="AG289" s="137">
        <v>32</v>
      </c>
      <c r="AH289" s="137">
        <v>21</v>
      </c>
      <c r="AI289" s="208">
        <v>3</v>
      </c>
      <c r="AJ289" s="172">
        <v>3000</v>
      </c>
      <c r="AK289" s="172">
        <v>30344</v>
      </c>
      <c r="AL289" s="172">
        <v>2000</v>
      </c>
      <c r="AM289" s="172">
        <v>30347</v>
      </c>
      <c r="AN289" s="172">
        <v>0</v>
      </c>
      <c r="AO289" s="172">
        <f t="shared" si="38"/>
        <v>34344</v>
      </c>
      <c r="AP289" s="172">
        <v>0</v>
      </c>
      <c r="AQ289" s="172">
        <f t="shared" si="39"/>
        <v>34347</v>
      </c>
      <c r="AR289" s="172">
        <v>1</v>
      </c>
      <c r="AS289" s="172">
        <v>0</v>
      </c>
      <c r="AT289" s="199">
        <v>78058</v>
      </c>
      <c r="AU289" s="195" t="s">
        <v>245</v>
      </c>
    </row>
    <row r="290" spans="1:47" x14ac:dyDescent="0.2">
      <c r="A290" s="173">
        <v>55058</v>
      </c>
      <c r="B290" s="174" t="s">
        <v>243</v>
      </c>
      <c r="C290" s="172">
        <v>86058</v>
      </c>
      <c r="D290" s="172">
        <v>150058</v>
      </c>
      <c r="E290" s="206" t="s">
        <v>244</v>
      </c>
      <c r="F290" s="207">
        <v>4</v>
      </c>
      <c r="G290" s="172">
        <v>10000</v>
      </c>
      <c r="H290" s="172">
        <v>10000</v>
      </c>
      <c r="I290" s="172">
        <v>10000</v>
      </c>
      <c r="J290" s="172">
        <v>4</v>
      </c>
      <c r="K290" s="190">
        <f>IF($J290=1,INDEX('큐펫&amp;몹 정리(최신)'!P:P,MATCH($E290,'큐펫&amp;몹 정리(최신)'!$B:$B,0))*20,IF($J290=2,INDEX('큐펫&amp;몹 정리(최신)'!P:P,MATCH($E290,'큐펫&amp;몹 정리(최신)'!$B:$B,0))*25,IF($J290=3,INDEX('큐펫&amp;몹 정리(최신)'!P:P,MATCH($E290,'큐펫&amp;몹 정리(최신)'!$B:$B,0))*30,IF($J290=4,INDEX('큐펫&amp;몹 정리(최신)'!P:P,MATCH($E290,'큐펫&amp;몹 정리(최신)'!$B:$B,0))*35,INDEX('큐펫&amp;몹 정리(최신)'!P:P,MATCH($E290,'큐펫&amp;몹 정리(최신)'!$B:$B,0))*40))))</f>
        <v>1400</v>
      </c>
      <c r="L290" s="190">
        <f>IF($J290=1,INDEX('큐펫&amp;몹 정리(최신)'!Q:Q,MATCH($E290,'큐펫&amp;몹 정리(최신)'!$B:$B,0))*20,IF($J290=2,INDEX('큐펫&amp;몹 정리(최신)'!Q:Q,MATCH($E290,'큐펫&amp;몹 정리(최신)'!$B:$B,0))*25,IF($J290=3,INDEX('큐펫&amp;몹 정리(최신)'!Q:Q,MATCH($E290,'큐펫&amp;몹 정리(최신)'!$B:$B,0))*30,IF($J290=4,INDEX('큐펫&amp;몹 정리(최신)'!Q:Q,MATCH($E290,'큐펫&amp;몹 정리(최신)'!$B:$B,0))*35,INDEX('큐펫&amp;몹 정리(최신)'!Q:Q,MATCH($E290,'큐펫&amp;몹 정리(최신)'!$B:$B,0))*40))))</f>
        <v>770</v>
      </c>
      <c r="M290" s="190">
        <f>IF($J290=1,INDEX('큐펫&amp;몹 정리(최신)'!R:R,MATCH($E290,'큐펫&amp;몹 정리(최신)'!$B:$B,0))*20,IF($J290=2,INDEX('큐펫&amp;몹 정리(최신)'!R:R,MATCH($E290,'큐펫&amp;몹 정리(최신)'!$B:$B,0))*25,IF($J290=3,INDEX('큐펫&amp;몹 정리(최신)'!R:R,MATCH($E290,'큐펫&amp;몹 정리(최신)'!$B:$B,0))*30,IF($J290=4,INDEX('큐펫&amp;몹 정리(최신)'!R:R,MATCH($E290,'큐펫&amp;몹 정리(최신)'!$B:$B,0))*35,INDEX('큐펫&amp;몹 정리(최신)'!R:R,MATCH($E290,'큐펫&amp;몹 정리(최신)'!$B:$B,0))*40))))</f>
        <v>175</v>
      </c>
      <c r="N290" s="190">
        <f>IF($J290=1,INDEX('큐펫&amp;몹 정리(최신)'!S:S,MATCH($E290,'큐펫&amp;몹 정리(최신)'!$B:$B,0))*20,IF($J290=2,INDEX('큐펫&amp;몹 정리(최신)'!S:S,MATCH($E290,'큐펫&amp;몹 정리(최신)'!$B:$B,0))*25,IF($J290=3,INDEX('큐펫&amp;몹 정리(최신)'!S:S,MATCH($E290,'큐펫&amp;몹 정리(최신)'!$B:$B,0))*30,IF($J290=4,INDEX('큐펫&amp;몹 정리(최신)'!S:S,MATCH($E290,'큐펫&amp;몹 정리(최신)'!$B:$B,0))*35,INDEX('큐펫&amp;몹 정리(최신)'!S:S,MATCH($E290,'큐펫&amp;몹 정리(최신)'!$B:$B,0))*40))))</f>
        <v>735</v>
      </c>
      <c r="O290" s="190">
        <f>IF($J290=1,INDEX('큐펫&amp;몹 정리(최신)'!T:T,MATCH($E290,'큐펫&amp;몹 정리(최신)'!$B:$B,0))*20,IF($J290=2,INDEX('큐펫&amp;몹 정리(최신)'!T:T,MATCH($E290,'큐펫&amp;몹 정리(최신)'!$B:$B,0))*25,IF($J290=3,INDEX('큐펫&amp;몹 정리(최신)'!T:T,MATCH($E290,'큐펫&amp;몹 정리(최신)'!$B:$B,0))*30,IF($J290=4,INDEX('큐펫&amp;몹 정리(최신)'!T:T,MATCH($E290,'큐펫&amp;몹 정리(최신)'!$B:$B,0))*35,INDEX('큐펫&amp;몹 정리(최신)'!T:T,MATCH($E290,'큐펫&amp;몹 정리(최신)'!$B:$B,0))*40))))</f>
        <v>420</v>
      </c>
      <c r="P290" s="217">
        <v>80</v>
      </c>
      <c r="Q290" s="217">
        <f t="shared" si="32"/>
        <v>217560</v>
      </c>
      <c r="R290" s="217">
        <f t="shared" si="33"/>
        <v>22620</v>
      </c>
      <c r="S290" s="217">
        <f t="shared" si="34"/>
        <v>18646</v>
      </c>
      <c r="T290" s="217">
        <f t="shared" si="35"/>
        <v>3376</v>
      </c>
      <c r="U290" s="217">
        <f t="shared" si="36"/>
        <v>61756</v>
      </c>
      <c r="V290" s="217">
        <f t="shared" si="37"/>
        <v>17683</v>
      </c>
      <c r="W290" s="217">
        <f>ROUND(AC290+(INDEX(Ref!B$1:B$9,MATCH($AI290,Ref!$A$1:$A$9,0))*P290*0.0001),)</f>
        <v>54</v>
      </c>
      <c r="X290" s="217">
        <f>ROUND(AD290+(INDEX(Ref!C$1:C$9,MATCH($AI290,Ref!$A$1:$A$9,0))*$P290*0.0001),)</f>
        <v>36</v>
      </c>
      <c r="Y290" s="217">
        <f>ROUND(AE290+(INDEX(Ref!D$1:D$9,MATCH($AI290,Ref!$A$1:$A$9,0))*$P290*0.0001),)</f>
        <v>88</v>
      </c>
      <c r="Z290" s="217">
        <f>ROUND(AF290+(INDEX(Ref!E$1:E$9,MATCH($AI290,Ref!$A$1:$A$9,0))*$P290*0.0001),)</f>
        <v>43</v>
      </c>
      <c r="AA290" s="217">
        <f>ROUND(AG290+(INDEX(Ref!F$1:F$9,MATCH($AI290,Ref!$A$1:$A$9,0))*$P290*0.0001),)</f>
        <v>49</v>
      </c>
      <c r="AB290" s="217">
        <f>ROUND(AH290+(INDEX(Ref!G$1:G$9,MATCH($AI290,Ref!$A$1:$A$9,0))*$P290*0.0001),)</f>
        <v>34</v>
      </c>
      <c r="AC290" s="137">
        <v>39</v>
      </c>
      <c r="AD290" s="137">
        <v>26</v>
      </c>
      <c r="AE290" s="137">
        <v>69</v>
      </c>
      <c r="AF290" s="137">
        <v>31</v>
      </c>
      <c r="AG290" s="137">
        <v>35</v>
      </c>
      <c r="AH290" s="137">
        <v>24</v>
      </c>
      <c r="AI290" s="208">
        <v>3</v>
      </c>
      <c r="AJ290" s="172">
        <v>3000</v>
      </c>
      <c r="AK290" s="172">
        <v>30345</v>
      </c>
      <c r="AL290" s="172">
        <v>2000</v>
      </c>
      <c r="AM290" s="172">
        <v>30347</v>
      </c>
      <c r="AN290" s="172">
        <v>0</v>
      </c>
      <c r="AO290" s="172">
        <f t="shared" si="38"/>
        <v>34345</v>
      </c>
      <c r="AP290" s="172">
        <v>0</v>
      </c>
      <c r="AQ290" s="172">
        <f t="shared" si="39"/>
        <v>34347</v>
      </c>
      <c r="AR290" s="172">
        <v>1</v>
      </c>
      <c r="AS290" s="172">
        <v>0</v>
      </c>
      <c r="AT290" s="199">
        <v>78058</v>
      </c>
      <c r="AU290" s="195" t="s">
        <v>245</v>
      </c>
    </row>
    <row r="291" spans="1:47" x14ac:dyDescent="0.2">
      <c r="A291" s="173">
        <v>55058</v>
      </c>
      <c r="B291" s="174" t="s">
        <v>243</v>
      </c>
      <c r="C291" s="172">
        <v>86058</v>
      </c>
      <c r="D291" s="172">
        <v>150058</v>
      </c>
      <c r="E291" s="206" t="s">
        <v>244</v>
      </c>
      <c r="F291" s="207">
        <v>4</v>
      </c>
      <c r="G291" s="172">
        <v>10000</v>
      </c>
      <c r="H291" s="172">
        <v>10000</v>
      </c>
      <c r="I291" s="172">
        <v>10000</v>
      </c>
      <c r="J291" s="172">
        <v>5</v>
      </c>
      <c r="K291" s="190">
        <f>IF($J291=1,INDEX('큐펫&amp;몹 정리(최신)'!P:P,MATCH($E291,'큐펫&amp;몹 정리(최신)'!$B:$B,0))*20,IF($J291=2,INDEX('큐펫&amp;몹 정리(최신)'!P:P,MATCH($E291,'큐펫&amp;몹 정리(최신)'!$B:$B,0))*25,IF($J291=3,INDEX('큐펫&amp;몹 정리(최신)'!P:P,MATCH($E291,'큐펫&amp;몹 정리(최신)'!$B:$B,0))*30,IF($J291=4,INDEX('큐펫&amp;몹 정리(최신)'!P:P,MATCH($E291,'큐펫&amp;몹 정리(최신)'!$B:$B,0))*35,INDEX('큐펫&amp;몹 정리(최신)'!P:P,MATCH($E291,'큐펫&amp;몹 정리(최신)'!$B:$B,0))*40))))</f>
        <v>1600</v>
      </c>
      <c r="L291" s="190">
        <f>IF($J291=1,INDEX('큐펫&amp;몹 정리(최신)'!Q:Q,MATCH($E291,'큐펫&amp;몹 정리(최신)'!$B:$B,0))*20,IF($J291=2,INDEX('큐펫&amp;몹 정리(최신)'!Q:Q,MATCH($E291,'큐펫&amp;몹 정리(최신)'!$B:$B,0))*25,IF($J291=3,INDEX('큐펫&amp;몹 정리(최신)'!Q:Q,MATCH($E291,'큐펫&amp;몹 정리(최신)'!$B:$B,0))*30,IF($J291=4,INDEX('큐펫&amp;몹 정리(최신)'!Q:Q,MATCH($E291,'큐펫&amp;몹 정리(최신)'!$B:$B,0))*35,INDEX('큐펫&amp;몹 정리(최신)'!Q:Q,MATCH($E291,'큐펫&amp;몹 정리(최신)'!$B:$B,0))*40))))</f>
        <v>880</v>
      </c>
      <c r="M291" s="190">
        <f>IF($J291=1,INDEX('큐펫&amp;몹 정리(최신)'!R:R,MATCH($E291,'큐펫&amp;몹 정리(최신)'!$B:$B,0))*20,IF($J291=2,INDEX('큐펫&amp;몹 정리(최신)'!R:R,MATCH($E291,'큐펫&amp;몹 정리(최신)'!$B:$B,0))*25,IF($J291=3,INDEX('큐펫&amp;몹 정리(최신)'!R:R,MATCH($E291,'큐펫&amp;몹 정리(최신)'!$B:$B,0))*30,IF($J291=4,INDEX('큐펫&amp;몹 정리(최신)'!R:R,MATCH($E291,'큐펫&amp;몹 정리(최신)'!$B:$B,0))*35,INDEX('큐펫&amp;몹 정리(최신)'!R:R,MATCH($E291,'큐펫&amp;몹 정리(최신)'!$B:$B,0))*40))))</f>
        <v>200</v>
      </c>
      <c r="N291" s="190">
        <f>IF($J291=1,INDEX('큐펫&amp;몹 정리(최신)'!S:S,MATCH($E291,'큐펫&amp;몹 정리(최신)'!$B:$B,0))*20,IF($J291=2,INDEX('큐펫&amp;몹 정리(최신)'!S:S,MATCH($E291,'큐펫&amp;몹 정리(최신)'!$B:$B,0))*25,IF($J291=3,INDEX('큐펫&amp;몹 정리(최신)'!S:S,MATCH($E291,'큐펫&amp;몹 정리(최신)'!$B:$B,0))*30,IF($J291=4,INDEX('큐펫&amp;몹 정리(최신)'!S:S,MATCH($E291,'큐펫&amp;몹 정리(최신)'!$B:$B,0))*35,INDEX('큐펫&amp;몹 정리(최신)'!S:S,MATCH($E291,'큐펫&amp;몹 정리(최신)'!$B:$B,0))*40))))</f>
        <v>840</v>
      </c>
      <c r="O291" s="190">
        <f>IF($J291=1,INDEX('큐펫&amp;몹 정리(최신)'!T:T,MATCH($E291,'큐펫&amp;몹 정리(최신)'!$B:$B,0))*20,IF($J291=2,INDEX('큐펫&amp;몹 정리(최신)'!T:T,MATCH($E291,'큐펫&amp;몹 정리(최신)'!$B:$B,0))*25,IF($J291=3,INDEX('큐펫&amp;몹 정리(최신)'!T:T,MATCH($E291,'큐펫&amp;몹 정리(최신)'!$B:$B,0))*30,IF($J291=4,INDEX('큐펫&amp;몹 정리(최신)'!T:T,MATCH($E291,'큐펫&amp;몹 정리(최신)'!$B:$B,0))*35,INDEX('큐펫&amp;몹 정리(최신)'!T:T,MATCH($E291,'큐펫&amp;몹 정리(최신)'!$B:$B,0))*40))))</f>
        <v>480</v>
      </c>
      <c r="P291" s="217">
        <v>100</v>
      </c>
      <c r="Q291" s="217">
        <f t="shared" si="32"/>
        <v>324800</v>
      </c>
      <c r="R291" s="217">
        <f t="shared" si="33"/>
        <v>34022</v>
      </c>
      <c r="S291" s="217">
        <f t="shared" si="34"/>
        <v>26803</v>
      </c>
      <c r="T291" s="217">
        <f t="shared" si="35"/>
        <v>4966</v>
      </c>
      <c r="U291" s="217">
        <f t="shared" si="36"/>
        <v>83179</v>
      </c>
      <c r="V291" s="217">
        <f t="shared" si="37"/>
        <v>23809</v>
      </c>
      <c r="W291" s="217">
        <f>ROUND(AC291+(INDEX(Ref!B$1:B$9,MATCH($AI291,Ref!$A$1:$A$9,0))*P291*0.0001),)</f>
        <v>62</v>
      </c>
      <c r="X291" s="217">
        <f>ROUND(AD291+(INDEX(Ref!C$1:C$9,MATCH($AI291,Ref!$A$1:$A$9,0))*$P291*0.0001),)</f>
        <v>42</v>
      </c>
      <c r="Y291" s="217">
        <f>ROUND(AE291+(INDEX(Ref!D$1:D$9,MATCH($AI291,Ref!$A$1:$A$9,0))*$P291*0.0001),)</f>
        <v>98</v>
      </c>
      <c r="Z291" s="217">
        <f>ROUND(AF291+(INDEX(Ref!E$1:E$9,MATCH($AI291,Ref!$A$1:$A$9,0))*$P291*0.0001),)</f>
        <v>49</v>
      </c>
      <c r="AA291" s="217">
        <f>ROUND(AG291+(INDEX(Ref!F$1:F$9,MATCH($AI291,Ref!$A$1:$A$9,0))*$P291*0.0001),)</f>
        <v>55</v>
      </c>
      <c r="AB291" s="217">
        <f>ROUND(AH291+(INDEX(Ref!G$1:G$9,MATCH($AI291,Ref!$A$1:$A$9,0))*$P291*0.0001),)</f>
        <v>38</v>
      </c>
      <c r="AC291" s="137">
        <v>43</v>
      </c>
      <c r="AD291" s="137">
        <v>29</v>
      </c>
      <c r="AE291" s="137">
        <v>74</v>
      </c>
      <c r="AF291" s="137">
        <v>34</v>
      </c>
      <c r="AG291" s="137">
        <v>38</v>
      </c>
      <c r="AH291" s="137">
        <v>26</v>
      </c>
      <c r="AI291" s="208">
        <v>3</v>
      </c>
      <c r="AJ291" s="172">
        <v>3000</v>
      </c>
      <c r="AK291" s="172">
        <v>30345</v>
      </c>
      <c r="AL291" s="172">
        <v>2000</v>
      </c>
      <c r="AM291" s="172">
        <v>30348</v>
      </c>
      <c r="AN291" s="172">
        <v>0</v>
      </c>
      <c r="AO291" s="172">
        <f t="shared" si="38"/>
        <v>34345</v>
      </c>
      <c r="AP291" s="172">
        <v>0</v>
      </c>
      <c r="AQ291" s="172">
        <f t="shared" si="39"/>
        <v>34348</v>
      </c>
      <c r="AR291" s="172">
        <v>1</v>
      </c>
      <c r="AS291" s="172">
        <v>0</v>
      </c>
      <c r="AT291" s="199">
        <v>78058</v>
      </c>
      <c r="AU291" s="195" t="s">
        <v>245</v>
      </c>
    </row>
    <row r="292" spans="1:47" x14ac:dyDescent="0.2">
      <c r="A292" s="173">
        <v>55059</v>
      </c>
      <c r="B292" s="174" t="s">
        <v>246</v>
      </c>
      <c r="C292" s="172">
        <v>86059</v>
      </c>
      <c r="D292" s="172">
        <v>150059</v>
      </c>
      <c r="E292" s="206" t="s">
        <v>247</v>
      </c>
      <c r="F292" s="207">
        <v>1</v>
      </c>
      <c r="G292" s="173">
        <v>11500</v>
      </c>
      <c r="H292" s="173">
        <v>9500</v>
      </c>
      <c r="I292" s="172">
        <v>10000</v>
      </c>
      <c r="J292" s="172">
        <v>1</v>
      </c>
      <c r="K292" s="190">
        <f>IF($J292=1,INDEX('큐펫&amp;몹 정리(최신)'!P:P,MATCH($E292,'큐펫&amp;몹 정리(최신)'!$B:$B,0))*20,IF($J292=2,INDEX('큐펫&amp;몹 정리(최신)'!P:P,MATCH($E292,'큐펫&amp;몹 정리(최신)'!$B:$B,0))*25,IF($J292=3,INDEX('큐펫&amp;몹 정리(최신)'!P:P,MATCH($E292,'큐펫&amp;몹 정리(최신)'!$B:$B,0))*30,IF($J292=4,INDEX('큐펫&amp;몹 정리(최신)'!P:P,MATCH($E292,'큐펫&amp;몹 정리(최신)'!$B:$B,0))*35,INDEX('큐펫&amp;몹 정리(최신)'!P:P,MATCH($E292,'큐펫&amp;몹 정리(최신)'!$B:$B,0))*40))))</f>
        <v>880</v>
      </c>
      <c r="L292" s="190">
        <f>IF($J292=1,INDEX('큐펫&amp;몹 정리(최신)'!Q:Q,MATCH($E292,'큐펫&amp;몹 정리(최신)'!$B:$B,0))*20,IF($J292=2,INDEX('큐펫&amp;몹 정리(최신)'!Q:Q,MATCH($E292,'큐펫&amp;몹 정리(최신)'!$B:$B,0))*25,IF($J292=3,INDEX('큐펫&amp;몹 정리(최신)'!Q:Q,MATCH($E292,'큐펫&amp;몹 정리(최신)'!$B:$B,0))*30,IF($J292=4,INDEX('큐펫&amp;몹 정리(최신)'!Q:Q,MATCH($E292,'큐펫&amp;몹 정리(최신)'!$B:$B,0))*35,INDEX('큐펫&amp;몹 정리(최신)'!Q:Q,MATCH($E292,'큐펫&amp;몹 정리(최신)'!$B:$B,0))*40))))</f>
        <v>420</v>
      </c>
      <c r="M292" s="190">
        <f>IF($J292=1,INDEX('큐펫&amp;몹 정리(최신)'!R:R,MATCH($E292,'큐펫&amp;몹 정리(최신)'!$B:$B,0))*20,IF($J292=2,INDEX('큐펫&amp;몹 정리(최신)'!R:R,MATCH($E292,'큐펫&amp;몹 정리(최신)'!$B:$B,0))*25,IF($J292=3,INDEX('큐펫&amp;몹 정리(최신)'!R:R,MATCH($E292,'큐펫&amp;몹 정리(최신)'!$B:$B,0))*30,IF($J292=4,INDEX('큐펫&amp;몹 정리(최신)'!R:R,MATCH($E292,'큐펫&amp;몹 정리(최신)'!$B:$B,0))*35,INDEX('큐펫&amp;몹 정리(최신)'!R:R,MATCH($E292,'큐펫&amp;몹 정리(최신)'!$B:$B,0))*40))))</f>
        <v>80</v>
      </c>
      <c r="N292" s="190">
        <f>IF($J292=1,INDEX('큐펫&amp;몹 정리(최신)'!S:S,MATCH($E292,'큐펫&amp;몹 정리(최신)'!$B:$B,0))*20,IF($J292=2,INDEX('큐펫&amp;몹 정리(최신)'!S:S,MATCH($E292,'큐펫&amp;몹 정리(최신)'!$B:$B,0))*25,IF($J292=3,INDEX('큐펫&amp;몹 정리(최신)'!S:S,MATCH($E292,'큐펫&amp;몹 정리(최신)'!$B:$B,0))*30,IF($J292=4,INDEX('큐펫&amp;몹 정리(최신)'!S:S,MATCH($E292,'큐펫&amp;몹 정리(최신)'!$B:$B,0))*35,INDEX('큐펫&amp;몹 정리(최신)'!S:S,MATCH($E292,'큐펫&amp;몹 정리(최신)'!$B:$B,0))*40))))</f>
        <v>340</v>
      </c>
      <c r="O292" s="190">
        <f>IF($J292=1,INDEX('큐펫&amp;몹 정리(최신)'!T:T,MATCH($E292,'큐펫&amp;몹 정리(최신)'!$B:$B,0))*20,IF($J292=2,INDEX('큐펫&amp;몹 정리(최신)'!T:T,MATCH($E292,'큐펫&amp;몹 정리(최신)'!$B:$B,0))*25,IF($J292=3,INDEX('큐펫&amp;몹 정리(최신)'!T:T,MATCH($E292,'큐펫&amp;몹 정리(최신)'!$B:$B,0))*30,IF($J292=4,INDEX('큐펫&amp;몹 정리(최신)'!T:T,MATCH($E292,'큐펫&amp;몹 정리(최신)'!$B:$B,0))*35,INDEX('큐펫&amp;몹 정리(최신)'!T:T,MATCH($E292,'큐펫&amp;몹 정리(최신)'!$B:$B,0))*40))))</f>
        <v>280</v>
      </c>
      <c r="P292" s="217">
        <v>20</v>
      </c>
      <c r="Q292" s="217">
        <f t="shared" si="32"/>
        <v>31152</v>
      </c>
      <c r="R292" s="217">
        <f t="shared" si="33"/>
        <v>7871</v>
      </c>
      <c r="S292" s="217">
        <f t="shared" si="34"/>
        <v>2292</v>
      </c>
      <c r="T292" s="217">
        <f t="shared" si="35"/>
        <v>344</v>
      </c>
      <c r="U292" s="217">
        <f t="shared" si="36"/>
        <v>12252</v>
      </c>
      <c r="V292" s="217">
        <f t="shared" si="37"/>
        <v>5059</v>
      </c>
      <c r="W292" s="217">
        <f>ROUND(AC292+(INDEX(Ref!B$1:B$9,MATCH($AI292,Ref!$A$1:$A$9,0))*P292*0.0001),)</f>
        <v>43</v>
      </c>
      <c r="X292" s="217">
        <f>ROUND(AD292+(INDEX(Ref!C$1:C$9,MATCH($AI292,Ref!$A$1:$A$9,0))*$P292*0.0001),)</f>
        <v>26</v>
      </c>
      <c r="Y292" s="217">
        <f>ROUND(AE292+(INDEX(Ref!D$1:D$9,MATCH($AI292,Ref!$A$1:$A$9,0))*$P292*0.0001),)</f>
        <v>52</v>
      </c>
      <c r="Z292" s="217">
        <f>ROUND(AF292+(INDEX(Ref!E$1:E$9,MATCH($AI292,Ref!$A$1:$A$9,0))*$P292*0.0001),)</f>
        <v>19</v>
      </c>
      <c r="AA292" s="217">
        <f>ROUND(AG292+(INDEX(Ref!F$1:F$9,MATCH($AI292,Ref!$A$1:$A$9,0))*$P292*0.0001),)</f>
        <v>23</v>
      </c>
      <c r="AB292" s="217">
        <f>ROUND(AH292+(INDEX(Ref!G$1:G$9,MATCH($AI292,Ref!$A$1:$A$9,0))*$P292*0.0001),)</f>
        <v>21</v>
      </c>
      <c r="AC292" s="137">
        <v>38</v>
      </c>
      <c r="AD292" s="137">
        <v>23</v>
      </c>
      <c r="AE292" s="137">
        <v>48</v>
      </c>
      <c r="AF292" s="137">
        <v>17</v>
      </c>
      <c r="AG292" s="137">
        <v>20</v>
      </c>
      <c r="AH292" s="137">
        <v>18</v>
      </c>
      <c r="AI292" s="208">
        <v>1</v>
      </c>
      <c r="AJ292" s="172">
        <v>3000</v>
      </c>
      <c r="AK292" s="172">
        <v>30349</v>
      </c>
      <c r="AL292" s="172">
        <v>2000</v>
      </c>
      <c r="AM292" s="172">
        <v>30352</v>
      </c>
      <c r="AN292" s="172">
        <v>0</v>
      </c>
      <c r="AO292" s="172">
        <f t="shared" si="38"/>
        <v>34349</v>
      </c>
      <c r="AP292" s="172">
        <v>0</v>
      </c>
      <c r="AQ292" s="172">
        <f t="shared" si="39"/>
        <v>34352</v>
      </c>
      <c r="AR292" s="172">
        <v>1</v>
      </c>
      <c r="AS292" s="172">
        <v>0</v>
      </c>
      <c r="AT292" s="199">
        <v>78059</v>
      </c>
      <c r="AU292" s="195" t="s">
        <v>248</v>
      </c>
    </row>
    <row r="293" spans="1:47" x14ac:dyDescent="0.2">
      <c r="A293" s="173">
        <v>55059</v>
      </c>
      <c r="B293" s="174" t="s">
        <v>246</v>
      </c>
      <c r="C293" s="172">
        <v>86059</v>
      </c>
      <c r="D293" s="172">
        <v>150059</v>
      </c>
      <c r="E293" s="206" t="s">
        <v>247</v>
      </c>
      <c r="F293" s="207">
        <v>1</v>
      </c>
      <c r="G293" s="173">
        <v>11500</v>
      </c>
      <c r="H293" s="173">
        <v>9500</v>
      </c>
      <c r="I293" s="172">
        <v>10000</v>
      </c>
      <c r="J293" s="172">
        <v>2</v>
      </c>
      <c r="K293" s="190">
        <f>IF($J293=1,INDEX('큐펫&amp;몹 정리(최신)'!P:P,MATCH($E293,'큐펫&amp;몹 정리(최신)'!$B:$B,0))*20,IF($J293=2,INDEX('큐펫&amp;몹 정리(최신)'!P:P,MATCH($E293,'큐펫&amp;몹 정리(최신)'!$B:$B,0))*25,IF($J293=3,INDEX('큐펫&amp;몹 정리(최신)'!P:P,MATCH($E293,'큐펫&amp;몹 정리(최신)'!$B:$B,0))*30,IF($J293=4,INDEX('큐펫&amp;몹 정리(최신)'!P:P,MATCH($E293,'큐펫&amp;몹 정리(최신)'!$B:$B,0))*35,INDEX('큐펫&amp;몹 정리(최신)'!P:P,MATCH($E293,'큐펫&amp;몹 정리(최신)'!$B:$B,0))*40))))</f>
        <v>1100</v>
      </c>
      <c r="L293" s="190">
        <f>IF($J293=1,INDEX('큐펫&amp;몹 정리(최신)'!Q:Q,MATCH($E293,'큐펫&amp;몹 정리(최신)'!$B:$B,0))*20,IF($J293=2,INDEX('큐펫&amp;몹 정리(최신)'!Q:Q,MATCH($E293,'큐펫&amp;몹 정리(최신)'!$B:$B,0))*25,IF($J293=3,INDEX('큐펫&amp;몹 정리(최신)'!Q:Q,MATCH($E293,'큐펫&amp;몹 정리(최신)'!$B:$B,0))*30,IF($J293=4,INDEX('큐펫&amp;몹 정리(최신)'!Q:Q,MATCH($E293,'큐펫&amp;몹 정리(최신)'!$B:$B,0))*35,INDEX('큐펫&amp;몹 정리(최신)'!Q:Q,MATCH($E293,'큐펫&amp;몹 정리(최신)'!$B:$B,0))*40))))</f>
        <v>525</v>
      </c>
      <c r="M293" s="190">
        <f>IF($J293=1,INDEX('큐펫&amp;몹 정리(최신)'!R:R,MATCH($E293,'큐펫&amp;몹 정리(최신)'!$B:$B,0))*20,IF($J293=2,INDEX('큐펫&amp;몹 정리(최신)'!R:R,MATCH($E293,'큐펫&amp;몹 정리(최신)'!$B:$B,0))*25,IF($J293=3,INDEX('큐펫&amp;몹 정리(최신)'!R:R,MATCH($E293,'큐펫&amp;몹 정리(최신)'!$B:$B,0))*30,IF($J293=4,INDEX('큐펫&amp;몹 정리(최신)'!R:R,MATCH($E293,'큐펫&amp;몹 정리(최신)'!$B:$B,0))*35,INDEX('큐펫&amp;몹 정리(최신)'!R:R,MATCH($E293,'큐펫&amp;몹 정리(최신)'!$B:$B,0))*40))))</f>
        <v>100</v>
      </c>
      <c r="N293" s="190">
        <f>IF($J293=1,INDEX('큐펫&amp;몹 정리(최신)'!S:S,MATCH($E293,'큐펫&amp;몹 정리(최신)'!$B:$B,0))*20,IF($J293=2,INDEX('큐펫&amp;몹 정리(최신)'!S:S,MATCH($E293,'큐펫&amp;몹 정리(최신)'!$B:$B,0))*25,IF($J293=3,INDEX('큐펫&amp;몹 정리(최신)'!S:S,MATCH($E293,'큐펫&amp;몹 정리(최신)'!$B:$B,0))*30,IF($J293=4,INDEX('큐펫&amp;몹 정리(최신)'!S:S,MATCH($E293,'큐펫&amp;몹 정리(최신)'!$B:$B,0))*35,INDEX('큐펫&amp;몹 정리(최신)'!S:S,MATCH($E293,'큐펫&amp;몹 정리(최신)'!$B:$B,0))*40))))</f>
        <v>425</v>
      </c>
      <c r="O293" s="190">
        <f>IF($J293=1,INDEX('큐펫&amp;몹 정리(최신)'!T:T,MATCH($E293,'큐펫&amp;몹 정리(최신)'!$B:$B,0))*20,IF($J293=2,INDEX('큐펫&amp;몹 정리(최신)'!T:T,MATCH($E293,'큐펫&amp;몹 정리(최신)'!$B:$B,0))*25,IF($J293=3,INDEX('큐펫&amp;몹 정리(최신)'!T:T,MATCH($E293,'큐펫&amp;몹 정리(최신)'!$B:$B,0))*30,IF($J293=4,INDEX('큐펫&amp;몹 정리(최신)'!T:T,MATCH($E293,'큐펫&amp;몹 정리(최신)'!$B:$B,0))*35,INDEX('큐펫&amp;몹 정리(최신)'!T:T,MATCH($E293,'큐펫&amp;몹 정리(최신)'!$B:$B,0))*40))))</f>
        <v>350</v>
      </c>
      <c r="P293" s="217">
        <v>40</v>
      </c>
      <c r="Q293" s="217">
        <f t="shared" si="32"/>
        <v>75900</v>
      </c>
      <c r="R293" s="217">
        <f t="shared" si="33"/>
        <v>14885</v>
      </c>
      <c r="S293" s="217">
        <f t="shared" si="34"/>
        <v>4511</v>
      </c>
      <c r="T293" s="217">
        <f t="shared" si="35"/>
        <v>654</v>
      </c>
      <c r="U293" s="217">
        <f t="shared" si="36"/>
        <v>21266</v>
      </c>
      <c r="V293" s="217">
        <f t="shared" si="37"/>
        <v>8774</v>
      </c>
      <c r="W293" s="217">
        <f>ROUND(AC293+(INDEX(Ref!B$1:B$9,MATCH($AI293,Ref!$A$1:$A$9,0))*P293*0.0001),)</f>
        <v>53</v>
      </c>
      <c r="X293" s="217">
        <f>ROUND(AD293+(INDEX(Ref!C$1:C$9,MATCH($AI293,Ref!$A$1:$A$9,0))*$P293*0.0001),)</f>
        <v>32</v>
      </c>
      <c r="Y293" s="217">
        <f>ROUND(AE293+(INDEX(Ref!D$1:D$9,MATCH($AI293,Ref!$A$1:$A$9,0))*$P293*0.0001),)</f>
        <v>60</v>
      </c>
      <c r="Z293" s="217">
        <f>ROUND(AF293+(INDEX(Ref!E$1:E$9,MATCH($AI293,Ref!$A$1:$A$9,0))*$P293*0.0001),)</f>
        <v>24</v>
      </c>
      <c r="AA293" s="217">
        <f>ROUND(AG293+(INDEX(Ref!F$1:F$9,MATCH($AI293,Ref!$A$1:$A$9,0))*$P293*0.0001),)</f>
        <v>29</v>
      </c>
      <c r="AB293" s="217">
        <f>ROUND(AH293+(INDEX(Ref!G$1:G$9,MATCH($AI293,Ref!$A$1:$A$9,0))*$P293*0.0001),)</f>
        <v>26</v>
      </c>
      <c r="AC293" s="137">
        <v>43</v>
      </c>
      <c r="AD293" s="137">
        <v>26</v>
      </c>
      <c r="AE293" s="137">
        <v>52</v>
      </c>
      <c r="AF293" s="137">
        <v>19</v>
      </c>
      <c r="AG293" s="137">
        <v>23</v>
      </c>
      <c r="AH293" s="137">
        <v>21</v>
      </c>
      <c r="AI293" s="208">
        <v>1</v>
      </c>
      <c r="AJ293" s="172">
        <v>3000</v>
      </c>
      <c r="AK293" s="172">
        <v>30350</v>
      </c>
      <c r="AL293" s="172">
        <v>2000</v>
      </c>
      <c r="AM293" s="172">
        <v>30352</v>
      </c>
      <c r="AN293" s="172">
        <v>0</v>
      </c>
      <c r="AO293" s="172">
        <f t="shared" si="38"/>
        <v>34350</v>
      </c>
      <c r="AP293" s="172">
        <v>0</v>
      </c>
      <c r="AQ293" s="172">
        <f t="shared" si="39"/>
        <v>34352</v>
      </c>
      <c r="AR293" s="172">
        <v>1</v>
      </c>
      <c r="AS293" s="172">
        <v>0</v>
      </c>
      <c r="AT293" s="199">
        <v>78059</v>
      </c>
      <c r="AU293" s="195" t="s">
        <v>248</v>
      </c>
    </row>
    <row r="294" spans="1:47" x14ac:dyDescent="0.2">
      <c r="A294" s="173">
        <v>55059</v>
      </c>
      <c r="B294" s="174" t="s">
        <v>246</v>
      </c>
      <c r="C294" s="172">
        <v>86059</v>
      </c>
      <c r="D294" s="172">
        <v>150059</v>
      </c>
      <c r="E294" s="206" t="s">
        <v>247</v>
      </c>
      <c r="F294" s="207">
        <v>1</v>
      </c>
      <c r="G294" s="173">
        <v>11500</v>
      </c>
      <c r="H294" s="173">
        <v>9500</v>
      </c>
      <c r="I294" s="172">
        <v>10000</v>
      </c>
      <c r="J294" s="172">
        <v>3</v>
      </c>
      <c r="K294" s="190">
        <f>IF($J294=1,INDEX('큐펫&amp;몹 정리(최신)'!P:P,MATCH($E294,'큐펫&amp;몹 정리(최신)'!$B:$B,0))*20,IF($J294=2,INDEX('큐펫&amp;몹 정리(최신)'!P:P,MATCH($E294,'큐펫&amp;몹 정리(최신)'!$B:$B,0))*25,IF($J294=3,INDEX('큐펫&amp;몹 정리(최신)'!P:P,MATCH($E294,'큐펫&amp;몹 정리(최신)'!$B:$B,0))*30,IF($J294=4,INDEX('큐펫&amp;몹 정리(최신)'!P:P,MATCH($E294,'큐펫&amp;몹 정리(최신)'!$B:$B,0))*35,INDEX('큐펫&amp;몹 정리(최신)'!P:P,MATCH($E294,'큐펫&amp;몹 정리(최신)'!$B:$B,0))*40))))</f>
        <v>1320</v>
      </c>
      <c r="L294" s="190">
        <f>IF($J294=1,INDEX('큐펫&amp;몹 정리(최신)'!Q:Q,MATCH($E294,'큐펫&amp;몹 정리(최신)'!$B:$B,0))*20,IF($J294=2,INDEX('큐펫&amp;몹 정리(최신)'!Q:Q,MATCH($E294,'큐펫&amp;몹 정리(최신)'!$B:$B,0))*25,IF($J294=3,INDEX('큐펫&amp;몹 정리(최신)'!Q:Q,MATCH($E294,'큐펫&amp;몹 정리(최신)'!$B:$B,0))*30,IF($J294=4,INDEX('큐펫&amp;몹 정리(최신)'!Q:Q,MATCH($E294,'큐펫&amp;몹 정리(최신)'!$B:$B,0))*35,INDEX('큐펫&amp;몹 정리(최신)'!Q:Q,MATCH($E294,'큐펫&amp;몹 정리(최신)'!$B:$B,0))*40))))</f>
        <v>630</v>
      </c>
      <c r="M294" s="190">
        <f>IF($J294=1,INDEX('큐펫&amp;몹 정리(최신)'!R:R,MATCH($E294,'큐펫&amp;몹 정리(최신)'!$B:$B,0))*20,IF($J294=2,INDEX('큐펫&amp;몹 정리(최신)'!R:R,MATCH($E294,'큐펫&amp;몹 정리(최신)'!$B:$B,0))*25,IF($J294=3,INDEX('큐펫&amp;몹 정리(최신)'!R:R,MATCH($E294,'큐펫&amp;몹 정리(최신)'!$B:$B,0))*30,IF($J294=4,INDEX('큐펫&amp;몹 정리(최신)'!R:R,MATCH($E294,'큐펫&amp;몹 정리(최신)'!$B:$B,0))*35,INDEX('큐펫&amp;몹 정리(최신)'!R:R,MATCH($E294,'큐펫&amp;몹 정리(최신)'!$B:$B,0))*40))))</f>
        <v>120</v>
      </c>
      <c r="N294" s="190">
        <f>IF($J294=1,INDEX('큐펫&amp;몹 정리(최신)'!S:S,MATCH($E294,'큐펫&amp;몹 정리(최신)'!$B:$B,0))*20,IF($J294=2,INDEX('큐펫&amp;몹 정리(최신)'!S:S,MATCH($E294,'큐펫&amp;몹 정리(최신)'!$B:$B,0))*25,IF($J294=3,INDEX('큐펫&amp;몹 정리(최신)'!S:S,MATCH($E294,'큐펫&amp;몹 정리(최신)'!$B:$B,0))*30,IF($J294=4,INDEX('큐펫&amp;몹 정리(최신)'!S:S,MATCH($E294,'큐펫&amp;몹 정리(최신)'!$B:$B,0))*35,INDEX('큐펫&amp;몹 정리(최신)'!S:S,MATCH($E294,'큐펫&amp;몹 정리(최신)'!$B:$B,0))*40))))</f>
        <v>510</v>
      </c>
      <c r="O294" s="190">
        <f>IF($J294=1,INDEX('큐펫&amp;몹 정리(최신)'!T:T,MATCH($E294,'큐펫&amp;몹 정리(최신)'!$B:$B,0))*20,IF($J294=2,INDEX('큐펫&amp;몹 정리(최신)'!T:T,MATCH($E294,'큐펫&amp;몹 정리(최신)'!$B:$B,0))*25,IF($J294=3,INDEX('큐펫&amp;몹 정리(최신)'!T:T,MATCH($E294,'큐펫&amp;몹 정리(최신)'!$B:$B,0))*30,IF($J294=4,INDEX('큐펫&amp;몹 정리(최신)'!T:T,MATCH($E294,'큐펫&amp;몹 정리(최신)'!$B:$B,0))*35,INDEX('큐펫&amp;몹 정리(최신)'!T:T,MATCH($E294,'큐펫&amp;몹 정리(최신)'!$B:$B,0))*40))))</f>
        <v>420</v>
      </c>
      <c r="P294" s="217">
        <v>60</v>
      </c>
      <c r="Q294" s="217">
        <f t="shared" si="32"/>
        <v>139656</v>
      </c>
      <c r="R294" s="217">
        <f t="shared" si="33"/>
        <v>25175</v>
      </c>
      <c r="S294" s="217">
        <f t="shared" si="34"/>
        <v>7402</v>
      </c>
      <c r="T294" s="217">
        <f t="shared" si="35"/>
        <v>1038</v>
      </c>
      <c r="U294" s="217">
        <f t="shared" si="36"/>
        <v>32659</v>
      </c>
      <c r="V294" s="217">
        <f t="shared" si="37"/>
        <v>13468</v>
      </c>
      <c r="W294" s="217">
        <f>ROUND(AC294+(INDEX(Ref!B$1:B$9,MATCH($AI294,Ref!$A$1:$A$9,0))*P294*0.0001),)</f>
        <v>63</v>
      </c>
      <c r="X294" s="217">
        <f>ROUND(AD294+(INDEX(Ref!C$1:C$9,MATCH($AI294,Ref!$A$1:$A$9,0))*$P294*0.0001),)</f>
        <v>40</v>
      </c>
      <c r="Y294" s="217">
        <f>ROUND(AE294+(INDEX(Ref!D$1:D$9,MATCH($AI294,Ref!$A$1:$A$9,0))*$P294*0.0001),)</f>
        <v>68</v>
      </c>
      <c r="Z294" s="217">
        <f>ROUND(AF294+(INDEX(Ref!E$1:E$9,MATCH($AI294,Ref!$A$1:$A$9,0))*$P294*0.0001),)</f>
        <v>28</v>
      </c>
      <c r="AA294" s="217">
        <f>ROUND(AG294+(INDEX(Ref!F$1:F$9,MATCH($AI294,Ref!$A$1:$A$9,0))*$P294*0.0001),)</f>
        <v>34</v>
      </c>
      <c r="AB294" s="217">
        <f>ROUND(AH294+(INDEX(Ref!G$1:G$9,MATCH($AI294,Ref!$A$1:$A$9,0))*$P294*0.0001),)</f>
        <v>31</v>
      </c>
      <c r="AC294" s="137">
        <v>48.000000000000007</v>
      </c>
      <c r="AD294" s="137">
        <v>30</v>
      </c>
      <c r="AE294" s="137">
        <v>56</v>
      </c>
      <c r="AF294" s="137">
        <v>21</v>
      </c>
      <c r="AG294" s="137">
        <v>26</v>
      </c>
      <c r="AH294" s="137">
        <v>23</v>
      </c>
      <c r="AI294" s="208">
        <v>1</v>
      </c>
      <c r="AJ294" s="172">
        <v>3000</v>
      </c>
      <c r="AK294" s="172">
        <v>30350</v>
      </c>
      <c r="AL294" s="172">
        <v>2000</v>
      </c>
      <c r="AM294" s="172">
        <v>30353</v>
      </c>
      <c r="AN294" s="172">
        <v>0</v>
      </c>
      <c r="AO294" s="172">
        <f t="shared" si="38"/>
        <v>34350</v>
      </c>
      <c r="AP294" s="172">
        <v>0</v>
      </c>
      <c r="AQ294" s="172">
        <f t="shared" si="39"/>
        <v>34353</v>
      </c>
      <c r="AR294" s="172">
        <v>1</v>
      </c>
      <c r="AS294" s="172">
        <v>0</v>
      </c>
      <c r="AT294" s="199">
        <v>78059</v>
      </c>
      <c r="AU294" s="195" t="s">
        <v>248</v>
      </c>
    </row>
    <row r="295" spans="1:47" x14ac:dyDescent="0.2">
      <c r="A295" s="173">
        <v>55059</v>
      </c>
      <c r="B295" s="174" t="s">
        <v>246</v>
      </c>
      <c r="C295" s="172">
        <v>86059</v>
      </c>
      <c r="D295" s="172">
        <v>150059</v>
      </c>
      <c r="E295" s="206" t="s">
        <v>247</v>
      </c>
      <c r="F295" s="207">
        <v>1</v>
      </c>
      <c r="G295" s="173">
        <v>11500</v>
      </c>
      <c r="H295" s="173">
        <v>9500</v>
      </c>
      <c r="I295" s="172">
        <v>10000</v>
      </c>
      <c r="J295" s="172">
        <v>4</v>
      </c>
      <c r="K295" s="190">
        <f>IF($J295=1,INDEX('큐펫&amp;몹 정리(최신)'!P:P,MATCH($E295,'큐펫&amp;몹 정리(최신)'!$B:$B,0))*20,IF($J295=2,INDEX('큐펫&amp;몹 정리(최신)'!P:P,MATCH($E295,'큐펫&amp;몹 정리(최신)'!$B:$B,0))*25,IF($J295=3,INDEX('큐펫&amp;몹 정리(최신)'!P:P,MATCH($E295,'큐펫&amp;몹 정리(최신)'!$B:$B,0))*30,IF($J295=4,INDEX('큐펫&amp;몹 정리(최신)'!P:P,MATCH($E295,'큐펫&amp;몹 정리(최신)'!$B:$B,0))*35,INDEX('큐펫&amp;몹 정리(최신)'!P:P,MATCH($E295,'큐펫&amp;몹 정리(최신)'!$B:$B,0))*40))))</f>
        <v>1540</v>
      </c>
      <c r="L295" s="190">
        <f>IF($J295=1,INDEX('큐펫&amp;몹 정리(최신)'!Q:Q,MATCH($E295,'큐펫&amp;몹 정리(최신)'!$B:$B,0))*20,IF($J295=2,INDEX('큐펫&amp;몹 정리(최신)'!Q:Q,MATCH($E295,'큐펫&amp;몹 정리(최신)'!$B:$B,0))*25,IF($J295=3,INDEX('큐펫&amp;몹 정리(최신)'!Q:Q,MATCH($E295,'큐펫&amp;몹 정리(최신)'!$B:$B,0))*30,IF($J295=4,INDEX('큐펫&amp;몹 정리(최신)'!Q:Q,MATCH($E295,'큐펫&amp;몹 정리(최신)'!$B:$B,0))*35,INDEX('큐펫&amp;몹 정리(최신)'!Q:Q,MATCH($E295,'큐펫&amp;몹 정리(최신)'!$B:$B,0))*40))))</f>
        <v>735</v>
      </c>
      <c r="M295" s="190">
        <f>IF($J295=1,INDEX('큐펫&amp;몹 정리(최신)'!R:R,MATCH($E295,'큐펫&amp;몹 정리(최신)'!$B:$B,0))*20,IF($J295=2,INDEX('큐펫&amp;몹 정리(최신)'!R:R,MATCH($E295,'큐펫&amp;몹 정리(최신)'!$B:$B,0))*25,IF($J295=3,INDEX('큐펫&amp;몹 정리(최신)'!R:R,MATCH($E295,'큐펫&amp;몹 정리(최신)'!$B:$B,0))*30,IF($J295=4,INDEX('큐펫&amp;몹 정리(최신)'!R:R,MATCH($E295,'큐펫&amp;몹 정리(최신)'!$B:$B,0))*35,INDEX('큐펫&amp;몹 정리(최신)'!R:R,MATCH($E295,'큐펫&amp;몹 정리(최신)'!$B:$B,0))*40))))</f>
        <v>140</v>
      </c>
      <c r="N295" s="190">
        <f>IF($J295=1,INDEX('큐펫&amp;몹 정리(최신)'!S:S,MATCH($E295,'큐펫&amp;몹 정리(최신)'!$B:$B,0))*20,IF($J295=2,INDEX('큐펫&amp;몹 정리(최신)'!S:S,MATCH($E295,'큐펫&amp;몹 정리(최신)'!$B:$B,0))*25,IF($J295=3,INDEX('큐펫&amp;몹 정리(최신)'!S:S,MATCH($E295,'큐펫&amp;몹 정리(최신)'!$B:$B,0))*30,IF($J295=4,INDEX('큐펫&amp;몹 정리(최신)'!S:S,MATCH($E295,'큐펫&amp;몹 정리(최신)'!$B:$B,0))*35,INDEX('큐펫&amp;몹 정리(최신)'!S:S,MATCH($E295,'큐펫&amp;몹 정리(최신)'!$B:$B,0))*40))))</f>
        <v>595</v>
      </c>
      <c r="O295" s="190">
        <f>IF($J295=1,INDEX('큐펫&amp;몹 정리(최신)'!T:T,MATCH($E295,'큐펫&amp;몹 정리(최신)'!$B:$B,0))*20,IF($J295=2,INDEX('큐펫&amp;몹 정리(최신)'!T:T,MATCH($E295,'큐펫&amp;몹 정리(최신)'!$B:$B,0))*25,IF($J295=3,INDEX('큐펫&amp;몹 정리(최신)'!T:T,MATCH($E295,'큐펫&amp;몹 정리(최신)'!$B:$B,0))*30,IF($J295=4,INDEX('큐펫&amp;몹 정리(최신)'!T:T,MATCH($E295,'큐펫&amp;몹 정리(최신)'!$B:$B,0))*35,INDEX('큐펫&amp;몹 정리(최신)'!T:T,MATCH($E295,'큐펫&amp;몹 정리(최신)'!$B:$B,0))*40))))</f>
        <v>490</v>
      </c>
      <c r="P295" s="217">
        <v>80</v>
      </c>
      <c r="Q295" s="217">
        <f t="shared" si="32"/>
        <v>224532</v>
      </c>
      <c r="R295" s="217">
        <f t="shared" si="33"/>
        <v>39371</v>
      </c>
      <c r="S295" s="217">
        <f t="shared" si="34"/>
        <v>11322</v>
      </c>
      <c r="T295" s="217">
        <f t="shared" si="35"/>
        <v>1740</v>
      </c>
      <c r="U295" s="217">
        <f t="shared" si="36"/>
        <v>46432</v>
      </c>
      <c r="V295" s="217">
        <f t="shared" si="37"/>
        <v>19144</v>
      </c>
      <c r="W295" s="217">
        <f>ROUND(AC295+(INDEX(Ref!B$1:B$9,MATCH($AI295,Ref!$A$1:$A$9,0))*P295*0.0001),)</f>
        <v>73</v>
      </c>
      <c r="X295" s="217">
        <f>ROUND(AD295+(INDEX(Ref!C$1:C$9,MATCH($AI295,Ref!$A$1:$A$9,0))*$P295*0.0001),)</f>
        <v>46</v>
      </c>
      <c r="Y295" s="217">
        <f>ROUND(AE295+(INDEX(Ref!D$1:D$9,MATCH($AI295,Ref!$A$1:$A$9,0))*$P295*0.0001),)</f>
        <v>76</v>
      </c>
      <c r="Z295" s="217">
        <f>ROUND(AF295+(INDEX(Ref!E$1:E$9,MATCH($AI295,Ref!$A$1:$A$9,0))*$P295*0.0001),)</f>
        <v>34</v>
      </c>
      <c r="AA295" s="217">
        <f>ROUND(AG295+(INDEX(Ref!F$1:F$9,MATCH($AI295,Ref!$A$1:$A$9,0))*$P295*0.0001),)</f>
        <v>39</v>
      </c>
      <c r="AB295" s="217">
        <f>ROUND(AH295+(INDEX(Ref!G$1:G$9,MATCH($AI295,Ref!$A$1:$A$9,0))*$P295*0.0001),)</f>
        <v>36</v>
      </c>
      <c r="AC295" s="137">
        <v>53</v>
      </c>
      <c r="AD295" s="137">
        <v>33</v>
      </c>
      <c r="AE295" s="137">
        <v>60</v>
      </c>
      <c r="AF295" s="137">
        <v>24</v>
      </c>
      <c r="AG295" s="137">
        <v>28</v>
      </c>
      <c r="AH295" s="137">
        <v>26</v>
      </c>
      <c r="AI295" s="208">
        <v>1</v>
      </c>
      <c r="AJ295" s="172">
        <v>3000</v>
      </c>
      <c r="AK295" s="172">
        <v>30351</v>
      </c>
      <c r="AL295" s="172">
        <v>2000</v>
      </c>
      <c r="AM295" s="172">
        <v>30353</v>
      </c>
      <c r="AN295" s="172">
        <v>0</v>
      </c>
      <c r="AO295" s="172">
        <f t="shared" si="38"/>
        <v>34351</v>
      </c>
      <c r="AP295" s="172">
        <v>0</v>
      </c>
      <c r="AQ295" s="172">
        <f t="shared" si="39"/>
        <v>34353</v>
      </c>
      <c r="AR295" s="172">
        <v>1</v>
      </c>
      <c r="AS295" s="172">
        <v>0</v>
      </c>
      <c r="AT295" s="199">
        <v>78059</v>
      </c>
      <c r="AU295" s="195" t="s">
        <v>248</v>
      </c>
    </row>
    <row r="296" spans="1:47" x14ac:dyDescent="0.2">
      <c r="A296" s="173">
        <v>55059</v>
      </c>
      <c r="B296" s="174" t="s">
        <v>246</v>
      </c>
      <c r="C296" s="172">
        <v>86059</v>
      </c>
      <c r="D296" s="172">
        <v>150059</v>
      </c>
      <c r="E296" s="206" t="s">
        <v>247</v>
      </c>
      <c r="F296" s="207">
        <v>1</v>
      </c>
      <c r="G296" s="173">
        <v>11500</v>
      </c>
      <c r="H296" s="173">
        <v>9500</v>
      </c>
      <c r="I296" s="172">
        <v>10000</v>
      </c>
      <c r="J296" s="172">
        <v>5</v>
      </c>
      <c r="K296" s="190">
        <f>IF($J296=1,INDEX('큐펫&amp;몹 정리(최신)'!P:P,MATCH($E296,'큐펫&amp;몹 정리(최신)'!$B:$B,0))*20,IF($J296=2,INDEX('큐펫&amp;몹 정리(최신)'!P:P,MATCH($E296,'큐펫&amp;몹 정리(최신)'!$B:$B,0))*25,IF($J296=3,INDEX('큐펫&amp;몹 정리(최신)'!P:P,MATCH($E296,'큐펫&amp;몹 정리(최신)'!$B:$B,0))*30,IF($J296=4,INDEX('큐펫&amp;몹 정리(최신)'!P:P,MATCH($E296,'큐펫&amp;몹 정리(최신)'!$B:$B,0))*35,INDEX('큐펫&amp;몹 정리(최신)'!P:P,MATCH($E296,'큐펫&amp;몹 정리(최신)'!$B:$B,0))*40))))</f>
        <v>1760</v>
      </c>
      <c r="L296" s="190">
        <f>IF($J296=1,INDEX('큐펫&amp;몹 정리(최신)'!Q:Q,MATCH($E296,'큐펫&amp;몹 정리(최신)'!$B:$B,0))*20,IF($J296=2,INDEX('큐펫&amp;몹 정리(최신)'!Q:Q,MATCH($E296,'큐펫&amp;몹 정리(최신)'!$B:$B,0))*25,IF($J296=3,INDEX('큐펫&amp;몹 정리(최신)'!Q:Q,MATCH($E296,'큐펫&amp;몹 정리(최신)'!$B:$B,0))*30,IF($J296=4,INDEX('큐펫&amp;몹 정리(최신)'!Q:Q,MATCH($E296,'큐펫&amp;몹 정리(최신)'!$B:$B,0))*35,INDEX('큐펫&amp;몹 정리(최신)'!Q:Q,MATCH($E296,'큐펫&amp;몹 정리(최신)'!$B:$B,0))*40))))</f>
        <v>840</v>
      </c>
      <c r="M296" s="190">
        <f>IF($J296=1,INDEX('큐펫&amp;몹 정리(최신)'!R:R,MATCH($E296,'큐펫&amp;몹 정리(최신)'!$B:$B,0))*20,IF($J296=2,INDEX('큐펫&amp;몹 정리(최신)'!R:R,MATCH($E296,'큐펫&amp;몹 정리(최신)'!$B:$B,0))*25,IF($J296=3,INDEX('큐펫&amp;몹 정리(최신)'!R:R,MATCH($E296,'큐펫&amp;몹 정리(최신)'!$B:$B,0))*30,IF($J296=4,INDEX('큐펫&amp;몹 정리(최신)'!R:R,MATCH($E296,'큐펫&amp;몹 정리(최신)'!$B:$B,0))*35,INDEX('큐펫&amp;몹 정리(최신)'!R:R,MATCH($E296,'큐펫&amp;몹 정리(최신)'!$B:$B,0))*40))))</f>
        <v>160</v>
      </c>
      <c r="N296" s="190">
        <f>IF($J296=1,INDEX('큐펫&amp;몹 정리(최신)'!S:S,MATCH($E296,'큐펫&amp;몹 정리(최신)'!$B:$B,0))*20,IF($J296=2,INDEX('큐펫&amp;몹 정리(최신)'!S:S,MATCH($E296,'큐펫&amp;몹 정리(최신)'!$B:$B,0))*25,IF($J296=3,INDEX('큐펫&amp;몹 정리(최신)'!S:S,MATCH($E296,'큐펫&amp;몹 정리(최신)'!$B:$B,0))*30,IF($J296=4,INDEX('큐펫&amp;몹 정리(최신)'!S:S,MATCH($E296,'큐펫&amp;몹 정리(최신)'!$B:$B,0))*35,INDEX('큐펫&amp;몹 정리(최신)'!S:S,MATCH($E296,'큐펫&amp;몹 정리(최신)'!$B:$B,0))*40))))</f>
        <v>680</v>
      </c>
      <c r="O296" s="190">
        <f>IF($J296=1,INDEX('큐펫&amp;몹 정리(최신)'!T:T,MATCH($E296,'큐펫&amp;몹 정리(최신)'!$B:$B,0))*20,IF($J296=2,INDEX('큐펫&amp;몹 정리(최신)'!T:T,MATCH($E296,'큐펫&amp;몹 정리(최신)'!$B:$B,0))*25,IF($J296=3,INDEX('큐펫&amp;몹 정리(최신)'!T:T,MATCH($E296,'큐펫&amp;몹 정리(최신)'!$B:$B,0))*30,IF($J296=4,INDEX('큐펫&amp;몹 정리(최신)'!T:T,MATCH($E296,'큐펫&amp;몹 정리(최신)'!$B:$B,0))*35,INDEX('큐펫&amp;몹 정리(최신)'!T:T,MATCH($E296,'큐펫&amp;몹 정리(최신)'!$B:$B,0))*40))))</f>
        <v>560</v>
      </c>
      <c r="P296" s="217">
        <v>100</v>
      </c>
      <c r="Q296" s="217">
        <f t="shared" si="32"/>
        <v>332640</v>
      </c>
      <c r="R296" s="217">
        <f t="shared" si="33"/>
        <v>58103</v>
      </c>
      <c r="S296" s="217">
        <f t="shared" si="34"/>
        <v>17179</v>
      </c>
      <c r="T296" s="217">
        <f t="shared" si="35"/>
        <v>2452</v>
      </c>
      <c r="U296" s="217">
        <f t="shared" si="36"/>
        <v>62585</v>
      </c>
      <c r="V296" s="217">
        <f t="shared" si="37"/>
        <v>25798</v>
      </c>
      <c r="W296" s="217">
        <f>ROUND(AC296+(INDEX(Ref!B$1:B$9,MATCH($AI296,Ref!$A$1:$A$9,0))*P296*0.0001),)</f>
        <v>83</v>
      </c>
      <c r="X296" s="217">
        <f>ROUND(AD296+(INDEX(Ref!C$1:C$9,MATCH($AI296,Ref!$A$1:$A$9,0))*$P296*0.0001),)</f>
        <v>52</v>
      </c>
      <c r="Y296" s="217">
        <f>ROUND(AE296+(INDEX(Ref!D$1:D$9,MATCH($AI296,Ref!$A$1:$A$9,0))*$P296*0.0001),)</f>
        <v>84</v>
      </c>
      <c r="Z296" s="217">
        <f>ROUND(AF296+(INDEX(Ref!E$1:E$9,MATCH($AI296,Ref!$A$1:$A$9,0))*$P296*0.0001),)</f>
        <v>38</v>
      </c>
      <c r="AA296" s="217">
        <f>ROUND(AG296+(INDEX(Ref!F$1:F$9,MATCH($AI296,Ref!$A$1:$A$9,0))*$P296*0.0001),)</f>
        <v>45</v>
      </c>
      <c r="AB296" s="217">
        <f>ROUND(AH296+(INDEX(Ref!G$1:G$9,MATCH($AI296,Ref!$A$1:$A$9,0))*$P296*0.0001),)</f>
        <v>42</v>
      </c>
      <c r="AC296" s="137">
        <v>58.000000000000007</v>
      </c>
      <c r="AD296" s="137">
        <v>36</v>
      </c>
      <c r="AE296" s="137">
        <v>64</v>
      </c>
      <c r="AF296" s="137">
        <v>26</v>
      </c>
      <c r="AG296" s="137">
        <v>31</v>
      </c>
      <c r="AH296" s="137">
        <v>29</v>
      </c>
      <c r="AI296" s="208">
        <v>1</v>
      </c>
      <c r="AJ296" s="172">
        <v>3000</v>
      </c>
      <c r="AK296" s="172">
        <v>30351</v>
      </c>
      <c r="AL296" s="172">
        <v>2000</v>
      </c>
      <c r="AM296" s="172">
        <v>30354</v>
      </c>
      <c r="AN296" s="172">
        <v>0</v>
      </c>
      <c r="AO296" s="172">
        <f t="shared" si="38"/>
        <v>34351</v>
      </c>
      <c r="AP296" s="172">
        <v>0</v>
      </c>
      <c r="AQ296" s="172">
        <f t="shared" si="39"/>
        <v>34354</v>
      </c>
      <c r="AR296" s="172">
        <v>1</v>
      </c>
      <c r="AS296" s="172">
        <v>0</v>
      </c>
      <c r="AT296" s="199">
        <v>78059</v>
      </c>
      <c r="AU296" s="195" t="s">
        <v>248</v>
      </c>
    </row>
    <row r="297" spans="1:47" x14ac:dyDescent="0.2">
      <c r="A297" s="173">
        <v>55060</v>
      </c>
      <c r="B297" s="174" t="s">
        <v>249</v>
      </c>
      <c r="C297" s="172">
        <v>86060</v>
      </c>
      <c r="D297" s="172">
        <v>150060</v>
      </c>
      <c r="E297" s="206" t="s">
        <v>250</v>
      </c>
      <c r="F297" s="207">
        <v>2</v>
      </c>
      <c r="G297" s="172">
        <v>10000</v>
      </c>
      <c r="H297" s="172">
        <v>10000</v>
      </c>
      <c r="I297" s="172">
        <v>10000</v>
      </c>
      <c r="J297" s="172">
        <v>1</v>
      </c>
      <c r="K297" s="190">
        <f>IF($J297=1,INDEX('큐펫&amp;몹 정리(최신)'!P:P,MATCH($E297,'큐펫&amp;몹 정리(최신)'!$B:$B,0))*20,IF($J297=2,INDEX('큐펫&amp;몹 정리(최신)'!P:P,MATCH($E297,'큐펫&amp;몹 정리(최신)'!$B:$B,0))*25,IF($J297=3,INDEX('큐펫&amp;몹 정리(최신)'!P:P,MATCH($E297,'큐펫&amp;몹 정리(최신)'!$B:$B,0))*30,IF($J297=4,INDEX('큐펫&amp;몹 정리(최신)'!P:P,MATCH($E297,'큐펫&amp;몹 정리(최신)'!$B:$B,0))*35,INDEX('큐펫&amp;몹 정리(최신)'!P:P,MATCH($E297,'큐펫&amp;몹 정리(최신)'!$B:$B,0))*40))))</f>
        <v>800</v>
      </c>
      <c r="L297" s="190">
        <f>IF($J297=1,INDEX('큐펫&amp;몹 정리(최신)'!Q:Q,MATCH($E297,'큐펫&amp;몹 정리(최신)'!$B:$B,0))*20,IF($J297=2,INDEX('큐펫&amp;몹 정리(최신)'!Q:Q,MATCH($E297,'큐펫&amp;몹 정리(최신)'!$B:$B,0))*25,IF($J297=3,INDEX('큐펫&amp;몹 정리(최신)'!Q:Q,MATCH($E297,'큐펫&amp;몹 정리(최신)'!$B:$B,0))*30,IF($J297=4,INDEX('큐펫&amp;몹 정리(최신)'!Q:Q,MATCH($E297,'큐펫&amp;몹 정리(최신)'!$B:$B,0))*35,INDEX('큐펫&amp;몹 정리(최신)'!Q:Q,MATCH($E297,'큐펫&amp;몹 정리(최신)'!$B:$B,0))*40))))</f>
        <v>100</v>
      </c>
      <c r="M297" s="190">
        <f>IF($J297=1,INDEX('큐펫&amp;몹 정리(최신)'!R:R,MATCH($E297,'큐펫&amp;몹 정리(최신)'!$B:$B,0))*20,IF($J297=2,INDEX('큐펫&amp;몹 정리(최신)'!R:R,MATCH($E297,'큐펫&amp;몹 정리(최신)'!$B:$B,0))*25,IF($J297=3,INDEX('큐펫&amp;몹 정리(최신)'!R:R,MATCH($E297,'큐펫&amp;몹 정리(최신)'!$B:$B,0))*30,IF($J297=4,INDEX('큐펫&amp;몹 정리(최신)'!R:R,MATCH($E297,'큐펫&amp;몹 정리(최신)'!$B:$B,0))*35,INDEX('큐펫&amp;몹 정리(최신)'!R:R,MATCH($E297,'큐펫&amp;몹 정리(최신)'!$B:$B,0))*40))))</f>
        <v>440</v>
      </c>
      <c r="N297" s="190">
        <f>IF($J297=1,INDEX('큐펫&amp;몹 정리(최신)'!S:S,MATCH($E297,'큐펫&amp;몹 정리(최신)'!$B:$B,0))*20,IF($J297=2,INDEX('큐펫&amp;몹 정리(최신)'!S:S,MATCH($E297,'큐펫&amp;몹 정리(최신)'!$B:$B,0))*25,IF($J297=3,INDEX('큐펫&amp;몹 정리(최신)'!S:S,MATCH($E297,'큐펫&amp;몹 정리(최신)'!$B:$B,0))*30,IF($J297=4,INDEX('큐펫&amp;몹 정리(최신)'!S:S,MATCH($E297,'큐펫&amp;몹 정리(최신)'!$B:$B,0))*35,INDEX('큐펫&amp;몹 정리(최신)'!S:S,MATCH($E297,'큐펫&amp;몹 정리(최신)'!$B:$B,0))*40))))</f>
        <v>240</v>
      </c>
      <c r="O297" s="190">
        <f>IF($J297=1,INDEX('큐펫&amp;몹 정리(최신)'!T:T,MATCH($E297,'큐펫&amp;몹 정리(최신)'!$B:$B,0))*20,IF($J297=2,INDEX('큐펫&amp;몹 정리(최신)'!T:T,MATCH($E297,'큐펫&amp;몹 정리(최신)'!$B:$B,0))*25,IF($J297=3,INDEX('큐펫&amp;몹 정리(최신)'!T:T,MATCH($E297,'큐펫&amp;몹 정리(최신)'!$B:$B,0))*30,IF($J297=4,INDEX('큐펫&amp;몹 정리(최신)'!T:T,MATCH($E297,'큐펫&amp;몹 정리(최신)'!$B:$B,0))*35,INDEX('큐펫&amp;몹 정리(최신)'!T:T,MATCH($E297,'큐펫&amp;몹 정리(최신)'!$B:$B,0))*40))))</f>
        <v>420</v>
      </c>
      <c r="P297" s="217">
        <v>20</v>
      </c>
      <c r="Q297" s="217">
        <f t="shared" si="32"/>
        <v>29440</v>
      </c>
      <c r="R297" s="217">
        <f t="shared" si="33"/>
        <v>695</v>
      </c>
      <c r="S297" s="217">
        <f t="shared" si="34"/>
        <v>860</v>
      </c>
      <c r="T297" s="217">
        <f t="shared" si="35"/>
        <v>4587</v>
      </c>
      <c r="U297" s="217">
        <f t="shared" si="36"/>
        <v>9488</v>
      </c>
      <c r="V297" s="217">
        <f t="shared" si="37"/>
        <v>8327</v>
      </c>
      <c r="W297" s="217">
        <f>ROUND(AC297+(INDEX(Ref!B$1:B$9,MATCH($AI297,Ref!$A$1:$A$9,0))*P297*0.0001),)</f>
        <v>25</v>
      </c>
      <c r="X297" s="217">
        <f>ROUND(AD297+(INDEX(Ref!C$1:C$9,MATCH($AI297,Ref!$A$1:$A$9,0))*$P297*0.0001),)</f>
        <v>21</v>
      </c>
      <c r="Y297" s="217">
        <f>ROUND(AE297+(INDEX(Ref!D$1:D$9,MATCH($AI297,Ref!$A$1:$A$9,0))*$P297*0.0001),)</f>
        <v>59</v>
      </c>
      <c r="Z297" s="217">
        <f>ROUND(AF297+(INDEX(Ref!E$1:E$9,MATCH($AI297,Ref!$A$1:$A$9,0))*$P297*0.0001),)</f>
        <v>32</v>
      </c>
      <c r="AA297" s="217">
        <f>ROUND(AG297+(INDEX(Ref!F$1:F$9,MATCH($AI297,Ref!$A$1:$A$9,0))*$P297*0.0001),)</f>
        <v>28</v>
      </c>
      <c r="AB297" s="217">
        <f>ROUND(AH297+(INDEX(Ref!G$1:G$9,MATCH($AI297,Ref!$A$1:$A$9,0))*$P297*0.0001),)</f>
        <v>19</v>
      </c>
      <c r="AC297" s="137">
        <v>22</v>
      </c>
      <c r="AD297" s="137">
        <v>18</v>
      </c>
      <c r="AE297" s="137">
        <v>54</v>
      </c>
      <c r="AF297" s="137">
        <v>28</v>
      </c>
      <c r="AG297" s="137">
        <v>25</v>
      </c>
      <c r="AH297" s="137">
        <v>17</v>
      </c>
      <c r="AI297" s="208">
        <v>4</v>
      </c>
      <c r="AJ297" s="172">
        <v>3000</v>
      </c>
      <c r="AK297" s="172">
        <v>30355</v>
      </c>
      <c r="AL297" s="172">
        <v>2000</v>
      </c>
      <c r="AM297" s="172">
        <v>30358</v>
      </c>
      <c r="AN297" s="172">
        <v>0</v>
      </c>
      <c r="AO297" s="172">
        <f t="shared" si="38"/>
        <v>34355</v>
      </c>
      <c r="AP297" s="172">
        <v>0</v>
      </c>
      <c r="AQ297" s="172">
        <f t="shared" si="39"/>
        <v>34358</v>
      </c>
      <c r="AR297" s="172">
        <v>1</v>
      </c>
      <c r="AS297" s="172">
        <v>0</v>
      </c>
      <c r="AT297" s="199">
        <v>78060</v>
      </c>
      <c r="AU297" s="195" t="s">
        <v>251</v>
      </c>
    </row>
    <row r="298" spans="1:47" x14ac:dyDescent="0.2">
      <c r="A298" s="173">
        <v>55060</v>
      </c>
      <c r="B298" s="174" t="s">
        <v>249</v>
      </c>
      <c r="C298" s="172">
        <v>86060</v>
      </c>
      <c r="D298" s="172">
        <v>150060</v>
      </c>
      <c r="E298" s="206" t="s">
        <v>250</v>
      </c>
      <c r="F298" s="207">
        <v>2</v>
      </c>
      <c r="G298" s="172">
        <v>10000</v>
      </c>
      <c r="H298" s="172">
        <v>10000</v>
      </c>
      <c r="I298" s="172">
        <v>10000</v>
      </c>
      <c r="J298" s="172">
        <v>2</v>
      </c>
      <c r="K298" s="190">
        <f>IF($J298=1,INDEX('큐펫&amp;몹 정리(최신)'!P:P,MATCH($E298,'큐펫&amp;몹 정리(최신)'!$B:$B,0))*20,IF($J298=2,INDEX('큐펫&amp;몹 정리(최신)'!P:P,MATCH($E298,'큐펫&amp;몹 정리(최신)'!$B:$B,0))*25,IF($J298=3,INDEX('큐펫&amp;몹 정리(최신)'!P:P,MATCH($E298,'큐펫&amp;몹 정리(최신)'!$B:$B,0))*30,IF($J298=4,INDEX('큐펫&amp;몹 정리(최신)'!P:P,MATCH($E298,'큐펫&amp;몹 정리(최신)'!$B:$B,0))*35,INDEX('큐펫&amp;몹 정리(최신)'!P:P,MATCH($E298,'큐펫&amp;몹 정리(최신)'!$B:$B,0))*40))))</f>
        <v>1000</v>
      </c>
      <c r="L298" s="190">
        <f>IF($J298=1,INDEX('큐펫&amp;몹 정리(최신)'!Q:Q,MATCH($E298,'큐펫&amp;몹 정리(최신)'!$B:$B,0))*20,IF($J298=2,INDEX('큐펫&amp;몹 정리(최신)'!Q:Q,MATCH($E298,'큐펫&amp;몹 정리(최신)'!$B:$B,0))*25,IF($J298=3,INDEX('큐펫&amp;몹 정리(최신)'!Q:Q,MATCH($E298,'큐펫&amp;몹 정리(최신)'!$B:$B,0))*30,IF($J298=4,INDEX('큐펫&amp;몹 정리(최신)'!Q:Q,MATCH($E298,'큐펫&amp;몹 정리(최신)'!$B:$B,0))*35,INDEX('큐펫&amp;몹 정리(최신)'!Q:Q,MATCH($E298,'큐펫&amp;몹 정리(최신)'!$B:$B,0))*40))))</f>
        <v>125</v>
      </c>
      <c r="M298" s="190">
        <f>IF($J298=1,INDEX('큐펫&amp;몹 정리(최신)'!R:R,MATCH($E298,'큐펫&amp;몹 정리(최신)'!$B:$B,0))*20,IF($J298=2,INDEX('큐펫&amp;몹 정리(최신)'!R:R,MATCH($E298,'큐펫&amp;몹 정리(최신)'!$B:$B,0))*25,IF($J298=3,INDEX('큐펫&amp;몹 정리(최신)'!R:R,MATCH($E298,'큐펫&amp;몹 정리(최신)'!$B:$B,0))*30,IF($J298=4,INDEX('큐펫&amp;몹 정리(최신)'!R:R,MATCH($E298,'큐펫&amp;몹 정리(최신)'!$B:$B,0))*35,INDEX('큐펫&amp;몹 정리(최신)'!R:R,MATCH($E298,'큐펫&amp;몹 정리(최신)'!$B:$B,0))*40))))</f>
        <v>550</v>
      </c>
      <c r="N298" s="190">
        <f>IF($J298=1,INDEX('큐펫&amp;몹 정리(최신)'!S:S,MATCH($E298,'큐펫&amp;몹 정리(최신)'!$B:$B,0))*20,IF($J298=2,INDEX('큐펫&amp;몹 정리(최신)'!S:S,MATCH($E298,'큐펫&amp;몹 정리(최신)'!$B:$B,0))*25,IF($J298=3,INDEX('큐펫&amp;몹 정리(최신)'!S:S,MATCH($E298,'큐펫&amp;몹 정리(최신)'!$B:$B,0))*30,IF($J298=4,INDEX('큐펫&amp;몹 정리(최신)'!S:S,MATCH($E298,'큐펫&amp;몹 정리(최신)'!$B:$B,0))*35,INDEX('큐펫&amp;몹 정리(최신)'!S:S,MATCH($E298,'큐펫&amp;몹 정리(최신)'!$B:$B,0))*40))))</f>
        <v>300</v>
      </c>
      <c r="O298" s="190">
        <f>IF($J298=1,INDEX('큐펫&amp;몹 정리(최신)'!T:T,MATCH($E298,'큐펫&amp;몹 정리(최신)'!$B:$B,0))*20,IF($J298=2,INDEX('큐펫&amp;몹 정리(최신)'!T:T,MATCH($E298,'큐펫&amp;몹 정리(최신)'!$B:$B,0))*25,IF($J298=3,INDEX('큐펫&amp;몹 정리(최신)'!T:T,MATCH($E298,'큐펫&amp;몹 정리(최신)'!$B:$B,0))*30,IF($J298=4,INDEX('큐펫&amp;몹 정리(최신)'!T:T,MATCH($E298,'큐펫&amp;몹 정리(최신)'!$B:$B,0))*35,INDEX('큐펫&amp;몹 정리(최신)'!T:T,MATCH($E298,'큐펫&amp;몹 정리(최신)'!$B:$B,0))*40))))</f>
        <v>525</v>
      </c>
      <c r="P298" s="217">
        <v>40</v>
      </c>
      <c r="Q298" s="217">
        <f t="shared" si="32"/>
        <v>72600</v>
      </c>
      <c r="R298" s="217">
        <f t="shared" si="33"/>
        <v>1296</v>
      </c>
      <c r="S298" s="217">
        <f t="shared" si="34"/>
        <v>1633</v>
      </c>
      <c r="T298" s="217">
        <f t="shared" si="35"/>
        <v>8910</v>
      </c>
      <c r="U298" s="217">
        <f t="shared" si="36"/>
        <v>16359</v>
      </c>
      <c r="V298" s="217">
        <f t="shared" si="37"/>
        <v>14346</v>
      </c>
      <c r="W298" s="217">
        <f>ROUND(AC298+(INDEX(Ref!B$1:B$9,MATCH($AI298,Ref!$A$1:$A$9,0))*P298*0.0001),)</f>
        <v>31</v>
      </c>
      <c r="X298" s="217">
        <f>ROUND(AD298+(INDEX(Ref!C$1:C$9,MATCH($AI298,Ref!$A$1:$A$9,0))*$P298*0.0001),)</f>
        <v>26</v>
      </c>
      <c r="Y298" s="217">
        <f>ROUND(AE298+(INDEX(Ref!D$1:D$9,MATCH($AI298,Ref!$A$1:$A$9,0))*$P298*0.0001),)</f>
        <v>69</v>
      </c>
      <c r="Z298" s="217">
        <f>ROUND(AF298+(INDEX(Ref!E$1:E$9,MATCH($AI298,Ref!$A$1:$A$9,0))*$P298*0.0001),)</f>
        <v>40</v>
      </c>
      <c r="AA298" s="217">
        <f>ROUND(AG298+(INDEX(Ref!F$1:F$9,MATCH($AI298,Ref!$A$1:$A$9,0))*$P298*0.0001),)</f>
        <v>35</v>
      </c>
      <c r="AB298" s="217">
        <f>ROUND(AH298+(INDEX(Ref!G$1:G$9,MATCH($AI298,Ref!$A$1:$A$9,0))*$P298*0.0001),)</f>
        <v>24</v>
      </c>
      <c r="AC298" s="137">
        <v>25</v>
      </c>
      <c r="AD298" s="137">
        <v>21</v>
      </c>
      <c r="AE298" s="137">
        <v>59</v>
      </c>
      <c r="AF298" s="137">
        <v>32</v>
      </c>
      <c r="AG298" s="137">
        <v>28</v>
      </c>
      <c r="AH298" s="137">
        <v>19</v>
      </c>
      <c r="AI298" s="208">
        <v>4</v>
      </c>
      <c r="AJ298" s="172">
        <v>3000</v>
      </c>
      <c r="AK298" s="172">
        <v>30356</v>
      </c>
      <c r="AL298" s="172">
        <v>2000</v>
      </c>
      <c r="AM298" s="172">
        <v>30358</v>
      </c>
      <c r="AN298" s="172">
        <v>0</v>
      </c>
      <c r="AO298" s="172">
        <f t="shared" si="38"/>
        <v>34356</v>
      </c>
      <c r="AP298" s="172">
        <v>0</v>
      </c>
      <c r="AQ298" s="172">
        <f t="shared" si="39"/>
        <v>34358</v>
      </c>
      <c r="AR298" s="172">
        <v>1</v>
      </c>
      <c r="AS298" s="172">
        <v>0</v>
      </c>
      <c r="AT298" s="199">
        <v>78060</v>
      </c>
      <c r="AU298" s="195" t="s">
        <v>251</v>
      </c>
    </row>
    <row r="299" spans="1:47" x14ac:dyDescent="0.2">
      <c r="A299" s="173">
        <v>55060</v>
      </c>
      <c r="B299" s="174" t="s">
        <v>249</v>
      </c>
      <c r="C299" s="172">
        <v>86060</v>
      </c>
      <c r="D299" s="172">
        <v>150060</v>
      </c>
      <c r="E299" s="206" t="s">
        <v>250</v>
      </c>
      <c r="F299" s="207">
        <v>2</v>
      </c>
      <c r="G299" s="172">
        <v>10000</v>
      </c>
      <c r="H299" s="172">
        <v>10000</v>
      </c>
      <c r="I299" s="172">
        <v>10000</v>
      </c>
      <c r="J299" s="172">
        <v>3</v>
      </c>
      <c r="K299" s="190">
        <f>IF($J299=1,INDEX('큐펫&amp;몹 정리(최신)'!P:P,MATCH($E299,'큐펫&amp;몹 정리(최신)'!$B:$B,0))*20,IF($J299=2,INDEX('큐펫&amp;몹 정리(최신)'!P:P,MATCH($E299,'큐펫&amp;몹 정리(최신)'!$B:$B,0))*25,IF($J299=3,INDEX('큐펫&amp;몹 정리(최신)'!P:P,MATCH($E299,'큐펫&amp;몹 정리(최신)'!$B:$B,0))*30,IF($J299=4,INDEX('큐펫&amp;몹 정리(최신)'!P:P,MATCH($E299,'큐펫&amp;몹 정리(최신)'!$B:$B,0))*35,INDEX('큐펫&amp;몹 정리(최신)'!P:P,MATCH($E299,'큐펫&amp;몹 정리(최신)'!$B:$B,0))*40))))</f>
        <v>1200</v>
      </c>
      <c r="L299" s="190">
        <f>IF($J299=1,INDEX('큐펫&amp;몹 정리(최신)'!Q:Q,MATCH($E299,'큐펫&amp;몹 정리(최신)'!$B:$B,0))*20,IF($J299=2,INDEX('큐펫&amp;몹 정리(최신)'!Q:Q,MATCH($E299,'큐펫&amp;몹 정리(최신)'!$B:$B,0))*25,IF($J299=3,INDEX('큐펫&amp;몹 정리(최신)'!Q:Q,MATCH($E299,'큐펫&amp;몹 정리(최신)'!$B:$B,0))*30,IF($J299=4,INDEX('큐펫&amp;몹 정리(최신)'!Q:Q,MATCH($E299,'큐펫&amp;몹 정리(최신)'!$B:$B,0))*35,INDEX('큐펫&amp;몹 정리(최신)'!Q:Q,MATCH($E299,'큐펫&amp;몹 정리(최신)'!$B:$B,0))*40))))</f>
        <v>150</v>
      </c>
      <c r="M299" s="190">
        <f>IF($J299=1,INDEX('큐펫&amp;몹 정리(최신)'!R:R,MATCH($E299,'큐펫&amp;몹 정리(최신)'!$B:$B,0))*20,IF($J299=2,INDEX('큐펫&amp;몹 정리(최신)'!R:R,MATCH($E299,'큐펫&amp;몹 정리(최신)'!$B:$B,0))*25,IF($J299=3,INDEX('큐펫&amp;몹 정리(최신)'!R:R,MATCH($E299,'큐펫&amp;몹 정리(최신)'!$B:$B,0))*30,IF($J299=4,INDEX('큐펫&amp;몹 정리(최신)'!R:R,MATCH($E299,'큐펫&amp;몹 정리(최신)'!$B:$B,0))*35,INDEX('큐펫&amp;몹 정리(최신)'!R:R,MATCH($E299,'큐펫&amp;몹 정리(최신)'!$B:$B,0))*40))))</f>
        <v>660</v>
      </c>
      <c r="N299" s="190">
        <f>IF($J299=1,INDEX('큐펫&amp;몹 정리(최신)'!S:S,MATCH($E299,'큐펫&amp;몹 정리(최신)'!$B:$B,0))*20,IF($J299=2,INDEX('큐펫&amp;몹 정리(최신)'!S:S,MATCH($E299,'큐펫&amp;몹 정리(최신)'!$B:$B,0))*25,IF($J299=3,INDEX('큐펫&amp;몹 정리(최신)'!S:S,MATCH($E299,'큐펫&amp;몹 정리(최신)'!$B:$B,0))*30,IF($J299=4,INDEX('큐펫&amp;몹 정리(최신)'!S:S,MATCH($E299,'큐펫&amp;몹 정리(최신)'!$B:$B,0))*35,INDEX('큐펫&amp;몹 정리(최신)'!S:S,MATCH($E299,'큐펫&amp;몹 정리(최신)'!$B:$B,0))*40))))</f>
        <v>360</v>
      </c>
      <c r="O299" s="190">
        <f>IF($J299=1,INDEX('큐펫&amp;몹 정리(최신)'!T:T,MATCH($E299,'큐펫&amp;몹 정리(최신)'!$B:$B,0))*20,IF($J299=2,INDEX('큐펫&amp;몹 정리(최신)'!T:T,MATCH($E299,'큐펫&amp;몹 정리(최신)'!$B:$B,0))*25,IF($J299=3,INDEX('큐펫&amp;몹 정리(최신)'!T:T,MATCH($E299,'큐펫&amp;몹 정리(최신)'!$B:$B,0))*30,IF($J299=4,INDEX('큐펫&amp;몹 정리(최신)'!T:T,MATCH($E299,'큐펫&amp;몹 정리(최신)'!$B:$B,0))*35,INDEX('큐펫&amp;몹 정리(최신)'!T:T,MATCH($E299,'큐펫&amp;몹 정리(최신)'!$B:$B,0))*40))))</f>
        <v>630</v>
      </c>
      <c r="P299" s="217">
        <v>60</v>
      </c>
      <c r="Q299" s="217">
        <f t="shared" si="32"/>
        <v>134160</v>
      </c>
      <c r="R299" s="217">
        <f t="shared" si="33"/>
        <v>2062</v>
      </c>
      <c r="S299" s="217">
        <f t="shared" si="34"/>
        <v>2774</v>
      </c>
      <c r="T299" s="217">
        <f t="shared" si="35"/>
        <v>15344</v>
      </c>
      <c r="U299" s="217">
        <f t="shared" si="36"/>
        <v>24852</v>
      </c>
      <c r="V299" s="217">
        <f t="shared" si="37"/>
        <v>21783</v>
      </c>
      <c r="W299" s="217">
        <f>ROUND(AC299+(INDEX(Ref!B$1:B$9,MATCH($AI299,Ref!$A$1:$A$9,0))*P299*0.0001),)</f>
        <v>36</v>
      </c>
      <c r="X299" s="217">
        <f>ROUND(AD299+(INDEX(Ref!C$1:C$9,MATCH($AI299,Ref!$A$1:$A$9,0))*$P299*0.0001),)</f>
        <v>31</v>
      </c>
      <c r="Y299" s="217">
        <f>ROUND(AE299+(INDEX(Ref!D$1:D$9,MATCH($AI299,Ref!$A$1:$A$9,0))*$P299*0.0001),)</f>
        <v>78</v>
      </c>
      <c r="Z299" s="217">
        <f>ROUND(AF299+(INDEX(Ref!E$1:E$9,MATCH($AI299,Ref!$A$1:$A$9,0))*$P299*0.0001),)</f>
        <v>48</v>
      </c>
      <c r="AA299" s="217">
        <f>ROUND(AG299+(INDEX(Ref!F$1:F$9,MATCH($AI299,Ref!$A$1:$A$9,0))*$P299*0.0001),)</f>
        <v>42</v>
      </c>
      <c r="AB299" s="217">
        <f>ROUND(AH299+(INDEX(Ref!G$1:G$9,MATCH($AI299,Ref!$A$1:$A$9,0))*$P299*0.0001),)</f>
        <v>28</v>
      </c>
      <c r="AC299" s="137">
        <v>27</v>
      </c>
      <c r="AD299" s="137">
        <v>23</v>
      </c>
      <c r="AE299" s="137">
        <v>64</v>
      </c>
      <c r="AF299" s="137">
        <v>37</v>
      </c>
      <c r="AG299" s="137">
        <v>32</v>
      </c>
      <c r="AH299" s="137">
        <v>21</v>
      </c>
      <c r="AI299" s="208">
        <v>4</v>
      </c>
      <c r="AJ299" s="172">
        <v>3000</v>
      </c>
      <c r="AK299" s="172">
        <v>30356</v>
      </c>
      <c r="AL299" s="172">
        <v>2000</v>
      </c>
      <c r="AM299" s="172">
        <v>30359</v>
      </c>
      <c r="AN299" s="172">
        <v>0</v>
      </c>
      <c r="AO299" s="172">
        <f t="shared" si="38"/>
        <v>34356</v>
      </c>
      <c r="AP299" s="172">
        <v>0</v>
      </c>
      <c r="AQ299" s="172">
        <f t="shared" si="39"/>
        <v>34359</v>
      </c>
      <c r="AR299" s="172">
        <v>1</v>
      </c>
      <c r="AS299" s="172">
        <v>0</v>
      </c>
      <c r="AT299" s="199">
        <v>78060</v>
      </c>
      <c r="AU299" s="195" t="s">
        <v>251</v>
      </c>
    </row>
    <row r="300" spans="1:47" x14ac:dyDescent="0.2">
      <c r="A300" s="173">
        <v>55060</v>
      </c>
      <c r="B300" s="174" t="s">
        <v>249</v>
      </c>
      <c r="C300" s="172">
        <v>86060</v>
      </c>
      <c r="D300" s="172">
        <v>150060</v>
      </c>
      <c r="E300" s="206" t="s">
        <v>250</v>
      </c>
      <c r="F300" s="207">
        <v>2</v>
      </c>
      <c r="G300" s="172">
        <v>10000</v>
      </c>
      <c r="H300" s="172">
        <v>10000</v>
      </c>
      <c r="I300" s="172">
        <v>10000</v>
      </c>
      <c r="J300" s="172">
        <v>4</v>
      </c>
      <c r="K300" s="190">
        <f>IF($J300=1,INDEX('큐펫&amp;몹 정리(최신)'!P:P,MATCH($E300,'큐펫&amp;몹 정리(최신)'!$B:$B,0))*20,IF($J300=2,INDEX('큐펫&amp;몹 정리(최신)'!P:P,MATCH($E300,'큐펫&amp;몹 정리(최신)'!$B:$B,0))*25,IF($J300=3,INDEX('큐펫&amp;몹 정리(최신)'!P:P,MATCH($E300,'큐펫&amp;몹 정리(최신)'!$B:$B,0))*30,IF($J300=4,INDEX('큐펫&amp;몹 정리(최신)'!P:P,MATCH($E300,'큐펫&amp;몹 정리(최신)'!$B:$B,0))*35,INDEX('큐펫&amp;몹 정리(최신)'!P:P,MATCH($E300,'큐펫&amp;몹 정리(최신)'!$B:$B,0))*40))))</f>
        <v>1400</v>
      </c>
      <c r="L300" s="190">
        <f>IF($J300=1,INDEX('큐펫&amp;몹 정리(최신)'!Q:Q,MATCH($E300,'큐펫&amp;몹 정리(최신)'!$B:$B,0))*20,IF($J300=2,INDEX('큐펫&amp;몹 정리(최신)'!Q:Q,MATCH($E300,'큐펫&amp;몹 정리(최신)'!$B:$B,0))*25,IF($J300=3,INDEX('큐펫&amp;몹 정리(최신)'!Q:Q,MATCH($E300,'큐펫&amp;몹 정리(최신)'!$B:$B,0))*30,IF($J300=4,INDEX('큐펫&amp;몹 정리(최신)'!Q:Q,MATCH($E300,'큐펫&amp;몹 정리(최신)'!$B:$B,0))*35,INDEX('큐펫&amp;몹 정리(최신)'!Q:Q,MATCH($E300,'큐펫&amp;몹 정리(최신)'!$B:$B,0))*40))))</f>
        <v>175</v>
      </c>
      <c r="M300" s="190">
        <f>IF($J300=1,INDEX('큐펫&amp;몹 정리(최신)'!R:R,MATCH($E300,'큐펫&amp;몹 정리(최신)'!$B:$B,0))*20,IF($J300=2,INDEX('큐펫&amp;몹 정리(최신)'!R:R,MATCH($E300,'큐펫&amp;몹 정리(최신)'!$B:$B,0))*25,IF($J300=3,INDEX('큐펫&amp;몹 정리(최신)'!R:R,MATCH($E300,'큐펫&amp;몹 정리(최신)'!$B:$B,0))*30,IF($J300=4,INDEX('큐펫&amp;몹 정리(최신)'!R:R,MATCH($E300,'큐펫&amp;몹 정리(최신)'!$B:$B,0))*35,INDEX('큐펫&amp;몹 정리(최신)'!R:R,MATCH($E300,'큐펫&amp;몹 정리(최신)'!$B:$B,0))*40))))</f>
        <v>770</v>
      </c>
      <c r="N300" s="190">
        <f>IF($J300=1,INDEX('큐펫&amp;몹 정리(최신)'!S:S,MATCH($E300,'큐펫&amp;몹 정리(최신)'!$B:$B,0))*20,IF($J300=2,INDEX('큐펫&amp;몹 정리(최신)'!S:S,MATCH($E300,'큐펫&amp;몹 정리(최신)'!$B:$B,0))*25,IF($J300=3,INDEX('큐펫&amp;몹 정리(최신)'!S:S,MATCH($E300,'큐펫&amp;몹 정리(최신)'!$B:$B,0))*30,IF($J300=4,INDEX('큐펫&amp;몹 정리(최신)'!S:S,MATCH($E300,'큐펫&amp;몹 정리(최신)'!$B:$B,0))*35,INDEX('큐펫&amp;몹 정리(최신)'!S:S,MATCH($E300,'큐펫&amp;몹 정리(최신)'!$B:$B,0))*40))))</f>
        <v>420</v>
      </c>
      <c r="O300" s="190">
        <f>IF($J300=1,INDEX('큐펫&amp;몹 정리(최신)'!T:T,MATCH($E300,'큐펫&amp;몹 정리(최신)'!$B:$B,0))*20,IF($J300=2,INDEX('큐펫&amp;몹 정리(최신)'!T:T,MATCH($E300,'큐펫&amp;몹 정리(최신)'!$B:$B,0))*25,IF($J300=3,INDEX('큐펫&amp;몹 정리(최신)'!T:T,MATCH($E300,'큐펫&amp;몹 정리(최신)'!$B:$B,0))*30,IF($J300=4,INDEX('큐펫&amp;몹 정리(최신)'!T:T,MATCH($E300,'큐펫&amp;몹 정리(최신)'!$B:$B,0))*35,INDEX('큐펫&amp;몹 정리(최신)'!T:T,MATCH($E300,'큐펫&amp;몹 정리(최신)'!$B:$B,0))*40))))</f>
        <v>735</v>
      </c>
      <c r="P300" s="217">
        <v>80</v>
      </c>
      <c r="Q300" s="217">
        <f t="shared" si="32"/>
        <v>217560</v>
      </c>
      <c r="R300" s="217">
        <f t="shared" si="33"/>
        <v>3380</v>
      </c>
      <c r="S300" s="217">
        <f t="shared" si="34"/>
        <v>4357</v>
      </c>
      <c r="T300" s="217">
        <f t="shared" si="35"/>
        <v>22615</v>
      </c>
      <c r="U300" s="217">
        <f t="shared" si="36"/>
        <v>35293</v>
      </c>
      <c r="V300" s="217">
        <f t="shared" si="37"/>
        <v>30924</v>
      </c>
      <c r="W300" s="217">
        <f>ROUND(AC300+(INDEX(Ref!B$1:B$9,MATCH($AI300,Ref!$A$1:$A$9,0))*P300*0.0001),)</f>
        <v>43</v>
      </c>
      <c r="X300" s="217">
        <f>ROUND(AD300+(INDEX(Ref!C$1:C$9,MATCH($AI300,Ref!$A$1:$A$9,0))*$P300*0.0001),)</f>
        <v>36</v>
      </c>
      <c r="Y300" s="217">
        <f>ROUND(AE300+(INDEX(Ref!D$1:D$9,MATCH($AI300,Ref!$A$1:$A$9,0))*$P300*0.0001),)</f>
        <v>88</v>
      </c>
      <c r="Z300" s="217">
        <f>ROUND(AF300+(INDEX(Ref!E$1:E$9,MATCH($AI300,Ref!$A$1:$A$9,0))*$P300*0.0001),)</f>
        <v>54</v>
      </c>
      <c r="AA300" s="217">
        <f>ROUND(AG300+(INDEX(Ref!F$1:F$9,MATCH($AI300,Ref!$A$1:$A$9,0))*$P300*0.0001),)</f>
        <v>49</v>
      </c>
      <c r="AB300" s="217">
        <f>ROUND(AH300+(INDEX(Ref!G$1:G$9,MATCH($AI300,Ref!$A$1:$A$9,0))*$P300*0.0001),)</f>
        <v>34</v>
      </c>
      <c r="AC300" s="137">
        <v>31</v>
      </c>
      <c r="AD300" s="137">
        <v>26</v>
      </c>
      <c r="AE300" s="137">
        <v>69</v>
      </c>
      <c r="AF300" s="137">
        <v>39</v>
      </c>
      <c r="AG300" s="137">
        <v>35</v>
      </c>
      <c r="AH300" s="137">
        <v>24</v>
      </c>
      <c r="AI300" s="208">
        <v>4</v>
      </c>
      <c r="AJ300" s="172">
        <v>3000</v>
      </c>
      <c r="AK300" s="172">
        <v>30357</v>
      </c>
      <c r="AL300" s="172">
        <v>2000</v>
      </c>
      <c r="AM300" s="172">
        <v>30359</v>
      </c>
      <c r="AN300" s="172">
        <v>0</v>
      </c>
      <c r="AO300" s="172">
        <f t="shared" si="38"/>
        <v>34357</v>
      </c>
      <c r="AP300" s="172">
        <v>0</v>
      </c>
      <c r="AQ300" s="172">
        <f t="shared" si="39"/>
        <v>34359</v>
      </c>
      <c r="AR300" s="172">
        <v>1</v>
      </c>
      <c r="AS300" s="172">
        <v>0</v>
      </c>
      <c r="AT300" s="199">
        <v>78060</v>
      </c>
      <c r="AU300" s="195" t="s">
        <v>251</v>
      </c>
    </row>
    <row r="301" spans="1:47" x14ac:dyDescent="0.2">
      <c r="A301" s="173">
        <v>55060</v>
      </c>
      <c r="B301" s="174" t="s">
        <v>249</v>
      </c>
      <c r="C301" s="172">
        <v>86060</v>
      </c>
      <c r="D301" s="172">
        <v>150060</v>
      </c>
      <c r="E301" s="206" t="s">
        <v>250</v>
      </c>
      <c r="F301" s="207">
        <v>2</v>
      </c>
      <c r="G301" s="172">
        <v>10000</v>
      </c>
      <c r="H301" s="172">
        <v>10000</v>
      </c>
      <c r="I301" s="172">
        <v>10000</v>
      </c>
      <c r="J301" s="172">
        <v>5</v>
      </c>
      <c r="K301" s="190">
        <f>IF($J301=1,INDEX('큐펫&amp;몹 정리(최신)'!P:P,MATCH($E301,'큐펫&amp;몹 정리(최신)'!$B:$B,0))*20,IF($J301=2,INDEX('큐펫&amp;몹 정리(최신)'!P:P,MATCH($E301,'큐펫&amp;몹 정리(최신)'!$B:$B,0))*25,IF($J301=3,INDEX('큐펫&amp;몹 정리(최신)'!P:P,MATCH($E301,'큐펫&amp;몹 정리(최신)'!$B:$B,0))*30,IF($J301=4,INDEX('큐펫&amp;몹 정리(최신)'!P:P,MATCH($E301,'큐펫&amp;몹 정리(최신)'!$B:$B,0))*35,INDEX('큐펫&amp;몹 정리(최신)'!P:P,MATCH($E301,'큐펫&amp;몹 정리(최신)'!$B:$B,0))*40))))</f>
        <v>1600</v>
      </c>
      <c r="L301" s="190">
        <f>IF($J301=1,INDEX('큐펫&amp;몹 정리(최신)'!Q:Q,MATCH($E301,'큐펫&amp;몹 정리(최신)'!$B:$B,0))*20,IF($J301=2,INDEX('큐펫&amp;몹 정리(최신)'!Q:Q,MATCH($E301,'큐펫&amp;몹 정리(최신)'!$B:$B,0))*25,IF($J301=3,INDEX('큐펫&amp;몹 정리(최신)'!Q:Q,MATCH($E301,'큐펫&amp;몹 정리(최신)'!$B:$B,0))*30,IF($J301=4,INDEX('큐펫&amp;몹 정리(최신)'!Q:Q,MATCH($E301,'큐펫&amp;몹 정리(최신)'!$B:$B,0))*35,INDEX('큐펫&amp;몹 정리(최신)'!Q:Q,MATCH($E301,'큐펫&amp;몹 정리(최신)'!$B:$B,0))*40))))</f>
        <v>200</v>
      </c>
      <c r="M301" s="190">
        <f>IF($J301=1,INDEX('큐펫&amp;몹 정리(최신)'!R:R,MATCH($E301,'큐펫&amp;몹 정리(최신)'!$B:$B,0))*20,IF($J301=2,INDEX('큐펫&amp;몹 정리(최신)'!R:R,MATCH($E301,'큐펫&amp;몹 정리(최신)'!$B:$B,0))*25,IF($J301=3,INDEX('큐펫&amp;몹 정리(최신)'!R:R,MATCH($E301,'큐펫&amp;몹 정리(최신)'!$B:$B,0))*30,IF($J301=4,INDEX('큐펫&amp;몹 정리(최신)'!R:R,MATCH($E301,'큐펫&amp;몹 정리(최신)'!$B:$B,0))*35,INDEX('큐펫&amp;몹 정리(최신)'!R:R,MATCH($E301,'큐펫&amp;몹 정리(최신)'!$B:$B,0))*40))))</f>
        <v>880</v>
      </c>
      <c r="N301" s="190">
        <f>IF($J301=1,INDEX('큐펫&amp;몹 정리(최신)'!S:S,MATCH($E301,'큐펫&amp;몹 정리(최신)'!$B:$B,0))*20,IF($J301=2,INDEX('큐펫&amp;몹 정리(최신)'!S:S,MATCH($E301,'큐펫&amp;몹 정리(최신)'!$B:$B,0))*25,IF($J301=3,INDEX('큐펫&amp;몹 정리(최신)'!S:S,MATCH($E301,'큐펫&amp;몹 정리(최신)'!$B:$B,0))*30,IF($J301=4,INDEX('큐펫&amp;몹 정리(최신)'!S:S,MATCH($E301,'큐펫&amp;몹 정리(최신)'!$B:$B,0))*35,INDEX('큐펫&amp;몹 정리(최신)'!S:S,MATCH($E301,'큐펫&amp;몹 정리(최신)'!$B:$B,0))*40))))</f>
        <v>480</v>
      </c>
      <c r="O301" s="190">
        <f>IF($J301=1,INDEX('큐펫&amp;몹 정리(최신)'!T:T,MATCH($E301,'큐펫&amp;몹 정리(최신)'!$B:$B,0))*20,IF($J301=2,INDEX('큐펫&amp;몹 정리(최신)'!T:T,MATCH($E301,'큐펫&amp;몹 정리(최신)'!$B:$B,0))*25,IF($J301=3,INDEX('큐펫&amp;몹 정리(최신)'!T:T,MATCH($E301,'큐펫&amp;몹 정리(최신)'!$B:$B,0))*30,IF($J301=4,INDEX('큐펫&amp;몹 정리(최신)'!T:T,MATCH($E301,'큐펫&amp;몹 정리(최신)'!$B:$B,0))*35,INDEX('큐펫&amp;몹 정리(최신)'!T:T,MATCH($E301,'큐펫&amp;몹 정리(최신)'!$B:$B,0))*40))))</f>
        <v>840</v>
      </c>
      <c r="P301" s="217">
        <v>100</v>
      </c>
      <c r="Q301" s="217">
        <f t="shared" si="32"/>
        <v>324800</v>
      </c>
      <c r="R301" s="217">
        <f t="shared" si="33"/>
        <v>4971</v>
      </c>
      <c r="S301" s="217">
        <f t="shared" si="34"/>
        <v>6229</v>
      </c>
      <c r="T301" s="217">
        <f t="shared" si="35"/>
        <v>34017</v>
      </c>
      <c r="U301" s="217">
        <f t="shared" si="36"/>
        <v>47536</v>
      </c>
      <c r="V301" s="217">
        <f t="shared" si="37"/>
        <v>41642</v>
      </c>
      <c r="W301" s="217">
        <f>ROUND(AC301+(INDEX(Ref!B$1:B$9,MATCH($AI301,Ref!$A$1:$A$9,0))*P301*0.0001),)</f>
        <v>49</v>
      </c>
      <c r="X301" s="217">
        <f>ROUND(AD301+(INDEX(Ref!C$1:C$9,MATCH($AI301,Ref!$A$1:$A$9,0))*$P301*0.0001),)</f>
        <v>42</v>
      </c>
      <c r="Y301" s="217">
        <f>ROUND(AE301+(INDEX(Ref!D$1:D$9,MATCH($AI301,Ref!$A$1:$A$9,0))*$P301*0.0001),)</f>
        <v>98</v>
      </c>
      <c r="Z301" s="217">
        <f>ROUND(AF301+(INDEX(Ref!E$1:E$9,MATCH($AI301,Ref!$A$1:$A$9,0))*$P301*0.0001),)</f>
        <v>62</v>
      </c>
      <c r="AA301" s="217">
        <f>ROUND(AG301+(INDEX(Ref!F$1:F$9,MATCH($AI301,Ref!$A$1:$A$9,0))*$P301*0.0001),)</f>
        <v>55</v>
      </c>
      <c r="AB301" s="217">
        <f>ROUND(AH301+(INDEX(Ref!G$1:G$9,MATCH($AI301,Ref!$A$1:$A$9,0))*$P301*0.0001),)</f>
        <v>38</v>
      </c>
      <c r="AC301" s="137">
        <v>34</v>
      </c>
      <c r="AD301" s="137">
        <v>29</v>
      </c>
      <c r="AE301" s="137">
        <v>74</v>
      </c>
      <c r="AF301" s="137">
        <v>43</v>
      </c>
      <c r="AG301" s="137">
        <v>38</v>
      </c>
      <c r="AH301" s="137">
        <v>26</v>
      </c>
      <c r="AI301" s="208">
        <v>4</v>
      </c>
      <c r="AJ301" s="172">
        <v>3000</v>
      </c>
      <c r="AK301" s="172">
        <v>30357</v>
      </c>
      <c r="AL301" s="172">
        <v>2000</v>
      </c>
      <c r="AM301" s="172">
        <v>30360</v>
      </c>
      <c r="AN301" s="172">
        <v>0</v>
      </c>
      <c r="AO301" s="172">
        <f t="shared" si="38"/>
        <v>34357</v>
      </c>
      <c r="AP301" s="172">
        <v>0</v>
      </c>
      <c r="AQ301" s="172">
        <f t="shared" si="39"/>
        <v>34360</v>
      </c>
      <c r="AR301" s="172">
        <v>1</v>
      </c>
      <c r="AS301" s="172">
        <v>0</v>
      </c>
      <c r="AT301" s="199">
        <v>78060</v>
      </c>
      <c r="AU301" s="195" t="s">
        <v>251</v>
      </c>
    </row>
    <row r="302" spans="1:47" x14ac:dyDescent="0.2">
      <c r="A302" s="173">
        <v>55061</v>
      </c>
      <c r="B302" s="174" t="s">
        <v>252</v>
      </c>
      <c r="C302" s="172">
        <v>86061</v>
      </c>
      <c r="D302" s="172">
        <v>150061</v>
      </c>
      <c r="E302" s="206" t="s">
        <v>253</v>
      </c>
      <c r="F302" s="207">
        <v>5</v>
      </c>
      <c r="G302" s="172">
        <v>8500</v>
      </c>
      <c r="H302" s="172">
        <v>8500</v>
      </c>
      <c r="I302" s="172">
        <v>10000</v>
      </c>
      <c r="J302" s="172">
        <v>1</v>
      </c>
      <c r="K302" s="190">
        <f>IF($J302=1,INDEX('큐펫&amp;몹 정리(최신)'!P:P,MATCH($E302,'큐펫&amp;몹 정리(최신)'!$B:$B,0))*20,IF($J302=2,INDEX('큐펫&amp;몹 정리(최신)'!P:P,MATCH($E302,'큐펫&amp;몹 정리(최신)'!$B:$B,0))*25,IF($J302=3,INDEX('큐펫&amp;몹 정리(최신)'!P:P,MATCH($E302,'큐펫&amp;몹 정리(최신)'!$B:$B,0))*30,IF($J302=4,INDEX('큐펫&amp;몹 정리(최신)'!P:P,MATCH($E302,'큐펫&amp;몹 정리(최신)'!$B:$B,0))*35,INDEX('큐펫&amp;몹 정리(최신)'!P:P,MATCH($E302,'큐펫&amp;몹 정리(최신)'!$B:$B,0))*40))))</f>
        <v>800</v>
      </c>
      <c r="L302" s="190">
        <f>IF($J302=1,INDEX('큐펫&amp;몹 정리(최신)'!Q:Q,MATCH($E302,'큐펫&amp;몹 정리(최신)'!$B:$B,0))*20,IF($J302=2,INDEX('큐펫&amp;몹 정리(최신)'!Q:Q,MATCH($E302,'큐펫&amp;몹 정리(최신)'!$B:$B,0))*25,IF($J302=3,INDEX('큐펫&amp;몹 정리(최신)'!Q:Q,MATCH($E302,'큐펫&amp;몹 정리(최신)'!$B:$B,0))*30,IF($J302=4,INDEX('큐펫&amp;몹 정리(최신)'!Q:Q,MATCH($E302,'큐펫&amp;몹 정리(최신)'!$B:$B,0))*35,INDEX('큐펫&amp;몹 정리(최신)'!Q:Q,MATCH($E302,'큐펫&amp;몹 정리(최신)'!$B:$B,0))*40))))</f>
        <v>440</v>
      </c>
      <c r="M302" s="190">
        <f>IF($J302=1,INDEX('큐펫&amp;몹 정리(최신)'!R:R,MATCH($E302,'큐펫&amp;몹 정리(최신)'!$B:$B,0))*20,IF($J302=2,INDEX('큐펫&amp;몹 정리(최신)'!R:R,MATCH($E302,'큐펫&amp;몹 정리(최신)'!$B:$B,0))*25,IF($J302=3,INDEX('큐펫&amp;몹 정리(최신)'!R:R,MATCH($E302,'큐펫&amp;몹 정리(최신)'!$B:$B,0))*30,IF($J302=4,INDEX('큐펫&amp;몹 정리(최신)'!R:R,MATCH($E302,'큐펫&amp;몹 정리(최신)'!$B:$B,0))*35,INDEX('큐펫&amp;몹 정리(최신)'!R:R,MATCH($E302,'큐펫&amp;몹 정리(최신)'!$B:$B,0))*40))))</f>
        <v>100</v>
      </c>
      <c r="N302" s="190">
        <f>IF($J302=1,INDEX('큐펫&amp;몹 정리(최신)'!S:S,MATCH($E302,'큐펫&amp;몹 정리(최신)'!$B:$B,0))*20,IF($J302=2,INDEX('큐펫&amp;몹 정리(최신)'!S:S,MATCH($E302,'큐펫&amp;몹 정리(최신)'!$B:$B,0))*25,IF($J302=3,INDEX('큐펫&amp;몹 정리(최신)'!S:S,MATCH($E302,'큐펫&amp;몹 정리(최신)'!$B:$B,0))*30,IF($J302=4,INDEX('큐펫&amp;몹 정리(최신)'!S:S,MATCH($E302,'큐펫&amp;몹 정리(최신)'!$B:$B,0))*35,INDEX('큐펫&amp;몹 정리(최신)'!S:S,MATCH($E302,'큐펫&amp;몹 정리(최신)'!$B:$B,0))*40))))</f>
        <v>420</v>
      </c>
      <c r="O302" s="190">
        <f>IF($J302=1,INDEX('큐펫&amp;몹 정리(최신)'!T:T,MATCH($E302,'큐펫&amp;몹 정리(최신)'!$B:$B,0))*20,IF($J302=2,INDEX('큐펫&amp;몹 정리(최신)'!T:T,MATCH($E302,'큐펫&amp;몹 정리(최신)'!$B:$B,0))*25,IF($J302=3,INDEX('큐펫&amp;몹 정리(최신)'!T:T,MATCH($E302,'큐펫&amp;몹 정리(최신)'!$B:$B,0))*30,IF($J302=4,INDEX('큐펫&amp;몹 정리(최신)'!T:T,MATCH($E302,'큐펫&amp;몹 정리(최신)'!$B:$B,0))*35,INDEX('큐펫&amp;몹 정리(최신)'!T:T,MATCH($E302,'큐펫&amp;몹 정리(최신)'!$B:$B,0))*40))))</f>
        <v>240</v>
      </c>
      <c r="P302" s="217">
        <v>20</v>
      </c>
      <c r="Q302" s="217">
        <f t="shared" si="32"/>
        <v>26880</v>
      </c>
      <c r="R302" s="217">
        <f t="shared" si="33"/>
        <v>5177</v>
      </c>
      <c r="S302" s="217">
        <f t="shared" si="34"/>
        <v>3530</v>
      </c>
      <c r="T302" s="217">
        <f t="shared" si="35"/>
        <v>504</v>
      </c>
      <c r="U302" s="217">
        <f t="shared" si="36"/>
        <v>13240</v>
      </c>
      <c r="V302" s="217">
        <f t="shared" si="37"/>
        <v>3801</v>
      </c>
      <c r="W302" s="217">
        <f>ROUND(AC302+(INDEX(Ref!B$1:B$9,MATCH($AI302,Ref!$A$1:$A$9,0))*P302*0.0001),)</f>
        <v>34</v>
      </c>
      <c r="X302" s="217">
        <f>ROUND(AD302+(INDEX(Ref!C$1:C$9,MATCH($AI302,Ref!$A$1:$A$9,0))*$P302*0.0001),)</f>
        <v>26</v>
      </c>
      <c r="Y302" s="217">
        <f>ROUND(AE302+(INDEX(Ref!D$1:D$9,MATCH($AI302,Ref!$A$1:$A$9,0))*$P302*0.0001),)</f>
        <v>43</v>
      </c>
      <c r="Z302" s="217">
        <f>ROUND(AF302+(INDEX(Ref!E$1:E$9,MATCH($AI302,Ref!$A$1:$A$9,0))*$P302*0.0001),)</f>
        <v>21</v>
      </c>
      <c r="AA302" s="217">
        <f>ROUND(AG302+(INDEX(Ref!F$1:F$9,MATCH($AI302,Ref!$A$1:$A$9,0))*$P302*0.0001),)</f>
        <v>28</v>
      </c>
      <c r="AB302" s="217">
        <f>ROUND(AH302+(INDEX(Ref!G$1:G$9,MATCH($AI302,Ref!$A$1:$A$9,0))*$P302*0.0001),)</f>
        <v>32</v>
      </c>
      <c r="AC302" s="137">
        <v>30</v>
      </c>
      <c r="AD302" s="137">
        <v>23</v>
      </c>
      <c r="AE302" s="137">
        <v>40</v>
      </c>
      <c r="AF302" s="137">
        <v>18</v>
      </c>
      <c r="AG302" s="137">
        <v>25</v>
      </c>
      <c r="AH302" s="137">
        <v>28</v>
      </c>
      <c r="AI302" s="208">
        <v>7</v>
      </c>
      <c r="AJ302" s="172">
        <v>3000</v>
      </c>
      <c r="AK302" s="172">
        <v>30361</v>
      </c>
      <c r="AL302" s="172">
        <v>2000</v>
      </c>
      <c r="AM302" s="172">
        <v>30364</v>
      </c>
      <c r="AN302" s="172">
        <v>0</v>
      </c>
      <c r="AO302" s="172">
        <f t="shared" si="38"/>
        <v>34361</v>
      </c>
      <c r="AP302" s="172">
        <v>0</v>
      </c>
      <c r="AQ302" s="172">
        <f t="shared" si="39"/>
        <v>34364</v>
      </c>
      <c r="AR302" s="172">
        <v>1</v>
      </c>
      <c r="AS302" s="172">
        <v>0</v>
      </c>
      <c r="AT302" s="199">
        <v>78061</v>
      </c>
      <c r="AU302" s="195" t="s">
        <v>254</v>
      </c>
    </row>
    <row r="303" spans="1:47" x14ac:dyDescent="0.2">
      <c r="A303" s="173">
        <v>55061</v>
      </c>
      <c r="B303" s="174" t="s">
        <v>252</v>
      </c>
      <c r="C303" s="172">
        <v>86061</v>
      </c>
      <c r="D303" s="172">
        <v>150061</v>
      </c>
      <c r="E303" s="206" t="s">
        <v>253</v>
      </c>
      <c r="F303" s="207">
        <v>5</v>
      </c>
      <c r="G303" s="172">
        <v>8500</v>
      </c>
      <c r="H303" s="172">
        <v>8500</v>
      </c>
      <c r="I303" s="172">
        <v>10000</v>
      </c>
      <c r="J303" s="172">
        <v>2</v>
      </c>
      <c r="K303" s="190">
        <f>IF($J303=1,INDEX('큐펫&amp;몹 정리(최신)'!P:P,MATCH($E303,'큐펫&amp;몹 정리(최신)'!$B:$B,0))*20,IF($J303=2,INDEX('큐펫&amp;몹 정리(최신)'!P:P,MATCH($E303,'큐펫&amp;몹 정리(최신)'!$B:$B,0))*25,IF($J303=3,INDEX('큐펫&amp;몹 정리(최신)'!P:P,MATCH($E303,'큐펫&amp;몹 정리(최신)'!$B:$B,0))*30,IF($J303=4,INDEX('큐펫&amp;몹 정리(최신)'!P:P,MATCH($E303,'큐펫&amp;몹 정리(최신)'!$B:$B,0))*35,INDEX('큐펫&amp;몹 정리(최신)'!P:P,MATCH($E303,'큐펫&amp;몹 정리(최신)'!$B:$B,0))*40))))</f>
        <v>1000</v>
      </c>
      <c r="L303" s="190">
        <f>IF($J303=1,INDEX('큐펫&amp;몹 정리(최신)'!Q:Q,MATCH($E303,'큐펫&amp;몹 정리(최신)'!$B:$B,0))*20,IF($J303=2,INDEX('큐펫&amp;몹 정리(최신)'!Q:Q,MATCH($E303,'큐펫&amp;몹 정리(최신)'!$B:$B,0))*25,IF($J303=3,INDEX('큐펫&amp;몹 정리(최신)'!Q:Q,MATCH($E303,'큐펫&amp;몹 정리(최신)'!$B:$B,0))*30,IF($J303=4,INDEX('큐펫&amp;몹 정리(최신)'!Q:Q,MATCH($E303,'큐펫&amp;몹 정리(최신)'!$B:$B,0))*35,INDEX('큐펫&amp;몹 정리(최신)'!Q:Q,MATCH($E303,'큐펫&amp;몹 정리(최신)'!$B:$B,0))*40))))</f>
        <v>550</v>
      </c>
      <c r="M303" s="190">
        <f>IF($J303=1,INDEX('큐펫&amp;몹 정리(최신)'!R:R,MATCH($E303,'큐펫&amp;몹 정리(최신)'!$B:$B,0))*20,IF($J303=2,INDEX('큐펫&amp;몹 정리(최신)'!R:R,MATCH($E303,'큐펫&amp;몹 정리(최신)'!$B:$B,0))*25,IF($J303=3,INDEX('큐펫&amp;몹 정리(최신)'!R:R,MATCH($E303,'큐펫&amp;몹 정리(최신)'!$B:$B,0))*30,IF($J303=4,INDEX('큐펫&amp;몹 정리(최신)'!R:R,MATCH($E303,'큐펫&amp;몹 정리(최신)'!$B:$B,0))*35,INDEX('큐펫&amp;몹 정리(최신)'!R:R,MATCH($E303,'큐펫&amp;몹 정리(최신)'!$B:$B,0))*40))))</f>
        <v>125</v>
      </c>
      <c r="N303" s="190">
        <f>IF($J303=1,INDEX('큐펫&amp;몹 정리(최신)'!S:S,MATCH($E303,'큐펫&amp;몹 정리(최신)'!$B:$B,0))*20,IF($J303=2,INDEX('큐펫&amp;몹 정리(최신)'!S:S,MATCH($E303,'큐펫&amp;몹 정리(최신)'!$B:$B,0))*25,IF($J303=3,INDEX('큐펫&amp;몹 정리(최신)'!S:S,MATCH($E303,'큐펫&amp;몹 정리(최신)'!$B:$B,0))*30,IF($J303=4,INDEX('큐펫&amp;몹 정리(최신)'!S:S,MATCH($E303,'큐펫&amp;몹 정리(최신)'!$B:$B,0))*35,INDEX('큐펫&amp;몹 정리(최신)'!S:S,MATCH($E303,'큐펫&amp;몹 정리(최신)'!$B:$B,0))*40))))</f>
        <v>525</v>
      </c>
      <c r="O303" s="190">
        <f>IF($J303=1,INDEX('큐펫&amp;몹 정리(최신)'!T:T,MATCH($E303,'큐펫&amp;몹 정리(최신)'!$B:$B,0))*20,IF($J303=2,INDEX('큐펫&amp;몹 정리(최신)'!T:T,MATCH($E303,'큐펫&amp;몹 정리(최신)'!$B:$B,0))*25,IF($J303=3,INDEX('큐펫&amp;몹 정리(최신)'!T:T,MATCH($E303,'큐펫&amp;몹 정리(최신)'!$B:$B,0))*30,IF($J303=4,INDEX('큐펫&amp;몹 정리(최신)'!T:T,MATCH($E303,'큐펫&amp;몹 정리(최신)'!$B:$B,0))*35,INDEX('큐펫&amp;몹 정리(최신)'!T:T,MATCH($E303,'큐펫&amp;몹 정리(최신)'!$B:$B,0))*40))))</f>
        <v>300</v>
      </c>
      <c r="P303" s="217">
        <v>40</v>
      </c>
      <c r="Q303" s="217">
        <f t="shared" si="32"/>
        <v>64600</v>
      </c>
      <c r="R303" s="217">
        <f t="shared" si="33"/>
        <v>9822</v>
      </c>
      <c r="S303" s="217">
        <f t="shared" si="34"/>
        <v>6846</v>
      </c>
      <c r="T303" s="217">
        <f t="shared" si="35"/>
        <v>931</v>
      </c>
      <c r="U303" s="217">
        <f t="shared" si="36"/>
        <v>23375</v>
      </c>
      <c r="V303" s="217">
        <f t="shared" si="37"/>
        <v>6701</v>
      </c>
      <c r="W303" s="217">
        <f>ROUND(AC303+(INDEX(Ref!B$1:B$9,MATCH($AI303,Ref!$A$1:$A$9,0))*P303*0.0001),)</f>
        <v>42</v>
      </c>
      <c r="X303" s="217">
        <f>ROUND(AD303+(INDEX(Ref!C$1:C$9,MATCH($AI303,Ref!$A$1:$A$9,0))*$P303*0.0001),)</f>
        <v>32</v>
      </c>
      <c r="Y303" s="217">
        <f>ROUND(AE303+(INDEX(Ref!D$1:D$9,MATCH($AI303,Ref!$A$1:$A$9,0))*$P303*0.0001),)</f>
        <v>49</v>
      </c>
      <c r="Z303" s="217">
        <f>ROUND(AF303+(INDEX(Ref!E$1:E$9,MATCH($AI303,Ref!$A$1:$A$9,0))*$P303*0.0001),)</f>
        <v>26</v>
      </c>
      <c r="AA303" s="217">
        <f>ROUND(AG303+(INDEX(Ref!F$1:F$9,MATCH($AI303,Ref!$A$1:$A$9,0))*$P303*0.0001),)</f>
        <v>35</v>
      </c>
      <c r="AB303" s="217">
        <f>ROUND(AH303+(INDEX(Ref!G$1:G$9,MATCH($AI303,Ref!$A$1:$A$9,0))*$P303*0.0001),)</f>
        <v>40</v>
      </c>
      <c r="AC303" s="137">
        <v>34</v>
      </c>
      <c r="AD303" s="137">
        <v>26</v>
      </c>
      <c r="AE303" s="137">
        <v>43</v>
      </c>
      <c r="AF303" s="137">
        <v>21</v>
      </c>
      <c r="AG303" s="137">
        <v>28</v>
      </c>
      <c r="AH303" s="137">
        <v>32</v>
      </c>
      <c r="AI303" s="208">
        <v>7</v>
      </c>
      <c r="AJ303" s="172">
        <v>3000</v>
      </c>
      <c r="AK303" s="172">
        <v>30362</v>
      </c>
      <c r="AL303" s="172">
        <v>2000</v>
      </c>
      <c r="AM303" s="172">
        <v>30364</v>
      </c>
      <c r="AN303" s="172">
        <v>0</v>
      </c>
      <c r="AO303" s="172">
        <f t="shared" si="38"/>
        <v>34362</v>
      </c>
      <c r="AP303" s="172">
        <v>0</v>
      </c>
      <c r="AQ303" s="172">
        <f t="shared" si="39"/>
        <v>34364</v>
      </c>
      <c r="AR303" s="172">
        <v>1</v>
      </c>
      <c r="AS303" s="172">
        <v>0</v>
      </c>
      <c r="AT303" s="199">
        <v>78061</v>
      </c>
      <c r="AU303" s="195" t="s">
        <v>254</v>
      </c>
    </row>
    <row r="304" spans="1:47" x14ac:dyDescent="0.2">
      <c r="A304" s="173">
        <v>55061</v>
      </c>
      <c r="B304" s="174" t="s">
        <v>252</v>
      </c>
      <c r="C304" s="172">
        <v>86061</v>
      </c>
      <c r="D304" s="172">
        <v>150061</v>
      </c>
      <c r="E304" s="206" t="s">
        <v>253</v>
      </c>
      <c r="F304" s="207">
        <v>5</v>
      </c>
      <c r="G304" s="172">
        <v>8500</v>
      </c>
      <c r="H304" s="172">
        <v>8500</v>
      </c>
      <c r="I304" s="172">
        <v>10000</v>
      </c>
      <c r="J304" s="172">
        <v>3</v>
      </c>
      <c r="K304" s="190">
        <f>IF($J304=1,INDEX('큐펫&amp;몹 정리(최신)'!P:P,MATCH($E304,'큐펫&amp;몹 정리(최신)'!$B:$B,0))*20,IF($J304=2,INDEX('큐펫&amp;몹 정리(최신)'!P:P,MATCH($E304,'큐펫&amp;몹 정리(최신)'!$B:$B,0))*25,IF($J304=3,INDEX('큐펫&amp;몹 정리(최신)'!P:P,MATCH($E304,'큐펫&amp;몹 정리(최신)'!$B:$B,0))*30,IF($J304=4,INDEX('큐펫&amp;몹 정리(최신)'!P:P,MATCH($E304,'큐펫&amp;몹 정리(최신)'!$B:$B,0))*35,INDEX('큐펫&amp;몹 정리(최신)'!P:P,MATCH($E304,'큐펫&amp;몹 정리(최신)'!$B:$B,0))*40))))</f>
        <v>1200</v>
      </c>
      <c r="L304" s="190">
        <f>IF($J304=1,INDEX('큐펫&amp;몹 정리(최신)'!Q:Q,MATCH($E304,'큐펫&amp;몹 정리(최신)'!$B:$B,0))*20,IF($J304=2,INDEX('큐펫&amp;몹 정리(최신)'!Q:Q,MATCH($E304,'큐펫&amp;몹 정리(최신)'!$B:$B,0))*25,IF($J304=3,INDEX('큐펫&amp;몹 정리(최신)'!Q:Q,MATCH($E304,'큐펫&amp;몹 정리(최신)'!$B:$B,0))*30,IF($J304=4,INDEX('큐펫&amp;몹 정리(최신)'!Q:Q,MATCH($E304,'큐펫&amp;몹 정리(최신)'!$B:$B,0))*35,INDEX('큐펫&amp;몹 정리(최신)'!Q:Q,MATCH($E304,'큐펫&amp;몹 정리(최신)'!$B:$B,0))*40))))</f>
        <v>660</v>
      </c>
      <c r="M304" s="190">
        <f>IF($J304=1,INDEX('큐펫&amp;몹 정리(최신)'!R:R,MATCH($E304,'큐펫&amp;몹 정리(최신)'!$B:$B,0))*20,IF($J304=2,INDEX('큐펫&amp;몹 정리(최신)'!R:R,MATCH($E304,'큐펫&amp;몹 정리(최신)'!$B:$B,0))*25,IF($J304=3,INDEX('큐펫&amp;몹 정리(최신)'!R:R,MATCH($E304,'큐펫&amp;몹 정리(최신)'!$B:$B,0))*30,IF($J304=4,INDEX('큐펫&amp;몹 정리(최신)'!R:R,MATCH($E304,'큐펫&amp;몹 정리(최신)'!$B:$B,0))*35,INDEX('큐펫&amp;몹 정리(최신)'!R:R,MATCH($E304,'큐펫&amp;몹 정리(최신)'!$B:$B,0))*40))))</f>
        <v>150</v>
      </c>
      <c r="N304" s="190">
        <f>IF($J304=1,INDEX('큐펫&amp;몹 정리(최신)'!S:S,MATCH($E304,'큐펫&amp;몹 정리(최신)'!$B:$B,0))*20,IF($J304=2,INDEX('큐펫&amp;몹 정리(최신)'!S:S,MATCH($E304,'큐펫&amp;몹 정리(최신)'!$B:$B,0))*25,IF($J304=3,INDEX('큐펫&amp;몹 정리(최신)'!S:S,MATCH($E304,'큐펫&amp;몹 정리(최신)'!$B:$B,0))*30,IF($J304=4,INDEX('큐펫&amp;몹 정리(최신)'!S:S,MATCH($E304,'큐펫&amp;몹 정리(최신)'!$B:$B,0))*35,INDEX('큐펫&amp;몹 정리(최신)'!S:S,MATCH($E304,'큐펫&amp;몹 정리(최신)'!$B:$B,0))*40))))</f>
        <v>630</v>
      </c>
      <c r="O304" s="190">
        <f>IF($J304=1,INDEX('큐펫&amp;몹 정리(최신)'!T:T,MATCH($E304,'큐펫&amp;몹 정리(최신)'!$B:$B,0))*20,IF($J304=2,INDEX('큐펫&amp;몹 정리(최신)'!T:T,MATCH($E304,'큐펫&amp;몹 정리(최신)'!$B:$B,0))*25,IF($J304=3,INDEX('큐펫&amp;몹 정리(최신)'!T:T,MATCH($E304,'큐펫&amp;몹 정리(최신)'!$B:$B,0))*30,IF($J304=4,INDEX('큐펫&amp;몹 정리(최신)'!T:T,MATCH($E304,'큐펫&amp;몹 정리(최신)'!$B:$B,0))*35,INDEX('큐펫&amp;몹 정리(최신)'!T:T,MATCH($E304,'큐펫&amp;몹 정리(최신)'!$B:$B,0))*40))))</f>
        <v>360</v>
      </c>
      <c r="P304" s="217">
        <v>60</v>
      </c>
      <c r="Q304" s="217">
        <f t="shared" si="32"/>
        <v>116880</v>
      </c>
      <c r="R304" s="217">
        <f t="shared" si="33"/>
        <v>16649</v>
      </c>
      <c r="S304" s="217">
        <f t="shared" si="34"/>
        <v>11778</v>
      </c>
      <c r="T304" s="217">
        <f t="shared" si="35"/>
        <v>1550</v>
      </c>
      <c r="U304" s="217">
        <f t="shared" si="36"/>
        <v>35926</v>
      </c>
      <c r="V304" s="217">
        <f t="shared" si="37"/>
        <v>10291</v>
      </c>
      <c r="W304" s="217">
        <f>ROUND(AC304+(INDEX(Ref!B$1:B$9,MATCH($AI304,Ref!$A$1:$A$9,0))*P304*0.0001),)</f>
        <v>50</v>
      </c>
      <c r="X304" s="217">
        <f>ROUND(AD304+(INDEX(Ref!C$1:C$9,MATCH($AI304,Ref!$A$1:$A$9,0))*$P304*0.0001),)</f>
        <v>40</v>
      </c>
      <c r="Y304" s="217">
        <f>ROUND(AE304+(INDEX(Ref!D$1:D$9,MATCH($AI304,Ref!$A$1:$A$9,0))*$P304*0.0001),)</f>
        <v>54</v>
      </c>
      <c r="Z304" s="217">
        <f>ROUND(AF304+(INDEX(Ref!E$1:E$9,MATCH($AI304,Ref!$A$1:$A$9,0))*$P304*0.0001),)</f>
        <v>31</v>
      </c>
      <c r="AA304" s="217">
        <f>ROUND(AG304+(INDEX(Ref!F$1:F$9,MATCH($AI304,Ref!$A$1:$A$9,0))*$P304*0.0001),)</f>
        <v>42</v>
      </c>
      <c r="AB304" s="217">
        <f>ROUND(AH304+(INDEX(Ref!G$1:G$9,MATCH($AI304,Ref!$A$1:$A$9,0))*$P304*0.0001),)</f>
        <v>47</v>
      </c>
      <c r="AC304" s="137">
        <v>38</v>
      </c>
      <c r="AD304" s="137">
        <v>30</v>
      </c>
      <c r="AE304" s="137">
        <v>45</v>
      </c>
      <c r="AF304" s="137">
        <v>23</v>
      </c>
      <c r="AG304" s="137">
        <v>32</v>
      </c>
      <c r="AH304" s="137">
        <v>36</v>
      </c>
      <c r="AI304" s="208">
        <v>7</v>
      </c>
      <c r="AJ304" s="172">
        <v>3000</v>
      </c>
      <c r="AK304" s="172">
        <v>30362</v>
      </c>
      <c r="AL304" s="172">
        <v>2000</v>
      </c>
      <c r="AM304" s="172">
        <v>30365</v>
      </c>
      <c r="AN304" s="172">
        <v>0</v>
      </c>
      <c r="AO304" s="172">
        <f t="shared" si="38"/>
        <v>34362</v>
      </c>
      <c r="AP304" s="172">
        <v>0</v>
      </c>
      <c r="AQ304" s="172">
        <f t="shared" si="39"/>
        <v>34365</v>
      </c>
      <c r="AR304" s="172">
        <v>1</v>
      </c>
      <c r="AS304" s="172">
        <v>0</v>
      </c>
      <c r="AT304" s="199">
        <v>78061</v>
      </c>
      <c r="AU304" s="195" t="s">
        <v>254</v>
      </c>
    </row>
    <row r="305" spans="1:47" x14ac:dyDescent="0.2">
      <c r="A305" s="173">
        <v>55061</v>
      </c>
      <c r="B305" s="174" t="s">
        <v>252</v>
      </c>
      <c r="C305" s="172">
        <v>86061</v>
      </c>
      <c r="D305" s="172">
        <v>150061</v>
      </c>
      <c r="E305" s="206" t="s">
        <v>253</v>
      </c>
      <c r="F305" s="207">
        <v>5</v>
      </c>
      <c r="G305" s="172">
        <v>8500</v>
      </c>
      <c r="H305" s="172">
        <v>8500</v>
      </c>
      <c r="I305" s="172">
        <v>10000</v>
      </c>
      <c r="J305" s="172">
        <v>4</v>
      </c>
      <c r="K305" s="190">
        <f>IF($J305=1,INDEX('큐펫&amp;몹 정리(최신)'!P:P,MATCH($E305,'큐펫&amp;몹 정리(최신)'!$B:$B,0))*20,IF($J305=2,INDEX('큐펫&amp;몹 정리(최신)'!P:P,MATCH($E305,'큐펫&amp;몹 정리(최신)'!$B:$B,0))*25,IF($J305=3,INDEX('큐펫&amp;몹 정리(최신)'!P:P,MATCH($E305,'큐펫&amp;몹 정리(최신)'!$B:$B,0))*30,IF($J305=4,INDEX('큐펫&amp;몹 정리(최신)'!P:P,MATCH($E305,'큐펫&amp;몹 정리(최신)'!$B:$B,0))*35,INDEX('큐펫&amp;몹 정리(최신)'!P:P,MATCH($E305,'큐펫&amp;몹 정리(최신)'!$B:$B,0))*40))))</f>
        <v>1400</v>
      </c>
      <c r="L305" s="190">
        <f>IF($J305=1,INDEX('큐펫&amp;몹 정리(최신)'!Q:Q,MATCH($E305,'큐펫&amp;몹 정리(최신)'!$B:$B,0))*20,IF($J305=2,INDEX('큐펫&amp;몹 정리(최신)'!Q:Q,MATCH($E305,'큐펫&amp;몹 정리(최신)'!$B:$B,0))*25,IF($J305=3,INDEX('큐펫&amp;몹 정리(최신)'!Q:Q,MATCH($E305,'큐펫&amp;몹 정리(최신)'!$B:$B,0))*30,IF($J305=4,INDEX('큐펫&amp;몹 정리(최신)'!Q:Q,MATCH($E305,'큐펫&amp;몹 정리(최신)'!$B:$B,0))*35,INDEX('큐펫&amp;몹 정리(최신)'!Q:Q,MATCH($E305,'큐펫&amp;몹 정리(최신)'!$B:$B,0))*40))))</f>
        <v>770</v>
      </c>
      <c r="M305" s="190">
        <f>IF($J305=1,INDEX('큐펫&amp;몹 정리(최신)'!R:R,MATCH($E305,'큐펫&amp;몹 정리(최신)'!$B:$B,0))*20,IF($J305=2,INDEX('큐펫&amp;몹 정리(최신)'!R:R,MATCH($E305,'큐펫&amp;몹 정리(최신)'!$B:$B,0))*25,IF($J305=3,INDEX('큐펫&amp;몹 정리(최신)'!R:R,MATCH($E305,'큐펫&amp;몹 정리(최신)'!$B:$B,0))*30,IF($J305=4,INDEX('큐펫&amp;몹 정리(최신)'!R:R,MATCH($E305,'큐펫&amp;몹 정리(최신)'!$B:$B,0))*35,INDEX('큐펫&amp;몹 정리(최신)'!R:R,MATCH($E305,'큐펫&amp;몹 정리(최신)'!$B:$B,0))*40))))</f>
        <v>175</v>
      </c>
      <c r="N305" s="190">
        <f>IF($J305=1,INDEX('큐펫&amp;몹 정리(최신)'!S:S,MATCH($E305,'큐펫&amp;몹 정리(최신)'!$B:$B,0))*20,IF($J305=2,INDEX('큐펫&amp;몹 정리(최신)'!S:S,MATCH($E305,'큐펫&amp;몹 정리(최신)'!$B:$B,0))*25,IF($J305=3,INDEX('큐펫&amp;몹 정리(최신)'!S:S,MATCH($E305,'큐펫&amp;몹 정리(최신)'!$B:$B,0))*30,IF($J305=4,INDEX('큐펫&amp;몹 정리(최신)'!S:S,MATCH($E305,'큐펫&amp;몹 정리(최신)'!$B:$B,0))*35,INDEX('큐펫&amp;몹 정리(최신)'!S:S,MATCH($E305,'큐펫&amp;몹 정리(최신)'!$B:$B,0))*40))))</f>
        <v>735</v>
      </c>
      <c r="O305" s="190">
        <f>IF($J305=1,INDEX('큐펫&amp;몹 정리(최신)'!T:T,MATCH($E305,'큐펫&amp;몹 정리(최신)'!$B:$B,0))*20,IF($J305=2,INDEX('큐펫&amp;몹 정리(최신)'!T:T,MATCH($E305,'큐펫&amp;몹 정리(최신)'!$B:$B,0))*25,IF($J305=3,INDEX('큐펫&amp;몹 정리(최신)'!T:T,MATCH($E305,'큐펫&amp;몹 정리(최신)'!$B:$B,0))*30,IF($J305=4,INDEX('큐펫&amp;몹 정리(최신)'!T:T,MATCH($E305,'큐펫&amp;몹 정리(최신)'!$B:$B,0))*35,INDEX('큐펫&amp;몹 정리(최신)'!T:T,MATCH($E305,'큐펫&amp;몹 정리(최신)'!$B:$B,0))*40))))</f>
        <v>420</v>
      </c>
      <c r="P305" s="217">
        <v>80</v>
      </c>
      <c r="Q305" s="217">
        <f t="shared" si="32"/>
        <v>187320</v>
      </c>
      <c r="R305" s="217">
        <f t="shared" si="33"/>
        <v>26081</v>
      </c>
      <c r="S305" s="217">
        <f t="shared" si="34"/>
        <v>18651</v>
      </c>
      <c r="T305" s="217">
        <f t="shared" si="35"/>
        <v>2399</v>
      </c>
      <c r="U305" s="217">
        <f t="shared" si="36"/>
        <v>51835</v>
      </c>
      <c r="V305" s="217">
        <f t="shared" si="37"/>
        <v>14841</v>
      </c>
      <c r="W305" s="217">
        <f>ROUND(AC305+(INDEX(Ref!B$1:B$9,MATCH($AI305,Ref!$A$1:$A$9,0))*P305*0.0001),)</f>
        <v>58</v>
      </c>
      <c r="X305" s="217">
        <f>ROUND(AD305+(INDEX(Ref!C$1:C$9,MATCH($AI305,Ref!$A$1:$A$9,0))*$P305*0.0001),)</f>
        <v>46</v>
      </c>
      <c r="Y305" s="217">
        <f>ROUND(AE305+(INDEX(Ref!D$1:D$9,MATCH($AI305,Ref!$A$1:$A$9,0))*$P305*0.0001),)</f>
        <v>61</v>
      </c>
      <c r="Z305" s="217">
        <f>ROUND(AF305+(INDEX(Ref!E$1:E$9,MATCH($AI305,Ref!$A$1:$A$9,0))*$P305*0.0001),)</f>
        <v>36</v>
      </c>
      <c r="AA305" s="217">
        <f>ROUND(AG305+(INDEX(Ref!F$1:F$9,MATCH($AI305,Ref!$A$1:$A$9,0))*$P305*0.0001),)</f>
        <v>49</v>
      </c>
      <c r="AB305" s="217">
        <f>ROUND(AH305+(INDEX(Ref!G$1:G$9,MATCH($AI305,Ref!$A$1:$A$9,0))*$P305*0.0001),)</f>
        <v>54</v>
      </c>
      <c r="AC305" s="137">
        <v>42</v>
      </c>
      <c r="AD305" s="137">
        <v>33</v>
      </c>
      <c r="AE305" s="137">
        <v>49</v>
      </c>
      <c r="AF305" s="137">
        <v>26</v>
      </c>
      <c r="AG305" s="137">
        <v>35</v>
      </c>
      <c r="AH305" s="137">
        <v>39</v>
      </c>
      <c r="AI305" s="208">
        <v>7</v>
      </c>
      <c r="AJ305" s="172">
        <v>3000</v>
      </c>
      <c r="AK305" s="172">
        <v>30363</v>
      </c>
      <c r="AL305" s="172">
        <v>2000</v>
      </c>
      <c r="AM305" s="172">
        <v>30365</v>
      </c>
      <c r="AN305" s="172">
        <v>0</v>
      </c>
      <c r="AO305" s="172">
        <f t="shared" si="38"/>
        <v>34363</v>
      </c>
      <c r="AP305" s="172">
        <v>0</v>
      </c>
      <c r="AQ305" s="172">
        <f t="shared" si="39"/>
        <v>34365</v>
      </c>
      <c r="AR305" s="172">
        <v>1</v>
      </c>
      <c r="AS305" s="172">
        <v>0</v>
      </c>
      <c r="AT305" s="199">
        <v>78061</v>
      </c>
      <c r="AU305" s="195" t="s">
        <v>254</v>
      </c>
    </row>
    <row r="306" spans="1:47" x14ac:dyDescent="0.2">
      <c r="A306" s="173">
        <v>55061</v>
      </c>
      <c r="B306" s="174" t="s">
        <v>252</v>
      </c>
      <c r="C306" s="172">
        <v>86061</v>
      </c>
      <c r="D306" s="172">
        <v>150061</v>
      </c>
      <c r="E306" s="206" t="s">
        <v>253</v>
      </c>
      <c r="F306" s="207">
        <v>5</v>
      </c>
      <c r="G306" s="172">
        <v>8500</v>
      </c>
      <c r="H306" s="172">
        <v>8500</v>
      </c>
      <c r="I306" s="172">
        <v>10000</v>
      </c>
      <c r="J306" s="172">
        <v>5</v>
      </c>
      <c r="K306" s="190">
        <f>IF($J306=1,INDEX('큐펫&amp;몹 정리(최신)'!P:P,MATCH($E306,'큐펫&amp;몹 정리(최신)'!$B:$B,0))*20,IF($J306=2,INDEX('큐펫&amp;몹 정리(최신)'!P:P,MATCH($E306,'큐펫&amp;몹 정리(최신)'!$B:$B,0))*25,IF($J306=3,INDEX('큐펫&amp;몹 정리(최신)'!P:P,MATCH($E306,'큐펫&amp;몹 정리(최신)'!$B:$B,0))*30,IF($J306=4,INDEX('큐펫&amp;몹 정리(최신)'!P:P,MATCH($E306,'큐펫&amp;몹 정리(최신)'!$B:$B,0))*35,INDEX('큐펫&amp;몹 정리(최신)'!P:P,MATCH($E306,'큐펫&amp;몹 정리(최신)'!$B:$B,0))*40))))</f>
        <v>1600</v>
      </c>
      <c r="L306" s="190">
        <f>IF($J306=1,INDEX('큐펫&amp;몹 정리(최신)'!Q:Q,MATCH($E306,'큐펫&amp;몹 정리(최신)'!$B:$B,0))*20,IF($J306=2,INDEX('큐펫&amp;몹 정리(최신)'!Q:Q,MATCH($E306,'큐펫&amp;몹 정리(최신)'!$B:$B,0))*25,IF($J306=3,INDEX('큐펫&amp;몹 정리(최신)'!Q:Q,MATCH($E306,'큐펫&amp;몹 정리(최신)'!$B:$B,0))*30,IF($J306=4,INDEX('큐펫&amp;몹 정리(최신)'!Q:Q,MATCH($E306,'큐펫&amp;몹 정리(최신)'!$B:$B,0))*35,INDEX('큐펫&amp;몹 정리(최신)'!Q:Q,MATCH($E306,'큐펫&amp;몹 정리(최신)'!$B:$B,0))*40))))</f>
        <v>880</v>
      </c>
      <c r="M306" s="190">
        <f>IF($J306=1,INDEX('큐펫&amp;몹 정리(최신)'!R:R,MATCH($E306,'큐펫&amp;몹 정리(최신)'!$B:$B,0))*20,IF($J306=2,INDEX('큐펫&amp;몹 정리(최신)'!R:R,MATCH($E306,'큐펫&amp;몹 정리(최신)'!$B:$B,0))*25,IF($J306=3,INDEX('큐펫&amp;몹 정리(최신)'!R:R,MATCH($E306,'큐펫&amp;몹 정리(최신)'!$B:$B,0))*30,IF($J306=4,INDEX('큐펫&amp;몹 정리(최신)'!R:R,MATCH($E306,'큐펫&amp;몹 정리(최신)'!$B:$B,0))*35,INDEX('큐펫&amp;몹 정리(최신)'!R:R,MATCH($E306,'큐펫&amp;몹 정리(최신)'!$B:$B,0))*40))))</f>
        <v>200</v>
      </c>
      <c r="N306" s="190">
        <f>IF($J306=1,INDEX('큐펫&amp;몹 정리(최신)'!S:S,MATCH($E306,'큐펫&amp;몹 정리(최신)'!$B:$B,0))*20,IF($J306=2,INDEX('큐펫&amp;몹 정리(최신)'!S:S,MATCH($E306,'큐펫&amp;몹 정리(최신)'!$B:$B,0))*25,IF($J306=3,INDEX('큐펫&amp;몹 정리(최신)'!S:S,MATCH($E306,'큐펫&amp;몹 정리(최신)'!$B:$B,0))*30,IF($J306=4,INDEX('큐펫&amp;몹 정리(최신)'!S:S,MATCH($E306,'큐펫&amp;몹 정리(최신)'!$B:$B,0))*35,INDEX('큐펫&amp;몹 정리(최신)'!S:S,MATCH($E306,'큐펫&amp;몹 정리(최신)'!$B:$B,0))*40))))</f>
        <v>840</v>
      </c>
      <c r="O306" s="190">
        <f>IF($J306=1,INDEX('큐펫&amp;몹 정리(최신)'!T:T,MATCH($E306,'큐펫&amp;몹 정리(최신)'!$B:$B,0))*20,IF($J306=2,INDEX('큐펫&amp;몹 정리(최신)'!T:T,MATCH($E306,'큐펫&amp;몹 정리(최신)'!$B:$B,0))*25,IF($J306=3,INDEX('큐펫&amp;몹 정리(최신)'!T:T,MATCH($E306,'큐펫&amp;몹 정리(최신)'!$B:$B,0))*30,IF($J306=4,INDEX('큐펫&amp;몹 정리(최신)'!T:T,MATCH($E306,'큐펫&amp;몹 정리(최신)'!$B:$B,0))*35,INDEX('큐펫&amp;몹 정리(최신)'!T:T,MATCH($E306,'큐펫&amp;몹 정리(최신)'!$B:$B,0))*40))))</f>
        <v>480</v>
      </c>
      <c r="P306" s="217">
        <v>100</v>
      </c>
      <c r="Q306" s="217">
        <f t="shared" si="32"/>
        <v>275200</v>
      </c>
      <c r="R306" s="217">
        <f t="shared" si="33"/>
        <v>38540</v>
      </c>
      <c r="S306" s="217">
        <f t="shared" si="34"/>
        <v>26808</v>
      </c>
      <c r="T306" s="217">
        <f t="shared" si="35"/>
        <v>3684</v>
      </c>
      <c r="U306" s="217">
        <f t="shared" si="36"/>
        <v>70161</v>
      </c>
      <c r="V306" s="217">
        <f t="shared" si="37"/>
        <v>20082</v>
      </c>
      <c r="W306" s="217">
        <f>ROUND(AC306+(INDEX(Ref!B$1:B$9,MATCH($AI306,Ref!$A$1:$A$9,0))*P306*0.0001),)</f>
        <v>66</v>
      </c>
      <c r="X306" s="217">
        <f>ROUND(AD306+(INDEX(Ref!C$1:C$9,MATCH($AI306,Ref!$A$1:$A$9,0))*$P306*0.0001),)</f>
        <v>52</v>
      </c>
      <c r="Y306" s="217">
        <f>ROUND(AE306+(INDEX(Ref!D$1:D$9,MATCH($AI306,Ref!$A$1:$A$9,0))*$P306*0.0001),)</f>
        <v>67</v>
      </c>
      <c r="Z306" s="217">
        <f>ROUND(AF306+(INDEX(Ref!E$1:E$9,MATCH($AI306,Ref!$A$1:$A$9,0))*$P306*0.0001),)</f>
        <v>42</v>
      </c>
      <c r="AA306" s="217">
        <f>ROUND(AG306+(INDEX(Ref!F$1:F$9,MATCH($AI306,Ref!$A$1:$A$9,0))*$P306*0.0001),)</f>
        <v>55</v>
      </c>
      <c r="AB306" s="217">
        <f>ROUND(AH306+(INDEX(Ref!G$1:G$9,MATCH($AI306,Ref!$A$1:$A$9,0))*$P306*0.0001),)</f>
        <v>62</v>
      </c>
      <c r="AC306" s="137">
        <v>46</v>
      </c>
      <c r="AD306" s="137">
        <v>36</v>
      </c>
      <c r="AE306" s="137">
        <v>52</v>
      </c>
      <c r="AF306" s="137">
        <v>29</v>
      </c>
      <c r="AG306" s="137">
        <v>38</v>
      </c>
      <c r="AH306" s="137">
        <v>43</v>
      </c>
      <c r="AI306" s="208">
        <v>7</v>
      </c>
      <c r="AJ306" s="172">
        <v>3000</v>
      </c>
      <c r="AK306" s="172">
        <v>30363</v>
      </c>
      <c r="AL306" s="172">
        <v>2000</v>
      </c>
      <c r="AM306" s="172">
        <v>30366</v>
      </c>
      <c r="AN306" s="172">
        <v>0</v>
      </c>
      <c r="AO306" s="172">
        <f t="shared" si="38"/>
        <v>34363</v>
      </c>
      <c r="AP306" s="172">
        <v>0</v>
      </c>
      <c r="AQ306" s="172">
        <f t="shared" si="39"/>
        <v>34366</v>
      </c>
      <c r="AR306" s="172">
        <v>1</v>
      </c>
      <c r="AS306" s="172">
        <v>0</v>
      </c>
      <c r="AT306" s="199">
        <v>78061</v>
      </c>
      <c r="AU306" s="195" t="s">
        <v>254</v>
      </c>
    </row>
    <row r="307" spans="1:47" x14ac:dyDescent="0.2">
      <c r="A307" s="173">
        <v>55062</v>
      </c>
      <c r="B307" s="174" t="s">
        <v>255</v>
      </c>
      <c r="C307" s="172">
        <v>86062</v>
      </c>
      <c r="D307" s="172">
        <v>150062</v>
      </c>
      <c r="E307" s="206" t="s">
        <v>256</v>
      </c>
      <c r="F307" s="207">
        <v>8</v>
      </c>
      <c r="G307" s="173">
        <v>11500</v>
      </c>
      <c r="H307" s="173">
        <v>9500</v>
      </c>
      <c r="I307" s="172">
        <v>10000</v>
      </c>
      <c r="J307" s="172">
        <v>1</v>
      </c>
      <c r="K307" s="190">
        <f>IF($J307=1,INDEX('큐펫&amp;몹 정리(최신)'!P:P,MATCH($E307,'큐펫&amp;몹 정리(최신)'!$B:$B,0))*20,IF($J307=2,INDEX('큐펫&amp;몹 정리(최신)'!P:P,MATCH($E307,'큐펫&amp;몹 정리(최신)'!$B:$B,0))*25,IF($J307=3,INDEX('큐펫&amp;몹 정리(최신)'!P:P,MATCH($E307,'큐펫&amp;몹 정리(최신)'!$B:$B,0))*30,IF($J307=4,INDEX('큐펫&amp;몹 정리(최신)'!P:P,MATCH($E307,'큐펫&amp;몹 정리(최신)'!$B:$B,0))*35,INDEX('큐펫&amp;몹 정리(최신)'!P:P,MATCH($E307,'큐펫&amp;몹 정리(최신)'!$B:$B,0))*40))))</f>
        <v>800</v>
      </c>
      <c r="L307" s="190">
        <f>IF($J307=1,INDEX('큐펫&amp;몹 정리(최신)'!Q:Q,MATCH($E307,'큐펫&amp;몹 정리(최신)'!$B:$B,0))*20,IF($J307=2,INDEX('큐펫&amp;몹 정리(최신)'!Q:Q,MATCH($E307,'큐펫&amp;몹 정리(최신)'!$B:$B,0))*25,IF($J307=3,INDEX('큐펫&amp;몹 정리(최신)'!Q:Q,MATCH($E307,'큐펫&amp;몹 정리(최신)'!$B:$B,0))*30,IF($J307=4,INDEX('큐펫&amp;몹 정리(최신)'!Q:Q,MATCH($E307,'큐펫&amp;몹 정리(최신)'!$B:$B,0))*35,INDEX('큐펫&amp;몹 정리(최신)'!Q:Q,MATCH($E307,'큐펫&amp;몹 정리(최신)'!$B:$B,0))*40))))</f>
        <v>80</v>
      </c>
      <c r="M307" s="190">
        <f>IF($J307=1,INDEX('큐펫&amp;몹 정리(최신)'!R:R,MATCH($E307,'큐펫&amp;몹 정리(최신)'!$B:$B,0))*20,IF($J307=2,INDEX('큐펫&amp;몹 정리(최신)'!R:R,MATCH($E307,'큐펫&amp;몹 정리(최신)'!$B:$B,0))*25,IF($J307=3,INDEX('큐펫&amp;몹 정리(최신)'!R:R,MATCH($E307,'큐펫&amp;몹 정리(최신)'!$B:$B,0))*30,IF($J307=4,INDEX('큐펫&amp;몹 정리(최신)'!R:R,MATCH($E307,'큐펫&amp;몹 정리(최신)'!$B:$B,0))*35,INDEX('큐펫&amp;몹 정리(최신)'!R:R,MATCH($E307,'큐펫&amp;몹 정리(최신)'!$B:$B,0))*40))))</f>
        <v>440</v>
      </c>
      <c r="N307" s="190">
        <f>IF($J307=1,INDEX('큐펫&amp;몹 정리(최신)'!S:S,MATCH($E307,'큐펫&amp;몹 정리(최신)'!$B:$B,0))*20,IF($J307=2,INDEX('큐펫&amp;몹 정리(최신)'!S:S,MATCH($E307,'큐펫&amp;몹 정리(최신)'!$B:$B,0))*25,IF($J307=3,INDEX('큐펫&amp;몹 정리(최신)'!S:S,MATCH($E307,'큐펫&amp;몹 정리(최신)'!$B:$B,0))*30,IF($J307=4,INDEX('큐펫&amp;몹 정리(최신)'!S:S,MATCH($E307,'큐펫&amp;몹 정리(최신)'!$B:$B,0))*35,INDEX('큐펫&amp;몹 정리(최신)'!S:S,MATCH($E307,'큐펫&amp;몹 정리(최신)'!$B:$B,0))*40))))</f>
        <v>280</v>
      </c>
      <c r="O307" s="190">
        <f>IF($J307=1,INDEX('큐펫&amp;몹 정리(최신)'!T:T,MATCH($E307,'큐펫&amp;몹 정리(최신)'!$B:$B,0))*20,IF($J307=2,INDEX('큐펫&amp;몹 정리(최신)'!T:T,MATCH($E307,'큐펫&amp;몹 정리(최신)'!$B:$B,0))*25,IF($J307=3,INDEX('큐펫&amp;몹 정리(최신)'!T:T,MATCH($E307,'큐펫&amp;몹 정리(최신)'!$B:$B,0))*30,IF($J307=4,INDEX('큐펫&amp;몹 정리(최신)'!T:T,MATCH($E307,'큐펫&amp;몹 정리(최신)'!$B:$B,0))*35,INDEX('큐펫&amp;몹 정리(최신)'!T:T,MATCH($E307,'큐펫&amp;몹 정리(최신)'!$B:$B,0))*40))))</f>
        <v>400</v>
      </c>
      <c r="P307" s="217">
        <v>20</v>
      </c>
      <c r="Q307" s="217">
        <f t="shared" si="32"/>
        <v>28320</v>
      </c>
      <c r="R307" s="217">
        <f t="shared" si="33"/>
        <v>346</v>
      </c>
      <c r="S307" s="217">
        <f t="shared" si="34"/>
        <v>488</v>
      </c>
      <c r="T307" s="217">
        <f t="shared" si="35"/>
        <v>8239</v>
      </c>
      <c r="U307" s="217">
        <f t="shared" si="36"/>
        <v>10086</v>
      </c>
      <c r="V307" s="217">
        <f t="shared" si="37"/>
        <v>7243</v>
      </c>
      <c r="W307" s="217">
        <f>ROUND(AC307+(INDEX(Ref!B$1:B$9,MATCH($AI307,Ref!$A$1:$A$9,0))*P307*0.0001),)</f>
        <v>19</v>
      </c>
      <c r="X307" s="217">
        <f>ROUND(AD307+(INDEX(Ref!C$1:C$9,MATCH($AI307,Ref!$A$1:$A$9,0))*$P307*0.0001),)</f>
        <v>26</v>
      </c>
      <c r="Y307" s="217">
        <f>ROUND(AE307+(INDEX(Ref!D$1:D$9,MATCH($AI307,Ref!$A$1:$A$9,0))*$P307*0.0001),)</f>
        <v>52</v>
      </c>
      <c r="Z307" s="217">
        <f>ROUND(AF307+(INDEX(Ref!E$1:E$9,MATCH($AI307,Ref!$A$1:$A$9,0))*$P307*0.0001),)</f>
        <v>43</v>
      </c>
      <c r="AA307" s="217">
        <f>ROUND(AG307+(INDEX(Ref!F$1:F$9,MATCH($AI307,Ref!$A$1:$A$9,0))*$P307*0.0001),)</f>
        <v>23</v>
      </c>
      <c r="AB307" s="217">
        <f>ROUND(AH307+(INDEX(Ref!G$1:G$9,MATCH($AI307,Ref!$A$1:$A$9,0))*$P307*0.0001),)</f>
        <v>21</v>
      </c>
      <c r="AC307" s="137">
        <v>17</v>
      </c>
      <c r="AD307" s="137">
        <v>23</v>
      </c>
      <c r="AE307" s="137">
        <v>48</v>
      </c>
      <c r="AF307" s="137">
        <v>38</v>
      </c>
      <c r="AG307" s="137">
        <v>20</v>
      </c>
      <c r="AH307" s="137">
        <v>18</v>
      </c>
      <c r="AI307" s="208">
        <v>2</v>
      </c>
      <c r="AJ307" s="172">
        <v>3000</v>
      </c>
      <c r="AK307" s="172">
        <v>30367</v>
      </c>
      <c r="AL307" s="172">
        <v>2000</v>
      </c>
      <c r="AM307" s="172">
        <v>30370</v>
      </c>
      <c r="AN307" s="172">
        <v>0</v>
      </c>
      <c r="AO307" s="172">
        <f t="shared" si="38"/>
        <v>34367</v>
      </c>
      <c r="AP307" s="172">
        <v>0</v>
      </c>
      <c r="AQ307" s="172">
        <f t="shared" si="39"/>
        <v>34370</v>
      </c>
      <c r="AR307" s="172">
        <v>1</v>
      </c>
      <c r="AS307" s="172">
        <v>0</v>
      </c>
      <c r="AT307" s="199">
        <v>78062</v>
      </c>
      <c r="AU307" s="195" t="s">
        <v>257</v>
      </c>
    </row>
    <row r="308" spans="1:47" x14ac:dyDescent="0.2">
      <c r="A308" s="173">
        <v>55062</v>
      </c>
      <c r="B308" s="174" t="s">
        <v>255</v>
      </c>
      <c r="C308" s="172">
        <v>86062</v>
      </c>
      <c r="D308" s="172">
        <v>150062</v>
      </c>
      <c r="E308" s="206" t="s">
        <v>256</v>
      </c>
      <c r="F308" s="207">
        <v>8</v>
      </c>
      <c r="G308" s="173">
        <v>11500</v>
      </c>
      <c r="H308" s="173">
        <v>9500</v>
      </c>
      <c r="I308" s="172">
        <v>10000</v>
      </c>
      <c r="J308" s="172">
        <v>2</v>
      </c>
      <c r="K308" s="190">
        <f>IF($J308=1,INDEX('큐펫&amp;몹 정리(최신)'!P:P,MATCH($E308,'큐펫&amp;몹 정리(최신)'!$B:$B,0))*20,IF($J308=2,INDEX('큐펫&amp;몹 정리(최신)'!P:P,MATCH($E308,'큐펫&amp;몹 정리(최신)'!$B:$B,0))*25,IF($J308=3,INDEX('큐펫&amp;몹 정리(최신)'!P:P,MATCH($E308,'큐펫&amp;몹 정리(최신)'!$B:$B,0))*30,IF($J308=4,INDEX('큐펫&amp;몹 정리(최신)'!P:P,MATCH($E308,'큐펫&amp;몹 정리(최신)'!$B:$B,0))*35,INDEX('큐펫&amp;몹 정리(최신)'!P:P,MATCH($E308,'큐펫&amp;몹 정리(최신)'!$B:$B,0))*40))))</f>
        <v>1000</v>
      </c>
      <c r="L308" s="190">
        <f>IF($J308=1,INDEX('큐펫&amp;몹 정리(최신)'!Q:Q,MATCH($E308,'큐펫&amp;몹 정리(최신)'!$B:$B,0))*20,IF($J308=2,INDEX('큐펫&amp;몹 정리(최신)'!Q:Q,MATCH($E308,'큐펫&amp;몹 정리(최신)'!$B:$B,0))*25,IF($J308=3,INDEX('큐펫&amp;몹 정리(최신)'!Q:Q,MATCH($E308,'큐펫&amp;몹 정리(최신)'!$B:$B,0))*30,IF($J308=4,INDEX('큐펫&amp;몹 정리(최신)'!Q:Q,MATCH($E308,'큐펫&amp;몹 정리(최신)'!$B:$B,0))*35,INDEX('큐펫&amp;몹 정리(최신)'!Q:Q,MATCH($E308,'큐펫&amp;몹 정리(최신)'!$B:$B,0))*40))))</f>
        <v>100</v>
      </c>
      <c r="M308" s="190">
        <f>IF($J308=1,INDEX('큐펫&amp;몹 정리(최신)'!R:R,MATCH($E308,'큐펫&amp;몹 정리(최신)'!$B:$B,0))*20,IF($J308=2,INDEX('큐펫&amp;몹 정리(최신)'!R:R,MATCH($E308,'큐펫&amp;몹 정리(최신)'!$B:$B,0))*25,IF($J308=3,INDEX('큐펫&amp;몹 정리(최신)'!R:R,MATCH($E308,'큐펫&amp;몹 정리(최신)'!$B:$B,0))*30,IF($J308=4,INDEX('큐펫&amp;몹 정리(최신)'!R:R,MATCH($E308,'큐펫&amp;몹 정리(최신)'!$B:$B,0))*35,INDEX('큐펫&amp;몹 정리(최신)'!R:R,MATCH($E308,'큐펫&amp;몹 정리(최신)'!$B:$B,0))*40))))</f>
        <v>550</v>
      </c>
      <c r="N308" s="190">
        <f>IF($J308=1,INDEX('큐펫&amp;몹 정리(최신)'!S:S,MATCH($E308,'큐펫&amp;몹 정리(최신)'!$B:$B,0))*20,IF($J308=2,INDEX('큐펫&amp;몹 정리(최신)'!S:S,MATCH($E308,'큐펫&amp;몹 정리(최신)'!$B:$B,0))*25,IF($J308=3,INDEX('큐펫&amp;몹 정리(최신)'!S:S,MATCH($E308,'큐펫&amp;몹 정리(최신)'!$B:$B,0))*30,IF($J308=4,INDEX('큐펫&amp;몹 정리(최신)'!S:S,MATCH($E308,'큐펫&amp;몹 정리(최신)'!$B:$B,0))*35,INDEX('큐펫&amp;몹 정리(최신)'!S:S,MATCH($E308,'큐펫&amp;몹 정리(최신)'!$B:$B,0))*40))))</f>
        <v>350</v>
      </c>
      <c r="O308" s="190">
        <f>IF($J308=1,INDEX('큐펫&amp;몹 정리(최신)'!T:T,MATCH($E308,'큐펫&amp;몹 정리(최신)'!$B:$B,0))*20,IF($J308=2,INDEX('큐펫&amp;몹 정리(최신)'!T:T,MATCH($E308,'큐펫&amp;몹 정리(최신)'!$B:$B,0))*25,IF($J308=3,INDEX('큐펫&amp;몹 정리(최신)'!T:T,MATCH($E308,'큐펫&amp;몹 정리(최신)'!$B:$B,0))*30,IF($J308=4,INDEX('큐펫&amp;몹 정리(최신)'!T:T,MATCH($E308,'큐펫&amp;몹 정리(최신)'!$B:$B,0))*35,INDEX('큐펫&amp;몹 정리(최신)'!T:T,MATCH($E308,'큐펫&amp;몹 정리(최신)'!$B:$B,0))*40))))</f>
        <v>500</v>
      </c>
      <c r="P308" s="217">
        <v>40</v>
      </c>
      <c r="Q308" s="217">
        <f t="shared" si="32"/>
        <v>69000</v>
      </c>
      <c r="R308" s="217">
        <f t="shared" si="33"/>
        <v>656</v>
      </c>
      <c r="S308" s="217">
        <f t="shared" si="34"/>
        <v>930</v>
      </c>
      <c r="T308" s="217">
        <f t="shared" si="35"/>
        <v>15585</v>
      </c>
      <c r="U308" s="217">
        <f t="shared" si="36"/>
        <v>17509</v>
      </c>
      <c r="V308" s="217">
        <f t="shared" si="37"/>
        <v>12553</v>
      </c>
      <c r="W308" s="217">
        <f>ROUND(AC308+(INDEX(Ref!B$1:B$9,MATCH($AI308,Ref!$A$1:$A$9,0))*P308*0.0001),)</f>
        <v>24</v>
      </c>
      <c r="X308" s="217">
        <f>ROUND(AD308+(INDEX(Ref!C$1:C$9,MATCH($AI308,Ref!$A$1:$A$9,0))*$P308*0.0001),)</f>
        <v>32</v>
      </c>
      <c r="Y308" s="217">
        <f>ROUND(AE308+(INDEX(Ref!D$1:D$9,MATCH($AI308,Ref!$A$1:$A$9,0))*$P308*0.0001),)</f>
        <v>60</v>
      </c>
      <c r="Z308" s="217">
        <f>ROUND(AF308+(INDEX(Ref!E$1:E$9,MATCH($AI308,Ref!$A$1:$A$9,0))*$P308*0.0001),)</f>
        <v>53</v>
      </c>
      <c r="AA308" s="217">
        <f>ROUND(AG308+(INDEX(Ref!F$1:F$9,MATCH($AI308,Ref!$A$1:$A$9,0))*$P308*0.0001),)</f>
        <v>29</v>
      </c>
      <c r="AB308" s="217">
        <f>ROUND(AH308+(INDEX(Ref!G$1:G$9,MATCH($AI308,Ref!$A$1:$A$9,0))*$P308*0.0001),)</f>
        <v>26</v>
      </c>
      <c r="AC308" s="137">
        <v>19</v>
      </c>
      <c r="AD308" s="137">
        <v>26</v>
      </c>
      <c r="AE308" s="137">
        <v>52</v>
      </c>
      <c r="AF308" s="137">
        <v>43</v>
      </c>
      <c r="AG308" s="137">
        <v>23</v>
      </c>
      <c r="AH308" s="137">
        <v>21</v>
      </c>
      <c r="AI308" s="208">
        <v>2</v>
      </c>
      <c r="AJ308" s="172">
        <v>3000</v>
      </c>
      <c r="AK308" s="172">
        <v>30368</v>
      </c>
      <c r="AL308" s="172">
        <v>2000</v>
      </c>
      <c r="AM308" s="172">
        <v>30370</v>
      </c>
      <c r="AN308" s="172">
        <v>0</v>
      </c>
      <c r="AO308" s="172">
        <f t="shared" si="38"/>
        <v>34368</v>
      </c>
      <c r="AP308" s="172">
        <v>0</v>
      </c>
      <c r="AQ308" s="172">
        <f t="shared" si="39"/>
        <v>34370</v>
      </c>
      <c r="AR308" s="172">
        <v>1</v>
      </c>
      <c r="AS308" s="172">
        <v>0</v>
      </c>
      <c r="AT308" s="199">
        <v>78062</v>
      </c>
      <c r="AU308" s="195" t="s">
        <v>257</v>
      </c>
    </row>
    <row r="309" spans="1:47" x14ac:dyDescent="0.2">
      <c r="A309" s="173">
        <v>55062</v>
      </c>
      <c r="B309" s="174" t="s">
        <v>255</v>
      </c>
      <c r="C309" s="172">
        <v>86062</v>
      </c>
      <c r="D309" s="172">
        <v>150062</v>
      </c>
      <c r="E309" s="206" t="s">
        <v>256</v>
      </c>
      <c r="F309" s="207">
        <v>8</v>
      </c>
      <c r="G309" s="173">
        <v>11500</v>
      </c>
      <c r="H309" s="173">
        <v>9500</v>
      </c>
      <c r="I309" s="172">
        <v>10000</v>
      </c>
      <c r="J309" s="172">
        <v>3</v>
      </c>
      <c r="K309" s="190">
        <f>IF($J309=1,INDEX('큐펫&amp;몹 정리(최신)'!P:P,MATCH($E309,'큐펫&amp;몹 정리(최신)'!$B:$B,0))*20,IF($J309=2,INDEX('큐펫&amp;몹 정리(최신)'!P:P,MATCH($E309,'큐펫&amp;몹 정리(최신)'!$B:$B,0))*25,IF($J309=3,INDEX('큐펫&amp;몹 정리(최신)'!P:P,MATCH($E309,'큐펫&amp;몹 정리(최신)'!$B:$B,0))*30,IF($J309=4,INDEX('큐펫&amp;몹 정리(최신)'!P:P,MATCH($E309,'큐펫&amp;몹 정리(최신)'!$B:$B,0))*35,INDEX('큐펫&amp;몹 정리(최신)'!P:P,MATCH($E309,'큐펫&amp;몹 정리(최신)'!$B:$B,0))*40))))</f>
        <v>1200</v>
      </c>
      <c r="L309" s="190">
        <f>IF($J309=1,INDEX('큐펫&amp;몹 정리(최신)'!Q:Q,MATCH($E309,'큐펫&amp;몹 정리(최신)'!$B:$B,0))*20,IF($J309=2,INDEX('큐펫&amp;몹 정리(최신)'!Q:Q,MATCH($E309,'큐펫&amp;몹 정리(최신)'!$B:$B,0))*25,IF($J309=3,INDEX('큐펫&amp;몹 정리(최신)'!Q:Q,MATCH($E309,'큐펫&amp;몹 정리(최신)'!$B:$B,0))*30,IF($J309=4,INDEX('큐펫&amp;몹 정리(최신)'!Q:Q,MATCH($E309,'큐펫&amp;몹 정리(최신)'!$B:$B,0))*35,INDEX('큐펫&amp;몹 정리(최신)'!Q:Q,MATCH($E309,'큐펫&amp;몹 정리(최신)'!$B:$B,0))*40))))</f>
        <v>120</v>
      </c>
      <c r="M309" s="190">
        <f>IF($J309=1,INDEX('큐펫&amp;몹 정리(최신)'!R:R,MATCH($E309,'큐펫&amp;몹 정리(최신)'!$B:$B,0))*20,IF($J309=2,INDEX('큐펫&amp;몹 정리(최신)'!R:R,MATCH($E309,'큐펫&amp;몹 정리(최신)'!$B:$B,0))*25,IF($J309=3,INDEX('큐펫&amp;몹 정리(최신)'!R:R,MATCH($E309,'큐펫&amp;몹 정리(최신)'!$B:$B,0))*30,IF($J309=4,INDEX('큐펫&amp;몹 정리(최신)'!R:R,MATCH($E309,'큐펫&amp;몹 정리(최신)'!$B:$B,0))*35,INDEX('큐펫&amp;몹 정리(최신)'!R:R,MATCH($E309,'큐펫&amp;몹 정리(최신)'!$B:$B,0))*40))))</f>
        <v>660</v>
      </c>
      <c r="N309" s="190">
        <f>IF($J309=1,INDEX('큐펫&amp;몹 정리(최신)'!S:S,MATCH($E309,'큐펫&amp;몹 정리(최신)'!$B:$B,0))*20,IF($J309=2,INDEX('큐펫&amp;몹 정리(최신)'!S:S,MATCH($E309,'큐펫&amp;몹 정리(최신)'!$B:$B,0))*25,IF($J309=3,INDEX('큐펫&amp;몹 정리(최신)'!S:S,MATCH($E309,'큐펫&amp;몹 정리(최신)'!$B:$B,0))*30,IF($J309=4,INDEX('큐펫&amp;몹 정리(최신)'!S:S,MATCH($E309,'큐펫&amp;몹 정리(최신)'!$B:$B,0))*35,INDEX('큐펫&amp;몹 정리(최신)'!S:S,MATCH($E309,'큐펫&amp;몹 정리(최신)'!$B:$B,0))*40))))</f>
        <v>420</v>
      </c>
      <c r="O309" s="190">
        <f>IF($J309=1,INDEX('큐펫&amp;몹 정리(최신)'!T:T,MATCH($E309,'큐펫&amp;몹 정리(최신)'!$B:$B,0))*20,IF($J309=2,INDEX('큐펫&amp;몹 정리(최신)'!T:T,MATCH($E309,'큐펫&amp;몹 정리(최신)'!$B:$B,0))*25,IF($J309=3,INDEX('큐펫&amp;몹 정리(최신)'!T:T,MATCH($E309,'큐펫&amp;몹 정리(최신)'!$B:$B,0))*30,IF($J309=4,INDEX('큐펫&amp;몹 정리(최신)'!T:T,MATCH($E309,'큐펫&amp;몹 정리(최신)'!$B:$B,0))*35,INDEX('큐펫&amp;몹 정리(최신)'!T:T,MATCH($E309,'큐펫&amp;몹 정리(최신)'!$B:$B,0))*40))))</f>
        <v>600</v>
      </c>
      <c r="P309" s="217">
        <v>60</v>
      </c>
      <c r="Q309" s="217">
        <f t="shared" si="32"/>
        <v>126960</v>
      </c>
      <c r="R309" s="217">
        <f t="shared" si="33"/>
        <v>1041</v>
      </c>
      <c r="S309" s="217">
        <f t="shared" si="34"/>
        <v>1498</v>
      </c>
      <c r="T309" s="217">
        <f t="shared" si="35"/>
        <v>26363</v>
      </c>
      <c r="U309" s="217">
        <f t="shared" si="36"/>
        <v>26891</v>
      </c>
      <c r="V309" s="217">
        <f t="shared" si="37"/>
        <v>19263</v>
      </c>
      <c r="W309" s="217">
        <f>ROUND(AC309+(INDEX(Ref!B$1:B$9,MATCH($AI309,Ref!$A$1:$A$9,0))*P309*0.0001),)</f>
        <v>28</v>
      </c>
      <c r="X309" s="217">
        <f>ROUND(AD309+(INDEX(Ref!C$1:C$9,MATCH($AI309,Ref!$A$1:$A$9,0))*$P309*0.0001),)</f>
        <v>40</v>
      </c>
      <c r="Y309" s="217">
        <f>ROUND(AE309+(INDEX(Ref!D$1:D$9,MATCH($AI309,Ref!$A$1:$A$9,0))*$P309*0.0001),)</f>
        <v>68</v>
      </c>
      <c r="Z309" s="217">
        <f>ROUND(AF309+(INDEX(Ref!E$1:E$9,MATCH($AI309,Ref!$A$1:$A$9,0))*$P309*0.0001),)</f>
        <v>63</v>
      </c>
      <c r="AA309" s="217">
        <f>ROUND(AG309+(INDEX(Ref!F$1:F$9,MATCH($AI309,Ref!$A$1:$A$9,0))*$P309*0.0001),)</f>
        <v>34</v>
      </c>
      <c r="AB309" s="217">
        <f>ROUND(AH309+(INDEX(Ref!G$1:G$9,MATCH($AI309,Ref!$A$1:$A$9,0))*$P309*0.0001),)</f>
        <v>31</v>
      </c>
      <c r="AC309" s="137">
        <v>21</v>
      </c>
      <c r="AD309" s="137">
        <v>30</v>
      </c>
      <c r="AE309" s="137">
        <v>56</v>
      </c>
      <c r="AF309" s="137">
        <v>48.000000000000007</v>
      </c>
      <c r="AG309" s="137">
        <v>26</v>
      </c>
      <c r="AH309" s="137">
        <v>23</v>
      </c>
      <c r="AI309" s="208">
        <v>2</v>
      </c>
      <c r="AJ309" s="172">
        <v>3000</v>
      </c>
      <c r="AK309" s="172">
        <v>30368</v>
      </c>
      <c r="AL309" s="172">
        <v>2000</v>
      </c>
      <c r="AM309" s="172">
        <v>30371</v>
      </c>
      <c r="AN309" s="172">
        <v>0</v>
      </c>
      <c r="AO309" s="172">
        <f t="shared" si="38"/>
        <v>34368</v>
      </c>
      <c r="AP309" s="172">
        <v>0</v>
      </c>
      <c r="AQ309" s="172">
        <f t="shared" si="39"/>
        <v>34371</v>
      </c>
      <c r="AR309" s="172">
        <v>1</v>
      </c>
      <c r="AS309" s="172">
        <v>0</v>
      </c>
      <c r="AT309" s="199">
        <v>78062</v>
      </c>
      <c r="AU309" s="195" t="s">
        <v>257</v>
      </c>
    </row>
    <row r="310" spans="1:47" x14ac:dyDescent="0.2">
      <c r="A310" s="173">
        <v>55062</v>
      </c>
      <c r="B310" s="174" t="s">
        <v>255</v>
      </c>
      <c r="C310" s="172">
        <v>86062</v>
      </c>
      <c r="D310" s="172">
        <v>150062</v>
      </c>
      <c r="E310" s="206" t="s">
        <v>256</v>
      </c>
      <c r="F310" s="207">
        <v>8</v>
      </c>
      <c r="G310" s="173">
        <v>11500</v>
      </c>
      <c r="H310" s="173">
        <v>9500</v>
      </c>
      <c r="I310" s="172">
        <v>10000</v>
      </c>
      <c r="J310" s="172">
        <v>4</v>
      </c>
      <c r="K310" s="190">
        <f>IF($J310=1,INDEX('큐펫&amp;몹 정리(최신)'!P:P,MATCH($E310,'큐펫&amp;몹 정리(최신)'!$B:$B,0))*20,IF($J310=2,INDEX('큐펫&amp;몹 정리(최신)'!P:P,MATCH($E310,'큐펫&amp;몹 정리(최신)'!$B:$B,0))*25,IF($J310=3,INDEX('큐펫&amp;몹 정리(최신)'!P:P,MATCH($E310,'큐펫&amp;몹 정리(최신)'!$B:$B,0))*30,IF($J310=4,INDEX('큐펫&amp;몹 정리(최신)'!P:P,MATCH($E310,'큐펫&amp;몹 정리(최신)'!$B:$B,0))*35,INDEX('큐펫&amp;몹 정리(최신)'!P:P,MATCH($E310,'큐펫&amp;몹 정리(최신)'!$B:$B,0))*40))))</f>
        <v>1400</v>
      </c>
      <c r="L310" s="190">
        <f>IF($J310=1,INDEX('큐펫&amp;몹 정리(최신)'!Q:Q,MATCH($E310,'큐펫&amp;몹 정리(최신)'!$B:$B,0))*20,IF($J310=2,INDEX('큐펫&amp;몹 정리(최신)'!Q:Q,MATCH($E310,'큐펫&amp;몹 정리(최신)'!$B:$B,0))*25,IF($J310=3,INDEX('큐펫&amp;몹 정리(최신)'!Q:Q,MATCH($E310,'큐펫&amp;몹 정리(최신)'!$B:$B,0))*30,IF($J310=4,INDEX('큐펫&amp;몹 정리(최신)'!Q:Q,MATCH($E310,'큐펫&amp;몹 정리(최신)'!$B:$B,0))*35,INDEX('큐펫&amp;몹 정리(최신)'!Q:Q,MATCH($E310,'큐펫&amp;몹 정리(최신)'!$B:$B,0))*40))))</f>
        <v>140</v>
      </c>
      <c r="M310" s="190">
        <f>IF($J310=1,INDEX('큐펫&amp;몹 정리(최신)'!R:R,MATCH($E310,'큐펫&amp;몹 정리(최신)'!$B:$B,0))*20,IF($J310=2,INDEX('큐펫&amp;몹 정리(최신)'!R:R,MATCH($E310,'큐펫&amp;몹 정리(최신)'!$B:$B,0))*25,IF($J310=3,INDEX('큐펫&amp;몹 정리(최신)'!R:R,MATCH($E310,'큐펫&amp;몹 정리(최신)'!$B:$B,0))*30,IF($J310=4,INDEX('큐펫&amp;몹 정리(최신)'!R:R,MATCH($E310,'큐펫&amp;몹 정리(최신)'!$B:$B,0))*35,INDEX('큐펫&amp;몹 정리(최신)'!R:R,MATCH($E310,'큐펫&amp;몹 정리(최신)'!$B:$B,0))*40))))</f>
        <v>770</v>
      </c>
      <c r="N310" s="190">
        <f>IF($J310=1,INDEX('큐펫&amp;몹 정리(최신)'!S:S,MATCH($E310,'큐펫&amp;몹 정리(최신)'!$B:$B,0))*20,IF($J310=2,INDEX('큐펫&amp;몹 정리(최신)'!S:S,MATCH($E310,'큐펫&amp;몹 정리(최신)'!$B:$B,0))*25,IF($J310=3,INDEX('큐펫&amp;몹 정리(최신)'!S:S,MATCH($E310,'큐펫&amp;몹 정리(최신)'!$B:$B,0))*30,IF($J310=4,INDEX('큐펫&amp;몹 정리(최신)'!S:S,MATCH($E310,'큐펫&amp;몹 정리(최신)'!$B:$B,0))*35,INDEX('큐펫&amp;몹 정리(최신)'!S:S,MATCH($E310,'큐펫&amp;몹 정리(최신)'!$B:$B,0))*40))))</f>
        <v>490</v>
      </c>
      <c r="O310" s="190">
        <f>IF($J310=1,INDEX('큐펫&amp;몹 정리(최신)'!T:T,MATCH($E310,'큐펫&amp;몹 정리(최신)'!$B:$B,0))*20,IF($J310=2,INDEX('큐펫&amp;몹 정리(최신)'!T:T,MATCH($E310,'큐펫&amp;몹 정리(최신)'!$B:$B,0))*25,IF($J310=3,INDEX('큐펫&amp;몹 정리(최신)'!T:T,MATCH($E310,'큐펫&amp;몹 정리(최신)'!$B:$B,0))*30,IF($J310=4,INDEX('큐펫&amp;몹 정리(최신)'!T:T,MATCH($E310,'큐펫&amp;몹 정리(최신)'!$B:$B,0))*35,INDEX('큐펫&amp;몹 정리(최신)'!T:T,MATCH($E310,'큐펫&amp;몹 정리(최신)'!$B:$B,0))*40))))</f>
        <v>700</v>
      </c>
      <c r="P310" s="217">
        <v>80</v>
      </c>
      <c r="Q310" s="217">
        <f t="shared" si="32"/>
        <v>204120</v>
      </c>
      <c r="R310" s="217">
        <f t="shared" si="33"/>
        <v>1743</v>
      </c>
      <c r="S310" s="217">
        <f t="shared" si="34"/>
        <v>2263</v>
      </c>
      <c r="T310" s="217">
        <f t="shared" si="35"/>
        <v>41233</v>
      </c>
      <c r="U310" s="217">
        <f t="shared" si="36"/>
        <v>38232</v>
      </c>
      <c r="V310" s="217">
        <f t="shared" si="37"/>
        <v>27373</v>
      </c>
      <c r="W310" s="217">
        <f>ROUND(AC310+(INDEX(Ref!B$1:B$9,MATCH($AI310,Ref!$A$1:$A$9,0))*P310*0.0001),)</f>
        <v>34</v>
      </c>
      <c r="X310" s="217">
        <f>ROUND(AD310+(INDEX(Ref!C$1:C$9,MATCH($AI310,Ref!$A$1:$A$9,0))*$P310*0.0001),)</f>
        <v>46</v>
      </c>
      <c r="Y310" s="217">
        <f>ROUND(AE310+(INDEX(Ref!D$1:D$9,MATCH($AI310,Ref!$A$1:$A$9,0))*$P310*0.0001),)</f>
        <v>76</v>
      </c>
      <c r="Z310" s="217">
        <f>ROUND(AF310+(INDEX(Ref!E$1:E$9,MATCH($AI310,Ref!$A$1:$A$9,0))*$P310*0.0001),)</f>
        <v>73</v>
      </c>
      <c r="AA310" s="217">
        <f>ROUND(AG310+(INDEX(Ref!F$1:F$9,MATCH($AI310,Ref!$A$1:$A$9,0))*$P310*0.0001),)</f>
        <v>39</v>
      </c>
      <c r="AB310" s="217">
        <f>ROUND(AH310+(INDEX(Ref!G$1:G$9,MATCH($AI310,Ref!$A$1:$A$9,0))*$P310*0.0001),)</f>
        <v>36</v>
      </c>
      <c r="AC310" s="137">
        <v>24</v>
      </c>
      <c r="AD310" s="137">
        <v>33</v>
      </c>
      <c r="AE310" s="137">
        <v>60</v>
      </c>
      <c r="AF310" s="137">
        <v>53</v>
      </c>
      <c r="AG310" s="137">
        <v>28</v>
      </c>
      <c r="AH310" s="137">
        <v>26</v>
      </c>
      <c r="AI310" s="208">
        <v>2</v>
      </c>
      <c r="AJ310" s="172">
        <v>3000</v>
      </c>
      <c r="AK310" s="172">
        <v>30369</v>
      </c>
      <c r="AL310" s="172">
        <v>2000</v>
      </c>
      <c r="AM310" s="172">
        <v>30371</v>
      </c>
      <c r="AN310" s="172">
        <v>0</v>
      </c>
      <c r="AO310" s="172">
        <f t="shared" si="38"/>
        <v>34369</v>
      </c>
      <c r="AP310" s="172">
        <v>0</v>
      </c>
      <c r="AQ310" s="172">
        <f t="shared" si="39"/>
        <v>34371</v>
      </c>
      <c r="AR310" s="172">
        <v>1</v>
      </c>
      <c r="AS310" s="172">
        <v>0</v>
      </c>
      <c r="AT310" s="199">
        <v>78062</v>
      </c>
      <c r="AU310" s="195" t="s">
        <v>257</v>
      </c>
    </row>
    <row r="311" spans="1:47" x14ac:dyDescent="0.2">
      <c r="A311" s="173">
        <v>55062</v>
      </c>
      <c r="B311" s="174" t="s">
        <v>255</v>
      </c>
      <c r="C311" s="172">
        <v>86062</v>
      </c>
      <c r="D311" s="172">
        <v>150062</v>
      </c>
      <c r="E311" s="206" t="s">
        <v>256</v>
      </c>
      <c r="F311" s="207">
        <v>8</v>
      </c>
      <c r="G311" s="173">
        <v>11500</v>
      </c>
      <c r="H311" s="173">
        <v>9500</v>
      </c>
      <c r="I311" s="172">
        <v>10000</v>
      </c>
      <c r="J311" s="172">
        <v>5</v>
      </c>
      <c r="K311" s="190">
        <f>IF($J311=1,INDEX('큐펫&amp;몹 정리(최신)'!P:P,MATCH($E311,'큐펫&amp;몹 정리(최신)'!$B:$B,0))*20,IF($J311=2,INDEX('큐펫&amp;몹 정리(최신)'!P:P,MATCH($E311,'큐펫&amp;몹 정리(최신)'!$B:$B,0))*25,IF($J311=3,INDEX('큐펫&amp;몹 정리(최신)'!P:P,MATCH($E311,'큐펫&amp;몹 정리(최신)'!$B:$B,0))*30,IF($J311=4,INDEX('큐펫&amp;몹 정리(최신)'!P:P,MATCH($E311,'큐펫&amp;몹 정리(최신)'!$B:$B,0))*35,INDEX('큐펫&amp;몹 정리(최신)'!P:P,MATCH($E311,'큐펫&amp;몹 정리(최신)'!$B:$B,0))*40))))</f>
        <v>1600</v>
      </c>
      <c r="L311" s="190">
        <f>IF($J311=1,INDEX('큐펫&amp;몹 정리(최신)'!Q:Q,MATCH($E311,'큐펫&amp;몹 정리(최신)'!$B:$B,0))*20,IF($J311=2,INDEX('큐펫&amp;몹 정리(최신)'!Q:Q,MATCH($E311,'큐펫&amp;몹 정리(최신)'!$B:$B,0))*25,IF($J311=3,INDEX('큐펫&amp;몹 정리(최신)'!Q:Q,MATCH($E311,'큐펫&amp;몹 정리(최신)'!$B:$B,0))*30,IF($J311=4,INDEX('큐펫&amp;몹 정리(최신)'!Q:Q,MATCH($E311,'큐펫&amp;몹 정리(최신)'!$B:$B,0))*35,INDEX('큐펫&amp;몹 정리(최신)'!Q:Q,MATCH($E311,'큐펫&amp;몹 정리(최신)'!$B:$B,0))*40))))</f>
        <v>160</v>
      </c>
      <c r="M311" s="190">
        <f>IF($J311=1,INDEX('큐펫&amp;몹 정리(최신)'!R:R,MATCH($E311,'큐펫&amp;몹 정리(최신)'!$B:$B,0))*20,IF($J311=2,INDEX('큐펫&amp;몹 정리(최신)'!R:R,MATCH($E311,'큐펫&amp;몹 정리(최신)'!$B:$B,0))*25,IF($J311=3,INDEX('큐펫&amp;몹 정리(최신)'!R:R,MATCH($E311,'큐펫&amp;몹 정리(최신)'!$B:$B,0))*30,IF($J311=4,INDEX('큐펫&amp;몹 정리(최신)'!R:R,MATCH($E311,'큐펫&amp;몹 정리(최신)'!$B:$B,0))*35,INDEX('큐펫&amp;몹 정리(최신)'!R:R,MATCH($E311,'큐펫&amp;몹 정리(최신)'!$B:$B,0))*40))))</f>
        <v>880</v>
      </c>
      <c r="N311" s="190">
        <f>IF($J311=1,INDEX('큐펫&amp;몹 정리(최신)'!S:S,MATCH($E311,'큐펫&amp;몹 정리(최신)'!$B:$B,0))*20,IF($J311=2,INDEX('큐펫&amp;몹 정리(최신)'!S:S,MATCH($E311,'큐펫&amp;몹 정리(최신)'!$B:$B,0))*25,IF($J311=3,INDEX('큐펫&amp;몹 정리(최신)'!S:S,MATCH($E311,'큐펫&amp;몹 정리(최신)'!$B:$B,0))*30,IF($J311=4,INDEX('큐펫&amp;몹 정리(최신)'!S:S,MATCH($E311,'큐펫&amp;몹 정리(최신)'!$B:$B,0))*35,INDEX('큐펫&amp;몹 정리(최신)'!S:S,MATCH($E311,'큐펫&amp;몹 정리(최신)'!$B:$B,0))*40))))</f>
        <v>560</v>
      </c>
      <c r="O311" s="190">
        <f>IF($J311=1,INDEX('큐펫&amp;몹 정리(최신)'!T:T,MATCH($E311,'큐펫&amp;몹 정리(최신)'!$B:$B,0))*20,IF($J311=2,INDEX('큐펫&amp;몹 정리(최신)'!T:T,MATCH($E311,'큐펫&amp;몹 정리(최신)'!$B:$B,0))*25,IF($J311=3,INDEX('큐펫&amp;몹 정리(최신)'!T:T,MATCH($E311,'큐펫&amp;몹 정리(최신)'!$B:$B,0))*30,IF($J311=4,INDEX('큐펫&amp;몹 정리(최신)'!T:T,MATCH($E311,'큐펫&amp;몹 정리(최신)'!$B:$B,0))*35,INDEX('큐펫&amp;몹 정리(최신)'!T:T,MATCH($E311,'큐펫&amp;몹 정리(최신)'!$B:$B,0))*40))))</f>
        <v>800</v>
      </c>
      <c r="P311" s="217">
        <v>100</v>
      </c>
      <c r="Q311" s="217">
        <f t="shared" si="32"/>
        <v>302400</v>
      </c>
      <c r="R311" s="217">
        <f t="shared" si="33"/>
        <v>2456</v>
      </c>
      <c r="S311" s="217">
        <f t="shared" si="34"/>
        <v>3397</v>
      </c>
      <c r="T311" s="217">
        <f t="shared" si="35"/>
        <v>60855</v>
      </c>
      <c r="U311" s="217">
        <f t="shared" si="36"/>
        <v>51534</v>
      </c>
      <c r="V311" s="217">
        <f t="shared" si="37"/>
        <v>36883</v>
      </c>
      <c r="W311" s="217">
        <f>ROUND(AC311+(INDEX(Ref!B$1:B$9,MATCH($AI311,Ref!$A$1:$A$9,0))*P311*0.0001),)</f>
        <v>38</v>
      </c>
      <c r="X311" s="217">
        <f>ROUND(AD311+(INDEX(Ref!C$1:C$9,MATCH($AI311,Ref!$A$1:$A$9,0))*$P311*0.0001),)</f>
        <v>52</v>
      </c>
      <c r="Y311" s="217">
        <f>ROUND(AE311+(INDEX(Ref!D$1:D$9,MATCH($AI311,Ref!$A$1:$A$9,0))*$P311*0.0001),)</f>
        <v>84</v>
      </c>
      <c r="Z311" s="217">
        <f>ROUND(AF311+(INDEX(Ref!E$1:E$9,MATCH($AI311,Ref!$A$1:$A$9,0))*$P311*0.0001),)</f>
        <v>83</v>
      </c>
      <c r="AA311" s="217">
        <f>ROUND(AG311+(INDEX(Ref!F$1:F$9,MATCH($AI311,Ref!$A$1:$A$9,0))*$P311*0.0001),)</f>
        <v>45</v>
      </c>
      <c r="AB311" s="217">
        <f>ROUND(AH311+(INDEX(Ref!G$1:G$9,MATCH($AI311,Ref!$A$1:$A$9,0))*$P311*0.0001),)</f>
        <v>42</v>
      </c>
      <c r="AC311" s="137">
        <v>26</v>
      </c>
      <c r="AD311" s="137">
        <v>36</v>
      </c>
      <c r="AE311" s="137">
        <v>64</v>
      </c>
      <c r="AF311" s="137">
        <v>58.000000000000007</v>
      </c>
      <c r="AG311" s="137">
        <v>31</v>
      </c>
      <c r="AH311" s="137">
        <v>29</v>
      </c>
      <c r="AI311" s="208">
        <v>2</v>
      </c>
      <c r="AJ311" s="172">
        <v>3000</v>
      </c>
      <c r="AK311" s="172">
        <v>30369</v>
      </c>
      <c r="AL311" s="172">
        <v>2000</v>
      </c>
      <c r="AM311" s="172">
        <v>30372</v>
      </c>
      <c r="AN311" s="172">
        <v>0</v>
      </c>
      <c r="AO311" s="172">
        <f t="shared" si="38"/>
        <v>34369</v>
      </c>
      <c r="AP311" s="172">
        <v>0</v>
      </c>
      <c r="AQ311" s="172">
        <f t="shared" si="39"/>
        <v>34372</v>
      </c>
      <c r="AR311" s="172">
        <v>1</v>
      </c>
      <c r="AS311" s="172">
        <v>0</v>
      </c>
      <c r="AT311" s="199">
        <v>78062</v>
      </c>
      <c r="AU311" s="195" t="s">
        <v>257</v>
      </c>
    </row>
    <row r="312" spans="1:47" x14ac:dyDescent="0.2">
      <c r="A312" s="173">
        <v>55063</v>
      </c>
      <c r="B312" s="174" t="s">
        <v>258</v>
      </c>
      <c r="C312" s="172">
        <v>86063</v>
      </c>
      <c r="D312" s="172">
        <v>150063</v>
      </c>
      <c r="E312" s="206" t="s">
        <v>259</v>
      </c>
      <c r="F312" s="207">
        <v>2</v>
      </c>
      <c r="G312" s="172">
        <v>8500</v>
      </c>
      <c r="H312" s="172">
        <v>8500</v>
      </c>
      <c r="I312" s="172">
        <v>10000</v>
      </c>
      <c r="J312" s="172">
        <v>1</v>
      </c>
      <c r="K312" s="190">
        <f>IF($J312=1,INDEX('큐펫&amp;몹 정리(최신)'!P:P,MATCH($E312,'큐펫&amp;몹 정리(최신)'!$B:$B,0))*20,IF($J312=2,INDEX('큐펫&amp;몹 정리(최신)'!P:P,MATCH($E312,'큐펫&amp;몹 정리(최신)'!$B:$B,0))*25,IF($J312=3,INDEX('큐펫&amp;몹 정리(최신)'!P:P,MATCH($E312,'큐펫&amp;몹 정리(최신)'!$B:$B,0))*30,IF($J312=4,INDEX('큐펫&amp;몹 정리(최신)'!P:P,MATCH($E312,'큐펫&amp;몹 정리(최신)'!$B:$B,0))*35,INDEX('큐펫&amp;몹 정리(최신)'!P:P,MATCH($E312,'큐펫&amp;몹 정리(최신)'!$B:$B,0))*40))))</f>
        <v>800</v>
      </c>
      <c r="L312" s="190">
        <f>IF($J312=1,INDEX('큐펫&amp;몹 정리(최신)'!Q:Q,MATCH($E312,'큐펫&amp;몹 정리(최신)'!$B:$B,0))*20,IF($J312=2,INDEX('큐펫&amp;몹 정리(최신)'!Q:Q,MATCH($E312,'큐펫&amp;몹 정리(최신)'!$B:$B,0))*25,IF($J312=3,INDEX('큐펫&amp;몹 정리(최신)'!Q:Q,MATCH($E312,'큐펫&amp;몹 정리(최신)'!$B:$B,0))*30,IF($J312=4,INDEX('큐펫&amp;몹 정리(최신)'!Q:Q,MATCH($E312,'큐펫&amp;몹 정리(최신)'!$B:$B,0))*35,INDEX('큐펫&amp;몹 정리(최신)'!Q:Q,MATCH($E312,'큐펫&amp;몹 정리(최신)'!$B:$B,0))*40))))</f>
        <v>440</v>
      </c>
      <c r="M312" s="190">
        <f>IF($J312=1,INDEX('큐펫&amp;몹 정리(최신)'!R:R,MATCH($E312,'큐펫&amp;몹 정리(최신)'!$B:$B,0))*20,IF($J312=2,INDEX('큐펫&amp;몹 정리(최신)'!R:R,MATCH($E312,'큐펫&amp;몹 정리(최신)'!$B:$B,0))*25,IF($J312=3,INDEX('큐펫&amp;몹 정리(최신)'!R:R,MATCH($E312,'큐펫&amp;몹 정리(최신)'!$B:$B,0))*30,IF($J312=4,INDEX('큐펫&amp;몹 정리(최신)'!R:R,MATCH($E312,'큐펫&amp;몹 정리(최신)'!$B:$B,0))*35,INDEX('큐펫&amp;몹 정리(최신)'!R:R,MATCH($E312,'큐펫&amp;몹 정리(최신)'!$B:$B,0))*40))))</f>
        <v>100</v>
      </c>
      <c r="N312" s="190">
        <f>IF($J312=1,INDEX('큐펫&amp;몹 정리(최신)'!S:S,MATCH($E312,'큐펫&amp;몹 정리(최신)'!$B:$B,0))*20,IF($J312=2,INDEX('큐펫&amp;몹 정리(최신)'!S:S,MATCH($E312,'큐펫&amp;몹 정리(최신)'!$B:$B,0))*25,IF($J312=3,INDEX('큐펫&amp;몹 정리(최신)'!S:S,MATCH($E312,'큐펫&amp;몹 정리(최신)'!$B:$B,0))*30,IF($J312=4,INDEX('큐펫&amp;몹 정리(최신)'!S:S,MATCH($E312,'큐펫&amp;몹 정리(최신)'!$B:$B,0))*35,INDEX('큐펫&amp;몹 정리(최신)'!S:S,MATCH($E312,'큐펫&amp;몹 정리(최신)'!$B:$B,0))*40))))</f>
        <v>420</v>
      </c>
      <c r="O312" s="190">
        <f>IF($J312=1,INDEX('큐펫&amp;몹 정리(최신)'!T:T,MATCH($E312,'큐펫&amp;몹 정리(최신)'!$B:$B,0))*20,IF($J312=2,INDEX('큐펫&amp;몹 정리(최신)'!T:T,MATCH($E312,'큐펫&amp;몹 정리(최신)'!$B:$B,0))*25,IF($J312=3,INDEX('큐펫&amp;몹 정리(최신)'!T:T,MATCH($E312,'큐펫&amp;몹 정리(최신)'!$B:$B,0))*30,IF($J312=4,INDEX('큐펫&amp;몹 정리(최신)'!T:T,MATCH($E312,'큐펫&amp;몹 정리(최신)'!$B:$B,0))*35,INDEX('큐펫&amp;몹 정리(최신)'!T:T,MATCH($E312,'큐펫&amp;몹 정리(최신)'!$B:$B,0))*40))))</f>
        <v>240</v>
      </c>
      <c r="P312" s="217">
        <v>20</v>
      </c>
      <c r="Q312" s="217">
        <f t="shared" si="32"/>
        <v>26880</v>
      </c>
      <c r="R312" s="217">
        <f t="shared" si="33"/>
        <v>5177</v>
      </c>
      <c r="S312" s="217">
        <f t="shared" si="34"/>
        <v>3530</v>
      </c>
      <c r="T312" s="217">
        <f t="shared" si="35"/>
        <v>504</v>
      </c>
      <c r="U312" s="217">
        <f t="shared" si="36"/>
        <v>13240</v>
      </c>
      <c r="V312" s="217">
        <f t="shared" si="37"/>
        <v>3801</v>
      </c>
      <c r="W312" s="217">
        <f>ROUND(AC312+(INDEX(Ref!B$1:B$9,MATCH($AI312,Ref!$A$1:$A$9,0))*P312*0.0001),)</f>
        <v>34</v>
      </c>
      <c r="X312" s="217">
        <f>ROUND(AD312+(INDEX(Ref!C$1:C$9,MATCH($AI312,Ref!$A$1:$A$9,0))*$P312*0.0001),)</f>
        <v>26</v>
      </c>
      <c r="Y312" s="217">
        <f>ROUND(AE312+(INDEX(Ref!D$1:D$9,MATCH($AI312,Ref!$A$1:$A$9,0))*$P312*0.0001),)</f>
        <v>43</v>
      </c>
      <c r="Z312" s="217">
        <f>ROUND(AF312+(INDEX(Ref!E$1:E$9,MATCH($AI312,Ref!$A$1:$A$9,0))*$P312*0.0001),)</f>
        <v>21</v>
      </c>
      <c r="AA312" s="217">
        <f>ROUND(AG312+(INDEX(Ref!F$1:F$9,MATCH($AI312,Ref!$A$1:$A$9,0))*$P312*0.0001),)</f>
        <v>28</v>
      </c>
      <c r="AB312" s="217">
        <f>ROUND(AH312+(INDEX(Ref!G$1:G$9,MATCH($AI312,Ref!$A$1:$A$9,0))*$P312*0.0001),)</f>
        <v>32</v>
      </c>
      <c r="AC312" s="137">
        <v>30</v>
      </c>
      <c r="AD312" s="137">
        <v>23</v>
      </c>
      <c r="AE312" s="137">
        <v>40</v>
      </c>
      <c r="AF312" s="137">
        <v>18</v>
      </c>
      <c r="AG312" s="137">
        <v>25</v>
      </c>
      <c r="AH312" s="137">
        <v>28</v>
      </c>
      <c r="AI312" s="208">
        <v>7</v>
      </c>
      <c r="AJ312" s="172">
        <v>3000</v>
      </c>
      <c r="AK312" s="172">
        <v>30373</v>
      </c>
      <c r="AL312" s="172">
        <v>2000</v>
      </c>
      <c r="AM312" s="172">
        <v>30376</v>
      </c>
      <c r="AN312" s="172">
        <v>0</v>
      </c>
      <c r="AO312" s="172">
        <f t="shared" si="38"/>
        <v>34373</v>
      </c>
      <c r="AP312" s="172">
        <v>0</v>
      </c>
      <c r="AQ312" s="172">
        <f t="shared" si="39"/>
        <v>34376</v>
      </c>
      <c r="AR312" s="172">
        <v>1</v>
      </c>
      <c r="AS312" s="172">
        <v>0</v>
      </c>
      <c r="AT312" s="199">
        <v>78063</v>
      </c>
      <c r="AU312" s="195" t="s">
        <v>260</v>
      </c>
    </row>
    <row r="313" spans="1:47" x14ac:dyDescent="0.2">
      <c r="A313" s="173">
        <v>55063</v>
      </c>
      <c r="B313" s="174" t="s">
        <v>258</v>
      </c>
      <c r="C313" s="172">
        <v>86063</v>
      </c>
      <c r="D313" s="172">
        <v>150063</v>
      </c>
      <c r="E313" s="206" t="s">
        <v>259</v>
      </c>
      <c r="F313" s="207">
        <v>2</v>
      </c>
      <c r="G313" s="172">
        <v>8500</v>
      </c>
      <c r="H313" s="172">
        <v>8500</v>
      </c>
      <c r="I313" s="172">
        <v>10000</v>
      </c>
      <c r="J313" s="172">
        <v>2</v>
      </c>
      <c r="K313" s="190">
        <f>IF($J313=1,INDEX('큐펫&amp;몹 정리(최신)'!P:P,MATCH($E313,'큐펫&amp;몹 정리(최신)'!$B:$B,0))*20,IF($J313=2,INDEX('큐펫&amp;몹 정리(최신)'!P:P,MATCH($E313,'큐펫&amp;몹 정리(최신)'!$B:$B,0))*25,IF($J313=3,INDEX('큐펫&amp;몹 정리(최신)'!P:P,MATCH($E313,'큐펫&amp;몹 정리(최신)'!$B:$B,0))*30,IF($J313=4,INDEX('큐펫&amp;몹 정리(최신)'!P:P,MATCH($E313,'큐펫&amp;몹 정리(최신)'!$B:$B,0))*35,INDEX('큐펫&amp;몹 정리(최신)'!P:P,MATCH($E313,'큐펫&amp;몹 정리(최신)'!$B:$B,0))*40))))</f>
        <v>1000</v>
      </c>
      <c r="L313" s="190">
        <f>IF($J313=1,INDEX('큐펫&amp;몹 정리(최신)'!Q:Q,MATCH($E313,'큐펫&amp;몹 정리(최신)'!$B:$B,0))*20,IF($J313=2,INDEX('큐펫&amp;몹 정리(최신)'!Q:Q,MATCH($E313,'큐펫&amp;몹 정리(최신)'!$B:$B,0))*25,IF($J313=3,INDEX('큐펫&amp;몹 정리(최신)'!Q:Q,MATCH($E313,'큐펫&amp;몹 정리(최신)'!$B:$B,0))*30,IF($J313=4,INDEX('큐펫&amp;몹 정리(최신)'!Q:Q,MATCH($E313,'큐펫&amp;몹 정리(최신)'!$B:$B,0))*35,INDEX('큐펫&amp;몹 정리(최신)'!Q:Q,MATCH($E313,'큐펫&amp;몹 정리(최신)'!$B:$B,0))*40))))</f>
        <v>550</v>
      </c>
      <c r="M313" s="190">
        <f>IF($J313=1,INDEX('큐펫&amp;몹 정리(최신)'!R:R,MATCH($E313,'큐펫&amp;몹 정리(최신)'!$B:$B,0))*20,IF($J313=2,INDEX('큐펫&amp;몹 정리(최신)'!R:R,MATCH($E313,'큐펫&amp;몹 정리(최신)'!$B:$B,0))*25,IF($J313=3,INDEX('큐펫&amp;몹 정리(최신)'!R:R,MATCH($E313,'큐펫&amp;몹 정리(최신)'!$B:$B,0))*30,IF($J313=4,INDEX('큐펫&amp;몹 정리(최신)'!R:R,MATCH($E313,'큐펫&amp;몹 정리(최신)'!$B:$B,0))*35,INDEX('큐펫&amp;몹 정리(최신)'!R:R,MATCH($E313,'큐펫&amp;몹 정리(최신)'!$B:$B,0))*40))))</f>
        <v>125</v>
      </c>
      <c r="N313" s="190">
        <f>IF($J313=1,INDEX('큐펫&amp;몹 정리(최신)'!S:S,MATCH($E313,'큐펫&amp;몹 정리(최신)'!$B:$B,0))*20,IF($J313=2,INDEX('큐펫&amp;몹 정리(최신)'!S:S,MATCH($E313,'큐펫&amp;몹 정리(최신)'!$B:$B,0))*25,IF($J313=3,INDEX('큐펫&amp;몹 정리(최신)'!S:S,MATCH($E313,'큐펫&amp;몹 정리(최신)'!$B:$B,0))*30,IF($J313=4,INDEX('큐펫&amp;몹 정리(최신)'!S:S,MATCH($E313,'큐펫&amp;몹 정리(최신)'!$B:$B,0))*35,INDEX('큐펫&amp;몹 정리(최신)'!S:S,MATCH($E313,'큐펫&amp;몹 정리(최신)'!$B:$B,0))*40))))</f>
        <v>525</v>
      </c>
      <c r="O313" s="190">
        <f>IF($J313=1,INDEX('큐펫&amp;몹 정리(최신)'!T:T,MATCH($E313,'큐펫&amp;몹 정리(최신)'!$B:$B,0))*20,IF($J313=2,INDEX('큐펫&amp;몹 정리(최신)'!T:T,MATCH($E313,'큐펫&amp;몹 정리(최신)'!$B:$B,0))*25,IF($J313=3,INDEX('큐펫&amp;몹 정리(최신)'!T:T,MATCH($E313,'큐펫&amp;몹 정리(최신)'!$B:$B,0))*30,IF($J313=4,INDEX('큐펫&amp;몹 정리(최신)'!T:T,MATCH($E313,'큐펫&amp;몹 정리(최신)'!$B:$B,0))*35,INDEX('큐펫&amp;몹 정리(최신)'!T:T,MATCH($E313,'큐펫&amp;몹 정리(최신)'!$B:$B,0))*40))))</f>
        <v>300</v>
      </c>
      <c r="P313" s="217">
        <v>40</v>
      </c>
      <c r="Q313" s="217">
        <f t="shared" si="32"/>
        <v>64600</v>
      </c>
      <c r="R313" s="217">
        <f t="shared" si="33"/>
        <v>9822</v>
      </c>
      <c r="S313" s="217">
        <f t="shared" si="34"/>
        <v>6846</v>
      </c>
      <c r="T313" s="217">
        <f t="shared" si="35"/>
        <v>931</v>
      </c>
      <c r="U313" s="217">
        <f t="shared" si="36"/>
        <v>23375</v>
      </c>
      <c r="V313" s="217">
        <f t="shared" si="37"/>
        <v>6701</v>
      </c>
      <c r="W313" s="217">
        <f>ROUND(AC313+(INDEX(Ref!B$1:B$9,MATCH($AI313,Ref!$A$1:$A$9,0))*P313*0.0001),)</f>
        <v>42</v>
      </c>
      <c r="X313" s="217">
        <f>ROUND(AD313+(INDEX(Ref!C$1:C$9,MATCH($AI313,Ref!$A$1:$A$9,0))*$P313*0.0001),)</f>
        <v>32</v>
      </c>
      <c r="Y313" s="217">
        <f>ROUND(AE313+(INDEX(Ref!D$1:D$9,MATCH($AI313,Ref!$A$1:$A$9,0))*$P313*0.0001),)</f>
        <v>49</v>
      </c>
      <c r="Z313" s="217">
        <f>ROUND(AF313+(INDEX(Ref!E$1:E$9,MATCH($AI313,Ref!$A$1:$A$9,0))*$P313*0.0001),)</f>
        <v>26</v>
      </c>
      <c r="AA313" s="217">
        <f>ROUND(AG313+(INDEX(Ref!F$1:F$9,MATCH($AI313,Ref!$A$1:$A$9,0))*$P313*0.0001),)</f>
        <v>35</v>
      </c>
      <c r="AB313" s="217">
        <f>ROUND(AH313+(INDEX(Ref!G$1:G$9,MATCH($AI313,Ref!$A$1:$A$9,0))*$P313*0.0001),)</f>
        <v>40</v>
      </c>
      <c r="AC313" s="137">
        <v>34</v>
      </c>
      <c r="AD313" s="137">
        <v>26</v>
      </c>
      <c r="AE313" s="137">
        <v>43</v>
      </c>
      <c r="AF313" s="137">
        <v>21</v>
      </c>
      <c r="AG313" s="137">
        <v>28</v>
      </c>
      <c r="AH313" s="137">
        <v>32</v>
      </c>
      <c r="AI313" s="208">
        <v>7</v>
      </c>
      <c r="AJ313" s="172">
        <v>3000</v>
      </c>
      <c r="AK313" s="172">
        <v>30374</v>
      </c>
      <c r="AL313" s="172">
        <v>2000</v>
      </c>
      <c r="AM313" s="172">
        <v>30376</v>
      </c>
      <c r="AN313" s="172">
        <v>0</v>
      </c>
      <c r="AO313" s="172">
        <f t="shared" si="38"/>
        <v>34374</v>
      </c>
      <c r="AP313" s="172">
        <v>0</v>
      </c>
      <c r="AQ313" s="172">
        <f t="shared" si="39"/>
        <v>34376</v>
      </c>
      <c r="AR313" s="172">
        <v>1</v>
      </c>
      <c r="AS313" s="172">
        <v>0</v>
      </c>
      <c r="AT313" s="199">
        <v>78063</v>
      </c>
      <c r="AU313" s="195" t="s">
        <v>260</v>
      </c>
    </row>
    <row r="314" spans="1:47" x14ac:dyDescent="0.2">
      <c r="A314" s="173">
        <v>55063</v>
      </c>
      <c r="B314" s="174" t="s">
        <v>258</v>
      </c>
      <c r="C314" s="172">
        <v>86063</v>
      </c>
      <c r="D314" s="172">
        <v>150063</v>
      </c>
      <c r="E314" s="206" t="s">
        <v>259</v>
      </c>
      <c r="F314" s="207">
        <v>2</v>
      </c>
      <c r="G314" s="172">
        <v>8500</v>
      </c>
      <c r="H314" s="172">
        <v>8500</v>
      </c>
      <c r="I314" s="172">
        <v>10000</v>
      </c>
      <c r="J314" s="172">
        <v>3</v>
      </c>
      <c r="K314" s="190">
        <f>IF($J314=1,INDEX('큐펫&amp;몹 정리(최신)'!P:P,MATCH($E314,'큐펫&amp;몹 정리(최신)'!$B:$B,0))*20,IF($J314=2,INDEX('큐펫&amp;몹 정리(최신)'!P:P,MATCH($E314,'큐펫&amp;몹 정리(최신)'!$B:$B,0))*25,IF($J314=3,INDEX('큐펫&amp;몹 정리(최신)'!P:P,MATCH($E314,'큐펫&amp;몹 정리(최신)'!$B:$B,0))*30,IF($J314=4,INDEX('큐펫&amp;몹 정리(최신)'!P:P,MATCH($E314,'큐펫&amp;몹 정리(최신)'!$B:$B,0))*35,INDEX('큐펫&amp;몹 정리(최신)'!P:P,MATCH($E314,'큐펫&amp;몹 정리(최신)'!$B:$B,0))*40))))</f>
        <v>1200</v>
      </c>
      <c r="L314" s="190">
        <f>IF($J314=1,INDEX('큐펫&amp;몹 정리(최신)'!Q:Q,MATCH($E314,'큐펫&amp;몹 정리(최신)'!$B:$B,0))*20,IF($J314=2,INDEX('큐펫&amp;몹 정리(최신)'!Q:Q,MATCH($E314,'큐펫&amp;몹 정리(최신)'!$B:$B,0))*25,IF($J314=3,INDEX('큐펫&amp;몹 정리(최신)'!Q:Q,MATCH($E314,'큐펫&amp;몹 정리(최신)'!$B:$B,0))*30,IF($J314=4,INDEX('큐펫&amp;몹 정리(최신)'!Q:Q,MATCH($E314,'큐펫&amp;몹 정리(최신)'!$B:$B,0))*35,INDEX('큐펫&amp;몹 정리(최신)'!Q:Q,MATCH($E314,'큐펫&amp;몹 정리(최신)'!$B:$B,0))*40))))</f>
        <v>660</v>
      </c>
      <c r="M314" s="190">
        <f>IF($J314=1,INDEX('큐펫&amp;몹 정리(최신)'!R:R,MATCH($E314,'큐펫&amp;몹 정리(최신)'!$B:$B,0))*20,IF($J314=2,INDEX('큐펫&amp;몹 정리(최신)'!R:R,MATCH($E314,'큐펫&amp;몹 정리(최신)'!$B:$B,0))*25,IF($J314=3,INDEX('큐펫&amp;몹 정리(최신)'!R:R,MATCH($E314,'큐펫&amp;몹 정리(최신)'!$B:$B,0))*30,IF($J314=4,INDEX('큐펫&amp;몹 정리(최신)'!R:R,MATCH($E314,'큐펫&amp;몹 정리(최신)'!$B:$B,0))*35,INDEX('큐펫&amp;몹 정리(최신)'!R:R,MATCH($E314,'큐펫&amp;몹 정리(최신)'!$B:$B,0))*40))))</f>
        <v>150</v>
      </c>
      <c r="N314" s="190">
        <f>IF($J314=1,INDEX('큐펫&amp;몹 정리(최신)'!S:S,MATCH($E314,'큐펫&amp;몹 정리(최신)'!$B:$B,0))*20,IF($J314=2,INDEX('큐펫&amp;몹 정리(최신)'!S:S,MATCH($E314,'큐펫&amp;몹 정리(최신)'!$B:$B,0))*25,IF($J314=3,INDEX('큐펫&amp;몹 정리(최신)'!S:S,MATCH($E314,'큐펫&amp;몹 정리(최신)'!$B:$B,0))*30,IF($J314=4,INDEX('큐펫&amp;몹 정리(최신)'!S:S,MATCH($E314,'큐펫&amp;몹 정리(최신)'!$B:$B,0))*35,INDEX('큐펫&amp;몹 정리(최신)'!S:S,MATCH($E314,'큐펫&amp;몹 정리(최신)'!$B:$B,0))*40))))</f>
        <v>630</v>
      </c>
      <c r="O314" s="190">
        <f>IF($J314=1,INDEX('큐펫&amp;몹 정리(최신)'!T:T,MATCH($E314,'큐펫&amp;몹 정리(최신)'!$B:$B,0))*20,IF($J314=2,INDEX('큐펫&amp;몹 정리(최신)'!T:T,MATCH($E314,'큐펫&amp;몹 정리(최신)'!$B:$B,0))*25,IF($J314=3,INDEX('큐펫&amp;몹 정리(최신)'!T:T,MATCH($E314,'큐펫&amp;몹 정리(최신)'!$B:$B,0))*30,IF($J314=4,INDEX('큐펫&amp;몹 정리(최신)'!T:T,MATCH($E314,'큐펫&amp;몹 정리(최신)'!$B:$B,0))*35,INDEX('큐펫&amp;몹 정리(최신)'!T:T,MATCH($E314,'큐펫&amp;몹 정리(최신)'!$B:$B,0))*40))))</f>
        <v>360</v>
      </c>
      <c r="P314" s="217">
        <v>60</v>
      </c>
      <c r="Q314" s="217">
        <f t="shared" si="32"/>
        <v>116880</v>
      </c>
      <c r="R314" s="217">
        <f t="shared" si="33"/>
        <v>16649</v>
      </c>
      <c r="S314" s="217">
        <f t="shared" si="34"/>
        <v>11778</v>
      </c>
      <c r="T314" s="217">
        <f t="shared" si="35"/>
        <v>1550</v>
      </c>
      <c r="U314" s="217">
        <f t="shared" si="36"/>
        <v>35926</v>
      </c>
      <c r="V314" s="217">
        <f t="shared" si="37"/>
        <v>10291</v>
      </c>
      <c r="W314" s="217">
        <f>ROUND(AC314+(INDEX(Ref!B$1:B$9,MATCH($AI314,Ref!$A$1:$A$9,0))*P314*0.0001),)</f>
        <v>50</v>
      </c>
      <c r="X314" s="217">
        <f>ROUND(AD314+(INDEX(Ref!C$1:C$9,MATCH($AI314,Ref!$A$1:$A$9,0))*$P314*0.0001),)</f>
        <v>40</v>
      </c>
      <c r="Y314" s="217">
        <f>ROUND(AE314+(INDEX(Ref!D$1:D$9,MATCH($AI314,Ref!$A$1:$A$9,0))*$P314*0.0001),)</f>
        <v>54</v>
      </c>
      <c r="Z314" s="217">
        <f>ROUND(AF314+(INDEX(Ref!E$1:E$9,MATCH($AI314,Ref!$A$1:$A$9,0))*$P314*0.0001),)</f>
        <v>31</v>
      </c>
      <c r="AA314" s="217">
        <f>ROUND(AG314+(INDEX(Ref!F$1:F$9,MATCH($AI314,Ref!$A$1:$A$9,0))*$P314*0.0001),)</f>
        <v>42</v>
      </c>
      <c r="AB314" s="217">
        <f>ROUND(AH314+(INDEX(Ref!G$1:G$9,MATCH($AI314,Ref!$A$1:$A$9,0))*$P314*0.0001),)</f>
        <v>47</v>
      </c>
      <c r="AC314" s="137">
        <v>38</v>
      </c>
      <c r="AD314" s="137">
        <v>30</v>
      </c>
      <c r="AE314" s="137">
        <v>45</v>
      </c>
      <c r="AF314" s="137">
        <v>23</v>
      </c>
      <c r="AG314" s="137">
        <v>32</v>
      </c>
      <c r="AH314" s="137">
        <v>36</v>
      </c>
      <c r="AI314" s="208">
        <v>7</v>
      </c>
      <c r="AJ314" s="172">
        <v>3000</v>
      </c>
      <c r="AK314" s="172">
        <v>30374</v>
      </c>
      <c r="AL314" s="172">
        <v>2000</v>
      </c>
      <c r="AM314" s="172">
        <v>30377</v>
      </c>
      <c r="AN314" s="172">
        <v>0</v>
      </c>
      <c r="AO314" s="172">
        <f t="shared" si="38"/>
        <v>34374</v>
      </c>
      <c r="AP314" s="172">
        <v>0</v>
      </c>
      <c r="AQ314" s="172">
        <f t="shared" si="39"/>
        <v>34377</v>
      </c>
      <c r="AR314" s="172">
        <v>1</v>
      </c>
      <c r="AS314" s="172">
        <v>0</v>
      </c>
      <c r="AT314" s="199">
        <v>78063</v>
      </c>
      <c r="AU314" s="195" t="s">
        <v>260</v>
      </c>
    </row>
    <row r="315" spans="1:47" x14ac:dyDescent="0.2">
      <c r="A315" s="173">
        <v>55063</v>
      </c>
      <c r="B315" s="174" t="s">
        <v>258</v>
      </c>
      <c r="C315" s="172">
        <v>86063</v>
      </c>
      <c r="D315" s="172">
        <v>150063</v>
      </c>
      <c r="E315" s="206" t="s">
        <v>259</v>
      </c>
      <c r="F315" s="207">
        <v>2</v>
      </c>
      <c r="G315" s="172">
        <v>8500</v>
      </c>
      <c r="H315" s="172">
        <v>8500</v>
      </c>
      <c r="I315" s="172">
        <v>10000</v>
      </c>
      <c r="J315" s="172">
        <v>4</v>
      </c>
      <c r="K315" s="190">
        <f>IF($J315=1,INDEX('큐펫&amp;몹 정리(최신)'!P:P,MATCH($E315,'큐펫&amp;몹 정리(최신)'!$B:$B,0))*20,IF($J315=2,INDEX('큐펫&amp;몹 정리(최신)'!P:P,MATCH($E315,'큐펫&amp;몹 정리(최신)'!$B:$B,0))*25,IF($J315=3,INDEX('큐펫&amp;몹 정리(최신)'!P:P,MATCH($E315,'큐펫&amp;몹 정리(최신)'!$B:$B,0))*30,IF($J315=4,INDEX('큐펫&amp;몹 정리(최신)'!P:P,MATCH($E315,'큐펫&amp;몹 정리(최신)'!$B:$B,0))*35,INDEX('큐펫&amp;몹 정리(최신)'!P:P,MATCH($E315,'큐펫&amp;몹 정리(최신)'!$B:$B,0))*40))))</f>
        <v>1400</v>
      </c>
      <c r="L315" s="190">
        <f>IF($J315=1,INDEX('큐펫&amp;몹 정리(최신)'!Q:Q,MATCH($E315,'큐펫&amp;몹 정리(최신)'!$B:$B,0))*20,IF($J315=2,INDEX('큐펫&amp;몹 정리(최신)'!Q:Q,MATCH($E315,'큐펫&amp;몹 정리(최신)'!$B:$B,0))*25,IF($J315=3,INDEX('큐펫&amp;몹 정리(최신)'!Q:Q,MATCH($E315,'큐펫&amp;몹 정리(최신)'!$B:$B,0))*30,IF($J315=4,INDEX('큐펫&amp;몹 정리(최신)'!Q:Q,MATCH($E315,'큐펫&amp;몹 정리(최신)'!$B:$B,0))*35,INDEX('큐펫&amp;몹 정리(최신)'!Q:Q,MATCH($E315,'큐펫&amp;몹 정리(최신)'!$B:$B,0))*40))))</f>
        <v>770</v>
      </c>
      <c r="M315" s="190">
        <f>IF($J315=1,INDEX('큐펫&amp;몹 정리(최신)'!R:R,MATCH($E315,'큐펫&amp;몹 정리(최신)'!$B:$B,0))*20,IF($J315=2,INDEX('큐펫&amp;몹 정리(최신)'!R:R,MATCH($E315,'큐펫&amp;몹 정리(최신)'!$B:$B,0))*25,IF($J315=3,INDEX('큐펫&amp;몹 정리(최신)'!R:R,MATCH($E315,'큐펫&amp;몹 정리(최신)'!$B:$B,0))*30,IF($J315=4,INDEX('큐펫&amp;몹 정리(최신)'!R:R,MATCH($E315,'큐펫&amp;몹 정리(최신)'!$B:$B,0))*35,INDEX('큐펫&amp;몹 정리(최신)'!R:R,MATCH($E315,'큐펫&amp;몹 정리(최신)'!$B:$B,0))*40))))</f>
        <v>175</v>
      </c>
      <c r="N315" s="190">
        <f>IF($J315=1,INDEX('큐펫&amp;몹 정리(최신)'!S:S,MATCH($E315,'큐펫&amp;몹 정리(최신)'!$B:$B,0))*20,IF($J315=2,INDEX('큐펫&amp;몹 정리(최신)'!S:S,MATCH($E315,'큐펫&amp;몹 정리(최신)'!$B:$B,0))*25,IF($J315=3,INDEX('큐펫&amp;몹 정리(최신)'!S:S,MATCH($E315,'큐펫&amp;몹 정리(최신)'!$B:$B,0))*30,IF($J315=4,INDEX('큐펫&amp;몹 정리(최신)'!S:S,MATCH($E315,'큐펫&amp;몹 정리(최신)'!$B:$B,0))*35,INDEX('큐펫&amp;몹 정리(최신)'!S:S,MATCH($E315,'큐펫&amp;몹 정리(최신)'!$B:$B,0))*40))))</f>
        <v>735</v>
      </c>
      <c r="O315" s="190">
        <f>IF($J315=1,INDEX('큐펫&amp;몹 정리(최신)'!T:T,MATCH($E315,'큐펫&amp;몹 정리(최신)'!$B:$B,0))*20,IF($J315=2,INDEX('큐펫&amp;몹 정리(최신)'!T:T,MATCH($E315,'큐펫&amp;몹 정리(최신)'!$B:$B,0))*25,IF($J315=3,INDEX('큐펫&amp;몹 정리(최신)'!T:T,MATCH($E315,'큐펫&amp;몹 정리(최신)'!$B:$B,0))*30,IF($J315=4,INDEX('큐펫&amp;몹 정리(최신)'!T:T,MATCH($E315,'큐펫&amp;몹 정리(최신)'!$B:$B,0))*35,INDEX('큐펫&amp;몹 정리(최신)'!T:T,MATCH($E315,'큐펫&amp;몹 정리(최신)'!$B:$B,0))*40))))</f>
        <v>420</v>
      </c>
      <c r="P315" s="217">
        <v>80</v>
      </c>
      <c r="Q315" s="217">
        <f t="shared" si="32"/>
        <v>187320</v>
      </c>
      <c r="R315" s="217">
        <f t="shared" si="33"/>
        <v>26081</v>
      </c>
      <c r="S315" s="217">
        <f t="shared" si="34"/>
        <v>18651</v>
      </c>
      <c r="T315" s="217">
        <f t="shared" si="35"/>
        <v>2399</v>
      </c>
      <c r="U315" s="217">
        <f t="shared" si="36"/>
        <v>51835</v>
      </c>
      <c r="V315" s="217">
        <f t="shared" si="37"/>
        <v>14841</v>
      </c>
      <c r="W315" s="217">
        <f>ROUND(AC315+(INDEX(Ref!B$1:B$9,MATCH($AI315,Ref!$A$1:$A$9,0))*P315*0.0001),)</f>
        <v>58</v>
      </c>
      <c r="X315" s="217">
        <f>ROUND(AD315+(INDEX(Ref!C$1:C$9,MATCH($AI315,Ref!$A$1:$A$9,0))*$P315*0.0001),)</f>
        <v>46</v>
      </c>
      <c r="Y315" s="217">
        <f>ROUND(AE315+(INDEX(Ref!D$1:D$9,MATCH($AI315,Ref!$A$1:$A$9,0))*$P315*0.0001),)</f>
        <v>61</v>
      </c>
      <c r="Z315" s="217">
        <f>ROUND(AF315+(INDEX(Ref!E$1:E$9,MATCH($AI315,Ref!$A$1:$A$9,0))*$P315*0.0001),)</f>
        <v>36</v>
      </c>
      <c r="AA315" s="217">
        <f>ROUND(AG315+(INDEX(Ref!F$1:F$9,MATCH($AI315,Ref!$A$1:$A$9,0))*$P315*0.0001),)</f>
        <v>49</v>
      </c>
      <c r="AB315" s="217">
        <f>ROUND(AH315+(INDEX(Ref!G$1:G$9,MATCH($AI315,Ref!$A$1:$A$9,0))*$P315*0.0001),)</f>
        <v>54</v>
      </c>
      <c r="AC315" s="137">
        <v>42</v>
      </c>
      <c r="AD315" s="137">
        <v>33</v>
      </c>
      <c r="AE315" s="137">
        <v>49</v>
      </c>
      <c r="AF315" s="137">
        <v>26</v>
      </c>
      <c r="AG315" s="137">
        <v>35</v>
      </c>
      <c r="AH315" s="137">
        <v>39</v>
      </c>
      <c r="AI315" s="208">
        <v>7</v>
      </c>
      <c r="AJ315" s="172">
        <v>3000</v>
      </c>
      <c r="AK315" s="172">
        <v>30375</v>
      </c>
      <c r="AL315" s="172">
        <v>2000</v>
      </c>
      <c r="AM315" s="172">
        <v>30377</v>
      </c>
      <c r="AN315" s="172">
        <v>0</v>
      </c>
      <c r="AO315" s="172">
        <f t="shared" si="38"/>
        <v>34375</v>
      </c>
      <c r="AP315" s="172">
        <v>0</v>
      </c>
      <c r="AQ315" s="172">
        <f t="shared" si="39"/>
        <v>34377</v>
      </c>
      <c r="AR315" s="172">
        <v>1</v>
      </c>
      <c r="AS315" s="172">
        <v>0</v>
      </c>
      <c r="AT315" s="199">
        <v>78063</v>
      </c>
      <c r="AU315" s="195" t="s">
        <v>260</v>
      </c>
    </row>
    <row r="316" spans="1:47" x14ac:dyDescent="0.2">
      <c r="A316" s="173">
        <v>55063</v>
      </c>
      <c r="B316" s="174" t="s">
        <v>258</v>
      </c>
      <c r="C316" s="172">
        <v>86063</v>
      </c>
      <c r="D316" s="172">
        <v>150063</v>
      </c>
      <c r="E316" s="206" t="s">
        <v>259</v>
      </c>
      <c r="F316" s="207">
        <v>2</v>
      </c>
      <c r="G316" s="172">
        <v>8500</v>
      </c>
      <c r="H316" s="172">
        <v>8500</v>
      </c>
      <c r="I316" s="172">
        <v>10000</v>
      </c>
      <c r="J316" s="172">
        <v>5</v>
      </c>
      <c r="K316" s="190">
        <f>IF($J316=1,INDEX('큐펫&amp;몹 정리(최신)'!P:P,MATCH($E316,'큐펫&amp;몹 정리(최신)'!$B:$B,0))*20,IF($J316=2,INDEX('큐펫&amp;몹 정리(최신)'!P:P,MATCH($E316,'큐펫&amp;몹 정리(최신)'!$B:$B,0))*25,IF($J316=3,INDEX('큐펫&amp;몹 정리(최신)'!P:P,MATCH($E316,'큐펫&amp;몹 정리(최신)'!$B:$B,0))*30,IF($J316=4,INDEX('큐펫&amp;몹 정리(최신)'!P:P,MATCH($E316,'큐펫&amp;몹 정리(최신)'!$B:$B,0))*35,INDEX('큐펫&amp;몹 정리(최신)'!P:P,MATCH($E316,'큐펫&amp;몹 정리(최신)'!$B:$B,0))*40))))</f>
        <v>1600</v>
      </c>
      <c r="L316" s="190">
        <f>IF($J316=1,INDEX('큐펫&amp;몹 정리(최신)'!Q:Q,MATCH($E316,'큐펫&amp;몹 정리(최신)'!$B:$B,0))*20,IF($J316=2,INDEX('큐펫&amp;몹 정리(최신)'!Q:Q,MATCH($E316,'큐펫&amp;몹 정리(최신)'!$B:$B,0))*25,IF($J316=3,INDEX('큐펫&amp;몹 정리(최신)'!Q:Q,MATCH($E316,'큐펫&amp;몹 정리(최신)'!$B:$B,0))*30,IF($J316=4,INDEX('큐펫&amp;몹 정리(최신)'!Q:Q,MATCH($E316,'큐펫&amp;몹 정리(최신)'!$B:$B,0))*35,INDEX('큐펫&amp;몹 정리(최신)'!Q:Q,MATCH($E316,'큐펫&amp;몹 정리(최신)'!$B:$B,0))*40))))</f>
        <v>880</v>
      </c>
      <c r="M316" s="190">
        <f>IF($J316=1,INDEX('큐펫&amp;몹 정리(최신)'!R:R,MATCH($E316,'큐펫&amp;몹 정리(최신)'!$B:$B,0))*20,IF($J316=2,INDEX('큐펫&amp;몹 정리(최신)'!R:R,MATCH($E316,'큐펫&amp;몹 정리(최신)'!$B:$B,0))*25,IF($J316=3,INDEX('큐펫&amp;몹 정리(최신)'!R:R,MATCH($E316,'큐펫&amp;몹 정리(최신)'!$B:$B,0))*30,IF($J316=4,INDEX('큐펫&amp;몹 정리(최신)'!R:R,MATCH($E316,'큐펫&amp;몹 정리(최신)'!$B:$B,0))*35,INDEX('큐펫&amp;몹 정리(최신)'!R:R,MATCH($E316,'큐펫&amp;몹 정리(최신)'!$B:$B,0))*40))))</f>
        <v>200</v>
      </c>
      <c r="N316" s="190">
        <f>IF($J316=1,INDEX('큐펫&amp;몹 정리(최신)'!S:S,MATCH($E316,'큐펫&amp;몹 정리(최신)'!$B:$B,0))*20,IF($J316=2,INDEX('큐펫&amp;몹 정리(최신)'!S:S,MATCH($E316,'큐펫&amp;몹 정리(최신)'!$B:$B,0))*25,IF($J316=3,INDEX('큐펫&amp;몹 정리(최신)'!S:S,MATCH($E316,'큐펫&amp;몹 정리(최신)'!$B:$B,0))*30,IF($J316=4,INDEX('큐펫&amp;몹 정리(최신)'!S:S,MATCH($E316,'큐펫&amp;몹 정리(최신)'!$B:$B,0))*35,INDEX('큐펫&amp;몹 정리(최신)'!S:S,MATCH($E316,'큐펫&amp;몹 정리(최신)'!$B:$B,0))*40))))</f>
        <v>840</v>
      </c>
      <c r="O316" s="190">
        <f>IF($J316=1,INDEX('큐펫&amp;몹 정리(최신)'!T:T,MATCH($E316,'큐펫&amp;몹 정리(최신)'!$B:$B,0))*20,IF($J316=2,INDEX('큐펫&amp;몹 정리(최신)'!T:T,MATCH($E316,'큐펫&amp;몹 정리(최신)'!$B:$B,0))*25,IF($J316=3,INDEX('큐펫&amp;몹 정리(최신)'!T:T,MATCH($E316,'큐펫&amp;몹 정리(최신)'!$B:$B,0))*30,IF($J316=4,INDEX('큐펫&amp;몹 정리(최신)'!T:T,MATCH($E316,'큐펫&amp;몹 정리(최신)'!$B:$B,0))*35,INDEX('큐펫&amp;몹 정리(최신)'!T:T,MATCH($E316,'큐펫&amp;몹 정리(최신)'!$B:$B,0))*40))))</f>
        <v>480</v>
      </c>
      <c r="P316" s="217">
        <v>100</v>
      </c>
      <c r="Q316" s="217">
        <f t="shared" si="32"/>
        <v>275200</v>
      </c>
      <c r="R316" s="217">
        <f t="shared" si="33"/>
        <v>38540</v>
      </c>
      <c r="S316" s="217">
        <f t="shared" si="34"/>
        <v>26808</v>
      </c>
      <c r="T316" s="217">
        <f t="shared" si="35"/>
        <v>3684</v>
      </c>
      <c r="U316" s="217">
        <f t="shared" si="36"/>
        <v>70161</v>
      </c>
      <c r="V316" s="217">
        <f t="shared" si="37"/>
        <v>20082</v>
      </c>
      <c r="W316" s="217">
        <f>ROUND(AC316+(INDEX(Ref!B$1:B$9,MATCH($AI316,Ref!$A$1:$A$9,0))*P316*0.0001),)</f>
        <v>66</v>
      </c>
      <c r="X316" s="217">
        <f>ROUND(AD316+(INDEX(Ref!C$1:C$9,MATCH($AI316,Ref!$A$1:$A$9,0))*$P316*0.0001),)</f>
        <v>52</v>
      </c>
      <c r="Y316" s="217">
        <f>ROUND(AE316+(INDEX(Ref!D$1:D$9,MATCH($AI316,Ref!$A$1:$A$9,0))*$P316*0.0001),)</f>
        <v>67</v>
      </c>
      <c r="Z316" s="217">
        <f>ROUND(AF316+(INDEX(Ref!E$1:E$9,MATCH($AI316,Ref!$A$1:$A$9,0))*$P316*0.0001),)</f>
        <v>42</v>
      </c>
      <c r="AA316" s="217">
        <f>ROUND(AG316+(INDEX(Ref!F$1:F$9,MATCH($AI316,Ref!$A$1:$A$9,0))*$P316*0.0001),)</f>
        <v>55</v>
      </c>
      <c r="AB316" s="217">
        <f>ROUND(AH316+(INDEX(Ref!G$1:G$9,MATCH($AI316,Ref!$A$1:$A$9,0))*$P316*0.0001),)</f>
        <v>62</v>
      </c>
      <c r="AC316" s="137">
        <v>46</v>
      </c>
      <c r="AD316" s="137">
        <v>36</v>
      </c>
      <c r="AE316" s="137">
        <v>52</v>
      </c>
      <c r="AF316" s="137">
        <v>29</v>
      </c>
      <c r="AG316" s="137">
        <v>38</v>
      </c>
      <c r="AH316" s="137">
        <v>43</v>
      </c>
      <c r="AI316" s="208">
        <v>7</v>
      </c>
      <c r="AJ316" s="172">
        <v>3000</v>
      </c>
      <c r="AK316" s="172">
        <v>30375</v>
      </c>
      <c r="AL316" s="172">
        <v>2000</v>
      </c>
      <c r="AM316" s="172">
        <v>30378</v>
      </c>
      <c r="AN316" s="172">
        <v>0</v>
      </c>
      <c r="AO316" s="172">
        <f t="shared" si="38"/>
        <v>34375</v>
      </c>
      <c r="AP316" s="172">
        <v>0</v>
      </c>
      <c r="AQ316" s="172">
        <f t="shared" si="39"/>
        <v>34378</v>
      </c>
      <c r="AR316" s="172">
        <v>1</v>
      </c>
      <c r="AS316" s="172">
        <v>0</v>
      </c>
      <c r="AT316" s="199">
        <v>78063</v>
      </c>
      <c r="AU316" s="195" t="s">
        <v>260</v>
      </c>
    </row>
    <row r="317" spans="1:47" x14ac:dyDescent="0.2">
      <c r="A317" s="173">
        <v>55064</v>
      </c>
      <c r="B317" s="174" t="s">
        <v>1041</v>
      </c>
      <c r="C317" s="172">
        <v>86064</v>
      </c>
      <c r="D317" s="172">
        <v>150064</v>
      </c>
      <c r="E317" s="206" t="s">
        <v>261</v>
      </c>
      <c r="F317" s="207">
        <v>2</v>
      </c>
      <c r="G317" s="172">
        <v>13000</v>
      </c>
      <c r="H317" s="172">
        <v>9000</v>
      </c>
      <c r="I317" s="172">
        <v>10000</v>
      </c>
      <c r="J317" s="172">
        <v>1</v>
      </c>
      <c r="K317" s="190">
        <f>IF($J317=1,INDEX('큐펫&amp;몹 정리(최신)'!P:P,MATCH($E317,'큐펫&amp;몹 정리(최신)'!$B:$B,0))*20,IF($J317=2,INDEX('큐펫&amp;몹 정리(최신)'!P:P,MATCH($E317,'큐펫&amp;몹 정리(최신)'!$B:$B,0))*25,IF($J317=3,INDEX('큐펫&amp;몹 정리(최신)'!P:P,MATCH($E317,'큐펫&amp;몹 정리(최신)'!$B:$B,0))*30,IF($J317=4,INDEX('큐펫&amp;몹 정리(최신)'!P:P,MATCH($E317,'큐펫&amp;몹 정리(최신)'!$B:$B,0))*35,INDEX('큐펫&amp;몹 정리(최신)'!P:P,MATCH($E317,'큐펫&amp;몹 정리(최신)'!$B:$B,0))*40))))</f>
        <v>1000</v>
      </c>
      <c r="L317" s="190">
        <f>IF($J317=1,INDEX('큐펫&amp;몹 정리(최신)'!Q:Q,MATCH($E317,'큐펫&amp;몹 정리(최신)'!$B:$B,0))*20,IF($J317=2,INDEX('큐펫&amp;몹 정리(최신)'!Q:Q,MATCH($E317,'큐펫&amp;몹 정리(최신)'!$B:$B,0))*25,IF($J317=3,INDEX('큐펫&amp;몹 정리(최신)'!Q:Q,MATCH($E317,'큐펫&amp;몹 정리(최신)'!$B:$B,0))*30,IF($J317=4,INDEX('큐펫&amp;몹 정리(최신)'!Q:Q,MATCH($E317,'큐펫&amp;몹 정리(최신)'!$B:$B,0))*35,INDEX('큐펫&amp;몹 정리(최신)'!Q:Q,MATCH($E317,'큐펫&amp;몹 정리(최신)'!$B:$B,0))*40))))</f>
        <v>100</v>
      </c>
      <c r="M317" s="190">
        <f>IF($J317=1,INDEX('큐펫&amp;몹 정리(최신)'!R:R,MATCH($E317,'큐펫&amp;몹 정리(최신)'!$B:$B,0))*20,IF($J317=2,INDEX('큐펫&amp;몹 정리(최신)'!R:R,MATCH($E317,'큐펫&amp;몹 정리(최신)'!$B:$B,0))*25,IF($J317=3,INDEX('큐펫&amp;몹 정리(최신)'!R:R,MATCH($E317,'큐펫&amp;몹 정리(최신)'!$B:$B,0))*30,IF($J317=4,INDEX('큐펫&amp;몹 정리(최신)'!R:R,MATCH($E317,'큐펫&amp;몹 정리(최신)'!$B:$B,0))*35,INDEX('큐펫&amp;몹 정리(최신)'!R:R,MATCH($E317,'큐펫&amp;몹 정리(최신)'!$B:$B,0))*40))))</f>
        <v>140</v>
      </c>
      <c r="N317" s="190">
        <f>IF($J317=1,INDEX('큐펫&amp;몹 정리(최신)'!S:S,MATCH($E317,'큐펫&amp;몹 정리(최신)'!$B:$B,0))*20,IF($J317=2,INDEX('큐펫&amp;몹 정리(최신)'!S:S,MATCH($E317,'큐펫&amp;몹 정리(최신)'!$B:$B,0))*25,IF($J317=3,INDEX('큐펫&amp;몹 정리(최신)'!S:S,MATCH($E317,'큐펫&amp;몹 정리(최신)'!$B:$B,0))*30,IF($J317=4,INDEX('큐펫&amp;몹 정리(최신)'!S:S,MATCH($E317,'큐펫&amp;몹 정리(최신)'!$B:$B,0))*35,INDEX('큐펫&amp;몹 정리(최신)'!S:S,MATCH($E317,'큐펫&amp;몹 정리(최신)'!$B:$B,0))*40))))</f>
        <v>360</v>
      </c>
      <c r="O317" s="190">
        <f>IF($J317=1,INDEX('큐펫&amp;몹 정리(최신)'!T:T,MATCH($E317,'큐펫&amp;몹 정리(최신)'!$B:$B,0))*20,IF($J317=2,INDEX('큐펫&amp;몹 정리(최신)'!T:T,MATCH($E317,'큐펫&amp;몹 정리(최신)'!$B:$B,0))*25,IF($J317=3,INDEX('큐펫&amp;몹 정리(최신)'!T:T,MATCH($E317,'큐펫&amp;몹 정리(최신)'!$B:$B,0))*30,IF($J317=4,INDEX('큐펫&amp;몹 정리(최신)'!T:T,MATCH($E317,'큐펫&amp;몹 정리(최신)'!$B:$B,0))*35,INDEX('큐펫&amp;몹 정리(최신)'!T:T,MATCH($E317,'큐펫&amp;몹 정리(최신)'!$B:$B,0))*40))))</f>
        <v>400</v>
      </c>
      <c r="P317" s="217">
        <v>20</v>
      </c>
      <c r="Q317" s="217">
        <f t="shared" si="32"/>
        <v>32800</v>
      </c>
      <c r="R317" s="217">
        <f t="shared" si="33"/>
        <v>344</v>
      </c>
      <c r="S317" s="217">
        <f t="shared" si="34"/>
        <v>420</v>
      </c>
      <c r="T317" s="217">
        <f t="shared" si="35"/>
        <v>2456</v>
      </c>
      <c r="U317" s="217">
        <f t="shared" si="36"/>
        <v>10627</v>
      </c>
      <c r="V317" s="217">
        <f t="shared" si="37"/>
        <v>5941</v>
      </c>
      <c r="W317" s="217">
        <f>ROUND(AC317+(INDEX(Ref!B$1:B$9,MATCH($AI317,Ref!$A$1:$A$9,0))*P317*0.0001),)</f>
        <v>17</v>
      </c>
      <c r="X317" s="217">
        <f>ROUND(AD317+(INDEX(Ref!C$1:C$9,MATCH($AI317,Ref!$A$1:$A$9,0))*$P317*0.0001),)</f>
        <v>32</v>
      </c>
      <c r="Y317" s="217">
        <f>ROUND(AE317+(INDEX(Ref!D$1:D$9,MATCH($AI317,Ref!$A$1:$A$9,0))*$P317*0.0001),)</f>
        <v>39</v>
      </c>
      <c r="Z317" s="217">
        <f>ROUND(AF317+(INDEX(Ref!E$1:E$9,MATCH($AI317,Ref!$A$1:$A$9,0))*$P317*0.0001),)</f>
        <v>41</v>
      </c>
      <c r="AA317" s="217">
        <f>ROUND(AG317+(INDEX(Ref!F$1:F$9,MATCH($AI317,Ref!$A$1:$A$9,0))*$P317*0.0001),)</f>
        <v>19</v>
      </c>
      <c r="AB317" s="217">
        <f>ROUND(AH317+(INDEX(Ref!G$1:G$9,MATCH($AI317,Ref!$A$1:$A$9,0))*$P317*0.0001),)</f>
        <v>36</v>
      </c>
      <c r="AC317" s="137">
        <v>15</v>
      </c>
      <c r="AD317" s="137">
        <v>28</v>
      </c>
      <c r="AE317" s="137">
        <v>36</v>
      </c>
      <c r="AF317" s="137">
        <v>36</v>
      </c>
      <c r="AG317" s="137">
        <v>17</v>
      </c>
      <c r="AH317" s="137">
        <v>32</v>
      </c>
      <c r="AI317" s="208">
        <v>6</v>
      </c>
      <c r="AJ317" s="172">
        <v>3000</v>
      </c>
      <c r="AK317" s="172">
        <v>30379</v>
      </c>
      <c r="AL317" s="172">
        <v>2000</v>
      </c>
      <c r="AM317" s="172">
        <v>30382</v>
      </c>
      <c r="AN317" s="172">
        <v>0</v>
      </c>
      <c r="AO317" s="172">
        <f t="shared" si="38"/>
        <v>34379</v>
      </c>
      <c r="AP317" s="172">
        <v>0</v>
      </c>
      <c r="AQ317" s="172">
        <f t="shared" si="39"/>
        <v>34382</v>
      </c>
      <c r="AR317" s="172">
        <v>1</v>
      </c>
      <c r="AS317" s="172">
        <v>0</v>
      </c>
      <c r="AT317" s="199">
        <v>78064</v>
      </c>
      <c r="AU317" s="195" t="s">
        <v>262</v>
      </c>
    </row>
    <row r="318" spans="1:47" x14ac:dyDescent="0.2">
      <c r="A318" s="173">
        <v>55064</v>
      </c>
      <c r="B318" s="174" t="s">
        <v>1041</v>
      </c>
      <c r="C318" s="172">
        <v>86064</v>
      </c>
      <c r="D318" s="172">
        <v>150064</v>
      </c>
      <c r="E318" s="206" t="s">
        <v>261</v>
      </c>
      <c r="F318" s="207">
        <v>2</v>
      </c>
      <c r="G318" s="172">
        <v>13000</v>
      </c>
      <c r="H318" s="172">
        <v>9000</v>
      </c>
      <c r="I318" s="172">
        <v>10000</v>
      </c>
      <c r="J318" s="172">
        <v>2</v>
      </c>
      <c r="K318" s="190">
        <f>IF($J318=1,INDEX('큐펫&amp;몹 정리(최신)'!P:P,MATCH($E318,'큐펫&amp;몹 정리(최신)'!$B:$B,0))*20,IF($J318=2,INDEX('큐펫&amp;몹 정리(최신)'!P:P,MATCH($E318,'큐펫&amp;몹 정리(최신)'!$B:$B,0))*25,IF($J318=3,INDEX('큐펫&amp;몹 정리(최신)'!P:P,MATCH($E318,'큐펫&amp;몹 정리(최신)'!$B:$B,0))*30,IF($J318=4,INDEX('큐펫&amp;몹 정리(최신)'!P:P,MATCH($E318,'큐펫&amp;몹 정리(최신)'!$B:$B,0))*35,INDEX('큐펫&amp;몹 정리(최신)'!P:P,MATCH($E318,'큐펫&amp;몹 정리(최신)'!$B:$B,0))*40))))</f>
        <v>1250</v>
      </c>
      <c r="L318" s="190">
        <f>IF($J318=1,INDEX('큐펫&amp;몹 정리(최신)'!Q:Q,MATCH($E318,'큐펫&amp;몹 정리(최신)'!$B:$B,0))*20,IF($J318=2,INDEX('큐펫&amp;몹 정리(최신)'!Q:Q,MATCH($E318,'큐펫&amp;몹 정리(최신)'!$B:$B,0))*25,IF($J318=3,INDEX('큐펫&amp;몹 정리(최신)'!Q:Q,MATCH($E318,'큐펫&amp;몹 정리(최신)'!$B:$B,0))*30,IF($J318=4,INDEX('큐펫&amp;몹 정리(최신)'!Q:Q,MATCH($E318,'큐펫&amp;몹 정리(최신)'!$B:$B,0))*35,INDEX('큐펫&amp;몹 정리(최신)'!Q:Q,MATCH($E318,'큐펫&amp;몹 정리(최신)'!$B:$B,0))*40))))</f>
        <v>125</v>
      </c>
      <c r="M318" s="190">
        <f>IF($J318=1,INDEX('큐펫&amp;몹 정리(최신)'!R:R,MATCH($E318,'큐펫&amp;몹 정리(최신)'!$B:$B,0))*20,IF($J318=2,INDEX('큐펫&amp;몹 정리(최신)'!R:R,MATCH($E318,'큐펫&amp;몹 정리(최신)'!$B:$B,0))*25,IF($J318=3,INDEX('큐펫&amp;몹 정리(최신)'!R:R,MATCH($E318,'큐펫&amp;몹 정리(최신)'!$B:$B,0))*30,IF($J318=4,INDEX('큐펫&amp;몹 정리(최신)'!R:R,MATCH($E318,'큐펫&amp;몹 정리(최신)'!$B:$B,0))*35,INDEX('큐펫&amp;몹 정리(최신)'!R:R,MATCH($E318,'큐펫&amp;몹 정리(최신)'!$B:$B,0))*40))))</f>
        <v>175</v>
      </c>
      <c r="N318" s="190">
        <f>IF($J318=1,INDEX('큐펫&amp;몹 정리(최신)'!S:S,MATCH($E318,'큐펫&amp;몹 정리(최신)'!$B:$B,0))*20,IF($J318=2,INDEX('큐펫&amp;몹 정리(최신)'!S:S,MATCH($E318,'큐펫&amp;몹 정리(최신)'!$B:$B,0))*25,IF($J318=3,INDEX('큐펫&amp;몹 정리(최신)'!S:S,MATCH($E318,'큐펫&amp;몹 정리(최신)'!$B:$B,0))*30,IF($J318=4,INDEX('큐펫&amp;몹 정리(최신)'!S:S,MATCH($E318,'큐펫&amp;몹 정리(최신)'!$B:$B,0))*35,INDEX('큐펫&amp;몹 정리(최신)'!S:S,MATCH($E318,'큐펫&amp;몹 정리(최신)'!$B:$B,0))*40))))</f>
        <v>450</v>
      </c>
      <c r="O318" s="190">
        <f>IF($J318=1,INDEX('큐펫&amp;몹 정리(최신)'!T:T,MATCH($E318,'큐펫&amp;몹 정리(최신)'!$B:$B,0))*20,IF($J318=2,INDEX('큐펫&amp;몹 정리(최신)'!T:T,MATCH($E318,'큐펫&amp;몹 정리(최신)'!$B:$B,0))*25,IF($J318=3,INDEX('큐펫&amp;몹 정리(최신)'!T:T,MATCH($E318,'큐펫&amp;몹 정리(최신)'!$B:$B,0))*30,IF($J318=4,INDEX('큐펫&amp;몹 정리(최신)'!T:T,MATCH($E318,'큐펫&amp;몹 정리(최신)'!$B:$B,0))*35,INDEX('큐펫&amp;몹 정리(최신)'!T:T,MATCH($E318,'큐펫&amp;몹 정리(최신)'!$B:$B,0))*40))))</f>
        <v>500</v>
      </c>
      <c r="P318" s="217">
        <v>40</v>
      </c>
      <c r="Q318" s="217">
        <f t="shared" si="32"/>
        <v>78200</v>
      </c>
      <c r="R318" s="217">
        <f t="shared" si="33"/>
        <v>628</v>
      </c>
      <c r="S318" s="217">
        <f t="shared" si="34"/>
        <v>802</v>
      </c>
      <c r="T318" s="217">
        <f t="shared" si="35"/>
        <v>4687</v>
      </c>
      <c r="U318" s="217">
        <f t="shared" si="36"/>
        <v>18909</v>
      </c>
      <c r="V318" s="217">
        <f t="shared" si="37"/>
        <v>10551</v>
      </c>
      <c r="W318" s="217">
        <f>ROUND(AC318+(INDEX(Ref!B$1:B$9,MATCH($AI318,Ref!$A$1:$A$9,0))*P318*0.0001),)</f>
        <v>21</v>
      </c>
      <c r="X318" s="217">
        <f>ROUND(AD318+(INDEX(Ref!C$1:C$9,MATCH($AI318,Ref!$A$1:$A$9,0))*$P318*0.0001),)</f>
        <v>40</v>
      </c>
      <c r="Y318" s="217">
        <f>ROUND(AE318+(INDEX(Ref!D$1:D$9,MATCH($AI318,Ref!$A$1:$A$9,0))*$P318*0.0001),)</f>
        <v>44</v>
      </c>
      <c r="Z318" s="217">
        <f>ROUND(AF318+(INDEX(Ref!E$1:E$9,MATCH($AI318,Ref!$A$1:$A$9,0))*$P318*0.0001),)</f>
        <v>51</v>
      </c>
      <c r="AA318" s="217">
        <f>ROUND(AG318+(INDEX(Ref!F$1:F$9,MATCH($AI318,Ref!$A$1:$A$9,0))*$P318*0.0001),)</f>
        <v>24</v>
      </c>
      <c r="AB318" s="217">
        <f>ROUND(AH318+(INDEX(Ref!G$1:G$9,MATCH($AI318,Ref!$A$1:$A$9,0))*$P318*0.0001),)</f>
        <v>44</v>
      </c>
      <c r="AC318" s="137">
        <v>17</v>
      </c>
      <c r="AD318" s="137">
        <v>32</v>
      </c>
      <c r="AE318" s="137">
        <v>39</v>
      </c>
      <c r="AF318" s="137">
        <v>41</v>
      </c>
      <c r="AG318" s="137">
        <v>19</v>
      </c>
      <c r="AH318" s="137">
        <v>36</v>
      </c>
      <c r="AI318" s="208">
        <v>6</v>
      </c>
      <c r="AJ318" s="172">
        <v>3000</v>
      </c>
      <c r="AK318" s="172">
        <v>30380</v>
      </c>
      <c r="AL318" s="172">
        <v>2000</v>
      </c>
      <c r="AM318" s="172">
        <v>30382</v>
      </c>
      <c r="AN318" s="172">
        <v>0</v>
      </c>
      <c r="AO318" s="172">
        <f t="shared" si="38"/>
        <v>34380</v>
      </c>
      <c r="AP318" s="172">
        <v>0</v>
      </c>
      <c r="AQ318" s="172">
        <f t="shared" si="39"/>
        <v>34382</v>
      </c>
      <c r="AR318" s="172">
        <v>1</v>
      </c>
      <c r="AS318" s="172">
        <v>0</v>
      </c>
      <c r="AT318" s="199">
        <v>78064</v>
      </c>
      <c r="AU318" s="195" t="s">
        <v>262</v>
      </c>
    </row>
    <row r="319" spans="1:47" x14ac:dyDescent="0.2">
      <c r="A319" s="173">
        <v>55064</v>
      </c>
      <c r="B319" s="174" t="s">
        <v>1041</v>
      </c>
      <c r="C319" s="172">
        <v>86064</v>
      </c>
      <c r="D319" s="172">
        <v>150064</v>
      </c>
      <c r="E319" s="206" t="s">
        <v>261</v>
      </c>
      <c r="F319" s="207">
        <v>2</v>
      </c>
      <c r="G319" s="172">
        <v>13000</v>
      </c>
      <c r="H319" s="172">
        <v>9000</v>
      </c>
      <c r="I319" s="172">
        <v>10000</v>
      </c>
      <c r="J319" s="172">
        <v>3</v>
      </c>
      <c r="K319" s="190">
        <f>IF($J319=1,INDEX('큐펫&amp;몹 정리(최신)'!P:P,MATCH($E319,'큐펫&amp;몹 정리(최신)'!$B:$B,0))*20,IF($J319=2,INDEX('큐펫&amp;몹 정리(최신)'!P:P,MATCH($E319,'큐펫&amp;몹 정리(최신)'!$B:$B,0))*25,IF($J319=3,INDEX('큐펫&amp;몹 정리(최신)'!P:P,MATCH($E319,'큐펫&amp;몹 정리(최신)'!$B:$B,0))*30,IF($J319=4,INDEX('큐펫&amp;몹 정리(최신)'!P:P,MATCH($E319,'큐펫&amp;몹 정리(최신)'!$B:$B,0))*35,INDEX('큐펫&amp;몹 정리(최신)'!P:P,MATCH($E319,'큐펫&amp;몹 정리(최신)'!$B:$B,0))*40))))</f>
        <v>1500</v>
      </c>
      <c r="L319" s="190">
        <f>IF($J319=1,INDEX('큐펫&amp;몹 정리(최신)'!Q:Q,MATCH($E319,'큐펫&amp;몹 정리(최신)'!$B:$B,0))*20,IF($J319=2,INDEX('큐펫&amp;몹 정리(최신)'!Q:Q,MATCH($E319,'큐펫&amp;몹 정리(최신)'!$B:$B,0))*25,IF($J319=3,INDEX('큐펫&amp;몹 정리(최신)'!Q:Q,MATCH($E319,'큐펫&amp;몹 정리(최신)'!$B:$B,0))*30,IF($J319=4,INDEX('큐펫&amp;몹 정리(최신)'!Q:Q,MATCH($E319,'큐펫&amp;몹 정리(최신)'!$B:$B,0))*35,INDEX('큐펫&amp;몹 정리(최신)'!Q:Q,MATCH($E319,'큐펫&amp;몹 정리(최신)'!$B:$B,0))*40))))</f>
        <v>150</v>
      </c>
      <c r="M319" s="190">
        <f>IF($J319=1,INDEX('큐펫&amp;몹 정리(최신)'!R:R,MATCH($E319,'큐펫&amp;몹 정리(최신)'!$B:$B,0))*20,IF($J319=2,INDEX('큐펫&amp;몹 정리(최신)'!R:R,MATCH($E319,'큐펫&amp;몹 정리(최신)'!$B:$B,0))*25,IF($J319=3,INDEX('큐펫&amp;몹 정리(최신)'!R:R,MATCH($E319,'큐펫&amp;몹 정리(최신)'!$B:$B,0))*30,IF($J319=4,INDEX('큐펫&amp;몹 정리(최신)'!R:R,MATCH($E319,'큐펫&amp;몹 정리(최신)'!$B:$B,0))*35,INDEX('큐펫&amp;몹 정리(최신)'!R:R,MATCH($E319,'큐펫&amp;몹 정리(최신)'!$B:$B,0))*40))))</f>
        <v>210</v>
      </c>
      <c r="N319" s="190">
        <f>IF($J319=1,INDEX('큐펫&amp;몹 정리(최신)'!S:S,MATCH($E319,'큐펫&amp;몹 정리(최신)'!$B:$B,0))*20,IF($J319=2,INDEX('큐펫&amp;몹 정리(최신)'!S:S,MATCH($E319,'큐펫&amp;몹 정리(최신)'!$B:$B,0))*25,IF($J319=3,INDEX('큐펫&amp;몹 정리(최신)'!S:S,MATCH($E319,'큐펫&amp;몹 정리(최신)'!$B:$B,0))*30,IF($J319=4,INDEX('큐펫&amp;몹 정리(최신)'!S:S,MATCH($E319,'큐펫&amp;몹 정리(최신)'!$B:$B,0))*35,INDEX('큐펫&amp;몹 정리(최신)'!S:S,MATCH($E319,'큐펫&amp;몹 정리(최신)'!$B:$B,0))*40))))</f>
        <v>540</v>
      </c>
      <c r="O319" s="190">
        <f>IF($J319=1,INDEX('큐펫&amp;몹 정리(최신)'!T:T,MATCH($E319,'큐펫&amp;몹 정리(최신)'!$B:$B,0))*20,IF($J319=2,INDEX('큐펫&amp;몹 정리(최신)'!T:T,MATCH($E319,'큐펫&amp;몹 정리(최신)'!$B:$B,0))*25,IF($J319=3,INDEX('큐펫&amp;몹 정리(최신)'!T:T,MATCH($E319,'큐펫&amp;몹 정리(최신)'!$B:$B,0))*30,IF($J319=4,INDEX('큐펫&amp;몹 정리(최신)'!T:T,MATCH($E319,'큐펫&amp;몹 정리(최신)'!$B:$B,0))*35,INDEX('큐펫&amp;몹 정리(최신)'!T:T,MATCH($E319,'큐펫&amp;몹 정리(최신)'!$B:$B,0))*40))))</f>
        <v>600</v>
      </c>
      <c r="P319" s="217">
        <v>60</v>
      </c>
      <c r="Q319" s="217">
        <f t="shared" si="32"/>
        <v>142500</v>
      </c>
      <c r="R319" s="217">
        <f t="shared" si="33"/>
        <v>1113</v>
      </c>
      <c r="S319" s="217">
        <f t="shared" si="34"/>
        <v>1279</v>
      </c>
      <c r="T319" s="217">
        <f t="shared" si="35"/>
        <v>7726</v>
      </c>
      <c r="U319" s="217">
        <f t="shared" si="36"/>
        <v>29710</v>
      </c>
      <c r="V319" s="217">
        <f t="shared" si="37"/>
        <v>16560</v>
      </c>
      <c r="W319" s="217">
        <f>ROUND(AC319+(INDEX(Ref!B$1:B$9,MATCH($AI319,Ref!$A$1:$A$9,0))*P319*0.0001),)</f>
        <v>26</v>
      </c>
      <c r="X319" s="217">
        <f>ROUND(AD319+(INDEX(Ref!C$1:C$9,MATCH($AI319,Ref!$A$1:$A$9,0))*$P319*0.0001),)</f>
        <v>47</v>
      </c>
      <c r="Y319" s="217">
        <f>ROUND(AE319+(INDEX(Ref!D$1:D$9,MATCH($AI319,Ref!$A$1:$A$9,0))*$P319*0.0001),)</f>
        <v>50</v>
      </c>
      <c r="Z319" s="217">
        <f>ROUND(AF319+(INDEX(Ref!E$1:E$9,MATCH($AI319,Ref!$A$1:$A$9,0))*$P319*0.0001),)</f>
        <v>60</v>
      </c>
      <c r="AA319" s="217">
        <f>ROUND(AG319+(INDEX(Ref!F$1:F$9,MATCH($AI319,Ref!$A$1:$A$9,0))*$P319*0.0001),)</f>
        <v>28</v>
      </c>
      <c r="AB319" s="217">
        <f>ROUND(AH319+(INDEX(Ref!G$1:G$9,MATCH($AI319,Ref!$A$1:$A$9,0))*$P319*0.0001),)</f>
        <v>53</v>
      </c>
      <c r="AC319" s="137">
        <v>19</v>
      </c>
      <c r="AD319" s="137">
        <v>36</v>
      </c>
      <c r="AE319" s="137">
        <v>42</v>
      </c>
      <c r="AF319" s="137">
        <v>46</v>
      </c>
      <c r="AG319" s="137">
        <v>21</v>
      </c>
      <c r="AH319" s="137">
        <v>40</v>
      </c>
      <c r="AI319" s="208">
        <v>6</v>
      </c>
      <c r="AJ319" s="172">
        <v>3000</v>
      </c>
      <c r="AK319" s="172">
        <v>30380</v>
      </c>
      <c r="AL319" s="172">
        <v>2000</v>
      </c>
      <c r="AM319" s="172">
        <v>30383</v>
      </c>
      <c r="AN319" s="172">
        <v>0</v>
      </c>
      <c r="AO319" s="172">
        <f t="shared" si="38"/>
        <v>34380</v>
      </c>
      <c r="AP319" s="172">
        <v>0</v>
      </c>
      <c r="AQ319" s="172">
        <f t="shared" si="39"/>
        <v>34383</v>
      </c>
      <c r="AR319" s="172">
        <v>1</v>
      </c>
      <c r="AS319" s="172">
        <v>0</v>
      </c>
      <c r="AT319" s="199">
        <v>78064</v>
      </c>
      <c r="AU319" s="195" t="s">
        <v>262</v>
      </c>
    </row>
    <row r="320" spans="1:47" x14ac:dyDescent="0.2">
      <c r="A320" s="173">
        <v>55064</v>
      </c>
      <c r="B320" s="174" t="s">
        <v>1041</v>
      </c>
      <c r="C320" s="172">
        <v>86064</v>
      </c>
      <c r="D320" s="172">
        <v>150064</v>
      </c>
      <c r="E320" s="206" t="s">
        <v>261</v>
      </c>
      <c r="F320" s="207">
        <v>2</v>
      </c>
      <c r="G320" s="172">
        <v>13000</v>
      </c>
      <c r="H320" s="172">
        <v>9000</v>
      </c>
      <c r="I320" s="172">
        <v>10000</v>
      </c>
      <c r="J320" s="172">
        <v>4</v>
      </c>
      <c r="K320" s="190">
        <f>IF($J320=1,INDEX('큐펫&amp;몹 정리(최신)'!P:P,MATCH($E320,'큐펫&amp;몹 정리(최신)'!$B:$B,0))*20,IF($J320=2,INDEX('큐펫&amp;몹 정리(최신)'!P:P,MATCH($E320,'큐펫&amp;몹 정리(최신)'!$B:$B,0))*25,IF($J320=3,INDEX('큐펫&amp;몹 정리(최신)'!P:P,MATCH($E320,'큐펫&amp;몹 정리(최신)'!$B:$B,0))*30,IF($J320=4,INDEX('큐펫&amp;몹 정리(최신)'!P:P,MATCH($E320,'큐펫&amp;몹 정리(최신)'!$B:$B,0))*35,INDEX('큐펫&amp;몹 정리(최신)'!P:P,MATCH($E320,'큐펫&amp;몹 정리(최신)'!$B:$B,0))*40))))</f>
        <v>1750</v>
      </c>
      <c r="L320" s="190">
        <f>IF($J320=1,INDEX('큐펫&amp;몹 정리(최신)'!Q:Q,MATCH($E320,'큐펫&amp;몹 정리(최신)'!$B:$B,0))*20,IF($J320=2,INDEX('큐펫&amp;몹 정리(최신)'!Q:Q,MATCH($E320,'큐펫&amp;몹 정리(최신)'!$B:$B,0))*25,IF($J320=3,INDEX('큐펫&amp;몹 정리(최신)'!Q:Q,MATCH($E320,'큐펫&amp;몹 정리(최신)'!$B:$B,0))*30,IF($J320=4,INDEX('큐펫&amp;몹 정리(최신)'!Q:Q,MATCH($E320,'큐펫&amp;몹 정리(최신)'!$B:$B,0))*35,INDEX('큐펫&amp;몹 정리(최신)'!Q:Q,MATCH($E320,'큐펫&amp;몹 정리(최신)'!$B:$B,0))*40))))</f>
        <v>175</v>
      </c>
      <c r="M320" s="190">
        <f>IF($J320=1,INDEX('큐펫&amp;몹 정리(최신)'!R:R,MATCH($E320,'큐펫&amp;몹 정리(최신)'!$B:$B,0))*20,IF($J320=2,INDEX('큐펫&amp;몹 정리(최신)'!R:R,MATCH($E320,'큐펫&amp;몹 정리(최신)'!$B:$B,0))*25,IF($J320=3,INDEX('큐펫&amp;몹 정리(최신)'!R:R,MATCH($E320,'큐펫&amp;몹 정리(최신)'!$B:$B,0))*30,IF($J320=4,INDEX('큐펫&amp;몹 정리(최신)'!R:R,MATCH($E320,'큐펫&amp;몹 정리(최신)'!$B:$B,0))*35,INDEX('큐펫&amp;몹 정리(최신)'!R:R,MATCH($E320,'큐펫&amp;몹 정리(최신)'!$B:$B,0))*40))))</f>
        <v>245</v>
      </c>
      <c r="N320" s="190">
        <f>IF($J320=1,INDEX('큐펫&amp;몹 정리(최신)'!S:S,MATCH($E320,'큐펫&amp;몹 정리(최신)'!$B:$B,0))*20,IF($J320=2,INDEX('큐펫&amp;몹 정리(최신)'!S:S,MATCH($E320,'큐펫&amp;몹 정리(최신)'!$B:$B,0))*25,IF($J320=3,INDEX('큐펫&amp;몹 정리(최신)'!S:S,MATCH($E320,'큐펫&amp;몹 정리(최신)'!$B:$B,0))*30,IF($J320=4,INDEX('큐펫&amp;몹 정리(최신)'!S:S,MATCH($E320,'큐펫&amp;몹 정리(최신)'!$B:$B,0))*35,INDEX('큐펫&amp;몹 정리(최신)'!S:S,MATCH($E320,'큐펫&amp;몹 정리(최신)'!$B:$B,0))*40))))</f>
        <v>630</v>
      </c>
      <c r="O320" s="190">
        <f>IF($J320=1,INDEX('큐펫&amp;몹 정리(최신)'!T:T,MATCH($E320,'큐펫&amp;몹 정리(최신)'!$B:$B,0))*20,IF($J320=2,INDEX('큐펫&amp;몹 정리(최신)'!T:T,MATCH($E320,'큐펫&amp;몹 정리(최신)'!$B:$B,0))*25,IF($J320=3,INDEX('큐펫&amp;몹 정리(최신)'!T:T,MATCH($E320,'큐펫&amp;몹 정리(최신)'!$B:$B,0))*30,IF($J320=4,INDEX('큐펫&amp;몹 정리(최신)'!T:T,MATCH($E320,'큐펫&amp;몹 정리(최신)'!$B:$B,0))*35,INDEX('큐펫&amp;몹 정리(최신)'!T:T,MATCH($E320,'큐펫&amp;몹 정리(최신)'!$B:$B,0))*40))))</f>
        <v>700</v>
      </c>
      <c r="P320" s="217">
        <v>80</v>
      </c>
      <c r="Q320" s="217">
        <f t="shared" si="32"/>
        <v>224300</v>
      </c>
      <c r="R320" s="217">
        <f t="shared" si="33"/>
        <v>1804</v>
      </c>
      <c r="S320" s="217">
        <f t="shared" si="34"/>
        <v>2150</v>
      </c>
      <c r="T320" s="217">
        <f t="shared" si="35"/>
        <v>12204</v>
      </c>
      <c r="U320" s="217">
        <f t="shared" si="36"/>
        <v>42222</v>
      </c>
      <c r="V320" s="217">
        <f t="shared" si="37"/>
        <v>23520</v>
      </c>
      <c r="W320" s="217">
        <f>ROUND(AC320+(INDEX(Ref!B$1:B$9,MATCH($AI320,Ref!$A$1:$A$9,0))*P320*0.0001),)</f>
        <v>31</v>
      </c>
      <c r="X320" s="217">
        <f>ROUND(AD320+(INDEX(Ref!C$1:C$9,MATCH($AI320,Ref!$A$1:$A$9,0))*$P320*0.0001),)</f>
        <v>54</v>
      </c>
      <c r="Y320" s="217">
        <f>ROUND(AE320+(INDEX(Ref!D$1:D$9,MATCH($AI320,Ref!$A$1:$A$9,0))*$P320*0.0001),)</f>
        <v>54</v>
      </c>
      <c r="Z320" s="217">
        <f>ROUND(AF320+(INDEX(Ref!E$1:E$9,MATCH($AI320,Ref!$A$1:$A$9,0))*$P320*0.0001),)</f>
        <v>70</v>
      </c>
      <c r="AA320" s="217">
        <f>ROUND(AG320+(INDEX(Ref!F$1:F$9,MATCH($AI320,Ref!$A$1:$A$9,0))*$P320*0.0001),)</f>
        <v>34</v>
      </c>
      <c r="AB320" s="217">
        <f>ROUND(AH320+(INDEX(Ref!G$1:G$9,MATCH($AI320,Ref!$A$1:$A$9,0))*$P320*0.0001),)</f>
        <v>61</v>
      </c>
      <c r="AC320" s="137">
        <v>22</v>
      </c>
      <c r="AD320" s="137">
        <v>39</v>
      </c>
      <c r="AE320" s="137">
        <v>44</v>
      </c>
      <c r="AF320" s="137">
        <v>51</v>
      </c>
      <c r="AG320" s="137">
        <v>24</v>
      </c>
      <c r="AH320" s="137">
        <v>44</v>
      </c>
      <c r="AI320" s="208">
        <v>6</v>
      </c>
      <c r="AJ320" s="172">
        <v>3000</v>
      </c>
      <c r="AK320" s="172">
        <v>30381</v>
      </c>
      <c r="AL320" s="172">
        <v>2000</v>
      </c>
      <c r="AM320" s="172">
        <v>30383</v>
      </c>
      <c r="AN320" s="172">
        <v>0</v>
      </c>
      <c r="AO320" s="172">
        <f t="shared" si="38"/>
        <v>34381</v>
      </c>
      <c r="AP320" s="172">
        <v>0</v>
      </c>
      <c r="AQ320" s="172">
        <f t="shared" si="39"/>
        <v>34383</v>
      </c>
      <c r="AR320" s="172">
        <v>1</v>
      </c>
      <c r="AS320" s="172">
        <v>0</v>
      </c>
      <c r="AT320" s="199">
        <v>78064</v>
      </c>
      <c r="AU320" s="195" t="s">
        <v>262</v>
      </c>
    </row>
    <row r="321" spans="1:47" x14ac:dyDescent="0.2">
      <c r="A321" s="173">
        <v>55064</v>
      </c>
      <c r="B321" s="174" t="s">
        <v>1041</v>
      </c>
      <c r="C321" s="172">
        <v>86064</v>
      </c>
      <c r="D321" s="172">
        <v>150064</v>
      </c>
      <c r="E321" s="206" t="s">
        <v>261</v>
      </c>
      <c r="F321" s="207">
        <v>2</v>
      </c>
      <c r="G321" s="172">
        <v>13000</v>
      </c>
      <c r="H321" s="172">
        <v>9000</v>
      </c>
      <c r="I321" s="172">
        <v>10000</v>
      </c>
      <c r="J321" s="172">
        <v>5</v>
      </c>
      <c r="K321" s="190">
        <f>IF($J321=1,INDEX('큐펫&amp;몹 정리(최신)'!P:P,MATCH($E321,'큐펫&amp;몹 정리(최신)'!$B:$B,0))*20,IF($J321=2,INDEX('큐펫&amp;몹 정리(최신)'!P:P,MATCH($E321,'큐펫&amp;몹 정리(최신)'!$B:$B,0))*25,IF($J321=3,INDEX('큐펫&amp;몹 정리(최신)'!P:P,MATCH($E321,'큐펫&amp;몹 정리(최신)'!$B:$B,0))*30,IF($J321=4,INDEX('큐펫&amp;몹 정리(최신)'!P:P,MATCH($E321,'큐펫&amp;몹 정리(최신)'!$B:$B,0))*35,INDEX('큐펫&amp;몹 정리(최신)'!P:P,MATCH($E321,'큐펫&amp;몹 정리(최신)'!$B:$B,0))*40))))</f>
        <v>2000</v>
      </c>
      <c r="L321" s="190">
        <f>IF($J321=1,INDEX('큐펫&amp;몹 정리(최신)'!Q:Q,MATCH($E321,'큐펫&amp;몹 정리(최신)'!$B:$B,0))*20,IF($J321=2,INDEX('큐펫&amp;몹 정리(최신)'!Q:Q,MATCH($E321,'큐펫&amp;몹 정리(최신)'!$B:$B,0))*25,IF($J321=3,INDEX('큐펫&amp;몹 정리(최신)'!Q:Q,MATCH($E321,'큐펫&amp;몹 정리(최신)'!$B:$B,0))*30,IF($J321=4,INDEX('큐펫&amp;몹 정리(최신)'!Q:Q,MATCH($E321,'큐펫&amp;몹 정리(최신)'!$B:$B,0))*35,INDEX('큐펫&amp;몹 정리(최신)'!Q:Q,MATCH($E321,'큐펫&amp;몹 정리(최신)'!$B:$B,0))*40))))</f>
        <v>200</v>
      </c>
      <c r="M321" s="190">
        <f>IF($J321=1,INDEX('큐펫&amp;몹 정리(최신)'!R:R,MATCH($E321,'큐펫&amp;몹 정리(최신)'!$B:$B,0))*20,IF($J321=2,INDEX('큐펫&amp;몹 정리(최신)'!R:R,MATCH($E321,'큐펫&amp;몹 정리(최신)'!$B:$B,0))*25,IF($J321=3,INDEX('큐펫&amp;몹 정리(최신)'!R:R,MATCH($E321,'큐펫&amp;몹 정리(최신)'!$B:$B,0))*30,IF($J321=4,INDEX('큐펫&amp;몹 정리(최신)'!R:R,MATCH($E321,'큐펫&amp;몹 정리(최신)'!$B:$B,0))*35,INDEX('큐펫&amp;몹 정리(최신)'!R:R,MATCH($E321,'큐펫&amp;몹 정리(최신)'!$B:$B,0))*40))))</f>
        <v>280</v>
      </c>
      <c r="N321" s="190">
        <f>IF($J321=1,INDEX('큐펫&amp;몹 정리(최신)'!S:S,MATCH($E321,'큐펫&amp;몹 정리(최신)'!$B:$B,0))*20,IF($J321=2,INDEX('큐펫&amp;몹 정리(최신)'!S:S,MATCH($E321,'큐펫&amp;몹 정리(최신)'!$B:$B,0))*25,IF($J321=3,INDEX('큐펫&amp;몹 정리(최신)'!S:S,MATCH($E321,'큐펫&amp;몹 정리(최신)'!$B:$B,0))*30,IF($J321=4,INDEX('큐펫&amp;몹 정리(최신)'!S:S,MATCH($E321,'큐펫&amp;몹 정리(최신)'!$B:$B,0))*35,INDEX('큐펫&amp;몹 정리(최신)'!S:S,MATCH($E321,'큐펫&amp;몹 정리(최신)'!$B:$B,0))*40))))</f>
        <v>720</v>
      </c>
      <c r="O321" s="190">
        <f>IF($J321=1,INDEX('큐펫&amp;몹 정리(최신)'!T:T,MATCH($E321,'큐펫&amp;몹 정리(최신)'!$B:$B,0))*20,IF($J321=2,INDEX('큐펫&amp;몹 정리(최신)'!T:T,MATCH($E321,'큐펫&amp;몹 정리(최신)'!$B:$B,0))*25,IF($J321=3,INDEX('큐펫&amp;몹 정리(최신)'!T:T,MATCH($E321,'큐펫&amp;몹 정리(최신)'!$B:$B,0))*30,IF($J321=4,INDEX('큐펫&amp;몹 정리(최신)'!T:T,MATCH($E321,'큐펫&amp;몹 정리(최신)'!$B:$B,0))*35,INDEX('큐펫&amp;몹 정리(최신)'!T:T,MATCH($E321,'큐펫&amp;몹 정리(최신)'!$B:$B,0))*40))))</f>
        <v>800</v>
      </c>
      <c r="P321" s="217">
        <v>100</v>
      </c>
      <c r="Q321" s="217">
        <f t="shared" si="32"/>
        <v>330000</v>
      </c>
      <c r="R321" s="217">
        <f t="shared" si="33"/>
        <v>2593</v>
      </c>
      <c r="S321" s="217">
        <f t="shared" si="34"/>
        <v>3036</v>
      </c>
      <c r="T321" s="217">
        <f t="shared" si="35"/>
        <v>18152</v>
      </c>
      <c r="U321" s="217">
        <f t="shared" si="36"/>
        <v>57614</v>
      </c>
      <c r="V321" s="217">
        <f t="shared" si="37"/>
        <v>32080</v>
      </c>
      <c r="W321" s="217">
        <f>ROUND(AC321+(INDEX(Ref!B$1:B$9,MATCH($AI321,Ref!$A$1:$A$9,0))*P321*0.0001),)</f>
        <v>35</v>
      </c>
      <c r="X321" s="217">
        <f>ROUND(AD321+(INDEX(Ref!C$1:C$9,MATCH($AI321,Ref!$A$1:$A$9,0))*$P321*0.0001),)</f>
        <v>62</v>
      </c>
      <c r="Y321" s="217">
        <f>ROUND(AE321+(INDEX(Ref!D$1:D$9,MATCH($AI321,Ref!$A$1:$A$9,0))*$P321*0.0001),)</f>
        <v>60</v>
      </c>
      <c r="Z321" s="217">
        <f>ROUND(AF321+(INDEX(Ref!E$1:E$9,MATCH($AI321,Ref!$A$1:$A$9,0))*$P321*0.0001),)</f>
        <v>80</v>
      </c>
      <c r="AA321" s="217">
        <f>ROUND(AG321+(INDEX(Ref!F$1:F$9,MATCH($AI321,Ref!$A$1:$A$9,0))*$P321*0.0001),)</f>
        <v>38</v>
      </c>
      <c r="AB321" s="217">
        <f>ROUND(AH321+(INDEX(Ref!G$1:G$9,MATCH($AI321,Ref!$A$1:$A$9,0))*$P321*0.0001),)</f>
        <v>69</v>
      </c>
      <c r="AC321" s="137">
        <v>24</v>
      </c>
      <c r="AD321" s="137">
        <v>43</v>
      </c>
      <c r="AE321" s="137">
        <v>47</v>
      </c>
      <c r="AF321" s="137">
        <v>56</v>
      </c>
      <c r="AG321" s="137">
        <v>26</v>
      </c>
      <c r="AH321" s="137">
        <v>48</v>
      </c>
      <c r="AI321" s="208">
        <v>6</v>
      </c>
      <c r="AJ321" s="172">
        <v>3000</v>
      </c>
      <c r="AK321" s="172">
        <v>30381</v>
      </c>
      <c r="AL321" s="172">
        <v>2000</v>
      </c>
      <c r="AM321" s="172">
        <v>30384</v>
      </c>
      <c r="AN321" s="172">
        <v>0</v>
      </c>
      <c r="AO321" s="172">
        <f t="shared" si="38"/>
        <v>34381</v>
      </c>
      <c r="AP321" s="172">
        <v>0</v>
      </c>
      <c r="AQ321" s="172">
        <f t="shared" si="39"/>
        <v>34384</v>
      </c>
      <c r="AR321" s="172">
        <v>1</v>
      </c>
      <c r="AS321" s="172">
        <v>0</v>
      </c>
      <c r="AT321" s="199">
        <v>78064</v>
      </c>
      <c r="AU321" s="195" t="s">
        <v>262</v>
      </c>
    </row>
    <row r="322" spans="1:47" x14ac:dyDescent="0.2">
      <c r="A322" s="173">
        <v>55065</v>
      </c>
      <c r="B322" s="174" t="s">
        <v>263</v>
      </c>
      <c r="C322" s="172">
        <v>86065</v>
      </c>
      <c r="D322" s="172">
        <v>150065</v>
      </c>
      <c r="E322" s="206" t="s">
        <v>264</v>
      </c>
      <c r="F322" s="207">
        <v>5</v>
      </c>
      <c r="G322" s="172">
        <v>13000</v>
      </c>
      <c r="H322" s="172">
        <v>9000</v>
      </c>
      <c r="I322" s="172">
        <v>10000</v>
      </c>
      <c r="J322" s="172">
        <v>1</v>
      </c>
      <c r="K322" s="190">
        <f>IF($J322=1,INDEX('큐펫&amp;몹 정리(최신)'!P:P,MATCH($E322,'큐펫&amp;몹 정리(최신)'!$B:$B,0))*20,IF($J322=2,INDEX('큐펫&amp;몹 정리(최신)'!P:P,MATCH($E322,'큐펫&amp;몹 정리(최신)'!$B:$B,0))*25,IF($J322=3,INDEX('큐펫&amp;몹 정리(최신)'!P:P,MATCH($E322,'큐펫&amp;몹 정리(최신)'!$B:$B,0))*30,IF($J322=4,INDEX('큐펫&amp;몹 정리(최신)'!P:P,MATCH($E322,'큐펫&amp;몹 정리(최신)'!$B:$B,0))*35,INDEX('큐펫&amp;몹 정리(최신)'!P:P,MATCH($E322,'큐펫&amp;몹 정리(최신)'!$B:$B,0))*40))))</f>
        <v>900</v>
      </c>
      <c r="L322" s="190">
        <f>IF($J322=1,INDEX('큐펫&amp;몹 정리(최신)'!Q:Q,MATCH($E322,'큐펫&amp;몹 정리(최신)'!$B:$B,0))*20,IF($J322=2,INDEX('큐펫&amp;몹 정리(최신)'!Q:Q,MATCH($E322,'큐펫&amp;몹 정리(최신)'!$B:$B,0))*25,IF($J322=3,INDEX('큐펫&amp;몹 정리(최신)'!Q:Q,MATCH($E322,'큐펫&amp;몹 정리(최신)'!$B:$B,0))*30,IF($J322=4,INDEX('큐펫&amp;몹 정리(최신)'!Q:Q,MATCH($E322,'큐펫&amp;몹 정리(최신)'!$B:$B,0))*35,INDEX('큐펫&amp;몹 정리(최신)'!Q:Q,MATCH($E322,'큐펫&amp;몹 정리(최신)'!$B:$B,0))*40))))</f>
        <v>80</v>
      </c>
      <c r="M322" s="190">
        <f>IF($J322=1,INDEX('큐펫&amp;몹 정리(최신)'!R:R,MATCH($E322,'큐펫&amp;몹 정리(최신)'!$B:$B,0))*20,IF($J322=2,INDEX('큐펫&amp;몹 정리(최신)'!R:R,MATCH($E322,'큐펫&amp;몹 정리(최신)'!$B:$B,0))*25,IF($J322=3,INDEX('큐펫&amp;몹 정리(최신)'!R:R,MATCH($E322,'큐펫&amp;몹 정리(최신)'!$B:$B,0))*30,IF($J322=4,INDEX('큐펫&amp;몹 정리(최신)'!R:R,MATCH($E322,'큐펫&amp;몹 정리(최신)'!$B:$B,0))*35,INDEX('큐펫&amp;몹 정리(최신)'!R:R,MATCH($E322,'큐펫&amp;몹 정리(최신)'!$B:$B,0))*40))))</f>
        <v>100</v>
      </c>
      <c r="N322" s="190">
        <f>IF($J322=1,INDEX('큐펫&amp;몹 정리(최신)'!S:S,MATCH($E322,'큐펫&amp;몹 정리(최신)'!$B:$B,0))*20,IF($J322=2,INDEX('큐펫&amp;몹 정리(최신)'!S:S,MATCH($E322,'큐펫&amp;몹 정리(최신)'!$B:$B,0))*25,IF($J322=3,INDEX('큐펫&amp;몹 정리(최신)'!S:S,MATCH($E322,'큐펫&amp;몹 정리(최신)'!$B:$B,0))*30,IF($J322=4,INDEX('큐펫&amp;몹 정리(최신)'!S:S,MATCH($E322,'큐펫&amp;몹 정리(최신)'!$B:$B,0))*35,INDEX('큐펫&amp;몹 정리(최신)'!S:S,MATCH($E322,'큐펫&amp;몹 정리(최신)'!$B:$B,0))*40))))</f>
        <v>420</v>
      </c>
      <c r="O322" s="190">
        <f>IF($J322=1,INDEX('큐펫&amp;몹 정리(최신)'!T:T,MATCH($E322,'큐펫&amp;몹 정리(최신)'!$B:$B,0))*20,IF($J322=2,INDEX('큐펫&amp;몹 정리(최신)'!T:T,MATCH($E322,'큐펫&amp;몹 정리(최신)'!$B:$B,0))*25,IF($J322=3,INDEX('큐펫&amp;몹 정리(최신)'!T:T,MATCH($E322,'큐펫&amp;몹 정리(최신)'!$B:$B,0))*30,IF($J322=4,INDEX('큐펫&amp;몹 정리(최신)'!T:T,MATCH($E322,'큐펫&amp;몹 정리(최신)'!$B:$B,0))*35,INDEX('큐펫&amp;몹 정리(최신)'!T:T,MATCH($E322,'큐펫&amp;몹 정리(최신)'!$B:$B,0))*40))))</f>
        <v>500</v>
      </c>
      <c r="P322" s="217">
        <v>20</v>
      </c>
      <c r="Q322" s="217">
        <f t="shared" si="32"/>
        <v>29520</v>
      </c>
      <c r="R322" s="217">
        <f t="shared" si="33"/>
        <v>287</v>
      </c>
      <c r="S322" s="217">
        <f t="shared" si="34"/>
        <v>348</v>
      </c>
      <c r="T322" s="217">
        <f t="shared" si="35"/>
        <v>1784</v>
      </c>
      <c r="U322" s="217">
        <f t="shared" si="36"/>
        <v>12397</v>
      </c>
      <c r="V322" s="217">
        <f t="shared" si="37"/>
        <v>7416</v>
      </c>
      <c r="W322" s="217">
        <f>ROUND(AC322+(INDEX(Ref!B$1:B$9,MATCH($AI322,Ref!$A$1:$A$9,0))*P322*0.0001),)</f>
        <v>17</v>
      </c>
      <c r="X322" s="217">
        <f>ROUND(AD322+(INDEX(Ref!C$1:C$9,MATCH($AI322,Ref!$A$1:$A$9,0))*$P322*0.0001),)</f>
        <v>32</v>
      </c>
      <c r="Y322" s="217">
        <f>ROUND(AE322+(INDEX(Ref!D$1:D$9,MATCH($AI322,Ref!$A$1:$A$9,0))*$P322*0.0001),)</f>
        <v>39</v>
      </c>
      <c r="Z322" s="217">
        <f>ROUND(AF322+(INDEX(Ref!E$1:E$9,MATCH($AI322,Ref!$A$1:$A$9,0))*$P322*0.0001),)</f>
        <v>41</v>
      </c>
      <c r="AA322" s="217">
        <f>ROUND(AG322+(INDEX(Ref!F$1:F$9,MATCH($AI322,Ref!$A$1:$A$9,0))*$P322*0.0001),)</f>
        <v>19</v>
      </c>
      <c r="AB322" s="217">
        <f>ROUND(AH322+(INDEX(Ref!G$1:G$9,MATCH($AI322,Ref!$A$1:$A$9,0))*$P322*0.0001),)</f>
        <v>36</v>
      </c>
      <c r="AC322" s="137">
        <v>15</v>
      </c>
      <c r="AD322" s="137">
        <v>28</v>
      </c>
      <c r="AE322" s="137">
        <v>36</v>
      </c>
      <c r="AF322" s="137">
        <v>36</v>
      </c>
      <c r="AG322" s="137">
        <v>17</v>
      </c>
      <c r="AH322" s="137">
        <v>32</v>
      </c>
      <c r="AI322" s="208">
        <v>6</v>
      </c>
      <c r="AJ322" s="172">
        <v>3000</v>
      </c>
      <c r="AK322" s="172">
        <v>30385</v>
      </c>
      <c r="AL322" s="172">
        <v>2000</v>
      </c>
      <c r="AM322" s="172">
        <v>30388</v>
      </c>
      <c r="AN322" s="172">
        <v>0</v>
      </c>
      <c r="AO322" s="172">
        <f t="shared" si="38"/>
        <v>34385</v>
      </c>
      <c r="AP322" s="172">
        <v>0</v>
      </c>
      <c r="AQ322" s="172">
        <f t="shared" si="39"/>
        <v>34388</v>
      </c>
      <c r="AR322" s="172">
        <v>1</v>
      </c>
      <c r="AS322" s="172">
        <v>0</v>
      </c>
      <c r="AT322" s="199">
        <v>78065</v>
      </c>
      <c r="AU322" s="195" t="s">
        <v>265</v>
      </c>
    </row>
    <row r="323" spans="1:47" x14ac:dyDescent="0.2">
      <c r="A323" s="173">
        <v>55065</v>
      </c>
      <c r="B323" s="174" t="s">
        <v>263</v>
      </c>
      <c r="C323" s="172">
        <v>86065</v>
      </c>
      <c r="D323" s="172">
        <v>150065</v>
      </c>
      <c r="E323" s="206" t="s">
        <v>264</v>
      </c>
      <c r="F323" s="207">
        <v>5</v>
      </c>
      <c r="G323" s="172">
        <v>13000</v>
      </c>
      <c r="H323" s="172">
        <v>9000</v>
      </c>
      <c r="I323" s="172">
        <v>10000</v>
      </c>
      <c r="J323" s="172">
        <v>2</v>
      </c>
      <c r="K323" s="190">
        <f>IF($J323=1,INDEX('큐펫&amp;몹 정리(최신)'!P:P,MATCH($E323,'큐펫&amp;몹 정리(최신)'!$B:$B,0))*20,IF($J323=2,INDEX('큐펫&amp;몹 정리(최신)'!P:P,MATCH($E323,'큐펫&amp;몹 정리(최신)'!$B:$B,0))*25,IF($J323=3,INDEX('큐펫&amp;몹 정리(최신)'!P:P,MATCH($E323,'큐펫&amp;몹 정리(최신)'!$B:$B,0))*30,IF($J323=4,INDEX('큐펫&amp;몹 정리(최신)'!P:P,MATCH($E323,'큐펫&amp;몹 정리(최신)'!$B:$B,0))*35,INDEX('큐펫&amp;몹 정리(최신)'!P:P,MATCH($E323,'큐펫&amp;몹 정리(최신)'!$B:$B,0))*40))))</f>
        <v>1125</v>
      </c>
      <c r="L323" s="190">
        <f>IF($J323=1,INDEX('큐펫&amp;몹 정리(최신)'!Q:Q,MATCH($E323,'큐펫&amp;몹 정리(최신)'!$B:$B,0))*20,IF($J323=2,INDEX('큐펫&amp;몹 정리(최신)'!Q:Q,MATCH($E323,'큐펫&amp;몹 정리(최신)'!$B:$B,0))*25,IF($J323=3,INDEX('큐펫&amp;몹 정리(최신)'!Q:Q,MATCH($E323,'큐펫&amp;몹 정리(최신)'!$B:$B,0))*30,IF($J323=4,INDEX('큐펫&amp;몹 정리(최신)'!Q:Q,MATCH($E323,'큐펫&amp;몹 정리(최신)'!$B:$B,0))*35,INDEX('큐펫&amp;몹 정리(최신)'!Q:Q,MATCH($E323,'큐펫&amp;몹 정리(최신)'!$B:$B,0))*40))))</f>
        <v>100</v>
      </c>
      <c r="M323" s="190">
        <f>IF($J323=1,INDEX('큐펫&amp;몹 정리(최신)'!R:R,MATCH($E323,'큐펫&amp;몹 정리(최신)'!$B:$B,0))*20,IF($J323=2,INDEX('큐펫&amp;몹 정리(최신)'!R:R,MATCH($E323,'큐펫&amp;몹 정리(최신)'!$B:$B,0))*25,IF($J323=3,INDEX('큐펫&amp;몹 정리(최신)'!R:R,MATCH($E323,'큐펫&amp;몹 정리(최신)'!$B:$B,0))*30,IF($J323=4,INDEX('큐펫&amp;몹 정리(최신)'!R:R,MATCH($E323,'큐펫&amp;몹 정리(최신)'!$B:$B,0))*35,INDEX('큐펫&amp;몹 정리(최신)'!R:R,MATCH($E323,'큐펫&amp;몹 정리(최신)'!$B:$B,0))*40))))</f>
        <v>125</v>
      </c>
      <c r="N323" s="190">
        <f>IF($J323=1,INDEX('큐펫&amp;몹 정리(최신)'!S:S,MATCH($E323,'큐펫&amp;몹 정리(최신)'!$B:$B,0))*20,IF($J323=2,INDEX('큐펫&amp;몹 정리(최신)'!S:S,MATCH($E323,'큐펫&amp;몹 정리(최신)'!$B:$B,0))*25,IF($J323=3,INDEX('큐펫&amp;몹 정리(최신)'!S:S,MATCH($E323,'큐펫&amp;몹 정리(최신)'!$B:$B,0))*30,IF($J323=4,INDEX('큐펫&amp;몹 정리(최신)'!S:S,MATCH($E323,'큐펫&amp;몹 정리(최신)'!$B:$B,0))*35,INDEX('큐펫&amp;몹 정리(최신)'!S:S,MATCH($E323,'큐펫&amp;몹 정리(최신)'!$B:$B,0))*40))))</f>
        <v>525</v>
      </c>
      <c r="O323" s="190">
        <f>IF($J323=1,INDEX('큐펫&amp;몹 정리(최신)'!T:T,MATCH($E323,'큐펫&amp;몹 정리(최신)'!$B:$B,0))*20,IF($J323=2,INDEX('큐펫&amp;몹 정리(최신)'!T:T,MATCH($E323,'큐펫&amp;몹 정리(최신)'!$B:$B,0))*25,IF($J323=3,INDEX('큐펫&amp;몹 정리(최신)'!T:T,MATCH($E323,'큐펫&amp;몹 정리(최신)'!$B:$B,0))*30,IF($J323=4,INDEX('큐펫&amp;몹 정리(최신)'!T:T,MATCH($E323,'큐펫&amp;몹 정리(최신)'!$B:$B,0))*35,INDEX('큐펫&amp;몹 정리(최신)'!T:T,MATCH($E323,'큐펫&amp;몹 정리(최신)'!$B:$B,0))*40))))</f>
        <v>625</v>
      </c>
      <c r="P323" s="217">
        <v>40</v>
      </c>
      <c r="Q323" s="217">
        <f t="shared" ref="Q323:Q386" si="40">ROUNDDOWN((100*QUOTIENT(K323,20))+((P323*K323)*(1+(Y323/100))),)</f>
        <v>70400</v>
      </c>
      <c r="R323" s="217">
        <f t="shared" ref="R323:R386" si="41">ROUNDDOWN((((W323*W323)*L323)/100)+(W323*2)+(AA323/4)+(AB323/5)+(P323/2),)</f>
        <v>517</v>
      </c>
      <c r="S323" s="217">
        <f t="shared" ref="S323:S386" si="42">ROUNDDOWN((((AA323*AA323)*L323)/100)+(AA323*2)+(W323/4)+(AB323/5)+(P323/2),)</f>
        <v>658</v>
      </c>
      <c r="T323" s="217">
        <f t="shared" ref="T323:T386" si="43">ROUNDDOWN((((((Z323*Z323)*M323)/100+(Z323*2))+(AB323/4))+(AA323/8))+(P323/2),)</f>
        <v>3387</v>
      </c>
      <c r="U323" s="217">
        <f t="shared" ref="U323:U386" si="44">ROUNDDOWN(((Y323+P323)*N323)/2,)+ROUNDDOWN(W323/4,)+ROUNDDOWN(X323/10,)</f>
        <v>22059</v>
      </c>
      <c r="V323" s="217">
        <f t="shared" ref="V323:V386" si="45">ROUNDDOWN(((Y323+P323)*O323)/4,)+Z323</f>
        <v>13176</v>
      </c>
      <c r="W323" s="217">
        <f>ROUND(AC323+(INDEX(Ref!B$1:B$9,MATCH($AI323,Ref!$A$1:$A$9,0))*P323*0.0001),)</f>
        <v>21</v>
      </c>
      <c r="X323" s="217">
        <f>ROUND(AD323+(INDEX(Ref!C$1:C$9,MATCH($AI323,Ref!$A$1:$A$9,0))*$P323*0.0001),)</f>
        <v>40</v>
      </c>
      <c r="Y323" s="217">
        <f>ROUND(AE323+(INDEX(Ref!D$1:D$9,MATCH($AI323,Ref!$A$1:$A$9,0))*$P323*0.0001),)</f>
        <v>44</v>
      </c>
      <c r="Z323" s="217">
        <f>ROUND(AF323+(INDEX(Ref!E$1:E$9,MATCH($AI323,Ref!$A$1:$A$9,0))*$P323*0.0001),)</f>
        <v>51</v>
      </c>
      <c r="AA323" s="217">
        <f>ROUND(AG323+(INDEX(Ref!F$1:F$9,MATCH($AI323,Ref!$A$1:$A$9,0))*$P323*0.0001),)</f>
        <v>24</v>
      </c>
      <c r="AB323" s="217">
        <f>ROUND(AH323+(INDEX(Ref!G$1:G$9,MATCH($AI323,Ref!$A$1:$A$9,0))*$P323*0.0001),)</f>
        <v>44</v>
      </c>
      <c r="AC323" s="137">
        <v>17</v>
      </c>
      <c r="AD323" s="137">
        <v>32</v>
      </c>
      <c r="AE323" s="137">
        <v>39</v>
      </c>
      <c r="AF323" s="137">
        <v>41</v>
      </c>
      <c r="AG323" s="137">
        <v>19</v>
      </c>
      <c r="AH323" s="137">
        <v>36</v>
      </c>
      <c r="AI323" s="208">
        <v>6</v>
      </c>
      <c r="AJ323" s="172">
        <v>3000</v>
      </c>
      <c r="AK323" s="172">
        <v>30386</v>
      </c>
      <c r="AL323" s="172">
        <v>2000</v>
      </c>
      <c r="AM323" s="172">
        <v>30388</v>
      </c>
      <c r="AN323" s="172">
        <v>0</v>
      </c>
      <c r="AO323" s="172">
        <f t="shared" si="38"/>
        <v>34386</v>
      </c>
      <c r="AP323" s="172">
        <v>0</v>
      </c>
      <c r="AQ323" s="172">
        <f t="shared" si="39"/>
        <v>34388</v>
      </c>
      <c r="AR323" s="172">
        <v>1</v>
      </c>
      <c r="AS323" s="172">
        <v>0</v>
      </c>
      <c r="AT323" s="199">
        <v>78065</v>
      </c>
      <c r="AU323" s="195" t="s">
        <v>265</v>
      </c>
    </row>
    <row r="324" spans="1:47" x14ac:dyDescent="0.2">
      <c r="A324" s="173">
        <v>55065</v>
      </c>
      <c r="B324" s="174" t="s">
        <v>263</v>
      </c>
      <c r="C324" s="172">
        <v>86065</v>
      </c>
      <c r="D324" s="172">
        <v>150065</v>
      </c>
      <c r="E324" s="206" t="s">
        <v>264</v>
      </c>
      <c r="F324" s="207">
        <v>5</v>
      </c>
      <c r="G324" s="172">
        <v>13000</v>
      </c>
      <c r="H324" s="172">
        <v>9000</v>
      </c>
      <c r="I324" s="172">
        <v>10000</v>
      </c>
      <c r="J324" s="172">
        <v>3</v>
      </c>
      <c r="K324" s="190">
        <f>IF($J324=1,INDEX('큐펫&amp;몹 정리(최신)'!P:P,MATCH($E324,'큐펫&amp;몹 정리(최신)'!$B:$B,0))*20,IF($J324=2,INDEX('큐펫&amp;몹 정리(최신)'!P:P,MATCH($E324,'큐펫&amp;몹 정리(최신)'!$B:$B,0))*25,IF($J324=3,INDEX('큐펫&amp;몹 정리(최신)'!P:P,MATCH($E324,'큐펫&amp;몹 정리(최신)'!$B:$B,0))*30,IF($J324=4,INDEX('큐펫&amp;몹 정리(최신)'!P:P,MATCH($E324,'큐펫&amp;몹 정리(최신)'!$B:$B,0))*35,INDEX('큐펫&amp;몹 정리(최신)'!P:P,MATCH($E324,'큐펫&amp;몹 정리(최신)'!$B:$B,0))*40))))</f>
        <v>1350</v>
      </c>
      <c r="L324" s="190">
        <f>IF($J324=1,INDEX('큐펫&amp;몹 정리(최신)'!Q:Q,MATCH($E324,'큐펫&amp;몹 정리(최신)'!$B:$B,0))*20,IF($J324=2,INDEX('큐펫&amp;몹 정리(최신)'!Q:Q,MATCH($E324,'큐펫&amp;몹 정리(최신)'!$B:$B,0))*25,IF($J324=3,INDEX('큐펫&amp;몹 정리(최신)'!Q:Q,MATCH($E324,'큐펫&amp;몹 정리(최신)'!$B:$B,0))*30,IF($J324=4,INDEX('큐펫&amp;몹 정리(최신)'!Q:Q,MATCH($E324,'큐펫&amp;몹 정리(최신)'!$B:$B,0))*35,INDEX('큐펫&amp;몹 정리(최신)'!Q:Q,MATCH($E324,'큐펫&amp;몹 정리(최신)'!$B:$B,0))*40))))</f>
        <v>120</v>
      </c>
      <c r="M324" s="190">
        <f>IF($J324=1,INDEX('큐펫&amp;몹 정리(최신)'!R:R,MATCH($E324,'큐펫&amp;몹 정리(최신)'!$B:$B,0))*20,IF($J324=2,INDEX('큐펫&amp;몹 정리(최신)'!R:R,MATCH($E324,'큐펫&amp;몹 정리(최신)'!$B:$B,0))*25,IF($J324=3,INDEX('큐펫&amp;몹 정리(최신)'!R:R,MATCH($E324,'큐펫&amp;몹 정리(최신)'!$B:$B,0))*30,IF($J324=4,INDEX('큐펫&amp;몹 정리(최신)'!R:R,MATCH($E324,'큐펫&amp;몹 정리(최신)'!$B:$B,0))*35,INDEX('큐펫&amp;몹 정리(최신)'!R:R,MATCH($E324,'큐펫&amp;몹 정리(최신)'!$B:$B,0))*40))))</f>
        <v>150</v>
      </c>
      <c r="N324" s="190">
        <f>IF($J324=1,INDEX('큐펫&amp;몹 정리(최신)'!S:S,MATCH($E324,'큐펫&amp;몹 정리(최신)'!$B:$B,0))*20,IF($J324=2,INDEX('큐펫&amp;몹 정리(최신)'!S:S,MATCH($E324,'큐펫&amp;몹 정리(최신)'!$B:$B,0))*25,IF($J324=3,INDEX('큐펫&amp;몹 정리(최신)'!S:S,MATCH($E324,'큐펫&amp;몹 정리(최신)'!$B:$B,0))*30,IF($J324=4,INDEX('큐펫&amp;몹 정리(최신)'!S:S,MATCH($E324,'큐펫&amp;몹 정리(최신)'!$B:$B,0))*35,INDEX('큐펫&amp;몹 정리(최신)'!S:S,MATCH($E324,'큐펫&amp;몹 정리(최신)'!$B:$B,0))*40))))</f>
        <v>630</v>
      </c>
      <c r="O324" s="190">
        <f>IF($J324=1,INDEX('큐펫&amp;몹 정리(최신)'!T:T,MATCH($E324,'큐펫&amp;몹 정리(최신)'!$B:$B,0))*20,IF($J324=2,INDEX('큐펫&amp;몹 정리(최신)'!T:T,MATCH($E324,'큐펫&amp;몹 정리(최신)'!$B:$B,0))*25,IF($J324=3,INDEX('큐펫&amp;몹 정리(최신)'!T:T,MATCH($E324,'큐펫&amp;몹 정리(최신)'!$B:$B,0))*30,IF($J324=4,INDEX('큐펫&amp;몹 정리(최신)'!T:T,MATCH($E324,'큐펫&amp;몹 정리(최신)'!$B:$B,0))*35,INDEX('큐펫&amp;몹 정리(최신)'!T:T,MATCH($E324,'큐펫&amp;몹 정리(최신)'!$B:$B,0))*40))))</f>
        <v>750</v>
      </c>
      <c r="P324" s="217">
        <v>60</v>
      </c>
      <c r="Q324" s="217">
        <f t="shared" si="40"/>
        <v>128200</v>
      </c>
      <c r="R324" s="217">
        <f t="shared" si="41"/>
        <v>910</v>
      </c>
      <c r="S324" s="217">
        <f t="shared" si="42"/>
        <v>1043</v>
      </c>
      <c r="T324" s="217">
        <f t="shared" si="43"/>
        <v>5566</v>
      </c>
      <c r="U324" s="217">
        <f t="shared" si="44"/>
        <v>34660</v>
      </c>
      <c r="V324" s="217">
        <f t="shared" si="45"/>
        <v>20685</v>
      </c>
      <c r="W324" s="217">
        <f>ROUND(AC324+(INDEX(Ref!B$1:B$9,MATCH($AI324,Ref!$A$1:$A$9,0))*P324*0.0001),)</f>
        <v>26</v>
      </c>
      <c r="X324" s="217">
        <f>ROUND(AD324+(INDEX(Ref!C$1:C$9,MATCH($AI324,Ref!$A$1:$A$9,0))*$P324*0.0001),)</f>
        <v>47</v>
      </c>
      <c r="Y324" s="217">
        <f>ROUND(AE324+(INDEX(Ref!D$1:D$9,MATCH($AI324,Ref!$A$1:$A$9,0))*$P324*0.0001),)</f>
        <v>50</v>
      </c>
      <c r="Z324" s="217">
        <f>ROUND(AF324+(INDEX(Ref!E$1:E$9,MATCH($AI324,Ref!$A$1:$A$9,0))*$P324*0.0001),)</f>
        <v>60</v>
      </c>
      <c r="AA324" s="217">
        <f>ROUND(AG324+(INDEX(Ref!F$1:F$9,MATCH($AI324,Ref!$A$1:$A$9,0))*$P324*0.0001),)</f>
        <v>28</v>
      </c>
      <c r="AB324" s="217">
        <f>ROUND(AH324+(INDEX(Ref!G$1:G$9,MATCH($AI324,Ref!$A$1:$A$9,0))*$P324*0.0001),)</f>
        <v>53</v>
      </c>
      <c r="AC324" s="137">
        <v>19</v>
      </c>
      <c r="AD324" s="137">
        <v>36</v>
      </c>
      <c r="AE324" s="137">
        <v>42</v>
      </c>
      <c r="AF324" s="137">
        <v>46</v>
      </c>
      <c r="AG324" s="137">
        <v>21</v>
      </c>
      <c r="AH324" s="137">
        <v>40</v>
      </c>
      <c r="AI324" s="208">
        <v>6</v>
      </c>
      <c r="AJ324" s="172">
        <v>3000</v>
      </c>
      <c r="AK324" s="172">
        <v>30386</v>
      </c>
      <c r="AL324" s="172">
        <v>2000</v>
      </c>
      <c r="AM324" s="172">
        <v>30389</v>
      </c>
      <c r="AN324" s="172">
        <v>0</v>
      </c>
      <c r="AO324" s="172">
        <f t="shared" si="38"/>
        <v>34386</v>
      </c>
      <c r="AP324" s="172">
        <v>0</v>
      </c>
      <c r="AQ324" s="172">
        <f t="shared" si="39"/>
        <v>34389</v>
      </c>
      <c r="AR324" s="172">
        <v>1</v>
      </c>
      <c r="AS324" s="172">
        <v>0</v>
      </c>
      <c r="AT324" s="199">
        <v>78065</v>
      </c>
      <c r="AU324" s="195" t="s">
        <v>265</v>
      </c>
    </row>
    <row r="325" spans="1:47" x14ac:dyDescent="0.2">
      <c r="A325" s="173">
        <v>55065</v>
      </c>
      <c r="B325" s="174" t="s">
        <v>263</v>
      </c>
      <c r="C325" s="172">
        <v>86065</v>
      </c>
      <c r="D325" s="172">
        <v>150065</v>
      </c>
      <c r="E325" s="206" t="s">
        <v>264</v>
      </c>
      <c r="F325" s="207">
        <v>5</v>
      </c>
      <c r="G325" s="172">
        <v>13000</v>
      </c>
      <c r="H325" s="172">
        <v>9000</v>
      </c>
      <c r="I325" s="172">
        <v>10000</v>
      </c>
      <c r="J325" s="172">
        <v>4</v>
      </c>
      <c r="K325" s="190">
        <f>IF($J325=1,INDEX('큐펫&amp;몹 정리(최신)'!P:P,MATCH($E325,'큐펫&amp;몹 정리(최신)'!$B:$B,0))*20,IF($J325=2,INDEX('큐펫&amp;몹 정리(최신)'!P:P,MATCH($E325,'큐펫&amp;몹 정리(최신)'!$B:$B,0))*25,IF($J325=3,INDEX('큐펫&amp;몹 정리(최신)'!P:P,MATCH($E325,'큐펫&amp;몹 정리(최신)'!$B:$B,0))*30,IF($J325=4,INDEX('큐펫&amp;몹 정리(최신)'!P:P,MATCH($E325,'큐펫&amp;몹 정리(최신)'!$B:$B,0))*35,INDEX('큐펫&amp;몹 정리(최신)'!P:P,MATCH($E325,'큐펫&amp;몹 정리(최신)'!$B:$B,0))*40))))</f>
        <v>1575</v>
      </c>
      <c r="L325" s="190">
        <f>IF($J325=1,INDEX('큐펫&amp;몹 정리(최신)'!Q:Q,MATCH($E325,'큐펫&amp;몹 정리(최신)'!$B:$B,0))*20,IF($J325=2,INDEX('큐펫&amp;몹 정리(최신)'!Q:Q,MATCH($E325,'큐펫&amp;몹 정리(최신)'!$B:$B,0))*25,IF($J325=3,INDEX('큐펫&amp;몹 정리(최신)'!Q:Q,MATCH($E325,'큐펫&amp;몹 정리(최신)'!$B:$B,0))*30,IF($J325=4,INDEX('큐펫&amp;몹 정리(최신)'!Q:Q,MATCH($E325,'큐펫&amp;몹 정리(최신)'!$B:$B,0))*35,INDEX('큐펫&amp;몹 정리(최신)'!Q:Q,MATCH($E325,'큐펫&amp;몹 정리(최신)'!$B:$B,0))*40))))</f>
        <v>140</v>
      </c>
      <c r="M325" s="190">
        <f>IF($J325=1,INDEX('큐펫&amp;몹 정리(최신)'!R:R,MATCH($E325,'큐펫&amp;몹 정리(최신)'!$B:$B,0))*20,IF($J325=2,INDEX('큐펫&amp;몹 정리(최신)'!R:R,MATCH($E325,'큐펫&amp;몹 정리(최신)'!$B:$B,0))*25,IF($J325=3,INDEX('큐펫&amp;몹 정리(최신)'!R:R,MATCH($E325,'큐펫&amp;몹 정리(최신)'!$B:$B,0))*30,IF($J325=4,INDEX('큐펫&amp;몹 정리(최신)'!R:R,MATCH($E325,'큐펫&amp;몹 정리(최신)'!$B:$B,0))*35,INDEX('큐펫&amp;몹 정리(최신)'!R:R,MATCH($E325,'큐펫&amp;몹 정리(최신)'!$B:$B,0))*40))))</f>
        <v>175</v>
      </c>
      <c r="N325" s="190">
        <f>IF($J325=1,INDEX('큐펫&amp;몹 정리(최신)'!S:S,MATCH($E325,'큐펫&amp;몹 정리(최신)'!$B:$B,0))*20,IF($J325=2,INDEX('큐펫&amp;몹 정리(최신)'!S:S,MATCH($E325,'큐펫&amp;몹 정리(최신)'!$B:$B,0))*25,IF($J325=3,INDEX('큐펫&amp;몹 정리(최신)'!S:S,MATCH($E325,'큐펫&amp;몹 정리(최신)'!$B:$B,0))*30,IF($J325=4,INDEX('큐펫&amp;몹 정리(최신)'!S:S,MATCH($E325,'큐펫&amp;몹 정리(최신)'!$B:$B,0))*35,INDEX('큐펫&amp;몹 정리(최신)'!S:S,MATCH($E325,'큐펫&amp;몹 정리(최신)'!$B:$B,0))*40))))</f>
        <v>735</v>
      </c>
      <c r="O325" s="190">
        <f>IF($J325=1,INDEX('큐펫&amp;몹 정리(최신)'!T:T,MATCH($E325,'큐펫&amp;몹 정리(최신)'!$B:$B,0))*20,IF($J325=2,INDEX('큐펫&amp;몹 정리(최신)'!T:T,MATCH($E325,'큐펫&amp;몹 정리(최신)'!$B:$B,0))*25,IF($J325=3,INDEX('큐펫&amp;몹 정리(최신)'!T:T,MATCH($E325,'큐펫&amp;몹 정리(최신)'!$B:$B,0))*30,IF($J325=4,INDEX('큐펫&amp;몹 정리(최신)'!T:T,MATCH($E325,'큐펫&amp;몹 정리(최신)'!$B:$B,0))*35,INDEX('큐펫&amp;몹 정리(최신)'!T:T,MATCH($E325,'큐펫&amp;몹 정리(최신)'!$B:$B,0))*40))))</f>
        <v>875</v>
      </c>
      <c r="P325" s="217">
        <v>80</v>
      </c>
      <c r="Q325" s="217">
        <f t="shared" si="40"/>
        <v>201840</v>
      </c>
      <c r="R325" s="217">
        <f t="shared" si="41"/>
        <v>1468</v>
      </c>
      <c r="S325" s="217">
        <f t="shared" si="42"/>
        <v>1746</v>
      </c>
      <c r="T325" s="217">
        <f t="shared" si="43"/>
        <v>8774</v>
      </c>
      <c r="U325" s="217">
        <f t="shared" si="44"/>
        <v>49257</v>
      </c>
      <c r="V325" s="217">
        <f t="shared" si="45"/>
        <v>29382</v>
      </c>
      <c r="W325" s="217">
        <f>ROUND(AC325+(INDEX(Ref!B$1:B$9,MATCH($AI325,Ref!$A$1:$A$9,0))*P325*0.0001),)</f>
        <v>31</v>
      </c>
      <c r="X325" s="217">
        <f>ROUND(AD325+(INDEX(Ref!C$1:C$9,MATCH($AI325,Ref!$A$1:$A$9,0))*$P325*0.0001),)</f>
        <v>54</v>
      </c>
      <c r="Y325" s="217">
        <f>ROUND(AE325+(INDEX(Ref!D$1:D$9,MATCH($AI325,Ref!$A$1:$A$9,0))*$P325*0.0001),)</f>
        <v>54</v>
      </c>
      <c r="Z325" s="217">
        <f>ROUND(AF325+(INDEX(Ref!E$1:E$9,MATCH($AI325,Ref!$A$1:$A$9,0))*$P325*0.0001),)</f>
        <v>70</v>
      </c>
      <c r="AA325" s="217">
        <f>ROUND(AG325+(INDEX(Ref!F$1:F$9,MATCH($AI325,Ref!$A$1:$A$9,0))*$P325*0.0001),)</f>
        <v>34</v>
      </c>
      <c r="AB325" s="217">
        <f>ROUND(AH325+(INDEX(Ref!G$1:G$9,MATCH($AI325,Ref!$A$1:$A$9,0))*$P325*0.0001),)</f>
        <v>61</v>
      </c>
      <c r="AC325" s="137">
        <v>22</v>
      </c>
      <c r="AD325" s="137">
        <v>39</v>
      </c>
      <c r="AE325" s="137">
        <v>44</v>
      </c>
      <c r="AF325" s="137">
        <v>51</v>
      </c>
      <c r="AG325" s="137">
        <v>24</v>
      </c>
      <c r="AH325" s="137">
        <v>44</v>
      </c>
      <c r="AI325" s="208">
        <v>6</v>
      </c>
      <c r="AJ325" s="172">
        <v>3000</v>
      </c>
      <c r="AK325" s="172">
        <v>30387</v>
      </c>
      <c r="AL325" s="172">
        <v>2000</v>
      </c>
      <c r="AM325" s="172">
        <v>30389</v>
      </c>
      <c r="AN325" s="172">
        <v>0</v>
      </c>
      <c r="AO325" s="172">
        <f t="shared" si="38"/>
        <v>34387</v>
      </c>
      <c r="AP325" s="172">
        <v>0</v>
      </c>
      <c r="AQ325" s="172">
        <f t="shared" si="39"/>
        <v>34389</v>
      </c>
      <c r="AR325" s="172">
        <v>1</v>
      </c>
      <c r="AS325" s="172">
        <v>0</v>
      </c>
      <c r="AT325" s="199">
        <v>78065</v>
      </c>
      <c r="AU325" s="195" t="s">
        <v>265</v>
      </c>
    </row>
    <row r="326" spans="1:47" x14ac:dyDescent="0.2">
      <c r="A326" s="173">
        <v>55065</v>
      </c>
      <c r="B326" s="174" t="s">
        <v>263</v>
      </c>
      <c r="C326" s="172">
        <v>86065</v>
      </c>
      <c r="D326" s="172">
        <v>150065</v>
      </c>
      <c r="E326" s="206" t="s">
        <v>264</v>
      </c>
      <c r="F326" s="207">
        <v>5</v>
      </c>
      <c r="G326" s="172">
        <v>13000</v>
      </c>
      <c r="H326" s="172">
        <v>9000</v>
      </c>
      <c r="I326" s="172">
        <v>10000</v>
      </c>
      <c r="J326" s="172">
        <v>5</v>
      </c>
      <c r="K326" s="190">
        <f>IF($J326=1,INDEX('큐펫&amp;몹 정리(최신)'!P:P,MATCH($E326,'큐펫&amp;몹 정리(최신)'!$B:$B,0))*20,IF($J326=2,INDEX('큐펫&amp;몹 정리(최신)'!P:P,MATCH($E326,'큐펫&amp;몹 정리(최신)'!$B:$B,0))*25,IF($J326=3,INDEX('큐펫&amp;몹 정리(최신)'!P:P,MATCH($E326,'큐펫&amp;몹 정리(최신)'!$B:$B,0))*30,IF($J326=4,INDEX('큐펫&amp;몹 정리(최신)'!P:P,MATCH($E326,'큐펫&amp;몹 정리(최신)'!$B:$B,0))*35,INDEX('큐펫&amp;몹 정리(최신)'!P:P,MATCH($E326,'큐펫&amp;몹 정리(최신)'!$B:$B,0))*40))))</f>
        <v>1800</v>
      </c>
      <c r="L326" s="190">
        <f>IF($J326=1,INDEX('큐펫&amp;몹 정리(최신)'!Q:Q,MATCH($E326,'큐펫&amp;몹 정리(최신)'!$B:$B,0))*20,IF($J326=2,INDEX('큐펫&amp;몹 정리(최신)'!Q:Q,MATCH($E326,'큐펫&amp;몹 정리(최신)'!$B:$B,0))*25,IF($J326=3,INDEX('큐펫&amp;몹 정리(최신)'!Q:Q,MATCH($E326,'큐펫&amp;몹 정리(최신)'!$B:$B,0))*30,IF($J326=4,INDEX('큐펫&amp;몹 정리(최신)'!Q:Q,MATCH($E326,'큐펫&amp;몹 정리(최신)'!$B:$B,0))*35,INDEX('큐펫&amp;몹 정리(최신)'!Q:Q,MATCH($E326,'큐펫&amp;몹 정리(최신)'!$B:$B,0))*40))))</f>
        <v>160</v>
      </c>
      <c r="M326" s="190">
        <f>IF($J326=1,INDEX('큐펫&amp;몹 정리(최신)'!R:R,MATCH($E326,'큐펫&amp;몹 정리(최신)'!$B:$B,0))*20,IF($J326=2,INDEX('큐펫&amp;몹 정리(최신)'!R:R,MATCH($E326,'큐펫&amp;몹 정리(최신)'!$B:$B,0))*25,IF($J326=3,INDEX('큐펫&amp;몹 정리(최신)'!R:R,MATCH($E326,'큐펫&amp;몹 정리(최신)'!$B:$B,0))*30,IF($J326=4,INDEX('큐펫&amp;몹 정리(최신)'!R:R,MATCH($E326,'큐펫&amp;몹 정리(최신)'!$B:$B,0))*35,INDEX('큐펫&amp;몹 정리(최신)'!R:R,MATCH($E326,'큐펫&amp;몹 정리(최신)'!$B:$B,0))*40))))</f>
        <v>200</v>
      </c>
      <c r="N326" s="190">
        <f>IF($J326=1,INDEX('큐펫&amp;몹 정리(최신)'!S:S,MATCH($E326,'큐펫&amp;몹 정리(최신)'!$B:$B,0))*20,IF($J326=2,INDEX('큐펫&amp;몹 정리(최신)'!S:S,MATCH($E326,'큐펫&amp;몹 정리(최신)'!$B:$B,0))*25,IF($J326=3,INDEX('큐펫&amp;몹 정리(최신)'!S:S,MATCH($E326,'큐펫&amp;몹 정리(최신)'!$B:$B,0))*30,IF($J326=4,INDEX('큐펫&amp;몹 정리(최신)'!S:S,MATCH($E326,'큐펫&amp;몹 정리(최신)'!$B:$B,0))*35,INDEX('큐펫&amp;몹 정리(최신)'!S:S,MATCH($E326,'큐펫&amp;몹 정리(최신)'!$B:$B,0))*40))))</f>
        <v>840</v>
      </c>
      <c r="O326" s="190">
        <f>IF($J326=1,INDEX('큐펫&amp;몹 정리(최신)'!T:T,MATCH($E326,'큐펫&amp;몹 정리(최신)'!$B:$B,0))*20,IF($J326=2,INDEX('큐펫&amp;몹 정리(최신)'!T:T,MATCH($E326,'큐펫&amp;몹 정리(최신)'!$B:$B,0))*25,IF($J326=3,INDEX('큐펫&amp;몹 정리(최신)'!T:T,MATCH($E326,'큐펫&amp;몹 정리(최신)'!$B:$B,0))*30,IF($J326=4,INDEX('큐펫&amp;몹 정리(최신)'!T:T,MATCH($E326,'큐펫&amp;몹 정리(최신)'!$B:$B,0))*35,INDEX('큐펫&amp;몹 정리(최신)'!T:T,MATCH($E326,'큐펫&amp;몹 정리(최신)'!$B:$B,0))*40))))</f>
        <v>1000</v>
      </c>
      <c r="P326" s="217">
        <v>100</v>
      </c>
      <c r="Q326" s="217">
        <f t="shared" si="40"/>
        <v>297000</v>
      </c>
      <c r="R326" s="217">
        <f t="shared" si="41"/>
        <v>2103</v>
      </c>
      <c r="S326" s="217">
        <f t="shared" si="42"/>
        <v>2458</v>
      </c>
      <c r="T326" s="217">
        <f t="shared" si="43"/>
        <v>13032</v>
      </c>
      <c r="U326" s="217">
        <f t="shared" si="44"/>
        <v>67214</v>
      </c>
      <c r="V326" s="217">
        <f t="shared" si="45"/>
        <v>40080</v>
      </c>
      <c r="W326" s="217">
        <f>ROUND(AC326+(INDEX(Ref!B$1:B$9,MATCH($AI326,Ref!$A$1:$A$9,0))*P326*0.0001),)</f>
        <v>35</v>
      </c>
      <c r="X326" s="217">
        <f>ROUND(AD326+(INDEX(Ref!C$1:C$9,MATCH($AI326,Ref!$A$1:$A$9,0))*$P326*0.0001),)</f>
        <v>62</v>
      </c>
      <c r="Y326" s="217">
        <f>ROUND(AE326+(INDEX(Ref!D$1:D$9,MATCH($AI326,Ref!$A$1:$A$9,0))*$P326*0.0001),)</f>
        <v>60</v>
      </c>
      <c r="Z326" s="217">
        <f>ROUND(AF326+(INDEX(Ref!E$1:E$9,MATCH($AI326,Ref!$A$1:$A$9,0))*$P326*0.0001),)</f>
        <v>80</v>
      </c>
      <c r="AA326" s="217">
        <f>ROUND(AG326+(INDEX(Ref!F$1:F$9,MATCH($AI326,Ref!$A$1:$A$9,0))*$P326*0.0001),)</f>
        <v>38</v>
      </c>
      <c r="AB326" s="217">
        <f>ROUND(AH326+(INDEX(Ref!G$1:G$9,MATCH($AI326,Ref!$A$1:$A$9,0))*$P326*0.0001),)</f>
        <v>69</v>
      </c>
      <c r="AC326" s="137">
        <v>24</v>
      </c>
      <c r="AD326" s="137">
        <v>43</v>
      </c>
      <c r="AE326" s="137">
        <v>47</v>
      </c>
      <c r="AF326" s="137">
        <v>56</v>
      </c>
      <c r="AG326" s="137">
        <v>26</v>
      </c>
      <c r="AH326" s="137">
        <v>48</v>
      </c>
      <c r="AI326" s="208">
        <v>6</v>
      </c>
      <c r="AJ326" s="172">
        <v>3000</v>
      </c>
      <c r="AK326" s="172">
        <v>30387</v>
      </c>
      <c r="AL326" s="172">
        <v>2000</v>
      </c>
      <c r="AM326" s="172">
        <v>30390</v>
      </c>
      <c r="AN326" s="172">
        <v>0</v>
      </c>
      <c r="AO326" s="172">
        <f t="shared" si="38"/>
        <v>34387</v>
      </c>
      <c r="AP326" s="172">
        <v>0</v>
      </c>
      <c r="AQ326" s="172">
        <f t="shared" si="39"/>
        <v>34390</v>
      </c>
      <c r="AR326" s="172">
        <v>1</v>
      </c>
      <c r="AS326" s="172">
        <v>0</v>
      </c>
      <c r="AT326" s="199">
        <v>78065</v>
      </c>
      <c r="AU326" s="195" t="s">
        <v>265</v>
      </c>
    </row>
    <row r="327" spans="1:47" x14ac:dyDescent="0.2">
      <c r="A327" s="173">
        <v>55066</v>
      </c>
      <c r="B327" s="174" t="s">
        <v>266</v>
      </c>
      <c r="C327" s="172">
        <v>86066</v>
      </c>
      <c r="D327" s="172">
        <v>150066</v>
      </c>
      <c r="E327" s="206" t="s">
        <v>267</v>
      </c>
      <c r="F327" s="207">
        <v>4</v>
      </c>
      <c r="G327" s="173">
        <v>11500</v>
      </c>
      <c r="H327" s="173">
        <v>9500</v>
      </c>
      <c r="I327" s="172">
        <v>10000</v>
      </c>
      <c r="J327" s="172">
        <v>1</v>
      </c>
      <c r="K327" s="190">
        <f>IF($J327=1,INDEX('큐펫&amp;몹 정리(최신)'!P:P,MATCH($E327,'큐펫&amp;몹 정리(최신)'!$B:$B,0))*20,IF($J327=2,INDEX('큐펫&amp;몹 정리(최신)'!P:P,MATCH($E327,'큐펫&amp;몹 정리(최신)'!$B:$B,0))*25,IF($J327=3,INDEX('큐펫&amp;몹 정리(최신)'!P:P,MATCH($E327,'큐펫&amp;몹 정리(최신)'!$B:$B,0))*30,IF($J327=4,INDEX('큐펫&amp;몹 정리(최신)'!P:P,MATCH($E327,'큐펫&amp;몹 정리(최신)'!$B:$B,0))*35,INDEX('큐펫&amp;몹 정리(최신)'!P:P,MATCH($E327,'큐펫&amp;몹 정리(최신)'!$B:$B,0))*40))))</f>
        <v>800</v>
      </c>
      <c r="L327" s="190">
        <f>IF($J327=1,INDEX('큐펫&amp;몹 정리(최신)'!Q:Q,MATCH($E327,'큐펫&amp;몹 정리(최신)'!$B:$B,0))*20,IF($J327=2,INDEX('큐펫&amp;몹 정리(최신)'!Q:Q,MATCH($E327,'큐펫&amp;몹 정리(최신)'!$B:$B,0))*25,IF($J327=3,INDEX('큐펫&amp;몹 정리(최신)'!Q:Q,MATCH($E327,'큐펫&amp;몹 정리(최신)'!$B:$B,0))*30,IF($J327=4,INDEX('큐펫&amp;몹 정리(최신)'!Q:Q,MATCH($E327,'큐펫&amp;몹 정리(최신)'!$B:$B,0))*35,INDEX('큐펫&amp;몹 정리(최신)'!Q:Q,MATCH($E327,'큐펫&amp;몹 정리(최신)'!$B:$B,0))*40))))</f>
        <v>80</v>
      </c>
      <c r="M327" s="190">
        <f>IF($J327=1,INDEX('큐펫&amp;몹 정리(최신)'!R:R,MATCH($E327,'큐펫&amp;몹 정리(최신)'!$B:$B,0))*20,IF($J327=2,INDEX('큐펫&amp;몹 정리(최신)'!R:R,MATCH($E327,'큐펫&amp;몹 정리(최신)'!$B:$B,0))*25,IF($J327=3,INDEX('큐펫&amp;몹 정리(최신)'!R:R,MATCH($E327,'큐펫&amp;몹 정리(최신)'!$B:$B,0))*30,IF($J327=4,INDEX('큐펫&amp;몹 정리(최신)'!R:R,MATCH($E327,'큐펫&amp;몹 정리(최신)'!$B:$B,0))*35,INDEX('큐펫&amp;몹 정리(최신)'!R:R,MATCH($E327,'큐펫&amp;몹 정리(최신)'!$B:$B,0))*40))))</f>
        <v>480</v>
      </c>
      <c r="N327" s="190">
        <f>IF($J327=1,INDEX('큐펫&amp;몹 정리(최신)'!S:S,MATCH($E327,'큐펫&amp;몹 정리(최신)'!$B:$B,0))*20,IF($J327=2,INDEX('큐펫&amp;몹 정리(최신)'!S:S,MATCH($E327,'큐펫&amp;몹 정리(최신)'!$B:$B,0))*25,IF($J327=3,INDEX('큐펫&amp;몹 정리(최신)'!S:S,MATCH($E327,'큐펫&amp;몹 정리(최신)'!$B:$B,0))*30,IF($J327=4,INDEX('큐펫&amp;몹 정리(최신)'!S:S,MATCH($E327,'큐펫&amp;몹 정리(최신)'!$B:$B,0))*35,INDEX('큐펫&amp;몹 정리(최신)'!S:S,MATCH($E327,'큐펫&amp;몹 정리(최신)'!$B:$B,0))*40))))</f>
        <v>300</v>
      </c>
      <c r="O327" s="190">
        <f>IF($J327=1,INDEX('큐펫&amp;몹 정리(최신)'!T:T,MATCH($E327,'큐펫&amp;몹 정리(최신)'!$B:$B,0))*20,IF($J327=2,INDEX('큐펫&amp;몹 정리(최신)'!T:T,MATCH($E327,'큐펫&amp;몹 정리(최신)'!$B:$B,0))*25,IF($J327=3,INDEX('큐펫&amp;몹 정리(최신)'!T:T,MATCH($E327,'큐펫&amp;몹 정리(최신)'!$B:$B,0))*30,IF($J327=4,INDEX('큐펫&amp;몹 정리(최신)'!T:T,MATCH($E327,'큐펫&amp;몹 정리(최신)'!$B:$B,0))*35,INDEX('큐펫&amp;몹 정리(최신)'!T:T,MATCH($E327,'큐펫&amp;몹 정리(최신)'!$B:$B,0))*40))))</f>
        <v>340</v>
      </c>
      <c r="P327" s="217">
        <v>20</v>
      </c>
      <c r="Q327" s="217">
        <f t="shared" si="40"/>
        <v>28320</v>
      </c>
      <c r="R327" s="217">
        <f t="shared" si="41"/>
        <v>346</v>
      </c>
      <c r="S327" s="217">
        <f t="shared" si="42"/>
        <v>488</v>
      </c>
      <c r="T327" s="217">
        <f t="shared" si="43"/>
        <v>8979</v>
      </c>
      <c r="U327" s="217">
        <f t="shared" si="44"/>
        <v>10806</v>
      </c>
      <c r="V327" s="217">
        <f t="shared" si="45"/>
        <v>6163</v>
      </c>
      <c r="W327" s="217">
        <f>ROUND(AC327+(INDEX(Ref!B$1:B$9,MATCH($AI327,Ref!$A$1:$A$9,0))*P327*0.0001),)</f>
        <v>19</v>
      </c>
      <c r="X327" s="217">
        <f>ROUND(AD327+(INDEX(Ref!C$1:C$9,MATCH($AI327,Ref!$A$1:$A$9,0))*$P327*0.0001),)</f>
        <v>26</v>
      </c>
      <c r="Y327" s="217">
        <f>ROUND(AE327+(INDEX(Ref!D$1:D$9,MATCH($AI327,Ref!$A$1:$A$9,0))*$P327*0.0001),)</f>
        <v>52</v>
      </c>
      <c r="Z327" s="217">
        <f>ROUND(AF327+(INDEX(Ref!E$1:E$9,MATCH($AI327,Ref!$A$1:$A$9,0))*$P327*0.0001),)</f>
        <v>43</v>
      </c>
      <c r="AA327" s="217">
        <f>ROUND(AG327+(INDEX(Ref!F$1:F$9,MATCH($AI327,Ref!$A$1:$A$9,0))*$P327*0.0001),)</f>
        <v>23</v>
      </c>
      <c r="AB327" s="217">
        <f>ROUND(AH327+(INDEX(Ref!G$1:G$9,MATCH($AI327,Ref!$A$1:$A$9,0))*$P327*0.0001),)</f>
        <v>21</v>
      </c>
      <c r="AC327" s="137">
        <v>17</v>
      </c>
      <c r="AD327" s="137">
        <v>23</v>
      </c>
      <c r="AE327" s="137">
        <v>48</v>
      </c>
      <c r="AF327" s="137">
        <v>38</v>
      </c>
      <c r="AG327" s="137">
        <v>20</v>
      </c>
      <c r="AH327" s="137">
        <v>18</v>
      </c>
      <c r="AI327" s="208">
        <v>2</v>
      </c>
      <c r="AJ327" s="172">
        <v>3000</v>
      </c>
      <c r="AK327" s="172">
        <v>30391</v>
      </c>
      <c r="AL327" s="172">
        <v>2000</v>
      </c>
      <c r="AM327" s="172">
        <v>30394</v>
      </c>
      <c r="AN327" s="172">
        <v>0</v>
      </c>
      <c r="AO327" s="172">
        <f t="shared" si="38"/>
        <v>34391</v>
      </c>
      <c r="AP327" s="172">
        <v>0</v>
      </c>
      <c r="AQ327" s="172">
        <f t="shared" si="39"/>
        <v>34394</v>
      </c>
      <c r="AR327" s="172">
        <v>1</v>
      </c>
      <c r="AS327" s="172">
        <v>0</v>
      </c>
      <c r="AT327" s="199">
        <v>78066</v>
      </c>
      <c r="AU327" s="195" t="s">
        <v>268</v>
      </c>
    </row>
    <row r="328" spans="1:47" x14ac:dyDescent="0.2">
      <c r="A328" s="173">
        <v>55066</v>
      </c>
      <c r="B328" s="174" t="s">
        <v>266</v>
      </c>
      <c r="C328" s="172">
        <v>86066</v>
      </c>
      <c r="D328" s="172">
        <v>150066</v>
      </c>
      <c r="E328" s="206" t="s">
        <v>267</v>
      </c>
      <c r="F328" s="207">
        <v>4</v>
      </c>
      <c r="G328" s="173">
        <v>11500</v>
      </c>
      <c r="H328" s="173">
        <v>9500</v>
      </c>
      <c r="I328" s="172">
        <v>10000</v>
      </c>
      <c r="J328" s="172">
        <v>2</v>
      </c>
      <c r="K328" s="190">
        <f>IF($J328=1,INDEX('큐펫&amp;몹 정리(최신)'!P:P,MATCH($E328,'큐펫&amp;몹 정리(최신)'!$B:$B,0))*20,IF($J328=2,INDEX('큐펫&amp;몹 정리(최신)'!P:P,MATCH($E328,'큐펫&amp;몹 정리(최신)'!$B:$B,0))*25,IF($J328=3,INDEX('큐펫&amp;몹 정리(최신)'!P:P,MATCH($E328,'큐펫&amp;몹 정리(최신)'!$B:$B,0))*30,IF($J328=4,INDEX('큐펫&amp;몹 정리(최신)'!P:P,MATCH($E328,'큐펫&amp;몹 정리(최신)'!$B:$B,0))*35,INDEX('큐펫&amp;몹 정리(최신)'!P:P,MATCH($E328,'큐펫&amp;몹 정리(최신)'!$B:$B,0))*40))))</f>
        <v>1000</v>
      </c>
      <c r="L328" s="190">
        <f>IF($J328=1,INDEX('큐펫&amp;몹 정리(최신)'!Q:Q,MATCH($E328,'큐펫&amp;몹 정리(최신)'!$B:$B,0))*20,IF($J328=2,INDEX('큐펫&amp;몹 정리(최신)'!Q:Q,MATCH($E328,'큐펫&amp;몹 정리(최신)'!$B:$B,0))*25,IF($J328=3,INDEX('큐펫&amp;몹 정리(최신)'!Q:Q,MATCH($E328,'큐펫&amp;몹 정리(최신)'!$B:$B,0))*30,IF($J328=4,INDEX('큐펫&amp;몹 정리(최신)'!Q:Q,MATCH($E328,'큐펫&amp;몹 정리(최신)'!$B:$B,0))*35,INDEX('큐펫&amp;몹 정리(최신)'!Q:Q,MATCH($E328,'큐펫&amp;몹 정리(최신)'!$B:$B,0))*40))))</f>
        <v>100</v>
      </c>
      <c r="M328" s="190">
        <f>IF($J328=1,INDEX('큐펫&amp;몹 정리(최신)'!R:R,MATCH($E328,'큐펫&amp;몹 정리(최신)'!$B:$B,0))*20,IF($J328=2,INDEX('큐펫&amp;몹 정리(최신)'!R:R,MATCH($E328,'큐펫&amp;몹 정리(최신)'!$B:$B,0))*25,IF($J328=3,INDEX('큐펫&amp;몹 정리(최신)'!R:R,MATCH($E328,'큐펫&amp;몹 정리(최신)'!$B:$B,0))*30,IF($J328=4,INDEX('큐펫&amp;몹 정리(최신)'!R:R,MATCH($E328,'큐펫&amp;몹 정리(최신)'!$B:$B,0))*35,INDEX('큐펫&amp;몹 정리(최신)'!R:R,MATCH($E328,'큐펫&amp;몹 정리(최신)'!$B:$B,0))*40))))</f>
        <v>600</v>
      </c>
      <c r="N328" s="190">
        <f>IF($J328=1,INDEX('큐펫&amp;몹 정리(최신)'!S:S,MATCH($E328,'큐펫&amp;몹 정리(최신)'!$B:$B,0))*20,IF($J328=2,INDEX('큐펫&amp;몹 정리(최신)'!S:S,MATCH($E328,'큐펫&amp;몹 정리(최신)'!$B:$B,0))*25,IF($J328=3,INDEX('큐펫&amp;몹 정리(최신)'!S:S,MATCH($E328,'큐펫&amp;몹 정리(최신)'!$B:$B,0))*30,IF($J328=4,INDEX('큐펫&amp;몹 정리(최신)'!S:S,MATCH($E328,'큐펫&amp;몹 정리(최신)'!$B:$B,0))*35,INDEX('큐펫&amp;몹 정리(최신)'!S:S,MATCH($E328,'큐펫&amp;몹 정리(최신)'!$B:$B,0))*40))))</f>
        <v>375</v>
      </c>
      <c r="O328" s="190">
        <f>IF($J328=1,INDEX('큐펫&amp;몹 정리(최신)'!T:T,MATCH($E328,'큐펫&amp;몹 정리(최신)'!$B:$B,0))*20,IF($J328=2,INDEX('큐펫&amp;몹 정리(최신)'!T:T,MATCH($E328,'큐펫&amp;몹 정리(최신)'!$B:$B,0))*25,IF($J328=3,INDEX('큐펫&amp;몹 정리(최신)'!T:T,MATCH($E328,'큐펫&amp;몹 정리(최신)'!$B:$B,0))*30,IF($J328=4,INDEX('큐펫&amp;몹 정리(최신)'!T:T,MATCH($E328,'큐펫&amp;몹 정리(최신)'!$B:$B,0))*35,INDEX('큐펫&amp;몹 정리(최신)'!T:T,MATCH($E328,'큐펫&amp;몹 정리(최신)'!$B:$B,0))*40))))</f>
        <v>425</v>
      </c>
      <c r="P328" s="217">
        <v>40</v>
      </c>
      <c r="Q328" s="217">
        <f t="shared" si="40"/>
        <v>69000</v>
      </c>
      <c r="R328" s="217">
        <f t="shared" si="41"/>
        <v>656</v>
      </c>
      <c r="S328" s="217">
        <f t="shared" si="42"/>
        <v>930</v>
      </c>
      <c r="T328" s="217">
        <f t="shared" si="43"/>
        <v>16990</v>
      </c>
      <c r="U328" s="217">
        <f t="shared" si="44"/>
        <v>18759</v>
      </c>
      <c r="V328" s="217">
        <f t="shared" si="45"/>
        <v>10678</v>
      </c>
      <c r="W328" s="217">
        <f>ROUND(AC328+(INDEX(Ref!B$1:B$9,MATCH($AI328,Ref!$A$1:$A$9,0))*P328*0.0001),)</f>
        <v>24</v>
      </c>
      <c r="X328" s="217">
        <f>ROUND(AD328+(INDEX(Ref!C$1:C$9,MATCH($AI328,Ref!$A$1:$A$9,0))*$P328*0.0001),)</f>
        <v>32</v>
      </c>
      <c r="Y328" s="217">
        <f>ROUND(AE328+(INDEX(Ref!D$1:D$9,MATCH($AI328,Ref!$A$1:$A$9,0))*$P328*0.0001),)</f>
        <v>60</v>
      </c>
      <c r="Z328" s="217">
        <f>ROUND(AF328+(INDEX(Ref!E$1:E$9,MATCH($AI328,Ref!$A$1:$A$9,0))*$P328*0.0001),)</f>
        <v>53</v>
      </c>
      <c r="AA328" s="217">
        <f>ROUND(AG328+(INDEX(Ref!F$1:F$9,MATCH($AI328,Ref!$A$1:$A$9,0))*$P328*0.0001),)</f>
        <v>29</v>
      </c>
      <c r="AB328" s="217">
        <f>ROUND(AH328+(INDEX(Ref!G$1:G$9,MATCH($AI328,Ref!$A$1:$A$9,0))*$P328*0.0001),)</f>
        <v>26</v>
      </c>
      <c r="AC328" s="137">
        <v>19</v>
      </c>
      <c r="AD328" s="137">
        <v>26</v>
      </c>
      <c r="AE328" s="137">
        <v>52</v>
      </c>
      <c r="AF328" s="137">
        <v>43</v>
      </c>
      <c r="AG328" s="137">
        <v>23</v>
      </c>
      <c r="AH328" s="137">
        <v>21</v>
      </c>
      <c r="AI328" s="208">
        <v>2</v>
      </c>
      <c r="AJ328" s="172">
        <v>3000</v>
      </c>
      <c r="AK328" s="172">
        <v>30392</v>
      </c>
      <c r="AL328" s="172">
        <v>2000</v>
      </c>
      <c r="AM328" s="172">
        <v>30394</v>
      </c>
      <c r="AN328" s="172">
        <v>0</v>
      </c>
      <c r="AO328" s="172">
        <f t="shared" si="38"/>
        <v>34392</v>
      </c>
      <c r="AP328" s="172">
        <v>0</v>
      </c>
      <c r="AQ328" s="172">
        <f t="shared" si="39"/>
        <v>34394</v>
      </c>
      <c r="AR328" s="172">
        <v>1</v>
      </c>
      <c r="AS328" s="172">
        <v>0</v>
      </c>
      <c r="AT328" s="199">
        <v>78066</v>
      </c>
      <c r="AU328" s="195" t="s">
        <v>268</v>
      </c>
    </row>
    <row r="329" spans="1:47" x14ac:dyDescent="0.2">
      <c r="A329" s="173">
        <v>55066</v>
      </c>
      <c r="B329" s="174" t="s">
        <v>266</v>
      </c>
      <c r="C329" s="172">
        <v>86066</v>
      </c>
      <c r="D329" s="172">
        <v>150066</v>
      </c>
      <c r="E329" s="206" t="s">
        <v>267</v>
      </c>
      <c r="F329" s="207">
        <v>4</v>
      </c>
      <c r="G329" s="173">
        <v>11500</v>
      </c>
      <c r="H329" s="173">
        <v>9500</v>
      </c>
      <c r="I329" s="172">
        <v>10000</v>
      </c>
      <c r="J329" s="172">
        <v>3</v>
      </c>
      <c r="K329" s="190">
        <f>IF($J329=1,INDEX('큐펫&amp;몹 정리(최신)'!P:P,MATCH($E329,'큐펫&amp;몹 정리(최신)'!$B:$B,0))*20,IF($J329=2,INDEX('큐펫&amp;몹 정리(최신)'!P:P,MATCH($E329,'큐펫&amp;몹 정리(최신)'!$B:$B,0))*25,IF($J329=3,INDEX('큐펫&amp;몹 정리(최신)'!P:P,MATCH($E329,'큐펫&amp;몹 정리(최신)'!$B:$B,0))*30,IF($J329=4,INDEX('큐펫&amp;몹 정리(최신)'!P:P,MATCH($E329,'큐펫&amp;몹 정리(최신)'!$B:$B,0))*35,INDEX('큐펫&amp;몹 정리(최신)'!P:P,MATCH($E329,'큐펫&amp;몹 정리(최신)'!$B:$B,0))*40))))</f>
        <v>1200</v>
      </c>
      <c r="L329" s="190">
        <f>IF($J329=1,INDEX('큐펫&amp;몹 정리(최신)'!Q:Q,MATCH($E329,'큐펫&amp;몹 정리(최신)'!$B:$B,0))*20,IF($J329=2,INDEX('큐펫&amp;몹 정리(최신)'!Q:Q,MATCH($E329,'큐펫&amp;몹 정리(최신)'!$B:$B,0))*25,IF($J329=3,INDEX('큐펫&amp;몹 정리(최신)'!Q:Q,MATCH($E329,'큐펫&amp;몹 정리(최신)'!$B:$B,0))*30,IF($J329=4,INDEX('큐펫&amp;몹 정리(최신)'!Q:Q,MATCH($E329,'큐펫&amp;몹 정리(최신)'!$B:$B,0))*35,INDEX('큐펫&amp;몹 정리(최신)'!Q:Q,MATCH($E329,'큐펫&amp;몹 정리(최신)'!$B:$B,0))*40))))</f>
        <v>120</v>
      </c>
      <c r="M329" s="190">
        <f>IF($J329=1,INDEX('큐펫&amp;몹 정리(최신)'!R:R,MATCH($E329,'큐펫&amp;몹 정리(최신)'!$B:$B,0))*20,IF($J329=2,INDEX('큐펫&amp;몹 정리(최신)'!R:R,MATCH($E329,'큐펫&amp;몹 정리(최신)'!$B:$B,0))*25,IF($J329=3,INDEX('큐펫&amp;몹 정리(최신)'!R:R,MATCH($E329,'큐펫&amp;몹 정리(최신)'!$B:$B,0))*30,IF($J329=4,INDEX('큐펫&amp;몹 정리(최신)'!R:R,MATCH($E329,'큐펫&amp;몹 정리(최신)'!$B:$B,0))*35,INDEX('큐펫&amp;몹 정리(최신)'!R:R,MATCH($E329,'큐펫&amp;몹 정리(최신)'!$B:$B,0))*40))))</f>
        <v>720</v>
      </c>
      <c r="N329" s="190">
        <f>IF($J329=1,INDEX('큐펫&amp;몹 정리(최신)'!S:S,MATCH($E329,'큐펫&amp;몹 정리(최신)'!$B:$B,0))*20,IF($J329=2,INDEX('큐펫&amp;몹 정리(최신)'!S:S,MATCH($E329,'큐펫&amp;몹 정리(최신)'!$B:$B,0))*25,IF($J329=3,INDEX('큐펫&amp;몹 정리(최신)'!S:S,MATCH($E329,'큐펫&amp;몹 정리(최신)'!$B:$B,0))*30,IF($J329=4,INDEX('큐펫&amp;몹 정리(최신)'!S:S,MATCH($E329,'큐펫&amp;몹 정리(최신)'!$B:$B,0))*35,INDEX('큐펫&amp;몹 정리(최신)'!S:S,MATCH($E329,'큐펫&amp;몹 정리(최신)'!$B:$B,0))*40))))</f>
        <v>450</v>
      </c>
      <c r="O329" s="190">
        <f>IF($J329=1,INDEX('큐펫&amp;몹 정리(최신)'!T:T,MATCH($E329,'큐펫&amp;몹 정리(최신)'!$B:$B,0))*20,IF($J329=2,INDEX('큐펫&amp;몹 정리(최신)'!T:T,MATCH($E329,'큐펫&amp;몹 정리(최신)'!$B:$B,0))*25,IF($J329=3,INDEX('큐펫&amp;몹 정리(최신)'!T:T,MATCH($E329,'큐펫&amp;몹 정리(최신)'!$B:$B,0))*30,IF($J329=4,INDEX('큐펫&amp;몹 정리(최신)'!T:T,MATCH($E329,'큐펫&amp;몹 정리(최신)'!$B:$B,0))*35,INDEX('큐펫&amp;몹 정리(최신)'!T:T,MATCH($E329,'큐펫&amp;몹 정리(최신)'!$B:$B,0))*40))))</f>
        <v>510</v>
      </c>
      <c r="P329" s="217">
        <v>60</v>
      </c>
      <c r="Q329" s="217">
        <f t="shared" si="40"/>
        <v>126960</v>
      </c>
      <c r="R329" s="217">
        <f t="shared" si="41"/>
        <v>1041</v>
      </c>
      <c r="S329" s="217">
        <f t="shared" si="42"/>
        <v>1498</v>
      </c>
      <c r="T329" s="217">
        <f t="shared" si="43"/>
        <v>28744</v>
      </c>
      <c r="U329" s="217">
        <f t="shared" si="44"/>
        <v>28811</v>
      </c>
      <c r="V329" s="217">
        <f t="shared" si="45"/>
        <v>16383</v>
      </c>
      <c r="W329" s="217">
        <f>ROUND(AC329+(INDEX(Ref!B$1:B$9,MATCH($AI329,Ref!$A$1:$A$9,0))*P329*0.0001),)</f>
        <v>28</v>
      </c>
      <c r="X329" s="217">
        <f>ROUND(AD329+(INDEX(Ref!C$1:C$9,MATCH($AI329,Ref!$A$1:$A$9,0))*$P329*0.0001),)</f>
        <v>40</v>
      </c>
      <c r="Y329" s="217">
        <f>ROUND(AE329+(INDEX(Ref!D$1:D$9,MATCH($AI329,Ref!$A$1:$A$9,0))*$P329*0.0001),)</f>
        <v>68</v>
      </c>
      <c r="Z329" s="217">
        <f>ROUND(AF329+(INDEX(Ref!E$1:E$9,MATCH($AI329,Ref!$A$1:$A$9,0))*$P329*0.0001),)</f>
        <v>63</v>
      </c>
      <c r="AA329" s="217">
        <f>ROUND(AG329+(INDEX(Ref!F$1:F$9,MATCH($AI329,Ref!$A$1:$A$9,0))*$P329*0.0001),)</f>
        <v>34</v>
      </c>
      <c r="AB329" s="217">
        <f>ROUND(AH329+(INDEX(Ref!G$1:G$9,MATCH($AI329,Ref!$A$1:$A$9,0))*$P329*0.0001),)</f>
        <v>31</v>
      </c>
      <c r="AC329" s="137">
        <v>21</v>
      </c>
      <c r="AD329" s="137">
        <v>30</v>
      </c>
      <c r="AE329" s="137">
        <v>56</v>
      </c>
      <c r="AF329" s="137">
        <v>48.000000000000007</v>
      </c>
      <c r="AG329" s="137">
        <v>26</v>
      </c>
      <c r="AH329" s="137">
        <v>23</v>
      </c>
      <c r="AI329" s="208">
        <v>2</v>
      </c>
      <c r="AJ329" s="172">
        <v>3000</v>
      </c>
      <c r="AK329" s="172">
        <v>30392</v>
      </c>
      <c r="AL329" s="172">
        <v>2000</v>
      </c>
      <c r="AM329" s="172">
        <v>30395</v>
      </c>
      <c r="AN329" s="172">
        <v>0</v>
      </c>
      <c r="AO329" s="172">
        <f t="shared" si="38"/>
        <v>34392</v>
      </c>
      <c r="AP329" s="172">
        <v>0</v>
      </c>
      <c r="AQ329" s="172">
        <f t="shared" si="39"/>
        <v>34395</v>
      </c>
      <c r="AR329" s="172">
        <v>1</v>
      </c>
      <c r="AS329" s="172">
        <v>0</v>
      </c>
      <c r="AT329" s="199">
        <v>78066</v>
      </c>
      <c r="AU329" s="195" t="s">
        <v>268</v>
      </c>
    </row>
    <row r="330" spans="1:47" x14ac:dyDescent="0.2">
      <c r="A330" s="173">
        <v>55066</v>
      </c>
      <c r="B330" s="174" t="s">
        <v>266</v>
      </c>
      <c r="C330" s="172">
        <v>86066</v>
      </c>
      <c r="D330" s="172">
        <v>150066</v>
      </c>
      <c r="E330" s="206" t="s">
        <v>267</v>
      </c>
      <c r="F330" s="207">
        <v>4</v>
      </c>
      <c r="G330" s="173">
        <v>11500</v>
      </c>
      <c r="H330" s="173">
        <v>9500</v>
      </c>
      <c r="I330" s="172">
        <v>10000</v>
      </c>
      <c r="J330" s="172">
        <v>4</v>
      </c>
      <c r="K330" s="190">
        <f>IF($J330=1,INDEX('큐펫&amp;몹 정리(최신)'!P:P,MATCH($E330,'큐펫&amp;몹 정리(최신)'!$B:$B,0))*20,IF($J330=2,INDEX('큐펫&amp;몹 정리(최신)'!P:P,MATCH($E330,'큐펫&amp;몹 정리(최신)'!$B:$B,0))*25,IF($J330=3,INDEX('큐펫&amp;몹 정리(최신)'!P:P,MATCH($E330,'큐펫&amp;몹 정리(최신)'!$B:$B,0))*30,IF($J330=4,INDEX('큐펫&amp;몹 정리(최신)'!P:P,MATCH($E330,'큐펫&amp;몹 정리(최신)'!$B:$B,0))*35,INDEX('큐펫&amp;몹 정리(최신)'!P:P,MATCH($E330,'큐펫&amp;몹 정리(최신)'!$B:$B,0))*40))))</f>
        <v>1400</v>
      </c>
      <c r="L330" s="190">
        <f>IF($J330=1,INDEX('큐펫&amp;몹 정리(최신)'!Q:Q,MATCH($E330,'큐펫&amp;몹 정리(최신)'!$B:$B,0))*20,IF($J330=2,INDEX('큐펫&amp;몹 정리(최신)'!Q:Q,MATCH($E330,'큐펫&amp;몹 정리(최신)'!$B:$B,0))*25,IF($J330=3,INDEX('큐펫&amp;몹 정리(최신)'!Q:Q,MATCH($E330,'큐펫&amp;몹 정리(최신)'!$B:$B,0))*30,IF($J330=4,INDEX('큐펫&amp;몹 정리(최신)'!Q:Q,MATCH($E330,'큐펫&amp;몹 정리(최신)'!$B:$B,0))*35,INDEX('큐펫&amp;몹 정리(최신)'!Q:Q,MATCH($E330,'큐펫&amp;몹 정리(최신)'!$B:$B,0))*40))))</f>
        <v>140</v>
      </c>
      <c r="M330" s="190">
        <f>IF($J330=1,INDEX('큐펫&amp;몹 정리(최신)'!R:R,MATCH($E330,'큐펫&amp;몹 정리(최신)'!$B:$B,0))*20,IF($J330=2,INDEX('큐펫&amp;몹 정리(최신)'!R:R,MATCH($E330,'큐펫&amp;몹 정리(최신)'!$B:$B,0))*25,IF($J330=3,INDEX('큐펫&amp;몹 정리(최신)'!R:R,MATCH($E330,'큐펫&amp;몹 정리(최신)'!$B:$B,0))*30,IF($J330=4,INDEX('큐펫&amp;몹 정리(최신)'!R:R,MATCH($E330,'큐펫&amp;몹 정리(최신)'!$B:$B,0))*35,INDEX('큐펫&amp;몹 정리(최신)'!R:R,MATCH($E330,'큐펫&amp;몹 정리(최신)'!$B:$B,0))*40))))</f>
        <v>840</v>
      </c>
      <c r="N330" s="190">
        <f>IF($J330=1,INDEX('큐펫&amp;몹 정리(최신)'!S:S,MATCH($E330,'큐펫&amp;몹 정리(최신)'!$B:$B,0))*20,IF($J330=2,INDEX('큐펫&amp;몹 정리(최신)'!S:S,MATCH($E330,'큐펫&amp;몹 정리(최신)'!$B:$B,0))*25,IF($J330=3,INDEX('큐펫&amp;몹 정리(최신)'!S:S,MATCH($E330,'큐펫&amp;몹 정리(최신)'!$B:$B,0))*30,IF($J330=4,INDEX('큐펫&amp;몹 정리(최신)'!S:S,MATCH($E330,'큐펫&amp;몹 정리(최신)'!$B:$B,0))*35,INDEX('큐펫&amp;몹 정리(최신)'!S:S,MATCH($E330,'큐펫&amp;몹 정리(최신)'!$B:$B,0))*40))))</f>
        <v>525</v>
      </c>
      <c r="O330" s="190">
        <f>IF($J330=1,INDEX('큐펫&amp;몹 정리(최신)'!T:T,MATCH($E330,'큐펫&amp;몹 정리(최신)'!$B:$B,0))*20,IF($J330=2,INDEX('큐펫&amp;몹 정리(최신)'!T:T,MATCH($E330,'큐펫&amp;몹 정리(최신)'!$B:$B,0))*25,IF($J330=3,INDEX('큐펫&amp;몹 정리(최신)'!T:T,MATCH($E330,'큐펫&amp;몹 정리(최신)'!$B:$B,0))*30,IF($J330=4,INDEX('큐펫&amp;몹 정리(최신)'!T:T,MATCH($E330,'큐펫&amp;몹 정리(최신)'!$B:$B,0))*35,INDEX('큐펫&amp;몹 정리(최신)'!T:T,MATCH($E330,'큐펫&amp;몹 정리(최신)'!$B:$B,0))*40))))</f>
        <v>595</v>
      </c>
      <c r="P330" s="217">
        <v>80</v>
      </c>
      <c r="Q330" s="217">
        <f t="shared" si="40"/>
        <v>204120</v>
      </c>
      <c r="R330" s="217">
        <f t="shared" si="41"/>
        <v>1743</v>
      </c>
      <c r="S330" s="217">
        <f t="shared" si="42"/>
        <v>2263</v>
      </c>
      <c r="T330" s="217">
        <f t="shared" si="43"/>
        <v>44963</v>
      </c>
      <c r="U330" s="217">
        <f t="shared" si="44"/>
        <v>40962</v>
      </c>
      <c r="V330" s="217">
        <f t="shared" si="45"/>
        <v>23278</v>
      </c>
      <c r="W330" s="217">
        <f>ROUND(AC330+(INDEX(Ref!B$1:B$9,MATCH($AI330,Ref!$A$1:$A$9,0))*P330*0.0001),)</f>
        <v>34</v>
      </c>
      <c r="X330" s="217">
        <f>ROUND(AD330+(INDEX(Ref!C$1:C$9,MATCH($AI330,Ref!$A$1:$A$9,0))*$P330*0.0001),)</f>
        <v>46</v>
      </c>
      <c r="Y330" s="217">
        <f>ROUND(AE330+(INDEX(Ref!D$1:D$9,MATCH($AI330,Ref!$A$1:$A$9,0))*$P330*0.0001),)</f>
        <v>76</v>
      </c>
      <c r="Z330" s="217">
        <f>ROUND(AF330+(INDEX(Ref!E$1:E$9,MATCH($AI330,Ref!$A$1:$A$9,0))*$P330*0.0001),)</f>
        <v>73</v>
      </c>
      <c r="AA330" s="217">
        <f>ROUND(AG330+(INDEX(Ref!F$1:F$9,MATCH($AI330,Ref!$A$1:$A$9,0))*$P330*0.0001),)</f>
        <v>39</v>
      </c>
      <c r="AB330" s="217">
        <f>ROUND(AH330+(INDEX(Ref!G$1:G$9,MATCH($AI330,Ref!$A$1:$A$9,0))*$P330*0.0001),)</f>
        <v>36</v>
      </c>
      <c r="AC330" s="137">
        <v>24</v>
      </c>
      <c r="AD330" s="137">
        <v>33</v>
      </c>
      <c r="AE330" s="137">
        <v>60</v>
      </c>
      <c r="AF330" s="137">
        <v>53</v>
      </c>
      <c r="AG330" s="137">
        <v>28</v>
      </c>
      <c r="AH330" s="137">
        <v>26</v>
      </c>
      <c r="AI330" s="208">
        <v>2</v>
      </c>
      <c r="AJ330" s="172">
        <v>3000</v>
      </c>
      <c r="AK330" s="172">
        <v>30393</v>
      </c>
      <c r="AL330" s="172">
        <v>2000</v>
      </c>
      <c r="AM330" s="172">
        <v>30395</v>
      </c>
      <c r="AN330" s="172">
        <v>0</v>
      </c>
      <c r="AO330" s="172">
        <f t="shared" si="38"/>
        <v>34393</v>
      </c>
      <c r="AP330" s="172">
        <v>0</v>
      </c>
      <c r="AQ330" s="172">
        <f t="shared" si="39"/>
        <v>34395</v>
      </c>
      <c r="AR330" s="172">
        <v>1</v>
      </c>
      <c r="AS330" s="172">
        <v>0</v>
      </c>
      <c r="AT330" s="199">
        <v>78066</v>
      </c>
      <c r="AU330" s="195" t="s">
        <v>268</v>
      </c>
    </row>
    <row r="331" spans="1:47" x14ac:dyDescent="0.2">
      <c r="A331" s="173">
        <v>55066</v>
      </c>
      <c r="B331" s="174" t="s">
        <v>266</v>
      </c>
      <c r="C331" s="172">
        <v>86066</v>
      </c>
      <c r="D331" s="172">
        <v>150066</v>
      </c>
      <c r="E331" s="206" t="s">
        <v>267</v>
      </c>
      <c r="F331" s="207">
        <v>4</v>
      </c>
      <c r="G331" s="173">
        <v>11500</v>
      </c>
      <c r="H331" s="173">
        <v>9500</v>
      </c>
      <c r="I331" s="172">
        <v>10000</v>
      </c>
      <c r="J331" s="172">
        <v>5</v>
      </c>
      <c r="K331" s="190">
        <f>IF($J331=1,INDEX('큐펫&amp;몹 정리(최신)'!P:P,MATCH($E331,'큐펫&amp;몹 정리(최신)'!$B:$B,0))*20,IF($J331=2,INDEX('큐펫&amp;몹 정리(최신)'!P:P,MATCH($E331,'큐펫&amp;몹 정리(최신)'!$B:$B,0))*25,IF($J331=3,INDEX('큐펫&amp;몹 정리(최신)'!P:P,MATCH($E331,'큐펫&amp;몹 정리(최신)'!$B:$B,0))*30,IF($J331=4,INDEX('큐펫&amp;몹 정리(최신)'!P:P,MATCH($E331,'큐펫&amp;몹 정리(최신)'!$B:$B,0))*35,INDEX('큐펫&amp;몹 정리(최신)'!P:P,MATCH($E331,'큐펫&amp;몹 정리(최신)'!$B:$B,0))*40))))</f>
        <v>1600</v>
      </c>
      <c r="L331" s="190">
        <f>IF($J331=1,INDEX('큐펫&amp;몹 정리(최신)'!Q:Q,MATCH($E331,'큐펫&amp;몹 정리(최신)'!$B:$B,0))*20,IF($J331=2,INDEX('큐펫&amp;몹 정리(최신)'!Q:Q,MATCH($E331,'큐펫&amp;몹 정리(최신)'!$B:$B,0))*25,IF($J331=3,INDEX('큐펫&amp;몹 정리(최신)'!Q:Q,MATCH($E331,'큐펫&amp;몹 정리(최신)'!$B:$B,0))*30,IF($J331=4,INDEX('큐펫&amp;몹 정리(최신)'!Q:Q,MATCH($E331,'큐펫&amp;몹 정리(최신)'!$B:$B,0))*35,INDEX('큐펫&amp;몹 정리(최신)'!Q:Q,MATCH($E331,'큐펫&amp;몹 정리(최신)'!$B:$B,0))*40))))</f>
        <v>160</v>
      </c>
      <c r="M331" s="190">
        <f>IF($J331=1,INDEX('큐펫&amp;몹 정리(최신)'!R:R,MATCH($E331,'큐펫&amp;몹 정리(최신)'!$B:$B,0))*20,IF($J331=2,INDEX('큐펫&amp;몹 정리(최신)'!R:R,MATCH($E331,'큐펫&amp;몹 정리(최신)'!$B:$B,0))*25,IF($J331=3,INDEX('큐펫&amp;몹 정리(최신)'!R:R,MATCH($E331,'큐펫&amp;몹 정리(최신)'!$B:$B,0))*30,IF($J331=4,INDEX('큐펫&amp;몹 정리(최신)'!R:R,MATCH($E331,'큐펫&amp;몹 정리(최신)'!$B:$B,0))*35,INDEX('큐펫&amp;몹 정리(최신)'!R:R,MATCH($E331,'큐펫&amp;몹 정리(최신)'!$B:$B,0))*40))))</f>
        <v>960</v>
      </c>
      <c r="N331" s="190">
        <f>IF($J331=1,INDEX('큐펫&amp;몹 정리(최신)'!S:S,MATCH($E331,'큐펫&amp;몹 정리(최신)'!$B:$B,0))*20,IF($J331=2,INDEX('큐펫&amp;몹 정리(최신)'!S:S,MATCH($E331,'큐펫&amp;몹 정리(최신)'!$B:$B,0))*25,IF($J331=3,INDEX('큐펫&amp;몹 정리(최신)'!S:S,MATCH($E331,'큐펫&amp;몹 정리(최신)'!$B:$B,0))*30,IF($J331=4,INDEX('큐펫&amp;몹 정리(최신)'!S:S,MATCH($E331,'큐펫&amp;몹 정리(최신)'!$B:$B,0))*35,INDEX('큐펫&amp;몹 정리(최신)'!S:S,MATCH($E331,'큐펫&amp;몹 정리(최신)'!$B:$B,0))*40))))</f>
        <v>600</v>
      </c>
      <c r="O331" s="190">
        <f>IF($J331=1,INDEX('큐펫&amp;몹 정리(최신)'!T:T,MATCH($E331,'큐펫&amp;몹 정리(최신)'!$B:$B,0))*20,IF($J331=2,INDEX('큐펫&amp;몹 정리(최신)'!T:T,MATCH($E331,'큐펫&amp;몹 정리(최신)'!$B:$B,0))*25,IF($J331=3,INDEX('큐펫&amp;몹 정리(최신)'!T:T,MATCH($E331,'큐펫&amp;몹 정리(최신)'!$B:$B,0))*30,IF($J331=4,INDEX('큐펫&amp;몹 정리(최신)'!T:T,MATCH($E331,'큐펫&amp;몹 정리(최신)'!$B:$B,0))*35,INDEX('큐펫&amp;몹 정리(최신)'!T:T,MATCH($E331,'큐펫&amp;몹 정리(최신)'!$B:$B,0))*40))))</f>
        <v>680</v>
      </c>
      <c r="P331" s="217">
        <v>100</v>
      </c>
      <c r="Q331" s="217">
        <f t="shared" si="40"/>
        <v>302400</v>
      </c>
      <c r="R331" s="217">
        <f t="shared" si="41"/>
        <v>2456</v>
      </c>
      <c r="S331" s="217">
        <f t="shared" si="42"/>
        <v>3397</v>
      </c>
      <c r="T331" s="217">
        <f t="shared" si="43"/>
        <v>66366</v>
      </c>
      <c r="U331" s="217">
        <f t="shared" si="44"/>
        <v>55214</v>
      </c>
      <c r="V331" s="217">
        <f t="shared" si="45"/>
        <v>31363</v>
      </c>
      <c r="W331" s="217">
        <f>ROUND(AC331+(INDEX(Ref!B$1:B$9,MATCH($AI331,Ref!$A$1:$A$9,0))*P331*0.0001),)</f>
        <v>38</v>
      </c>
      <c r="X331" s="217">
        <f>ROUND(AD331+(INDEX(Ref!C$1:C$9,MATCH($AI331,Ref!$A$1:$A$9,0))*$P331*0.0001),)</f>
        <v>52</v>
      </c>
      <c r="Y331" s="217">
        <f>ROUND(AE331+(INDEX(Ref!D$1:D$9,MATCH($AI331,Ref!$A$1:$A$9,0))*$P331*0.0001),)</f>
        <v>84</v>
      </c>
      <c r="Z331" s="217">
        <f>ROUND(AF331+(INDEX(Ref!E$1:E$9,MATCH($AI331,Ref!$A$1:$A$9,0))*$P331*0.0001),)</f>
        <v>83</v>
      </c>
      <c r="AA331" s="217">
        <f>ROUND(AG331+(INDEX(Ref!F$1:F$9,MATCH($AI331,Ref!$A$1:$A$9,0))*$P331*0.0001),)</f>
        <v>45</v>
      </c>
      <c r="AB331" s="217">
        <f>ROUND(AH331+(INDEX(Ref!G$1:G$9,MATCH($AI331,Ref!$A$1:$A$9,0))*$P331*0.0001),)</f>
        <v>42</v>
      </c>
      <c r="AC331" s="137">
        <v>26</v>
      </c>
      <c r="AD331" s="137">
        <v>36</v>
      </c>
      <c r="AE331" s="137">
        <v>64</v>
      </c>
      <c r="AF331" s="137">
        <v>58.000000000000007</v>
      </c>
      <c r="AG331" s="137">
        <v>31</v>
      </c>
      <c r="AH331" s="137">
        <v>29</v>
      </c>
      <c r="AI331" s="208">
        <v>2</v>
      </c>
      <c r="AJ331" s="172">
        <v>3000</v>
      </c>
      <c r="AK331" s="172">
        <v>30393</v>
      </c>
      <c r="AL331" s="172">
        <v>2000</v>
      </c>
      <c r="AM331" s="172">
        <v>30396</v>
      </c>
      <c r="AN331" s="172">
        <v>0</v>
      </c>
      <c r="AO331" s="172">
        <f t="shared" si="38"/>
        <v>34393</v>
      </c>
      <c r="AP331" s="172">
        <v>0</v>
      </c>
      <c r="AQ331" s="172">
        <f t="shared" si="39"/>
        <v>34396</v>
      </c>
      <c r="AR331" s="172">
        <v>1</v>
      </c>
      <c r="AS331" s="172">
        <v>0</v>
      </c>
      <c r="AT331" s="199">
        <v>78066</v>
      </c>
      <c r="AU331" s="195" t="s">
        <v>268</v>
      </c>
    </row>
    <row r="332" spans="1:47" x14ac:dyDescent="0.2">
      <c r="A332" s="173">
        <v>55067</v>
      </c>
      <c r="B332" s="174" t="s">
        <v>269</v>
      </c>
      <c r="C332" s="172">
        <v>86067</v>
      </c>
      <c r="D332" s="172">
        <v>150067</v>
      </c>
      <c r="E332" s="206" t="s">
        <v>1149</v>
      </c>
      <c r="F332" s="207">
        <v>2</v>
      </c>
      <c r="G332" s="172">
        <v>13000</v>
      </c>
      <c r="H332" s="172">
        <v>9000</v>
      </c>
      <c r="I332" s="172">
        <v>10000</v>
      </c>
      <c r="J332" s="172">
        <v>1</v>
      </c>
      <c r="K332" s="190">
        <f>IF($J332=1,INDEX('큐펫&amp;몹 정리(최신)'!P:P,MATCH($E332,'큐펫&amp;몹 정리(최신)'!$B:$B,0))*20,IF($J332=2,INDEX('큐펫&amp;몹 정리(최신)'!P:P,MATCH($E332,'큐펫&amp;몹 정리(최신)'!$B:$B,0))*25,IF($J332=3,INDEX('큐펫&amp;몹 정리(최신)'!P:P,MATCH($E332,'큐펫&amp;몹 정리(최신)'!$B:$B,0))*30,IF($J332=4,INDEX('큐펫&amp;몹 정리(최신)'!P:P,MATCH($E332,'큐펫&amp;몹 정리(최신)'!$B:$B,0))*35,INDEX('큐펫&amp;몹 정리(최신)'!P:P,MATCH($E332,'큐펫&amp;몹 정리(최신)'!$B:$B,0))*40))))</f>
        <v>1000</v>
      </c>
      <c r="L332" s="190">
        <f>IF($J332=1,INDEX('큐펫&amp;몹 정리(최신)'!Q:Q,MATCH($E332,'큐펫&amp;몹 정리(최신)'!$B:$B,0))*20,IF($J332=2,INDEX('큐펫&amp;몹 정리(최신)'!Q:Q,MATCH($E332,'큐펫&amp;몹 정리(최신)'!$B:$B,0))*25,IF($J332=3,INDEX('큐펫&amp;몹 정리(최신)'!Q:Q,MATCH($E332,'큐펫&amp;몹 정리(최신)'!$B:$B,0))*30,IF($J332=4,INDEX('큐펫&amp;몹 정리(최신)'!Q:Q,MATCH($E332,'큐펫&amp;몹 정리(최신)'!$B:$B,0))*35,INDEX('큐펫&amp;몹 정리(최신)'!Q:Q,MATCH($E332,'큐펫&amp;몹 정리(최신)'!$B:$B,0))*40))))</f>
        <v>100</v>
      </c>
      <c r="M332" s="190">
        <f>IF($J332=1,INDEX('큐펫&amp;몹 정리(최신)'!R:R,MATCH($E332,'큐펫&amp;몹 정리(최신)'!$B:$B,0))*20,IF($J332=2,INDEX('큐펫&amp;몹 정리(최신)'!R:R,MATCH($E332,'큐펫&amp;몹 정리(최신)'!$B:$B,0))*25,IF($J332=3,INDEX('큐펫&amp;몹 정리(최신)'!R:R,MATCH($E332,'큐펫&amp;몹 정리(최신)'!$B:$B,0))*30,IF($J332=4,INDEX('큐펫&amp;몹 정리(최신)'!R:R,MATCH($E332,'큐펫&amp;몹 정리(최신)'!$B:$B,0))*35,INDEX('큐펫&amp;몹 정리(최신)'!R:R,MATCH($E332,'큐펫&amp;몹 정리(최신)'!$B:$B,0))*40))))</f>
        <v>80</v>
      </c>
      <c r="N332" s="190">
        <f>IF($J332=1,INDEX('큐펫&amp;몹 정리(최신)'!S:S,MATCH($E332,'큐펫&amp;몹 정리(최신)'!$B:$B,0))*20,IF($J332=2,INDEX('큐펫&amp;몹 정리(최신)'!S:S,MATCH($E332,'큐펫&amp;몹 정리(최신)'!$B:$B,0))*25,IF($J332=3,INDEX('큐펫&amp;몹 정리(최신)'!S:S,MATCH($E332,'큐펫&amp;몹 정리(최신)'!$B:$B,0))*30,IF($J332=4,INDEX('큐펫&amp;몹 정리(최신)'!S:S,MATCH($E332,'큐펫&amp;몹 정리(최신)'!$B:$B,0))*35,INDEX('큐펫&amp;몹 정리(최신)'!S:S,MATCH($E332,'큐펫&amp;몹 정리(최신)'!$B:$B,0))*40))))</f>
        <v>360</v>
      </c>
      <c r="O332" s="190">
        <f>IF($J332=1,INDEX('큐펫&amp;몹 정리(최신)'!T:T,MATCH($E332,'큐펫&amp;몹 정리(최신)'!$B:$B,0))*20,IF($J332=2,INDEX('큐펫&amp;몹 정리(최신)'!T:T,MATCH($E332,'큐펫&amp;몹 정리(최신)'!$B:$B,0))*25,IF($J332=3,INDEX('큐펫&amp;몹 정리(최신)'!T:T,MATCH($E332,'큐펫&amp;몹 정리(최신)'!$B:$B,0))*30,IF($J332=4,INDEX('큐펫&amp;몹 정리(최신)'!T:T,MATCH($E332,'큐펫&amp;몹 정리(최신)'!$B:$B,0))*35,INDEX('큐펫&amp;몹 정리(최신)'!T:T,MATCH($E332,'큐펫&amp;몹 정리(최신)'!$B:$B,0))*40))))</f>
        <v>460</v>
      </c>
      <c r="P332" s="217">
        <v>20</v>
      </c>
      <c r="Q332" s="217">
        <f t="shared" si="40"/>
        <v>32800</v>
      </c>
      <c r="R332" s="217">
        <f t="shared" si="41"/>
        <v>350</v>
      </c>
      <c r="S332" s="217">
        <f t="shared" si="42"/>
        <v>1784</v>
      </c>
      <c r="T332" s="217">
        <f t="shared" si="43"/>
        <v>350</v>
      </c>
      <c r="U332" s="217">
        <f t="shared" si="44"/>
        <v>10627</v>
      </c>
      <c r="V332" s="217">
        <f t="shared" si="45"/>
        <v>6804</v>
      </c>
      <c r="W332" s="217">
        <f>ROUND(AC332+(INDEX(Ref!B$1:B$9,MATCH($AI332,Ref!$A$1:$A$9,0))*P332*0.0001),)</f>
        <v>17</v>
      </c>
      <c r="X332" s="217">
        <f>ROUND(AD332+(INDEX(Ref!C$1:C$9,MATCH($AI332,Ref!$A$1:$A$9,0))*$P332*0.0001),)</f>
        <v>32</v>
      </c>
      <c r="Y332" s="217">
        <f>ROUND(AE332+(INDEX(Ref!D$1:D$9,MATCH($AI332,Ref!$A$1:$A$9,0))*$P332*0.0001),)</f>
        <v>39</v>
      </c>
      <c r="Z332" s="217">
        <f>ROUND(AF332+(INDEX(Ref!E$1:E$9,MATCH($AI332,Ref!$A$1:$A$9,0))*$P332*0.0001),)</f>
        <v>19</v>
      </c>
      <c r="AA332" s="217">
        <f>ROUND(AG332+(INDEX(Ref!F$1:F$9,MATCH($AI332,Ref!$A$1:$A$9,0))*$P332*0.0001),)</f>
        <v>41</v>
      </c>
      <c r="AB332" s="217">
        <f>ROUND(AH332+(INDEX(Ref!G$1:G$9,MATCH($AI332,Ref!$A$1:$A$9,0))*$P332*0.0001),)</f>
        <v>36</v>
      </c>
      <c r="AC332" s="137">
        <v>15</v>
      </c>
      <c r="AD332" s="137">
        <v>28</v>
      </c>
      <c r="AE332" s="137">
        <v>36</v>
      </c>
      <c r="AF332" s="137">
        <v>17</v>
      </c>
      <c r="AG332" s="137">
        <v>36</v>
      </c>
      <c r="AH332" s="137">
        <v>32</v>
      </c>
      <c r="AI332" s="208">
        <v>5</v>
      </c>
      <c r="AJ332" s="172">
        <v>3000</v>
      </c>
      <c r="AK332" s="172">
        <v>30397</v>
      </c>
      <c r="AL332" s="172">
        <v>2000</v>
      </c>
      <c r="AM332" s="172">
        <v>30400</v>
      </c>
      <c r="AN332" s="172">
        <v>0</v>
      </c>
      <c r="AO332" s="172">
        <f t="shared" si="38"/>
        <v>34397</v>
      </c>
      <c r="AP332" s="172">
        <v>0</v>
      </c>
      <c r="AQ332" s="172">
        <f t="shared" si="39"/>
        <v>34400</v>
      </c>
      <c r="AR332" s="172">
        <v>1</v>
      </c>
      <c r="AS332" s="172">
        <v>0</v>
      </c>
      <c r="AT332" s="199">
        <v>78067</v>
      </c>
      <c r="AU332" s="195" t="s">
        <v>271</v>
      </c>
    </row>
    <row r="333" spans="1:47" x14ac:dyDescent="0.2">
      <c r="A333" s="173">
        <v>55067</v>
      </c>
      <c r="B333" s="174" t="s">
        <v>269</v>
      </c>
      <c r="C333" s="172">
        <v>86067</v>
      </c>
      <c r="D333" s="172">
        <v>150067</v>
      </c>
      <c r="E333" s="206" t="s">
        <v>270</v>
      </c>
      <c r="F333" s="207">
        <v>2</v>
      </c>
      <c r="G333" s="172">
        <v>13000</v>
      </c>
      <c r="H333" s="172">
        <v>9000</v>
      </c>
      <c r="I333" s="172">
        <v>10000</v>
      </c>
      <c r="J333" s="172">
        <v>2</v>
      </c>
      <c r="K333" s="190">
        <f>IF($J333=1,INDEX('큐펫&amp;몹 정리(최신)'!P:P,MATCH($E333,'큐펫&amp;몹 정리(최신)'!$B:$B,0))*20,IF($J333=2,INDEX('큐펫&amp;몹 정리(최신)'!P:P,MATCH($E333,'큐펫&amp;몹 정리(최신)'!$B:$B,0))*25,IF($J333=3,INDEX('큐펫&amp;몹 정리(최신)'!P:P,MATCH($E333,'큐펫&amp;몹 정리(최신)'!$B:$B,0))*30,IF($J333=4,INDEX('큐펫&amp;몹 정리(최신)'!P:P,MATCH($E333,'큐펫&amp;몹 정리(최신)'!$B:$B,0))*35,INDEX('큐펫&amp;몹 정리(최신)'!P:P,MATCH($E333,'큐펫&amp;몹 정리(최신)'!$B:$B,0))*40))))</f>
        <v>1250</v>
      </c>
      <c r="L333" s="190">
        <f>IF($J333=1,INDEX('큐펫&amp;몹 정리(최신)'!Q:Q,MATCH($E333,'큐펫&amp;몹 정리(최신)'!$B:$B,0))*20,IF($J333=2,INDEX('큐펫&amp;몹 정리(최신)'!Q:Q,MATCH($E333,'큐펫&amp;몹 정리(최신)'!$B:$B,0))*25,IF($J333=3,INDEX('큐펫&amp;몹 정리(최신)'!Q:Q,MATCH($E333,'큐펫&amp;몹 정리(최신)'!$B:$B,0))*30,IF($J333=4,INDEX('큐펫&amp;몹 정리(최신)'!Q:Q,MATCH($E333,'큐펫&amp;몹 정리(최신)'!$B:$B,0))*35,INDEX('큐펫&amp;몹 정리(최신)'!Q:Q,MATCH($E333,'큐펫&amp;몹 정리(최신)'!$B:$B,0))*40))))</f>
        <v>125</v>
      </c>
      <c r="M333" s="190">
        <f>IF($J333=1,INDEX('큐펫&amp;몹 정리(최신)'!R:R,MATCH($E333,'큐펫&amp;몹 정리(최신)'!$B:$B,0))*20,IF($J333=2,INDEX('큐펫&amp;몹 정리(최신)'!R:R,MATCH($E333,'큐펫&amp;몹 정리(최신)'!$B:$B,0))*25,IF($J333=3,INDEX('큐펫&amp;몹 정리(최신)'!R:R,MATCH($E333,'큐펫&amp;몹 정리(최신)'!$B:$B,0))*30,IF($J333=4,INDEX('큐펫&amp;몹 정리(최신)'!R:R,MATCH($E333,'큐펫&amp;몹 정리(최신)'!$B:$B,0))*35,INDEX('큐펫&amp;몹 정리(최신)'!R:R,MATCH($E333,'큐펫&amp;몹 정리(최신)'!$B:$B,0))*40))))</f>
        <v>100</v>
      </c>
      <c r="N333" s="190">
        <f>IF($J333=1,INDEX('큐펫&amp;몹 정리(최신)'!S:S,MATCH($E333,'큐펫&amp;몹 정리(최신)'!$B:$B,0))*20,IF($J333=2,INDEX('큐펫&amp;몹 정리(최신)'!S:S,MATCH($E333,'큐펫&amp;몹 정리(최신)'!$B:$B,0))*25,IF($J333=3,INDEX('큐펫&amp;몹 정리(최신)'!S:S,MATCH($E333,'큐펫&amp;몹 정리(최신)'!$B:$B,0))*30,IF($J333=4,INDEX('큐펫&amp;몹 정리(최신)'!S:S,MATCH($E333,'큐펫&amp;몹 정리(최신)'!$B:$B,0))*35,INDEX('큐펫&amp;몹 정리(최신)'!S:S,MATCH($E333,'큐펫&amp;몹 정리(최신)'!$B:$B,0))*40))))</f>
        <v>450</v>
      </c>
      <c r="O333" s="190">
        <f>IF($J333=1,INDEX('큐펫&amp;몹 정리(최신)'!T:T,MATCH($E333,'큐펫&amp;몹 정리(최신)'!$B:$B,0))*20,IF($J333=2,INDEX('큐펫&amp;몹 정리(최신)'!T:T,MATCH($E333,'큐펫&amp;몹 정리(최신)'!$B:$B,0))*25,IF($J333=3,INDEX('큐펫&amp;몹 정리(최신)'!T:T,MATCH($E333,'큐펫&amp;몹 정리(최신)'!$B:$B,0))*30,IF($J333=4,INDEX('큐펫&amp;몹 정리(최신)'!T:T,MATCH($E333,'큐펫&amp;몹 정리(최신)'!$B:$B,0))*35,INDEX('큐펫&amp;몹 정리(최신)'!T:T,MATCH($E333,'큐펫&amp;몹 정리(최신)'!$B:$B,0))*40))))</f>
        <v>575</v>
      </c>
      <c r="P333" s="217">
        <v>40</v>
      </c>
      <c r="Q333" s="217">
        <f t="shared" si="40"/>
        <v>78200</v>
      </c>
      <c r="R333" s="217">
        <f t="shared" si="41"/>
        <v>634</v>
      </c>
      <c r="S333" s="217">
        <f t="shared" si="42"/>
        <v>3387</v>
      </c>
      <c r="T333" s="217">
        <f t="shared" si="43"/>
        <v>661</v>
      </c>
      <c r="U333" s="217">
        <f t="shared" si="44"/>
        <v>18909</v>
      </c>
      <c r="V333" s="217">
        <f t="shared" si="45"/>
        <v>12099</v>
      </c>
      <c r="W333" s="217">
        <f>ROUND(AC333+(INDEX(Ref!B$1:B$9,MATCH($AI333,Ref!$A$1:$A$9,0))*P333*0.0001),)</f>
        <v>21</v>
      </c>
      <c r="X333" s="217">
        <f>ROUND(AD333+(INDEX(Ref!C$1:C$9,MATCH($AI333,Ref!$A$1:$A$9,0))*$P333*0.0001),)</f>
        <v>40</v>
      </c>
      <c r="Y333" s="217">
        <f>ROUND(AE333+(INDEX(Ref!D$1:D$9,MATCH($AI333,Ref!$A$1:$A$9,0))*$P333*0.0001),)</f>
        <v>44</v>
      </c>
      <c r="Z333" s="217">
        <f>ROUND(AF333+(INDEX(Ref!E$1:E$9,MATCH($AI333,Ref!$A$1:$A$9,0))*$P333*0.0001),)</f>
        <v>24</v>
      </c>
      <c r="AA333" s="217">
        <f>ROUND(AG333+(INDEX(Ref!F$1:F$9,MATCH($AI333,Ref!$A$1:$A$9,0))*$P333*0.0001),)</f>
        <v>51</v>
      </c>
      <c r="AB333" s="217">
        <f>ROUND(AH333+(INDEX(Ref!G$1:G$9,MATCH($AI333,Ref!$A$1:$A$9,0))*$P333*0.0001),)</f>
        <v>44</v>
      </c>
      <c r="AC333" s="137">
        <v>17</v>
      </c>
      <c r="AD333" s="137">
        <v>32</v>
      </c>
      <c r="AE333" s="137">
        <v>39</v>
      </c>
      <c r="AF333" s="137">
        <v>19</v>
      </c>
      <c r="AG333" s="137">
        <v>41</v>
      </c>
      <c r="AH333" s="137">
        <v>36</v>
      </c>
      <c r="AI333" s="208">
        <v>5</v>
      </c>
      <c r="AJ333" s="172">
        <v>3000</v>
      </c>
      <c r="AK333" s="172">
        <v>30398</v>
      </c>
      <c r="AL333" s="172">
        <v>2000</v>
      </c>
      <c r="AM333" s="172">
        <v>30400</v>
      </c>
      <c r="AN333" s="172">
        <v>0</v>
      </c>
      <c r="AO333" s="172">
        <f t="shared" ref="AO333:AO396" si="46">AK333+4000</f>
        <v>34398</v>
      </c>
      <c r="AP333" s="172">
        <v>0</v>
      </c>
      <c r="AQ333" s="172">
        <f t="shared" ref="AQ333:AQ396" si="47">AM333+4000</f>
        <v>34400</v>
      </c>
      <c r="AR333" s="172">
        <v>1</v>
      </c>
      <c r="AS333" s="172">
        <v>0</v>
      </c>
      <c r="AT333" s="199">
        <v>78067</v>
      </c>
      <c r="AU333" s="195" t="s">
        <v>271</v>
      </c>
    </row>
    <row r="334" spans="1:47" x14ac:dyDescent="0.2">
      <c r="A334" s="173">
        <v>55067</v>
      </c>
      <c r="B334" s="174" t="s">
        <v>269</v>
      </c>
      <c r="C334" s="172">
        <v>86067</v>
      </c>
      <c r="D334" s="172">
        <v>150067</v>
      </c>
      <c r="E334" s="206" t="s">
        <v>270</v>
      </c>
      <c r="F334" s="207">
        <v>2</v>
      </c>
      <c r="G334" s="172">
        <v>13000</v>
      </c>
      <c r="H334" s="172">
        <v>9000</v>
      </c>
      <c r="I334" s="172">
        <v>10000</v>
      </c>
      <c r="J334" s="172">
        <v>3</v>
      </c>
      <c r="K334" s="190">
        <f>IF($J334=1,INDEX('큐펫&amp;몹 정리(최신)'!P:P,MATCH($E334,'큐펫&amp;몹 정리(최신)'!$B:$B,0))*20,IF($J334=2,INDEX('큐펫&amp;몹 정리(최신)'!P:P,MATCH($E334,'큐펫&amp;몹 정리(최신)'!$B:$B,0))*25,IF($J334=3,INDEX('큐펫&amp;몹 정리(최신)'!P:P,MATCH($E334,'큐펫&amp;몹 정리(최신)'!$B:$B,0))*30,IF($J334=4,INDEX('큐펫&amp;몹 정리(최신)'!P:P,MATCH($E334,'큐펫&amp;몹 정리(최신)'!$B:$B,0))*35,INDEX('큐펫&amp;몹 정리(최신)'!P:P,MATCH($E334,'큐펫&amp;몹 정리(최신)'!$B:$B,0))*40))))</f>
        <v>1500</v>
      </c>
      <c r="L334" s="190">
        <f>IF($J334=1,INDEX('큐펫&amp;몹 정리(최신)'!Q:Q,MATCH($E334,'큐펫&amp;몹 정리(최신)'!$B:$B,0))*20,IF($J334=2,INDEX('큐펫&amp;몹 정리(최신)'!Q:Q,MATCH($E334,'큐펫&amp;몹 정리(최신)'!$B:$B,0))*25,IF($J334=3,INDEX('큐펫&amp;몹 정리(최신)'!Q:Q,MATCH($E334,'큐펫&amp;몹 정리(최신)'!$B:$B,0))*30,IF($J334=4,INDEX('큐펫&amp;몹 정리(최신)'!Q:Q,MATCH($E334,'큐펫&amp;몹 정리(최신)'!$B:$B,0))*35,INDEX('큐펫&amp;몹 정리(최신)'!Q:Q,MATCH($E334,'큐펫&amp;몹 정리(최신)'!$B:$B,0))*40))))</f>
        <v>150</v>
      </c>
      <c r="M334" s="190">
        <f>IF($J334=1,INDEX('큐펫&amp;몹 정리(최신)'!R:R,MATCH($E334,'큐펫&amp;몹 정리(최신)'!$B:$B,0))*20,IF($J334=2,INDEX('큐펫&amp;몹 정리(최신)'!R:R,MATCH($E334,'큐펫&amp;몹 정리(최신)'!$B:$B,0))*25,IF($J334=3,INDEX('큐펫&amp;몹 정리(최신)'!R:R,MATCH($E334,'큐펫&amp;몹 정리(최신)'!$B:$B,0))*30,IF($J334=4,INDEX('큐펫&amp;몹 정리(최신)'!R:R,MATCH($E334,'큐펫&amp;몹 정리(최신)'!$B:$B,0))*35,INDEX('큐펫&amp;몹 정리(최신)'!R:R,MATCH($E334,'큐펫&amp;몹 정리(최신)'!$B:$B,0))*40))))</f>
        <v>120</v>
      </c>
      <c r="N334" s="190">
        <f>IF($J334=1,INDEX('큐펫&amp;몹 정리(최신)'!S:S,MATCH($E334,'큐펫&amp;몹 정리(최신)'!$B:$B,0))*20,IF($J334=2,INDEX('큐펫&amp;몹 정리(최신)'!S:S,MATCH($E334,'큐펫&amp;몹 정리(최신)'!$B:$B,0))*25,IF($J334=3,INDEX('큐펫&amp;몹 정리(최신)'!S:S,MATCH($E334,'큐펫&amp;몹 정리(최신)'!$B:$B,0))*30,IF($J334=4,INDEX('큐펫&amp;몹 정리(최신)'!S:S,MATCH($E334,'큐펫&amp;몹 정리(최신)'!$B:$B,0))*35,INDEX('큐펫&amp;몹 정리(최신)'!S:S,MATCH($E334,'큐펫&amp;몹 정리(최신)'!$B:$B,0))*40))))</f>
        <v>540</v>
      </c>
      <c r="O334" s="190">
        <f>IF($J334=1,INDEX('큐펫&amp;몹 정리(최신)'!T:T,MATCH($E334,'큐펫&amp;몹 정리(최신)'!$B:$B,0))*20,IF($J334=2,INDEX('큐펫&amp;몹 정리(최신)'!T:T,MATCH($E334,'큐펫&amp;몹 정리(최신)'!$B:$B,0))*25,IF($J334=3,INDEX('큐펫&amp;몹 정리(최신)'!T:T,MATCH($E334,'큐펫&amp;몹 정리(최신)'!$B:$B,0))*30,IF($J334=4,INDEX('큐펫&amp;몹 정리(최신)'!T:T,MATCH($E334,'큐펫&amp;몹 정리(최신)'!$B:$B,0))*35,INDEX('큐펫&amp;몹 정리(최신)'!T:T,MATCH($E334,'큐펫&amp;몹 정리(최신)'!$B:$B,0))*40))))</f>
        <v>690</v>
      </c>
      <c r="P334" s="217">
        <v>60</v>
      </c>
      <c r="Q334" s="217">
        <f t="shared" si="40"/>
        <v>142500</v>
      </c>
      <c r="R334" s="217">
        <f t="shared" si="41"/>
        <v>1121</v>
      </c>
      <c r="S334" s="217">
        <f t="shared" si="42"/>
        <v>5567</v>
      </c>
      <c r="T334" s="217">
        <f t="shared" si="43"/>
        <v>1047</v>
      </c>
      <c r="U334" s="217">
        <f t="shared" si="44"/>
        <v>29710</v>
      </c>
      <c r="V334" s="217">
        <f t="shared" si="45"/>
        <v>19003</v>
      </c>
      <c r="W334" s="217">
        <f>ROUND(AC334+(INDEX(Ref!B$1:B$9,MATCH($AI334,Ref!$A$1:$A$9,0))*P334*0.0001),)</f>
        <v>26</v>
      </c>
      <c r="X334" s="217">
        <f>ROUND(AD334+(INDEX(Ref!C$1:C$9,MATCH($AI334,Ref!$A$1:$A$9,0))*$P334*0.0001),)</f>
        <v>47</v>
      </c>
      <c r="Y334" s="217">
        <f>ROUND(AE334+(INDEX(Ref!D$1:D$9,MATCH($AI334,Ref!$A$1:$A$9,0))*$P334*0.0001),)</f>
        <v>50</v>
      </c>
      <c r="Z334" s="217">
        <f>ROUND(AF334+(INDEX(Ref!E$1:E$9,MATCH($AI334,Ref!$A$1:$A$9,0))*$P334*0.0001),)</f>
        <v>28</v>
      </c>
      <c r="AA334" s="217">
        <f>ROUND(AG334+(INDEX(Ref!F$1:F$9,MATCH($AI334,Ref!$A$1:$A$9,0))*$P334*0.0001),)</f>
        <v>60</v>
      </c>
      <c r="AB334" s="217">
        <f>ROUND(AH334+(INDEX(Ref!G$1:G$9,MATCH($AI334,Ref!$A$1:$A$9,0))*$P334*0.0001),)</f>
        <v>53</v>
      </c>
      <c r="AC334" s="137">
        <v>19</v>
      </c>
      <c r="AD334" s="137">
        <v>36</v>
      </c>
      <c r="AE334" s="137">
        <v>42</v>
      </c>
      <c r="AF334" s="137">
        <v>21</v>
      </c>
      <c r="AG334" s="137">
        <v>46</v>
      </c>
      <c r="AH334" s="137">
        <v>40</v>
      </c>
      <c r="AI334" s="208">
        <v>5</v>
      </c>
      <c r="AJ334" s="172">
        <v>3000</v>
      </c>
      <c r="AK334" s="172">
        <v>30398</v>
      </c>
      <c r="AL334" s="172">
        <v>2000</v>
      </c>
      <c r="AM334" s="172">
        <v>30401</v>
      </c>
      <c r="AN334" s="172">
        <v>0</v>
      </c>
      <c r="AO334" s="172">
        <f t="shared" si="46"/>
        <v>34398</v>
      </c>
      <c r="AP334" s="172">
        <v>0</v>
      </c>
      <c r="AQ334" s="172">
        <f t="shared" si="47"/>
        <v>34401</v>
      </c>
      <c r="AR334" s="172">
        <v>1</v>
      </c>
      <c r="AS334" s="172">
        <v>0</v>
      </c>
      <c r="AT334" s="199">
        <v>78067</v>
      </c>
      <c r="AU334" s="195" t="s">
        <v>271</v>
      </c>
    </row>
    <row r="335" spans="1:47" x14ac:dyDescent="0.2">
      <c r="A335" s="173">
        <v>55067</v>
      </c>
      <c r="B335" s="174" t="s">
        <v>269</v>
      </c>
      <c r="C335" s="172">
        <v>86067</v>
      </c>
      <c r="D335" s="172">
        <v>150067</v>
      </c>
      <c r="E335" s="206" t="s">
        <v>270</v>
      </c>
      <c r="F335" s="207">
        <v>2</v>
      </c>
      <c r="G335" s="172">
        <v>13000</v>
      </c>
      <c r="H335" s="172">
        <v>9000</v>
      </c>
      <c r="I335" s="172">
        <v>10000</v>
      </c>
      <c r="J335" s="172">
        <v>4</v>
      </c>
      <c r="K335" s="190">
        <f>IF($J335=1,INDEX('큐펫&amp;몹 정리(최신)'!P:P,MATCH($E335,'큐펫&amp;몹 정리(최신)'!$B:$B,0))*20,IF($J335=2,INDEX('큐펫&amp;몹 정리(최신)'!P:P,MATCH($E335,'큐펫&amp;몹 정리(최신)'!$B:$B,0))*25,IF($J335=3,INDEX('큐펫&amp;몹 정리(최신)'!P:P,MATCH($E335,'큐펫&amp;몹 정리(최신)'!$B:$B,0))*30,IF($J335=4,INDEX('큐펫&amp;몹 정리(최신)'!P:P,MATCH($E335,'큐펫&amp;몹 정리(최신)'!$B:$B,0))*35,INDEX('큐펫&amp;몹 정리(최신)'!P:P,MATCH($E335,'큐펫&amp;몹 정리(최신)'!$B:$B,0))*40))))</f>
        <v>1750</v>
      </c>
      <c r="L335" s="190">
        <f>IF($J335=1,INDEX('큐펫&amp;몹 정리(최신)'!Q:Q,MATCH($E335,'큐펫&amp;몹 정리(최신)'!$B:$B,0))*20,IF($J335=2,INDEX('큐펫&amp;몹 정리(최신)'!Q:Q,MATCH($E335,'큐펫&amp;몹 정리(최신)'!$B:$B,0))*25,IF($J335=3,INDEX('큐펫&amp;몹 정리(최신)'!Q:Q,MATCH($E335,'큐펫&amp;몹 정리(최신)'!$B:$B,0))*30,IF($J335=4,INDEX('큐펫&amp;몹 정리(최신)'!Q:Q,MATCH($E335,'큐펫&amp;몹 정리(최신)'!$B:$B,0))*35,INDEX('큐펫&amp;몹 정리(최신)'!Q:Q,MATCH($E335,'큐펫&amp;몹 정리(최신)'!$B:$B,0))*40))))</f>
        <v>175</v>
      </c>
      <c r="M335" s="190">
        <f>IF($J335=1,INDEX('큐펫&amp;몹 정리(최신)'!R:R,MATCH($E335,'큐펫&amp;몹 정리(최신)'!$B:$B,0))*20,IF($J335=2,INDEX('큐펫&amp;몹 정리(최신)'!R:R,MATCH($E335,'큐펫&amp;몹 정리(최신)'!$B:$B,0))*25,IF($J335=3,INDEX('큐펫&amp;몹 정리(최신)'!R:R,MATCH($E335,'큐펫&amp;몹 정리(최신)'!$B:$B,0))*30,IF($J335=4,INDEX('큐펫&amp;몹 정리(최신)'!R:R,MATCH($E335,'큐펫&amp;몹 정리(최신)'!$B:$B,0))*35,INDEX('큐펫&amp;몹 정리(최신)'!R:R,MATCH($E335,'큐펫&amp;몹 정리(최신)'!$B:$B,0))*40))))</f>
        <v>140</v>
      </c>
      <c r="N335" s="190">
        <f>IF($J335=1,INDEX('큐펫&amp;몹 정리(최신)'!S:S,MATCH($E335,'큐펫&amp;몹 정리(최신)'!$B:$B,0))*20,IF($J335=2,INDEX('큐펫&amp;몹 정리(최신)'!S:S,MATCH($E335,'큐펫&amp;몹 정리(최신)'!$B:$B,0))*25,IF($J335=3,INDEX('큐펫&amp;몹 정리(최신)'!S:S,MATCH($E335,'큐펫&amp;몹 정리(최신)'!$B:$B,0))*30,IF($J335=4,INDEX('큐펫&amp;몹 정리(최신)'!S:S,MATCH($E335,'큐펫&amp;몹 정리(최신)'!$B:$B,0))*35,INDEX('큐펫&amp;몹 정리(최신)'!S:S,MATCH($E335,'큐펫&amp;몹 정리(최신)'!$B:$B,0))*40))))</f>
        <v>630</v>
      </c>
      <c r="O335" s="190">
        <f>IF($J335=1,INDEX('큐펫&amp;몹 정리(최신)'!T:T,MATCH($E335,'큐펫&amp;몹 정리(최신)'!$B:$B,0))*20,IF($J335=2,INDEX('큐펫&amp;몹 정리(최신)'!T:T,MATCH($E335,'큐펫&amp;몹 정리(최신)'!$B:$B,0))*25,IF($J335=3,INDEX('큐펫&amp;몹 정리(최신)'!T:T,MATCH($E335,'큐펫&amp;몹 정리(최신)'!$B:$B,0))*30,IF($J335=4,INDEX('큐펫&amp;몹 정리(최신)'!T:T,MATCH($E335,'큐펫&amp;몹 정리(최신)'!$B:$B,0))*35,INDEX('큐펫&amp;몹 정리(최신)'!T:T,MATCH($E335,'큐펫&amp;몹 정리(최신)'!$B:$B,0))*40))))</f>
        <v>805</v>
      </c>
      <c r="P335" s="217">
        <v>80</v>
      </c>
      <c r="Q335" s="217">
        <f t="shared" si="40"/>
        <v>224300</v>
      </c>
      <c r="R335" s="217">
        <f t="shared" si="41"/>
        <v>1813</v>
      </c>
      <c r="S335" s="217">
        <f t="shared" si="42"/>
        <v>8774</v>
      </c>
      <c r="T335" s="217">
        <f t="shared" si="43"/>
        <v>1750</v>
      </c>
      <c r="U335" s="217">
        <f t="shared" si="44"/>
        <v>42222</v>
      </c>
      <c r="V335" s="217">
        <f t="shared" si="45"/>
        <v>27001</v>
      </c>
      <c r="W335" s="217">
        <f>ROUND(AC335+(INDEX(Ref!B$1:B$9,MATCH($AI335,Ref!$A$1:$A$9,0))*P335*0.0001),)</f>
        <v>31</v>
      </c>
      <c r="X335" s="217">
        <f>ROUND(AD335+(INDEX(Ref!C$1:C$9,MATCH($AI335,Ref!$A$1:$A$9,0))*$P335*0.0001),)</f>
        <v>54</v>
      </c>
      <c r="Y335" s="217">
        <f>ROUND(AE335+(INDEX(Ref!D$1:D$9,MATCH($AI335,Ref!$A$1:$A$9,0))*$P335*0.0001),)</f>
        <v>54</v>
      </c>
      <c r="Z335" s="217">
        <f>ROUND(AF335+(INDEX(Ref!E$1:E$9,MATCH($AI335,Ref!$A$1:$A$9,0))*$P335*0.0001),)</f>
        <v>34</v>
      </c>
      <c r="AA335" s="217">
        <f>ROUND(AG335+(INDEX(Ref!F$1:F$9,MATCH($AI335,Ref!$A$1:$A$9,0))*$P335*0.0001),)</f>
        <v>70</v>
      </c>
      <c r="AB335" s="217">
        <f>ROUND(AH335+(INDEX(Ref!G$1:G$9,MATCH($AI335,Ref!$A$1:$A$9,0))*$P335*0.0001),)</f>
        <v>61</v>
      </c>
      <c r="AC335" s="137">
        <v>22</v>
      </c>
      <c r="AD335" s="137">
        <v>39</v>
      </c>
      <c r="AE335" s="137">
        <v>44</v>
      </c>
      <c r="AF335" s="137">
        <v>24</v>
      </c>
      <c r="AG335" s="137">
        <v>51</v>
      </c>
      <c r="AH335" s="137">
        <v>44</v>
      </c>
      <c r="AI335" s="208">
        <v>5</v>
      </c>
      <c r="AJ335" s="172">
        <v>3000</v>
      </c>
      <c r="AK335" s="172">
        <v>30399</v>
      </c>
      <c r="AL335" s="172">
        <v>2000</v>
      </c>
      <c r="AM335" s="172">
        <v>30401</v>
      </c>
      <c r="AN335" s="172">
        <v>0</v>
      </c>
      <c r="AO335" s="172">
        <f t="shared" si="46"/>
        <v>34399</v>
      </c>
      <c r="AP335" s="172">
        <v>0</v>
      </c>
      <c r="AQ335" s="172">
        <f t="shared" si="47"/>
        <v>34401</v>
      </c>
      <c r="AR335" s="172">
        <v>1</v>
      </c>
      <c r="AS335" s="172">
        <v>0</v>
      </c>
      <c r="AT335" s="199">
        <v>78067</v>
      </c>
      <c r="AU335" s="195" t="s">
        <v>271</v>
      </c>
    </row>
    <row r="336" spans="1:47" x14ac:dyDescent="0.2">
      <c r="A336" s="173">
        <v>55067</v>
      </c>
      <c r="B336" s="174" t="s">
        <v>269</v>
      </c>
      <c r="C336" s="172">
        <v>86067</v>
      </c>
      <c r="D336" s="172">
        <v>150067</v>
      </c>
      <c r="E336" s="206" t="s">
        <v>270</v>
      </c>
      <c r="F336" s="207">
        <v>2</v>
      </c>
      <c r="G336" s="172">
        <v>13000</v>
      </c>
      <c r="H336" s="172">
        <v>9000</v>
      </c>
      <c r="I336" s="172">
        <v>10000</v>
      </c>
      <c r="J336" s="172">
        <v>5</v>
      </c>
      <c r="K336" s="190">
        <f>IF($J336=1,INDEX('큐펫&amp;몹 정리(최신)'!P:P,MATCH($E336,'큐펫&amp;몹 정리(최신)'!$B:$B,0))*20,IF($J336=2,INDEX('큐펫&amp;몹 정리(최신)'!P:P,MATCH($E336,'큐펫&amp;몹 정리(최신)'!$B:$B,0))*25,IF($J336=3,INDEX('큐펫&amp;몹 정리(최신)'!P:P,MATCH($E336,'큐펫&amp;몹 정리(최신)'!$B:$B,0))*30,IF($J336=4,INDEX('큐펫&amp;몹 정리(최신)'!P:P,MATCH($E336,'큐펫&amp;몹 정리(최신)'!$B:$B,0))*35,INDEX('큐펫&amp;몹 정리(최신)'!P:P,MATCH($E336,'큐펫&amp;몹 정리(최신)'!$B:$B,0))*40))))</f>
        <v>2000</v>
      </c>
      <c r="L336" s="190">
        <f>IF($J336=1,INDEX('큐펫&amp;몹 정리(최신)'!Q:Q,MATCH($E336,'큐펫&amp;몹 정리(최신)'!$B:$B,0))*20,IF($J336=2,INDEX('큐펫&amp;몹 정리(최신)'!Q:Q,MATCH($E336,'큐펫&amp;몹 정리(최신)'!$B:$B,0))*25,IF($J336=3,INDEX('큐펫&amp;몹 정리(최신)'!Q:Q,MATCH($E336,'큐펫&amp;몹 정리(최신)'!$B:$B,0))*30,IF($J336=4,INDEX('큐펫&amp;몹 정리(최신)'!Q:Q,MATCH($E336,'큐펫&amp;몹 정리(최신)'!$B:$B,0))*35,INDEX('큐펫&amp;몹 정리(최신)'!Q:Q,MATCH($E336,'큐펫&amp;몹 정리(최신)'!$B:$B,0))*40))))</f>
        <v>200</v>
      </c>
      <c r="M336" s="190">
        <f>IF($J336=1,INDEX('큐펫&amp;몹 정리(최신)'!R:R,MATCH($E336,'큐펫&amp;몹 정리(최신)'!$B:$B,0))*20,IF($J336=2,INDEX('큐펫&amp;몹 정리(최신)'!R:R,MATCH($E336,'큐펫&amp;몹 정리(최신)'!$B:$B,0))*25,IF($J336=3,INDEX('큐펫&amp;몹 정리(최신)'!R:R,MATCH($E336,'큐펫&amp;몹 정리(최신)'!$B:$B,0))*30,IF($J336=4,INDEX('큐펫&amp;몹 정리(최신)'!R:R,MATCH($E336,'큐펫&amp;몹 정리(최신)'!$B:$B,0))*35,INDEX('큐펫&amp;몹 정리(최신)'!R:R,MATCH($E336,'큐펫&amp;몹 정리(최신)'!$B:$B,0))*40))))</f>
        <v>160</v>
      </c>
      <c r="N336" s="190">
        <f>IF($J336=1,INDEX('큐펫&amp;몹 정리(최신)'!S:S,MATCH($E336,'큐펫&amp;몹 정리(최신)'!$B:$B,0))*20,IF($J336=2,INDEX('큐펫&amp;몹 정리(최신)'!S:S,MATCH($E336,'큐펫&amp;몹 정리(최신)'!$B:$B,0))*25,IF($J336=3,INDEX('큐펫&amp;몹 정리(최신)'!S:S,MATCH($E336,'큐펫&amp;몹 정리(최신)'!$B:$B,0))*30,IF($J336=4,INDEX('큐펫&amp;몹 정리(최신)'!S:S,MATCH($E336,'큐펫&amp;몹 정리(최신)'!$B:$B,0))*35,INDEX('큐펫&amp;몹 정리(최신)'!S:S,MATCH($E336,'큐펫&amp;몹 정리(최신)'!$B:$B,0))*40))))</f>
        <v>720</v>
      </c>
      <c r="O336" s="190">
        <f>IF($J336=1,INDEX('큐펫&amp;몹 정리(최신)'!T:T,MATCH($E336,'큐펫&amp;몹 정리(최신)'!$B:$B,0))*20,IF($J336=2,INDEX('큐펫&amp;몹 정리(최신)'!T:T,MATCH($E336,'큐펫&amp;몹 정리(최신)'!$B:$B,0))*25,IF($J336=3,INDEX('큐펫&amp;몹 정리(최신)'!T:T,MATCH($E336,'큐펫&amp;몹 정리(최신)'!$B:$B,0))*30,IF($J336=4,INDEX('큐펫&amp;몹 정리(최신)'!T:T,MATCH($E336,'큐펫&amp;몹 정리(최신)'!$B:$B,0))*35,INDEX('큐펫&amp;몹 정리(최신)'!T:T,MATCH($E336,'큐펫&amp;몹 정리(최신)'!$B:$B,0))*40))))</f>
        <v>920</v>
      </c>
      <c r="P336" s="217">
        <v>100</v>
      </c>
      <c r="Q336" s="217">
        <f t="shared" si="40"/>
        <v>330000</v>
      </c>
      <c r="R336" s="217">
        <f t="shared" si="41"/>
        <v>2603</v>
      </c>
      <c r="S336" s="217">
        <f t="shared" si="42"/>
        <v>13032</v>
      </c>
      <c r="T336" s="217">
        <f t="shared" si="43"/>
        <v>2463</v>
      </c>
      <c r="U336" s="217">
        <f t="shared" si="44"/>
        <v>57614</v>
      </c>
      <c r="V336" s="217">
        <f t="shared" si="45"/>
        <v>36838</v>
      </c>
      <c r="W336" s="217">
        <f>ROUND(AC336+(INDEX(Ref!B$1:B$9,MATCH($AI336,Ref!$A$1:$A$9,0))*P336*0.0001),)</f>
        <v>35</v>
      </c>
      <c r="X336" s="217">
        <f>ROUND(AD336+(INDEX(Ref!C$1:C$9,MATCH($AI336,Ref!$A$1:$A$9,0))*$P336*0.0001),)</f>
        <v>62</v>
      </c>
      <c r="Y336" s="217">
        <f>ROUND(AE336+(INDEX(Ref!D$1:D$9,MATCH($AI336,Ref!$A$1:$A$9,0))*$P336*0.0001),)</f>
        <v>60</v>
      </c>
      <c r="Z336" s="217">
        <f>ROUND(AF336+(INDEX(Ref!E$1:E$9,MATCH($AI336,Ref!$A$1:$A$9,0))*$P336*0.0001),)</f>
        <v>38</v>
      </c>
      <c r="AA336" s="217">
        <f>ROUND(AG336+(INDEX(Ref!F$1:F$9,MATCH($AI336,Ref!$A$1:$A$9,0))*$P336*0.0001),)</f>
        <v>80</v>
      </c>
      <c r="AB336" s="217">
        <f>ROUND(AH336+(INDEX(Ref!G$1:G$9,MATCH($AI336,Ref!$A$1:$A$9,0))*$P336*0.0001),)</f>
        <v>69</v>
      </c>
      <c r="AC336" s="137">
        <v>24</v>
      </c>
      <c r="AD336" s="137">
        <v>43</v>
      </c>
      <c r="AE336" s="137">
        <v>47</v>
      </c>
      <c r="AF336" s="137">
        <v>26</v>
      </c>
      <c r="AG336" s="137">
        <v>56</v>
      </c>
      <c r="AH336" s="137">
        <v>48</v>
      </c>
      <c r="AI336" s="208">
        <v>5</v>
      </c>
      <c r="AJ336" s="172">
        <v>3000</v>
      </c>
      <c r="AK336" s="172">
        <v>30399</v>
      </c>
      <c r="AL336" s="172">
        <v>2000</v>
      </c>
      <c r="AM336" s="172">
        <v>30402</v>
      </c>
      <c r="AN336" s="172">
        <v>0</v>
      </c>
      <c r="AO336" s="172">
        <f t="shared" si="46"/>
        <v>34399</v>
      </c>
      <c r="AP336" s="172">
        <v>0</v>
      </c>
      <c r="AQ336" s="172">
        <f t="shared" si="47"/>
        <v>34402</v>
      </c>
      <c r="AR336" s="172">
        <v>1</v>
      </c>
      <c r="AS336" s="172">
        <v>0</v>
      </c>
      <c r="AT336" s="199">
        <v>78067</v>
      </c>
      <c r="AU336" s="195" t="s">
        <v>271</v>
      </c>
    </row>
    <row r="337" spans="1:47" x14ac:dyDescent="0.2">
      <c r="A337" s="173">
        <v>55068</v>
      </c>
      <c r="B337" s="174" t="s">
        <v>272</v>
      </c>
      <c r="C337" s="172">
        <v>86068</v>
      </c>
      <c r="D337" s="172">
        <v>150068</v>
      </c>
      <c r="E337" s="206" t="s">
        <v>273</v>
      </c>
      <c r="F337" s="207">
        <v>9</v>
      </c>
      <c r="G337" s="172">
        <v>8500</v>
      </c>
      <c r="H337" s="172">
        <v>8500</v>
      </c>
      <c r="I337" s="172">
        <v>10000</v>
      </c>
      <c r="J337" s="172">
        <v>1</v>
      </c>
      <c r="K337" s="190">
        <f>IF($J337=1,INDEX('큐펫&amp;몹 정리(최신)'!P:P,MATCH($E337,'큐펫&amp;몹 정리(최신)'!$B:$B,0))*20,IF($J337=2,INDEX('큐펫&amp;몹 정리(최신)'!P:P,MATCH($E337,'큐펫&amp;몹 정리(최신)'!$B:$B,0))*25,IF($J337=3,INDEX('큐펫&amp;몹 정리(최신)'!P:P,MATCH($E337,'큐펫&amp;몹 정리(최신)'!$B:$B,0))*30,IF($J337=4,INDEX('큐펫&amp;몹 정리(최신)'!P:P,MATCH($E337,'큐펫&amp;몹 정리(최신)'!$B:$B,0))*35,INDEX('큐펫&amp;몹 정리(최신)'!P:P,MATCH($E337,'큐펫&amp;몹 정리(최신)'!$B:$B,0))*40))))</f>
        <v>800</v>
      </c>
      <c r="L337" s="190">
        <f>IF($J337=1,INDEX('큐펫&amp;몹 정리(최신)'!Q:Q,MATCH($E337,'큐펫&amp;몹 정리(최신)'!$B:$B,0))*20,IF($J337=2,INDEX('큐펫&amp;몹 정리(최신)'!Q:Q,MATCH($E337,'큐펫&amp;몹 정리(최신)'!$B:$B,0))*25,IF($J337=3,INDEX('큐펫&amp;몹 정리(최신)'!Q:Q,MATCH($E337,'큐펫&amp;몹 정리(최신)'!$B:$B,0))*30,IF($J337=4,INDEX('큐펫&amp;몹 정리(최신)'!Q:Q,MATCH($E337,'큐펫&amp;몹 정리(최신)'!$B:$B,0))*35,INDEX('큐펫&amp;몹 정리(최신)'!Q:Q,MATCH($E337,'큐펫&amp;몹 정리(최신)'!$B:$B,0))*40))))</f>
        <v>480</v>
      </c>
      <c r="M337" s="190">
        <f>IF($J337=1,INDEX('큐펫&amp;몹 정리(최신)'!R:R,MATCH($E337,'큐펫&amp;몹 정리(최신)'!$B:$B,0))*20,IF($J337=2,INDEX('큐펫&amp;몹 정리(최신)'!R:R,MATCH($E337,'큐펫&amp;몹 정리(최신)'!$B:$B,0))*25,IF($J337=3,INDEX('큐펫&amp;몹 정리(최신)'!R:R,MATCH($E337,'큐펫&amp;몹 정리(최신)'!$B:$B,0))*30,IF($J337=4,INDEX('큐펫&amp;몹 정리(최신)'!R:R,MATCH($E337,'큐펫&amp;몹 정리(최신)'!$B:$B,0))*35,INDEX('큐펫&amp;몹 정리(최신)'!R:R,MATCH($E337,'큐펫&amp;몹 정리(최신)'!$B:$B,0))*40))))</f>
        <v>80</v>
      </c>
      <c r="N337" s="190">
        <f>IF($J337=1,INDEX('큐펫&amp;몹 정리(최신)'!S:S,MATCH($E337,'큐펫&amp;몹 정리(최신)'!$B:$B,0))*20,IF($J337=2,INDEX('큐펫&amp;몹 정리(최신)'!S:S,MATCH($E337,'큐펫&amp;몹 정리(최신)'!$B:$B,0))*25,IF($J337=3,INDEX('큐펫&amp;몹 정리(최신)'!S:S,MATCH($E337,'큐펫&amp;몹 정리(최신)'!$B:$B,0))*30,IF($J337=4,INDEX('큐펫&amp;몹 정리(최신)'!S:S,MATCH($E337,'큐펫&amp;몹 정리(최신)'!$B:$B,0))*35,INDEX('큐펫&amp;몹 정리(최신)'!S:S,MATCH($E337,'큐펫&amp;몹 정리(최신)'!$B:$B,0))*40))))</f>
        <v>300</v>
      </c>
      <c r="O337" s="190">
        <f>IF($J337=1,INDEX('큐펫&amp;몹 정리(최신)'!T:T,MATCH($E337,'큐펫&amp;몹 정리(최신)'!$B:$B,0))*20,IF($J337=2,INDEX('큐펫&amp;몹 정리(최신)'!T:T,MATCH($E337,'큐펫&amp;몹 정리(최신)'!$B:$B,0))*25,IF($J337=3,INDEX('큐펫&amp;몹 정리(최신)'!T:T,MATCH($E337,'큐펫&amp;몹 정리(최신)'!$B:$B,0))*30,IF($J337=4,INDEX('큐펫&amp;몹 정리(최신)'!T:T,MATCH($E337,'큐펫&amp;몹 정리(최신)'!$B:$B,0))*35,INDEX('큐펫&amp;몹 정리(최신)'!T:T,MATCH($E337,'큐펫&amp;몹 정리(최신)'!$B:$B,0))*40))))</f>
        <v>340</v>
      </c>
      <c r="P337" s="217">
        <v>20</v>
      </c>
      <c r="Q337" s="217">
        <f t="shared" si="40"/>
        <v>26880</v>
      </c>
      <c r="R337" s="217">
        <f t="shared" si="41"/>
        <v>5640</v>
      </c>
      <c r="S337" s="217">
        <f t="shared" si="42"/>
        <v>3844</v>
      </c>
      <c r="T337" s="217">
        <f t="shared" si="43"/>
        <v>416</v>
      </c>
      <c r="U337" s="217">
        <f t="shared" si="44"/>
        <v>9460</v>
      </c>
      <c r="V337" s="217">
        <f t="shared" si="45"/>
        <v>5376</v>
      </c>
      <c r="W337" s="217">
        <f>ROUND(AC337+(INDEX(Ref!B$1:B$9,MATCH($AI337,Ref!$A$1:$A$9,0))*P337*0.0001),)</f>
        <v>34</v>
      </c>
      <c r="X337" s="217">
        <f>ROUND(AD337+(INDEX(Ref!C$1:C$9,MATCH($AI337,Ref!$A$1:$A$9,0))*$P337*0.0001),)</f>
        <v>26</v>
      </c>
      <c r="Y337" s="217">
        <f>ROUND(AE337+(INDEX(Ref!D$1:D$9,MATCH($AI337,Ref!$A$1:$A$9,0))*$P337*0.0001),)</f>
        <v>43</v>
      </c>
      <c r="Z337" s="217">
        <f>ROUND(AF337+(INDEX(Ref!E$1:E$9,MATCH($AI337,Ref!$A$1:$A$9,0))*$P337*0.0001),)</f>
        <v>21</v>
      </c>
      <c r="AA337" s="217">
        <f>ROUND(AG337+(INDEX(Ref!F$1:F$9,MATCH($AI337,Ref!$A$1:$A$9,0))*$P337*0.0001),)</f>
        <v>28</v>
      </c>
      <c r="AB337" s="217">
        <f>ROUND(AH337+(INDEX(Ref!G$1:G$9,MATCH($AI337,Ref!$A$1:$A$9,0))*$P337*0.0001),)</f>
        <v>32</v>
      </c>
      <c r="AC337" s="137">
        <v>30</v>
      </c>
      <c r="AD337" s="137">
        <v>23</v>
      </c>
      <c r="AE337" s="137">
        <v>40</v>
      </c>
      <c r="AF337" s="137">
        <v>18</v>
      </c>
      <c r="AG337" s="137">
        <v>25</v>
      </c>
      <c r="AH337" s="137">
        <v>28</v>
      </c>
      <c r="AI337" s="208">
        <v>7</v>
      </c>
      <c r="AJ337" s="172">
        <v>3000</v>
      </c>
      <c r="AK337" s="172">
        <v>30403</v>
      </c>
      <c r="AL337" s="172">
        <v>2000</v>
      </c>
      <c r="AM337" s="172">
        <v>30406</v>
      </c>
      <c r="AN337" s="172">
        <v>0</v>
      </c>
      <c r="AO337" s="172">
        <f t="shared" si="46"/>
        <v>34403</v>
      </c>
      <c r="AP337" s="172">
        <v>0</v>
      </c>
      <c r="AQ337" s="172">
        <f t="shared" si="47"/>
        <v>34406</v>
      </c>
      <c r="AR337" s="172">
        <v>1</v>
      </c>
      <c r="AS337" s="172">
        <v>0</v>
      </c>
      <c r="AT337" s="199">
        <v>78068</v>
      </c>
      <c r="AU337" s="195" t="s">
        <v>274</v>
      </c>
    </row>
    <row r="338" spans="1:47" x14ac:dyDescent="0.2">
      <c r="A338" s="173">
        <v>55068</v>
      </c>
      <c r="B338" s="174" t="s">
        <v>272</v>
      </c>
      <c r="C338" s="172">
        <v>86068</v>
      </c>
      <c r="D338" s="172">
        <v>150068</v>
      </c>
      <c r="E338" s="206" t="s">
        <v>273</v>
      </c>
      <c r="F338" s="207">
        <v>9</v>
      </c>
      <c r="G338" s="172">
        <v>8500</v>
      </c>
      <c r="H338" s="172">
        <v>8500</v>
      </c>
      <c r="I338" s="172">
        <v>10000</v>
      </c>
      <c r="J338" s="172">
        <v>2</v>
      </c>
      <c r="K338" s="190">
        <f>IF($J338=1,INDEX('큐펫&amp;몹 정리(최신)'!P:P,MATCH($E338,'큐펫&amp;몹 정리(최신)'!$B:$B,0))*20,IF($J338=2,INDEX('큐펫&amp;몹 정리(최신)'!P:P,MATCH($E338,'큐펫&amp;몹 정리(최신)'!$B:$B,0))*25,IF($J338=3,INDEX('큐펫&amp;몹 정리(최신)'!P:P,MATCH($E338,'큐펫&amp;몹 정리(최신)'!$B:$B,0))*30,IF($J338=4,INDEX('큐펫&amp;몹 정리(최신)'!P:P,MATCH($E338,'큐펫&amp;몹 정리(최신)'!$B:$B,0))*35,INDEX('큐펫&amp;몹 정리(최신)'!P:P,MATCH($E338,'큐펫&amp;몹 정리(최신)'!$B:$B,0))*40))))</f>
        <v>1000</v>
      </c>
      <c r="L338" s="190">
        <f>IF($J338=1,INDEX('큐펫&amp;몹 정리(최신)'!Q:Q,MATCH($E338,'큐펫&amp;몹 정리(최신)'!$B:$B,0))*20,IF($J338=2,INDEX('큐펫&amp;몹 정리(최신)'!Q:Q,MATCH($E338,'큐펫&amp;몹 정리(최신)'!$B:$B,0))*25,IF($J338=3,INDEX('큐펫&amp;몹 정리(최신)'!Q:Q,MATCH($E338,'큐펫&amp;몹 정리(최신)'!$B:$B,0))*30,IF($J338=4,INDEX('큐펫&amp;몹 정리(최신)'!Q:Q,MATCH($E338,'큐펫&amp;몹 정리(최신)'!$B:$B,0))*35,INDEX('큐펫&amp;몹 정리(최신)'!Q:Q,MATCH($E338,'큐펫&amp;몹 정리(최신)'!$B:$B,0))*40))))</f>
        <v>600</v>
      </c>
      <c r="M338" s="190">
        <f>IF($J338=1,INDEX('큐펫&amp;몹 정리(최신)'!R:R,MATCH($E338,'큐펫&amp;몹 정리(최신)'!$B:$B,0))*20,IF($J338=2,INDEX('큐펫&amp;몹 정리(최신)'!R:R,MATCH($E338,'큐펫&amp;몹 정리(최신)'!$B:$B,0))*25,IF($J338=3,INDEX('큐펫&amp;몹 정리(최신)'!R:R,MATCH($E338,'큐펫&amp;몹 정리(최신)'!$B:$B,0))*30,IF($J338=4,INDEX('큐펫&amp;몹 정리(최신)'!R:R,MATCH($E338,'큐펫&amp;몹 정리(최신)'!$B:$B,0))*35,INDEX('큐펫&amp;몹 정리(최신)'!R:R,MATCH($E338,'큐펫&amp;몹 정리(최신)'!$B:$B,0))*40))))</f>
        <v>100</v>
      </c>
      <c r="N338" s="190">
        <f>IF($J338=1,INDEX('큐펫&amp;몹 정리(최신)'!S:S,MATCH($E338,'큐펫&amp;몹 정리(최신)'!$B:$B,0))*20,IF($J338=2,INDEX('큐펫&amp;몹 정리(최신)'!S:S,MATCH($E338,'큐펫&amp;몹 정리(최신)'!$B:$B,0))*25,IF($J338=3,INDEX('큐펫&amp;몹 정리(최신)'!S:S,MATCH($E338,'큐펫&amp;몹 정리(최신)'!$B:$B,0))*30,IF($J338=4,INDEX('큐펫&amp;몹 정리(최신)'!S:S,MATCH($E338,'큐펫&amp;몹 정리(최신)'!$B:$B,0))*35,INDEX('큐펫&amp;몹 정리(최신)'!S:S,MATCH($E338,'큐펫&amp;몹 정리(최신)'!$B:$B,0))*40))))</f>
        <v>375</v>
      </c>
      <c r="O338" s="190">
        <f>IF($J338=1,INDEX('큐펫&amp;몹 정리(최신)'!T:T,MATCH($E338,'큐펫&amp;몹 정리(최신)'!$B:$B,0))*20,IF($J338=2,INDEX('큐펫&amp;몹 정리(최신)'!T:T,MATCH($E338,'큐펫&amp;몹 정리(최신)'!$B:$B,0))*25,IF($J338=3,INDEX('큐펫&amp;몹 정리(최신)'!T:T,MATCH($E338,'큐펫&amp;몹 정리(최신)'!$B:$B,0))*30,IF($J338=4,INDEX('큐펫&amp;몹 정리(최신)'!T:T,MATCH($E338,'큐펫&amp;몹 정리(최신)'!$B:$B,0))*35,INDEX('큐펫&amp;몹 정리(최신)'!T:T,MATCH($E338,'큐펫&amp;몹 정리(최신)'!$B:$B,0))*40))))</f>
        <v>425</v>
      </c>
      <c r="P338" s="217">
        <v>40</v>
      </c>
      <c r="Q338" s="217">
        <f t="shared" si="40"/>
        <v>64600</v>
      </c>
      <c r="R338" s="217">
        <f t="shared" si="41"/>
        <v>10704</v>
      </c>
      <c r="S338" s="217">
        <f t="shared" si="42"/>
        <v>7458</v>
      </c>
      <c r="T338" s="217">
        <f t="shared" si="43"/>
        <v>762</v>
      </c>
      <c r="U338" s="217">
        <f t="shared" si="44"/>
        <v>16700</v>
      </c>
      <c r="V338" s="217">
        <f t="shared" si="45"/>
        <v>9482</v>
      </c>
      <c r="W338" s="217">
        <f>ROUND(AC338+(INDEX(Ref!B$1:B$9,MATCH($AI338,Ref!$A$1:$A$9,0))*P338*0.0001),)</f>
        <v>42</v>
      </c>
      <c r="X338" s="217">
        <f>ROUND(AD338+(INDEX(Ref!C$1:C$9,MATCH($AI338,Ref!$A$1:$A$9,0))*$P338*0.0001),)</f>
        <v>32</v>
      </c>
      <c r="Y338" s="217">
        <f>ROUND(AE338+(INDEX(Ref!D$1:D$9,MATCH($AI338,Ref!$A$1:$A$9,0))*$P338*0.0001),)</f>
        <v>49</v>
      </c>
      <c r="Z338" s="217">
        <f>ROUND(AF338+(INDEX(Ref!E$1:E$9,MATCH($AI338,Ref!$A$1:$A$9,0))*$P338*0.0001),)</f>
        <v>26</v>
      </c>
      <c r="AA338" s="217">
        <f>ROUND(AG338+(INDEX(Ref!F$1:F$9,MATCH($AI338,Ref!$A$1:$A$9,0))*$P338*0.0001),)</f>
        <v>35</v>
      </c>
      <c r="AB338" s="217">
        <f>ROUND(AH338+(INDEX(Ref!G$1:G$9,MATCH($AI338,Ref!$A$1:$A$9,0))*$P338*0.0001),)</f>
        <v>40</v>
      </c>
      <c r="AC338" s="137">
        <v>34</v>
      </c>
      <c r="AD338" s="137">
        <v>26</v>
      </c>
      <c r="AE338" s="137">
        <v>43</v>
      </c>
      <c r="AF338" s="137">
        <v>21</v>
      </c>
      <c r="AG338" s="137">
        <v>28</v>
      </c>
      <c r="AH338" s="137">
        <v>32</v>
      </c>
      <c r="AI338" s="208">
        <v>7</v>
      </c>
      <c r="AJ338" s="172">
        <v>3000</v>
      </c>
      <c r="AK338" s="172">
        <v>30404</v>
      </c>
      <c r="AL338" s="172">
        <v>2000</v>
      </c>
      <c r="AM338" s="172">
        <v>30406</v>
      </c>
      <c r="AN338" s="172">
        <v>0</v>
      </c>
      <c r="AO338" s="172">
        <f t="shared" si="46"/>
        <v>34404</v>
      </c>
      <c r="AP338" s="172">
        <v>0</v>
      </c>
      <c r="AQ338" s="172">
        <f t="shared" si="47"/>
        <v>34406</v>
      </c>
      <c r="AR338" s="172">
        <v>1</v>
      </c>
      <c r="AS338" s="172">
        <v>0</v>
      </c>
      <c r="AT338" s="199">
        <v>78068</v>
      </c>
      <c r="AU338" s="195" t="s">
        <v>274</v>
      </c>
    </row>
    <row r="339" spans="1:47" x14ac:dyDescent="0.2">
      <c r="A339" s="173">
        <v>55068</v>
      </c>
      <c r="B339" s="174" t="s">
        <v>272</v>
      </c>
      <c r="C339" s="172">
        <v>86068</v>
      </c>
      <c r="D339" s="172">
        <v>150068</v>
      </c>
      <c r="E339" s="206" t="s">
        <v>273</v>
      </c>
      <c r="F339" s="207">
        <v>9</v>
      </c>
      <c r="G339" s="172">
        <v>8500</v>
      </c>
      <c r="H339" s="172">
        <v>8500</v>
      </c>
      <c r="I339" s="172">
        <v>10000</v>
      </c>
      <c r="J339" s="172">
        <v>3</v>
      </c>
      <c r="K339" s="190">
        <f>IF($J339=1,INDEX('큐펫&amp;몹 정리(최신)'!P:P,MATCH($E339,'큐펫&amp;몹 정리(최신)'!$B:$B,0))*20,IF($J339=2,INDEX('큐펫&amp;몹 정리(최신)'!P:P,MATCH($E339,'큐펫&amp;몹 정리(최신)'!$B:$B,0))*25,IF($J339=3,INDEX('큐펫&amp;몹 정리(최신)'!P:P,MATCH($E339,'큐펫&amp;몹 정리(최신)'!$B:$B,0))*30,IF($J339=4,INDEX('큐펫&amp;몹 정리(최신)'!P:P,MATCH($E339,'큐펫&amp;몹 정리(최신)'!$B:$B,0))*35,INDEX('큐펫&amp;몹 정리(최신)'!P:P,MATCH($E339,'큐펫&amp;몹 정리(최신)'!$B:$B,0))*40))))</f>
        <v>1200</v>
      </c>
      <c r="L339" s="190">
        <f>IF($J339=1,INDEX('큐펫&amp;몹 정리(최신)'!Q:Q,MATCH($E339,'큐펫&amp;몹 정리(최신)'!$B:$B,0))*20,IF($J339=2,INDEX('큐펫&amp;몹 정리(최신)'!Q:Q,MATCH($E339,'큐펫&amp;몹 정리(최신)'!$B:$B,0))*25,IF($J339=3,INDEX('큐펫&amp;몹 정리(최신)'!Q:Q,MATCH($E339,'큐펫&amp;몹 정리(최신)'!$B:$B,0))*30,IF($J339=4,INDEX('큐펫&amp;몹 정리(최신)'!Q:Q,MATCH($E339,'큐펫&amp;몹 정리(최신)'!$B:$B,0))*35,INDEX('큐펫&amp;몹 정리(최신)'!Q:Q,MATCH($E339,'큐펫&amp;몹 정리(최신)'!$B:$B,0))*40))))</f>
        <v>720</v>
      </c>
      <c r="M339" s="190">
        <f>IF($J339=1,INDEX('큐펫&amp;몹 정리(최신)'!R:R,MATCH($E339,'큐펫&amp;몹 정리(최신)'!$B:$B,0))*20,IF($J339=2,INDEX('큐펫&amp;몹 정리(최신)'!R:R,MATCH($E339,'큐펫&amp;몹 정리(최신)'!$B:$B,0))*25,IF($J339=3,INDEX('큐펫&amp;몹 정리(최신)'!R:R,MATCH($E339,'큐펫&amp;몹 정리(최신)'!$B:$B,0))*30,IF($J339=4,INDEX('큐펫&amp;몹 정리(최신)'!R:R,MATCH($E339,'큐펫&amp;몹 정리(최신)'!$B:$B,0))*35,INDEX('큐펫&amp;몹 정리(최신)'!R:R,MATCH($E339,'큐펫&amp;몹 정리(최신)'!$B:$B,0))*40))))</f>
        <v>120</v>
      </c>
      <c r="N339" s="190">
        <f>IF($J339=1,INDEX('큐펫&amp;몹 정리(최신)'!S:S,MATCH($E339,'큐펫&amp;몹 정리(최신)'!$B:$B,0))*20,IF($J339=2,INDEX('큐펫&amp;몹 정리(최신)'!S:S,MATCH($E339,'큐펫&amp;몹 정리(최신)'!$B:$B,0))*25,IF($J339=3,INDEX('큐펫&amp;몹 정리(최신)'!S:S,MATCH($E339,'큐펫&amp;몹 정리(최신)'!$B:$B,0))*30,IF($J339=4,INDEX('큐펫&amp;몹 정리(최신)'!S:S,MATCH($E339,'큐펫&amp;몹 정리(최신)'!$B:$B,0))*35,INDEX('큐펫&amp;몹 정리(최신)'!S:S,MATCH($E339,'큐펫&amp;몹 정리(최신)'!$B:$B,0))*40))))</f>
        <v>450</v>
      </c>
      <c r="O339" s="190">
        <f>IF($J339=1,INDEX('큐펫&amp;몹 정리(최신)'!T:T,MATCH($E339,'큐펫&amp;몹 정리(최신)'!$B:$B,0))*20,IF($J339=2,INDEX('큐펫&amp;몹 정리(최신)'!T:T,MATCH($E339,'큐펫&amp;몹 정리(최신)'!$B:$B,0))*25,IF($J339=3,INDEX('큐펫&amp;몹 정리(최신)'!T:T,MATCH($E339,'큐펫&amp;몹 정리(최신)'!$B:$B,0))*30,IF($J339=4,INDEX('큐펫&amp;몹 정리(최신)'!T:T,MATCH($E339,'큐펫&amp;몹 정리(최신)'!$B:$B,0))*35,INDEX('큐펫&amp;몹 정리(최신)'!T:T,MATCH($E339,'큐펫&amp;몹 정리(최신)'!$B:$B,0))*40))))</f>
        <v>510</v>
      </c>
      <c r="P339" s="217">
        <v>60</v>
      </c>
      <c r="Q339" s="217">
        <f t="shared" si="40"/>
        <v>116880</v>
      </c>
      <c r="R339" s="217">
        <f t="shared" si="41"/>
        <v>18149</v>
      </c>
      <c r="S339" s="217">
        <f t="shared" si="42"/>
        <v>12836</v>
      </c>
      <c r="T339" s="217">
        <f t="shared" si="43"/>
        <v>1262</v>
      </c>
      <c r="U339" s="217">
        <f t="shared" si="44"/>
        <v>25666</v>
      </c>
      <c r="V339" s="217">
        <f t="shared" si="45"/>
        <v>14566</v>
      </c>
      <c r="W339" s="217">
        <f>ROUND(AC339+(INDEX(Ref!B$1:B$9,MATCH($AI339,Ref!$A$1:$A$9,0))*P339*0.0001),)</f>
        <v>50</v>
      </c>
      <c r="X339" s="217">
        <f>ROUND(AD339+(INDEX(Ref!C$1:C$9,MATCH($AI339,Ref!$A$1:$A$9,0))*$P339*0.0001),)</f>
        <v>40</v>
      </c>
      <c r="Y339" s="217">
        <f>ROUND(AE339+(INDEX(Ref!D$1:D$9,MATCH($AI339,Ref!$A$1:$A$9,0))*$P339*0.0001),)</f>
        <v>54</v>
      </c>
      <c r="Z339" s="217">
        <f>ROUND(AF339+(INDEX(Ref!E$1:E$9,MATCH($AI339,Ref!$A$1:$A$9,0))*$P339*0.0001),)</f>
        <v>31</v>
      </c>
      <c r="AA339" s="217">
        <f>ROUND(AG339+(INDEX(Ref!F$1:F$9,MATCH($AI339,Ref!$A$1:$A$9,0))*$P339*0.0001),)</f>
        <v>42</v>
      </c>
      <c r="AB339" s="217">
        <f>ROUND(AH339+(INDEX(Ref!G$1:G$9,MATCH($AI339,Ref!$A$1:$A$9,0))*$P339*0.0001),)</f>
        <v>47</v>
      </c>
      <c r="AC339" s="137">
        <v>38</v>
      </c>
      <c r="AD339" s="137">
        <v>30</v>
      </c>
      <c r="AE339" s="137">
        <v>45</v>
      </c>
      <c r="AF339" s="137">
        <v>23</v>
      </c>
      <c r="AG339" s="137">
        <v>32</v>
      </c>
      <c r="AH339" s="137">
        <v>36</v>
      </c>
      <c r="AI339" s="208">
        <v>7</v>
      </c>
      <c r="AJ339" s="172">
        <v>3000</v>
      </c>
      <c r="AK339" s="172">
        <v>30404</v>
      </c>
      <c r="AL339" s="172">
        <v>2000</v>
      </c>
      <c r="AM339" s="172">
        <v>30407</v>
      </c>
      <c r="AN339" s="172">
        <v>0</v>
      </c>
      <c r="AO339" s="172">
        <f t="shared" si="46"/>
        <v>34404</v>
      </c>
      <c r="AP339" s="172">
        <v>0</v>
      </c>
      <c r="AQ339" s="172">
        <f t="shared" si="47"/>
        <v>34407</v>
      </c>
      <c r="AR339" s="172">
        <v>1</v>
      </c>
      <c r="AS339" s="172">
        <v>0</v>
      </c>
      <c r="AT339" s="199">
        <v>78068</v>
      </c>
      <c r="AU339" s="195" t="s">
        <v>274</v>
      </c>
    </row>
    <row r="340" spans="1:47" x14ac:dyDescent="0.2">
      <c r="A340" s="173">
        <v>55068</v>
      </c>
      <c r="B340" s="174" t="s">
        <v>272</v>
      </c>
      <c r="C340" s="172">
        <v>86068</v>
      </c>
      <c r="D340" s="172">
        <v>150068</v>
      </c>
      <c r="E340" s="206" t="s">
        <v>273</v>
      </c>
      <c r="F340" s="207">
        <v>9</v>
      </c>
      <c r="G340" s="172">
        <v>8500</v>
      </c>
      <c r="H340" s="172">
        <v>8500</v>
      </c>
      <c r="I340" s="172">
        <v>10000</v>
      </c>
      <c r="J340" s="172">
        <v>4</v>
      </c>
      <c r="K340" s="190">
        <f>IF($J340=1,INDEX('큐펫&amp;몹 정리(최신)'!P:P,MATCH($E340,'큐펫&amp;몹 정리(최신)'!$B:$B,0))*20,IF($J340=2,INDEX('큐펫&amp;몹 정리(최신)'!P:P,MATCH($E340,'큐펫&amp;몹 정리(최신)'!$B:$B,0))*25,IF($J340=3,INDEX('큐펫&amp;몹 정리(최신)'!P:P,MATCH($E340,'큐펫&amp;몹 정리(최신)'!$B:$B,0))*30,IF($J340=4,INDEX('큐펫&amp;몹 정리(최신)'!P:P,MATCH($E340,'큐펫&amp;몹 정리(최신)'!$B:$B,0))*35,INDEX('큐펫&amp;몹 정리(최신)'!P:P,MATCH($E340,'큐펫&amp;몹 정리(최신)'!$B:$B,0))*40))))</f>
        <v>1400</v>
      </c>
      <c r="L340" s="190">
        <f>IF($J340=1,INDEX('큐펫&amp;몹 정리(최신)'!Q:Q,MATCH($E340,'큐펫&amp;몹 정리(최신)'!$B:$B,0))*20,IF($J340=2,INDEX('큐펫&amp;몹 정리(최신)'!Q:Q,MATCH($E340,'큐펫&amp;몹 정리(최신)'!$B:$B,0))*25,IF($J340=3,INDEX('큐펫&amp;몹 정리(최신)'!Q:Q,MATCH($E340,'큐펫&amp;몹 정리(최신)'!$B:$B,0))*30,IF($J340=4,INDEX('큐펫&amp;몹 정리(최신)'!Q:Q,MATCH($E340,'큐펫&amp;몹 정리(최신)'!$B:$B,0))*35,INDEX('큐펫&amp;몹 정리(최신)'!Q:Q,MATCH($E340,'큐펫&amp;몹 정리(최신)'!$B:$B,0))*40))))</f>
        <v>840</v>
      </c>
      <c r="M340" s="190">
        <f>IF($J340=1,INDEX('큐펫&amp;몹 정리(최신)'!R:R,MATCH($E340,'큐펫&amp;몹 정리(최신)'!$B:$B,0))*20,IF($J340=2,INDEX('큐펫&amp;몹 정리(최신)'!R:R,MATCH($E340,'큐펫&amp;몹 정리(최신)'!$B:$B,0))*25,IF($J340=3,INDEX('큐펫&amp;몹 정리(최신)'!R:R,MATCH($E340,'큐펫&amp;몹 정리(최신)'!$B:$B,0))*30,IF($J340=4,INDEX('큐펫&amp;몹 정리(최신)'!R:R,MATCH($E340,'큐펫&amp;몹 정리(최신)'!$B:$B,0))*35,INDEX('큐펫&amp;몹 정리(최신)'!R:R,MATCH($E340,'큐펫&amp;몹 정리(최신)'!$B:$B,0))*40))))</f>
        <v>140</v>
      </c>
      <c r="N340" s="190">
        <f>IF($J340=1,INDEX('큐펫&amp;몹 정리(최신)'!S:S,MATCH($E340,'큐펫&amp;몹 정리(최신)'!$B:$B,0))*20,IF($J340=2,INDEX('큐펫&amp;몹 정리(최신)'!S:S,MATCH($E340,'큐펫&amp;몹 정리(최신)'!$B:$B,0))*25,IF($J340=3,INDEX('큐펫&amp;몹 정리(최신)'!S:S,MATCH($E340,'큐펫&amp;몹 정리(최신)'!$B:$B,0))*30,IF($J340=4,INDEX('큐펫&amp;몹 정리(최신)'!S:S,MATCH($E340,'큐펫&amp;몹 정리(최신)'!$B:$B,0))*35,INDEX('큐펫&amp;몹 정리(최신)'!S:S,MATCH($E340,'큐펫&amp;몹 정리(최신)'!$B:$B,0))*40))))</f>
        <v>525</v>
      </c>
      <c r="O340" s="190">
        <f>IF($J340=1,INDEX('큐펫&amp;몹 정리(최신)'!T:T,MATCH($E340,'큐펫&amp;몹 정리(최신)'!$B:$B,0))*20,IF($J340=2,INDEX('큐펫&amp;몹 정리(최신)'!T:T,MATCH($E340,'큐펫&amp;몹 정리(최신)'!$B:$B,0))*25,IF($J340=3,INDEX('큐펫&amp;몹 정리(최신)'!T:T,MATCH($E340,'큐펫&amp;몹 정리(최신)'!$B:$B,0))*30,IF($J340=4,INDEX('큐펫&amp;몹 정리(최신)'!T:T,MATCH($E340,'큐펫&amp;몹 정리(최신)'!$B:$B,0))*35,INDEX('큐펫&amp;몹 정리(최신)'!T:T,MATCH($E340,'큐펫&amp;몹 정리(최신)'!$B:$B,0))*40))))</f>
        <v>595</v>
      </c>
      <c r="P340" s="217">
        <v>80</v>
      </c>
      <c r="Q340" s="217">
        <f t="shared" si="40"/>
        <v>187320</v>
      </c>
      <c r="R340" s="217">
        <f t="shared" si="41"/>
        <v>28436</v>
      </c>
      <c r="S340" s="217">
        <f t="shared" si="42"/>
        <v>20331</v>
      </c>
      <c r="T340" s="217">
        <f t="shared" si="43"/>
        <v>1946</v>
      </c>
      <c r="U340" s="217">
        <f t="shared" si="44"/>
        <v>37030</v>
      </c>
      <c r="V340" s="217">
        <f t="shared" si="45"/>
        <v>21009</v>
      </c>
      <c r="W340" s="217">
        <f>ROUND(AC340+(INDEX(Ref!B$1:B$9,MATCH($AI340,Ref!$A$1:$A$9,0))*P340*0.0001),)</f>
        <v>58</v>
      </c>
      <c r="X340" s="217">
        <f>ROUND(AD340+(INDEX(Ref!C$1:C$9,MATCH($AI340,Ref!$A$1:$A$9,0))*$P340*0.0001),)</f>
        <v>46</v>
      </c>
      <c r="Y340" s="217">
        <f>ROUND(AE340+(INDEX(Ref!D$1:D$9,MATCH($AI340,Ref!$A$1:$A$9,0))*$P340*0.0001),)</f>
        <v>61</v>
      </c>
      <c r="Z340" s="217">
        <f>ROUND(AF340+(INDEX(Ref!E$1:E$9,MATCH($AI340,Ref!$A$1:$A$9,0))*$P340*0.0001),)</f>
        <v>36</v>
      </c>
      <c r="AA340" s="217">
        <f>ROUND(AG340+(INDEX(Ref!F$1:F$9,MATCH($AI340,Ref!$A$1:$A$9,0))*$P340*0.0001),)</f>
        <v>49</v>
      </c>
      <c r="AB340" s="217">
        <f>ROUND(AH340+(INDEX(Ref!G$1:G$9,MATCH($AI340,Ref!$A$1:$A$9,0))*$P340*0.0001),)</f>
        <v>54</v>
      </c>
      <c r="AC340" s="137">
        <v>42</v>
      </c>
      <c r="AD340" s="137">
        <v>33</v>
      </c>
      <c r="AE340" s="137">
        <v>49</v>
      </c>
      <c r="AF340" s="137">
        <v>26</v>
      </c>
      <c r="AG340" s="137">
        <v>35</v>
      </c>
      <c r="AH340" s="137">
        <v>39</v>
      </c>
      <c r="AI340" s="208">
        <v>7</v>
      </c>
      <c r="AJ340" s="172">
        <v>3000</v>
      </c>
      <c r="AK340" s="172">
        <v>30405</v>
      </c>
      <c r="AL340" s="172">
        <v>2000</v>
      </c>
      <c r="AM340" s="172">
        <v>30407</v>
      </c>
      <c r="AN340" s="172">
        <v>0</v>
      </c>
      <c r="AO340" s="172">
        <f t="shared" si="46"/>
        <v>34405</v>
      </c>
      <c r="AP340" s="172">
        <v>0</v>
      </c>
      <c r="AQ340" s="172">
        <f t="shared" si="47"/>
        <v>34407</v>
      </c>
      <c r="AR340" s="172">
        <v>1</v>
      </c>
      <c r="AS340" s="172">
        <v>0</v>
      </c>
      <c r="AT340" s="199">
        <v>78068</v>
      </c>
      <c r="AU340" s="195" t="s">
        <v>274</v>
      </c>
    </row>
    <row r="341" spans="1:47" x14ac:dyDescent="0.2">
      <c r="A341" s="173">
        <v>55068</v>
      </c>
      <c r="B341" s="174" t="s">
        <v>272</v>
      </c>
      <c r="C341" s="172">
        <v>86068</v>
      </c>
      <c r="D341" s="172">
        <v>150068</v>
      </c>
      <c r="E341" s="206" t="s">
        <v>273</v>
      </c>
      <c r="F341" s="207">
        <v>9</v>
      </c>
      <c r="G341" s="172">
        <v>8500</v>
      </c>
      <c r="H341" s="172">
        <v>8500</v>
      </c>
      <c r="I341" s="172">
        <v>10000</v>
      </c>
      <c r="J341" s="172">
        <v>5</v>
      </c>
      <c r="K341" s="190">
        <f>IF($J341=1,INDEX('큐펫&amp;몹 정리(최신)'!P:P,MATCH($E341,'큐펫&amp;몹 정리(최신)'!$B:$B,0))*20,IF($J341=2,INDEX('큐펫&amp;몹 정리(최신)'!P:P,MATCH($E341,'큐펫&amp;몹 정리(최신)'!$B:$B,0))*25,IF($J341=3,INDEX('큐펫&amp;몹 정리(최신)'!P:P,MATCH($E341,'큐펫&amp;몹 정리(최신)'!$B:$B,0))*30,IF($J341=4,INDEX('큐펫&amp;몹 정리(최신)'!P:P,MATCH($E341,'큐펫&amp;몹 정리(최신)'!$B:$B,0))*35,INDEX('큐펫&amp;몹 정리(최신)'!P:P,MATCH($E341,'큐펫&amp;몹 정리(최신)'!$B:$B,0))*40))))</f>
        <v>1600</v>
      </c>
      <c r="L341" s="190">
        <f>IF($J341=1,INDEX('큐펫&amp;몹 정리(최신)'!Q:Q,MATCH($E341,'큐펫&amp;몹 정리(최신)'!$B:$B,0))*20,IF($J341=2,INDEX('큐펫&amp;몹 정리(최신)'!Q:Q,MATCH($E341,'큐펫&amp;몹 정리(최신)'!$B:$B,0))*25,IF($J341=3,INDEX('큐펫&amp;몹 정리(최신)'!Q:Q,MATCH($E341,'큐펫&amp;몹 정리(최신)'!$B:$B,0))*30,IF($J341=4,INDEX('큐펫&amp;몹 정리(최신)'!Q:Q,MATCH($E341,'큐펫&amp;몹 정리(최신)'!$B:$B,0))*35,INDEX('큐펫&amp;몹 정리(최신)'!Q:Q,MATCH($E341,'큐펫&amp;몹 정리(최신)'!$B:$B,0))*40))))</f>
        <v>960</v>
      </c>
      <c r="M341" s="190">
        <f>IF($J341=1,INDEX('큐펫&amp;몹 정리(최신)'!R:R,MATCH($E341,'큐펫&amp;몹 정리(최신)'!$B:$B,0))*20,IF($J341=2,INDEX('큐펫&amp;몹 정리(최신)'!R:R,MATCH($E341,'큐펫&amp;몹 정리(최신)'!$B:$B,0))*25,IF($J341=3,INDEX('큐펫&amp;몹 정리(최신)'!R:R,MATCH($E341,'큐펫&amp;몹 정리(최신)'!$B:$B,0))*30,IF($J341=4,INDEX('큐펫&amp;몹 정리(최신)'!R:R,MATCH($E341,'큐펫&amp;몹 정리(최신)'!$B:$B,0))*35,INDEX('큐펫&amp;몹 정리(최신)'!R:R,MATCH($E341,'큐펫&amp;몹 정리(최신)'!$B:$B,0))*40))))</f>
        <v>160</v>
      </c>
      <c r="N341" s="190">
        <f>IF($J341=1,INDEX('큐펫&amp;몹 정리(최신)'!S:S,MATCH($E341,'큐펫&amp;몹 정리(최신)'!$B:$B,0))*20,IF($J341=2,INDEX('큐펫&amp;몹 정리(최신)'!S:S,MATCH($E341,'큐펫&amp;몹 정리(최신)'!$B:$B,0))*25,IF($J341=3,INDEX('큐펫&amp;몹 정리(최신)'!S:S,MATCH($E341,'큐펫&amp;몹 정리(최신)'!$B:$B,0))*30,IF($J341=4,INDEX('큐펫&amp;몹 정리(최신)'!S:S,MATCH($E341,'큐펫&amp;몹 정리(최신)'!$B:$B,0))*35,INDEX('큐펫&amp;몹 정리(최신)'!S:S,MATCH($E341,'큐펫&amp;몹 정리(최신)'!$B:$B,0))*40))))</f>
        <v>600</v>
      </c>
      <c r="O341" s="190">
        <f>IF($J341=1,INDEX('큐펫&amp;몹 정리(최신)'!T:T,MATCH($E341,'큐펫&amp;몹 정리(최신)'!$B:$B,0))*20,IF($J341=2,INDEX('큐펫&amp;몹 정리(최신)'!T:T,MATCH($E341,'큐펫&amp;몹 정리(최신)'!$B:$B,0))*25,IF($J341=3,INDEX('큐펫&amp;몹 정리(최신)'!T:T,MATCH($E341,'큐펫&amp;몹 정리(최신)'!$B:$B,0))*30,IF($J341=4,INDEX('큐펫&amp;몹 정리(최신)'!T:T,MATCH($E341,'큐펫&amp;몹 정리(최신)'!$B:$B,0))*35,INDEX('큐펫&amp;몹 정리(최신)'!T:T,MATCH($E341,'큐펫&amp;몹 정리(최신)'!$B:$B,0))*40))))</f>
        <v>680</v>
      </c>
      <c r="P341" s="217">
        <v>100</v>
      </c>
      <c r="Q341" s="217">
        <f t="shared" si="40"/>
        <v>275200</v>
      </c>
      <c r="R341" s="217">
        <f t="shared" si="41"/>
        <v>42025</v>
      </c>
      <c r="S341" s="217">
        <f t="shared" si="42"/>
        <v>29228</v>
      </c>
      <c r="T341" s="217">
        <f t="shared" si="43"/>
        <v>2978</v>
      </c>
      <c r="U341" s="217">
        <f t="shared" si="44"/>
        <v>50121</v>
      </c>
      <c r="V341" s="217">
        <f t="shared" si="45"/>
        <v>28432</v>
      </c>
      <c r="W341" s="217">
        <f>ROUND(AC341+(INDEX(Ref!B$1:B$9,MATCH($AI341,Ref!$A$1:$A$9,0))*P341*0.0001),)</f>
        <v>66</v>
      </c>
      <c r="X341" s="217">
        <f>ROUND(AD341+(INDEX(Ref!C$1:C$9,MATCH($AI341,Ref!$A$1:$A$9,0))*$P341*0.0001),)</f>
        <v>52</v>
      </c>
      <c r="Y341" s="217">
        <f>ROUND(AE341+(INDEX(Ref!D$1:D$9,MATCH($AI341,Ref!$A$1:$A$9,0))*$P341*0.0001),)</f>
        <v>67</v>
      </c>
      <c r="Z341" s="217">
        <f>ROUND(AF341+(INDEX(Ref!E$1:E$9,MATCH($AI341,Ref!$A$1:$A$9,0))*$P341*0.0001),)</f>
        <v>42</v>
      </c>
      <c r="AA341" s="217">
        <f>ROUND(AG341+(INDEX(Ref!F$1:F$9,MATCH($AI341,Ref!$A$1:$A$9,0))*$P341*0.0001),)</f>
        <v>55</v>
      </c>
      <c r="AB341" s="217">
        <f>ROUND(AH341+(INDEX(Ref!G$1:G$9,MATCH($AI341,Ref!$A$1:$A$9,0))*$P341*0.0001),)</f>
        <v>62</v>
      </c>
      <c r="AC341" s="137">
        <v>46</v>
      </c>
      <c r="AD341" s="137">
        <v>36</v>
      </c>
      <c r="AE341" s="137">
        <v>52</v>
      </c>
      <c r="AF341" s="137">
        <v>29</v>
      </c>
      <c r="AG341" s="137">
        <v>38</v>
      </c>
      <c r="AH341" s="137">
        <v>43</v>
      </c>
      <c r="AI341" s="208">
        <v>7</v>
      </c>
      <c r="AJ341" s="172">
        <v>3000</v>
      </c>
      <c r="AK341" s="172">
        <v>30405</v>
      </c>
      <c r="AL341" s="172">
        <v>2000</v>
      </c>
      <c r="AM341" s="172">
        <v>30408</v>
      </c>
      <c r="AN341" s="172">
        <v>0</v>
      </c>
      <c r="AO341" s="172">
        <f t="shared" si="46"/>
        <v>34405</v>
      </c>
      <c r="AP341" s="172">
        <v>0</v>
      </c>
      <c r="AQ341" s="172">
        <f t="shared" si="47"/>
        <v>34408</v>
      </c>
      <c r="AR341" s="172">
        <v>1</v>
      </c>
      <c r="AS341" s="172">
        <v>0</v>
      </c>
      <c r="AT341" s="199">
        <v>78068</v>
      </c>
      <c r="AU341" s="195" t="s">
        <v>274</v>
      </c>
    </row>
    <row r="342" spans="1:47" x14ac:dyDescent="0.2">
      <c r="A342" s="173">
        <v>55069</v>
      </c>
      <c r="B342" s="174" t="s">
        <v>275</v>
      </c>
      <c r="C342" s="172">
        <v>86069</v>
      </c>
      <c r="D342" s="172">
        <v>150069</v>
      </c>
      <c r="E342" s="206" t="s">
        <v>276</v>
      </c>
      <c r="F342" s="207">
        <v>9</v>
      </c>
      <c r="G342" s="173">
        <v>11500</v>
      </c>
      <c r="H342" s="173">
        <v>9500</v>
      </c>
      <c r="I342" s="172">
        <v>10000</v>
      </c>
      <c r="J342" s="172">
        <v>1</v>
      </c>
      <c r="K342" s="190">
        <f>IF($J342=1,INDEX('큐펫&amp;몹 정리(최신)'!P:P,MATCH($E342,'큐펫&amp;몹 정리(최신)'!$B:$B,0))*20,IF($J342=2,INDEX('큐펫&amp;몹 정리(최신)'!P:P,MATCH($E342,'큐펫&amp;몹 정리(최신)'!$B:$B,0))*25,IF($J342=3,INDEX('큐펫&amp;몹 정리(최신)'!P:P,MATCH($E342,'큐펫&amp;몹 정리(최신)'!$B:$B,0))*30,IF($J342=4,INDEX('큐펫&amp;몹 정리(최신)'!P:P,MATCH($E342,'큐펫&amp;몹 정리(최신)'!$B:$B,0))*35,INDEX('큐펫&amp;몹 정리(최신)'!P:P,MATCH($E342,'큐펫&amp;몹 정리(최신)'!$B:$B,0))*40))))</f>
        <v>800</v>
      </c>
      <c r="L342" s="190">
        <f>IF($J342=1,INDEX('큐펫&amp;몹 정리(최신)'!Q:Q,MATCH($E342,'큐펫&amp;몹 정리(최신)'!$B:$B,0))*20,IF($J342=2,INDEX('큐펫&amp;몹 정리(최신)'!Q:Q,MATCH($E342,'큐펫&amp;몹 정리(최신)'!$B:$B,0))*25,IF($J342=3,INDEX('큐펫&amp;몹 정리(최신)'!Q:Q,MATCH($E342,'큐펫&amp;몹 정리(최신)'!$B:$B,0))*30,IF($J342=4,INDEX('큐펫&amp;몹 정리(최신)'!Q:Q,MATCH($E342,'큐펫&amp;몹 정리(최신)'!$B:$B,0))*35,INDEX('큐펫&amp;몹 정리(최신)'!Q:Q,MATCH($E342,'큐펫&amp;몹 정리(최신)'!$B:$B,0))*40))))</f>
        <v>100</v>
      </c>
      <c r="M342" s="190">
        <f>IF($J342=1,INDEX('큐펫&amp;몹 정리(최신)'!R:R,MATCH($E342,'큐펫&amp;몹 정리(최신)'!$B:$B,0))*20,IF($J342=2,INDEX('큐펫&amp;몹 정리(최신)'!R:R,MATCH($E342,'큐펫&amp;몹 정리(최신)'!$B:$B,0))*25,IF($J342=3,INDEX('큐펫&amp;몹 정리(최신)'!R:R,MATCH($E342,'큐펫&amp;몹 정리(최신)'!$B:$B,0))*30,IF($J342=4,INDEX('큐펫&amp;몹 정리(최신)'!R:R,MATCH($E342,'큐펫&amp;몹 정리(최신)'!$B:$B,0))*35,INDEX('큐펫&amp;몹 정리(최신)'!R:R,MATCH($E342,'큐펫&amp;몹 정리(최신)'!$B:$B,0))*40))))</f>
        <v>440</v>
      </c>
      <c r="N342" s="190">
        <f>IF($J342=1,INDEX('큐펫&amp;몹 정리(최신)'!S:S,MATCH($E342,'큐펫&amp;몹 정리(최신)'!$B:$B,0))*20,IF($J342=2,INDEX('큐펫&amp;몹 정리(최신)'!S:S,MATCH($E342,'큐펫&amp;몹 정리(최신)'!$B:$B,0))*25,IF($J342=3,INDEX('큐펫&amp;몹 정리(최신)'!S:S,MATCH($E342,'큐펫&amp;몹 정리(최신)'!$B:$B,0))*30,IF($J342=4,INDEX('큐펫&amp;몹 정리(최신)'!S:S,MATCH($E342,'큐펫&amp;몹 정리(최신)'!$B:$B,0))*35,INDEX('큐펫&amp;몹 정리(최신)'!S:S,MATCH($E342,'큐펫&amp;몹 정리(최신)'!$B:$B,0))*40))))</f>
        <v>240</v>
      </c>
      <c r="O342" s="190">
        <f>IF($J342=1,INDEX('큐펫&amp;몹 정리(최신)'!T:T,MATCH($E342,'큐펫&amp;몹 정리(최신)'!$B:$B,0))*20,IF($J342=2,INDEX('큐펫&amp;몹 정리(최신)'!T:T,MATCH($E342,'큐펫&amp;몹 정리(최신)'!$B:$B,0))*25,IF($J342=3,INDEX('큐펫&amp;몹 정리(최신)'!T:T,MATCH($E342,'큐펫&amp;몹 정리(최신)'!$B:$B,0))*30,IF($J342=4,INDEX('큐펫&amp;몹 정리(최신)'!T:T,MATCH($E342,'큐펫&amp;몹 정리(최신)'!$B:$B,0))*35,INDEX('큐펫&amp;몹 정리(최신)'!T:T,MATCH($E342,'큐펫&amp;몹 정리(최신)'!$B:$B,0))*40))))</f>
        <v>420</v>
      </c>
      <c r="P342" s="217">
        <v>20</v>
      </c>
      <c r="Q342" s="217">
        <f t="shared" si="40"/>
        <v>28320</v>
      </c>
      <c r="R342" s="217">
        <f t="shared" si="41"/>
        <v>418</v>
      </c>
      <c r="S342" s="217">
        <f t="shared" si="42"/>
        <v>593</v>
      </c>
      <c r="T342" s="217">
        <f t="shared" si="43"/>
        <v>8239</v>
      </c>
      <c r="U342" s="217">
        <f t="shared" si="44"/>
        <v>8646</v>
      </c>
      <c r="V342" s="217">
        <f t="shared" si="45"/>
        <v>7603</v>
      </c>
      <c r="W342" s="217">
        <f>ROUND(AC342+(INDEX(Ref!B$1:B$9,MATCH($AI342,Ref!$A$1:$A$9,0))*P342*0.0001),)</f>
        <v>19</v>
      </c>
      <c r="X342" s="217">
        <f>ROUND(AD342+(INDEX(Ref!C$1:C$9,MATCH($AI342,Ref!$A$1:$A$9,0))*$P342*0.0001),)</f>
        <v>26</v>
      </c>
      <c r="Y342" s="217">
        <f>ROUND(AE342+(INDEX(Ref!D$1:D$9,MATCH($AI342,Ref!$A$1:$A$9,0))*$P342*0.0001),)</f>
        <v>52</v>
      </c>
      <c r="Z342" s="217">
        <f>ROUND(AF342+(INDEX(Ref!E$1:E$9,MATCH($AI342,Ref!$A$1:$A$9,0))*$P342*0.0001),)</f>
        <v>43</v>
      </c>
      <c r="AA342" s="217">
        <f>ROUND(AG342+(INDEX(Ref!F$1:F$9,MATCH($AI342,Ref!$A$1:$A$9,0))*$P342*0.0001),)</f>
        <v>23</v>
      </c>
      <c r="AB342" s="217">
        <f>ROUND(AH342+(INDEX(Ref!G$1:G$9,MATCH($AI342,Ref!$A$1:$A$9,0))*$P342*0.0001),)</f>
        <v>21</v>
      </c>
      <c r="AC342" s="137">
        <v>17</v>
      </c>
      <c r="AD342" s="137">
        <v>23</v>
      </c>
      <c r="AE342" s="137">
        <v>48</v>
      </c>
      <c r="AF342" s="137">
        <v>38</v>
      </c>
      <c r="AG342" s="137">
        <v>20</v>
      </c>
      <c r="AH342" s="137">
        <v>18</v>
      </c>
      <c r="AI342" s="208">
        <v>2</v>
      </c>
      <c r="AJ342" s="172">
        <v>3000</v>
      </c>
      <c r="AK342" s="172">
        <v>30409</v>
      </c>
      <c r="AL342" s="172">
        <v>2000</v>
      </c>
      <c r="AM342" s="172">
        <v>30412</v>
      </c>
      <c r="AN342" s="172">
        <v>0</v>
      </c>
      <c r="AO342" s="172">
        <f t="shared" si="46"/>
        <v>34409</v>
      </c>
      <c r="AP342" s="172">
        <v>0</v>
      </c>
      <c r="AQ342" s="172">
        <f t="shared" si="47"/>
        <v>34412</v>
      </c>
      <c r="AR342" s="172">
        <v>1</v>
      </c>
      <c r="AS342" s="172">
        <v>0</v>
      </c>
      <c r="AT342" s="199">
        <v>78069</v>
      </c>
      <c r="AU342" s="195" t="s">
        <v>277</v>
      </c>
    </row>
    <row r="343" spans="1:47" x14ac:dyDescent="0.2">
      <c r="A343" s="173">
        <v>55069</v>
      </c>
      <c r="B343" s="174" t="s">
        <v>275</v>
      </c>
      <c r="C343" s="172">
        <v>86069</v>
      </c>
      <c r="D343" s="172">
        <v>150069</v>
      </c>
      <c r="E343" s="206" t="s">
        <v>276</v>
      </c>
      <c r="F343" s="207">
        <v>9</v>
      </c>
      <c r="G343" s="173">
        <v>11500</v>
      </c>
      <c r="H343" s="173">
        <v>9500</v>
      </c>
      <c r="I343" s="172">
        <v>10000</v>
      </c>
      <c r="J343" s="172">
        <v>2</v>
      </c>
      <c r="K343" s="190">
        <f>IF($J343=1,INDEX('큐펫&amp;몹 정리(최신)'!P:P,MATCH($E343,'큐펫&amp;몹 정리(최신)'!$B:$B,0))*20,IF($J343=2,INDEX('큐펫&amp;몹 정리(최신)'!P:P,MATCH($E343,'큐펫&amp;몹 정리(최신)'!$B:$B,0))*25,IF($J343=3,INDEX('큐펫&amp;몹 정리(최신)'!P:P,MATCH($E343,'큐펫&amp;몹 정리(최신)'!$B:$B,0))*30,IF($J343=4,INDEX('큐펫&amp;몹 정리(최신)'!P:P,MATCH($E343,'큐펫&amp;몹 정리(최신)'!$B:$B,0))*35,INDEX('큐펫&amp;몹 정리(최신)'!P:P,MATCH($E343,'큐펫&amp;몹 정리(최신)'!$B:$B,0))*40))))</f>
        <v>1000</v>
      </c>
      <c r="L343" s="190">
        <f>IF($J343=1,INDEX('큐펫&amp;몹 정리(최신)'!Q:Q,MATCH($E343,'큐펫&amp;몹 정리(최신)'!$B:$B,0))*20,IF($J343=2,INDEX('큐펫&amp;몹 정리(최신)'!Q:Q,MATCH($E343,'큐펫&amp;몹 정리(최신)'!$B:$B,0))*25,IF($J343=3,INDEX('큐펫&amp;몹 정리(최신)'!Q:Q,MATCH($E343,'큐펫&amp;몹 정리(최신)'!$B:$B,0))*30,IF($J343=4,INDEX('큐펫&amp;몹 정리(최신)'!Q:Q,MATCH($E343,'큐펫&amp;몹 정리(최신)'!$B:$B,0))*35,INDEX('큐펫&amp;몹 정리(최신)'!Q:Q,MATCH($E343,'큐펫&amp;몹 정리(최신)'!$B:$B,0))*40))))</f>
        <v>125</v>
      </c>
      <c r="M343" s="190">
        <f>IF($J343=1,INDEX('큐펫&amp;몹 정리(최신)'!R:R,MATCH($E343,'큐펫&amp;몹 정리(최신)'!$B:$B,0))*20,IF($J343=2,INDEX('큐펫&amp;몹 정리(최신)'!R:R,MATCH($E343,'큐펫&amp;몹 정리(최신)'!$B:$B,0))*25,IF($J343=3,INDEX('큐펫&amp;몹 정리(최신)'!R:R,MATCH($E343,'큐펫&amp;몹 정리(최신)'!$B:$B,0))*30,IF($J343=4,INDEX('큐펫&amp;몹 정리(최신)'!R:R,MATCH($E343,'큐펫&amp;몹 정리(최신)'!$B:$B,0))*35,INDEX('큐펫&amp;몹 정리(최신)'!R:R,MATCH($E343,'큐펫&amp;몹 정리(최신)'!$B:$B,0))*40))))</f>
        <v>550</v>
      </c>
      <c r="N343" s="190">
        <f>IF($J343=1,INDEX('큐펫&amp;몹 정리(최신)'!S:S,MATCH($E343,'큐펫&amp;몹 정리(최신)'!$B:$B,0))*20,IF($J343=2,INDEX('큐펫&amp;몹 정리(최신)'!S:S,MATCH($E343,'큐펫&amp;몹 정리(최신)'!$B:$B,0))*25,IF($J343=3,INDEX('큐펫&amp;몹 정리(최신)'!S:S,MATCH($E343,'큐펫&amp;몹 정리(최신)'!$B:$B,0))*30,IF($J343=4,INDEX('큐펫&amp;몹 정리(최신)'!S:S,MATCH($E343,'큐펫&amp;몹 정리(최신)'!$B:$B,0))*35,INDEX('큐펫&amp;몹 정리(최신)'!S:S,MATCH($E343,'큐펫&amp;몹 정리(최신)'!$B:$B,0))*40))))</f>
        <v>300</v>
      </c>
      <c r="O343" s="190">
        <f>IF($J343=1,INDEX('큐펫&amp;몹 정리(최신)'!T:T,MATCH($E343,'큐펫&amp;몹 정리(최신)'!$B:$B,0))*20,IF($J343=2,INDEX('큐펫&amp;몹 정리(최신)'!T:T,MATCH($E343,'큐펫&amp;몹 정리(최신)'!$B:$B,0))*25,IF($J343=3,INDEX('큐펫&amp;몹 정리(최신)'!T:T,MATCH($E343,'큐펫&amp;몹 정리(최신)'!$B:$B,0))*30,IF($J343=4,INDEX('큐펫&amp;몹 정리(최신)'!T:T,MATCH($E343,'큐펫&amp;몹 정리(최신)'!$B:$B,0))*35,INDEX('큐펫&amp;몹 정리(최신)'!T:T,MATCH($E343,'큐펫&amp;몹 정리(최신)'!$B:$B,0))*40))))</f>
        <v>525</v>
      </c>
      <c r="P343" s="217">
        <v>40</v>
      </c>
      <c r="Q343" s="217">
        <f t="shared" si="40"/>
        <v>69000</v>
      </c>
      <c r="R343" s="217">
        <f t="shared" si="41"/>
        <v>800</v>
      </c>
      <c r="S343" s="217">
        <f t="shared" si="42"/>
        <v>1140</v>
      </c>
      <c r="T343" s="217">
        <f t="shared" si="43"/>
        <v>15585</v>
      </c>
      <c r="U343" s="217">
        <f t="shared" si="44"/>
        <v>15009</v>
      </c>
      <c r="V343" s="217">
        <f t="shared" si="45"/>
        <v>13178</v>
      </c>
      <c r="W343" s="217">
        <f>ROUND(AC343+(INDEX(Ref!B$1:B$9,MATCH($AI343,Ref!$A$1:$A$9,0))*P343*0.0001),)</f>
        <v>24</v>
      </c>
      <c r="X343" s="217">
        <f>ROUND(AD343+(INDEX(Ref!C$1:C$9,MATCH($AI343,Ref!$A$1:$A$9,0))*$P343*0.0001),)</f>
        <v>32</v>
      </c>
      <c r="Y343" s="217">
        <f>ROUND(AE343+(INDEX(Ref!D$1:D$9,MATCH($AI343,Ref!$A$1:$A$9,0))*$P343*0.0001),)</f>
        <v>60</v>
      </c>
      <c r="Z343" s="217">
        <f>ROUND(AF343+(INDEX(Ref!E$1:E$9,MATCH($AI343,Ref!$A$1:$A$9,0))*$P343*0.0001),)</f>
        <v>53</v>
      </c>
      <c r="AA343" s="217">
        <f>ROUND(AG343+(INDEX(Ref!F$1:F$9,MATCH($AI343,Ref!$A$1:$A$9,0))*$P343*0.0001),)</f>
        <v>29</v>
      </c>
      <c r="AB343" s="217">
        <f>ROUND(AH343+(INDEX(Ref!G$1:G$9,MATCH($AI343,Ref!$A$1:$A$9,0))*$P343*0.0001),)</f>
        <v>26</v>
      </c>
      <c r="AC343" s="137">
        <v>19</v>
      </c>
      <c r="AD343" s="137">
        <v>26</v>
      </c>
      <c r="AE343" s="137">
        <v>52</v>
      </c>
      <c r="AF343" s="137">
        <v>43</v>
      </c>
      <c r="AG343" s="137">
        <v>23</v>
      </c>
      <c r="AH343" s="137">
        <v>21</v>
      </c>
      <c r="AI343" s="208">
        <v>2</v>
      </c>
      <c r="AJ343" s="172">
        <v>3000</v>
      </c>
      <c r="AK343" s="172">
        <v>30410</v>
      </c>
      <c r="AL343" s="172">
        <v>2000</v>
      </c>
      <c r="AM343" s="172">
        <v>30412</v>
      </c>
      <c r="AN343" s="172">
        <v>0</v>
      </c>
      <c r="AO343" s="172">
        <f t="shared" si="46"/>
        <v>34410</v>
      </c>
      <c r="AP343" s="172">
        <v>0</v>
      </c>
      <c r="AQ343" s="172">
        <f t="shared" si="47"/>
        <v>34412</v>
      </c>
      <c r="AR343" s="172">
        <v>1</v>
      </c>
      <c r="AS343" s="172">
        <v>0</v>
      </c>
      <c r="AT343" s="199">
        <v>78069</v>
      </c>
      <c r="AU343" s="195" t="s">
        <v>277</v>
      </c>
    </row>
    <row r="344" spans="1:47" x14ac:dyDescent="0.2">
      <c r="A344" s="173">
        <v>55069</v>
      </c>
      <c r="B344" s="174" t="s">
        <v>275</v>
      </c>
      <c r="C344" s="172">
        <v>86069</v>
      </c>
      <c r="D344" s="172">
        <v>150069</v>
      </c>
      <c r="E344" s="206" t="s">
        <v>276</v>
      </c>
      <c r="F344" s="207">
        <v>9</v>
      </c>
      <c r="G344" s="173">
        <v>11500</v>
      </c>
      <c r="H344" s="173">
        <v>9500</v>
      </c>
      <c r="I344" s="172">
        <v>10000</v>
      </c>
      <c r="J344" s="172">
        <v>3</v>
      </c>
      <c r="K344" s="190">
        <f>IF($J344=1,INDEX('큐펫&amp;몹 정리(최신)'!P:P,MATCH($E344,'큐펫&amp;몹 정리(최신)'!$B:$B,0))*20,IF($J344=2,INDEX('큐펫&amp;몹 정리(최신)'!P:P,MATCH($E344,'큐펫&amp;몹 정리(최신)'!$B:$B,0))*25,IF($J344=3,INDEX('큐펫&amp;몹 정리(최신)'!P:P,MATCH($E344,'큐펫&amp;몹 정리(최신)'!$B:$B,0))*30,IF($J344=4,INDEX('큐펫&amp;몹 정리(최신)'!P:P,MATCH($E344,'큐펫&amp;몹 정리(최신)'!$B:$B,0))*35,INDEX('큐펫&amp;몹 정리(최신)'!P:P,MATCH($E344,'큐펫&amp;몹 정리(최신)'!$B:$B,0))*40))))</f>
        <v>1200</v>
      </c>
      <c r="L344" s="190">
        <f>IF($J344=1,INDEX('큐펫&amp;몹 정리(최신)'!Q:Q,MATCH($E344,'큐펫&amp;몹 정리(최신)'!$B:$B,0))*20,IF($J344=2,INDEX('큐펫&amp;몹 정리(최신)'!Q:Q,MATCH($E344,'큐펫&amp;몹 정리(최신)'!$B:$B,0))*25,IF($J344=3,INDEX('큐펫&amp;몹 정리(최신)'!Q:Q,MATCH($E344,'큐펫&amp;몹 정리(최신)'!$B:$B,0))*30,IF($J344=4,INDEX('큐펫&amp;몹 정리(최신)'!Q:Q,MATCH($E344,'큐펫&amp;몹 정리(최신)'!$B:$B,0))*35,INDEX('큐펫&amp;몹 정리(최신)'!Q:Q,MATCH($E344,'큐펫&amp;몹 정리(최신)'!$B:$B,0))*40))))</f>
        <v>150</v>
      </c>
      <c r="M344" s="190">
        <f>IF($J344=1,INDEX('큐펫&amp;몹 정리(최신)'!R:R,MATCH($E344,'큐펫&amp;몹 정리(최신)'!$B:$B,0))*20,IF($J344=2,INDEX('큐펫&amp;몹 정리(최신)'!R:R,MATCH($E344,'큐펫&amp;몹 정리(최신)'!$B:$B,0))*25,IF($J344=3,INDEX('큐펫&amp;몹 정리(최신)'!R:R,MATCH($E344,'큐펫&amp;몹 정리(최신)'!$B:$B,0))*30,IF($J344=4,INDEX('큐펫&amp;몹 정리(최신)'!R:R,MATCH($E344,'큐펫&amp;몹 정리(최신)'!$B:$B,0))*35,INDEX('큐펫&amp;몹 정리(최신)'!R:R,MATCH($E344,'큐펫&amp;몹 정리(최신)'!$B:$B,0))*40))))</f>
        <v>660</v>
      </c>
      <c r="N344" s="190">
        <f>IF($J344=1,INDEX('큐펫&amp;몹 정리(최신)'!S:S,MATCH($E344,'큐펫&amp;몹 정리(최신)'!$B:$B,0))*20,IF($J344=2,INDEX('큐펫&amp;몹 정리(최신)'!S:S,MATCH($E344,'큐펫&amp;몹 정리(최신)'!$B:$B,0))*25,IF($J344=3,INDEX('큐펫&amp;몹 정리(최신)'!S:S,MATCH($E344,'큐펫&amp;몹 정리(최신)'!$B:$B,0))*30,IF($J344=4,INDEX('큐펫&amp;몹 정리(최신)'!S:S,MATCH($E344,'큐펫&amp;몹 정리(최신)'!$B:$B,0))*35,INDEX('큐펫&amp;몹 정리(최신)'!S:S,MATCH($E344,'큐펫&amp;몹 정리(최신)'!$B:$B,0))*40))))</f>
        <v>360</v>
      </c>
      <c r="O344" s="190">
        <f>IF($J344=1,INDEX('큐펫&amp;몹 정리(최신)'!T:T,MATCH($E344,'큐펫&amp;몹 정리(최신)'!$B:$B,0))*20,IF($J344=2,INDEX('큐펫&amp;몹 정리(최신)'!T:T,MATCH($E344,'큐펫&amp;몹 정리(최신)'!$B:$B,0))*25,IF($J344=3,INDEX('큐펫&amp;몹 정리(최신)'!T:T,MATCH($E344,'큐펫&amp;몹 정리(최신)'!$B:$B,0))*30,IF($J344=4,INDEX('큐펫&amp;몹 정리(최신)'!T:T,MATCH($E344,'큐펫&amp;몹 정리(최신)'!$B:$B,0))*35,INDEX('큐펫&amp;몹 정리(최신)'!T:T,MATCH($E344,'큐펫&amp;몹 정리(최신)'!$B:$B,0))*40))))</f>
        <v>630</v>
      </c>
      <c r="P344" s="217">
        <v>60</v>
      </c>
      <c r="Q344" s="217">
        <f t="shared" si="40"/>
        <v>126960</v>
      </c>
      <c r="R344" s="217">
        <f t="shared" si="41"/>
        <v>1276</v>
      </c>
      <c r="S344" s="217">
        <f t="shared" si="42"/>
        <v>1845</v>
      </c>
      <c r="T344" s="217">
        <f t="shared" si="43"/>
        <v>26363</v>
      </c>
      <c r="U344" s="217">
        <f t="shared" si="44"/>
        <v>23051</v>
      </c>
      <c r="V344" s="217">
        <f t="shared" si="45"/>
        <v>20223</v>
      </c>
      <c r="W344" s="217">
        <f>ROUND(AC344+(INDEX(Ref!B$1:B$9,MATCH($AI344,Ref!$A$1:$A$9,0))*P344*0.0001),)</f>
        <v>28</v>
      </c>
      <c r="X344" s="217">
        <f>ROUND(AD344+(INDEX(Ref!C$1:C$9,MATCH($AI344,Ref!$A$1:$A$9,0))*$P344*0.0001),)</f>
        <v>40</v>
      </c>
      <c r="Y344" s="217">
        <f>ROUND(AE344+(INDEX(Ref!D$1:D$9,MATCH($AI344,Ref!$A$1:$A$9,0))*$P344*0.0001),)</f>
        <v>68</v>
      </c>
      <c r="Z344" s="217">
        <f>ROUND(AF344+(INDEX(Ref!E$1:E$9,MATCH($AI344,Ref!$A$1:$A$9,0))*$P344*0.0001),)</f>
        <v>63</v>
      </c>
      <c r="AA344" s="217">
        <f>ROUND(AG344+(INDEX(Ref!F$1:F$9,MATCH($AI344,Ref!$A$1:$A$9,0))*$P344*0.0001),)</f>
        <v>34</v>
      </c>
      <c r="AB344" s="217">
        <f>ROUND(AH344+(INDEX(Ref!G$1:G$9,MATCH($AI344,Ref!$A$1:$A$9,0))*$P344*0.0001),)</f>
        <v>31</v>
      </c>
      <c r="AC344" s="137">
        <v>21</v>
      </c>
      <c r="AD344" s="137">
        <v>30</v>
      </c>
      <c r="AE344" s="137">
        <v>56</v>
      </c>
      <c r="AF344" s="137">
        <v>48.000000000000007</v>
      </c>
      <c r="AG344" s="137">
        <v>26</v>
      </c>
      <c r="AH344" s="137">
        <v>23</v>
      </c>
      <c r="AI344" s="208">
        <v>2</v>
      </c>
      <c r="AJ344" s="172">
        <v>3000</v>
      </c>
      <c r="AK344" s="172">
        <v>30410</v>
      </c>
      <c r="AL344" s="172">
        <v>2000</v>
      </c>
      <c r="AM344" s="172">
        <v>30413</v>
      </c>
      <c r="AN344" s="172">
        <v>0</v>
      </c>
      <c r="AO344" s="172">
        <f t="shared" si="46"/>
        <v>34410</v>
      </c>
      <c r="AP344" s="172">
        <v>0</v>
      </c>
      <c r="AQ344" s="172">
        <f t="shared" si="47"/>
        <v>34413</v>
      </c>
      <c r="AR344" s="172">
        <v>1</v>
      </c>
      <c r="AS344" s="172">
        <v>0</v>
      </c>
      <c r="AT344" s="199">
        <v>78069</v>
      </c>
      <c r="AU344" s="195" t="s">
        <v>277</v>
      </c>
    </row>
    <row r="345" spans="1:47" x14ac:dyDescent="0.2">
      <c r="A345" s="173">
        <v>55069</v>
      </c>
      <c r="B345" s="174" t="s">
        <v>275</v>
      </c>
      <c r="C345" s="172">
        <v>86069</v>
      </c>
      <c r="D345" s="172">
        <v>150069</v>
      </c>
      <c r="E345" s="206" t="s">
        <v>276</v>
      </c>
      <c r="F345" s="207">
        <v>9</v>
      </c>
      <c r="G345" s="173">
        <v>11500</v>
      </c>
      <c r="H345" s="173">
        <v>9500</v>
      </c>
      <c r="I345" s="172">
        <v>10000</v>
      </c>
      <c r="J345" s="172">
        <v>4</v>
      </c>
      <c r="K345" s="190">
        <f>IF($J345=1,INDEX('큐펫&amp;몹 정리(최신)'!P:P,MATCH($E345,'큐펫&amp;몹 정리(최신)'!$B:$B,0))*20,IF($J345=2,INDEX('큐펫&amp;몹 정리(최신)'!P:P,MATCH($E345,'큐펫&amp;몹 정리(최신)'!$B:$B,0))*25,IF($J345=3,INDEX('큐펫&amp;몹 정리(최신)'!P:P,MATCH($E345,'큐펫&amp;몹 정리(최신)'!$B:$B,0))*30,IF($J345=4,INDEX('큐펫&amp;몹 정리(최신)'!P:P,MATCH($E345,'큐펫&amp;몹 정리(최신)'!$B:$B,0))*35,INDEX('큐펫&amp;몹 정리(최신)'!P:P,MATCH($E345,'큐펫&amp;몹 정리(최신)'!$B:$B,0))*40))))</f>
        <v>1400</v>
      </c>
      <c r="L345" s="190">
        <f>IF($J345=1,INDEX('큐펫&amp;몹 정리(최신)'!Q:Q,MATCH($E345,'큐펫&amp;몹 정리(최신)'!$B:$B,0))*20,IF($J345=2,INDEX('큐펫&amp;몹 정리(최신)'!Q:Q,MATCH($E345,'큐펫&amp;몹 정리(최신)'!$B:$B,0))*25,IF($J345=3,INDEX('큐펫&amp;몹 정리(최신)'!Q:Q,MATCH($E345,'큐펫&amp;몹 정리(최신)'!$B:$B,0))*30,IF($J345=4,INDEX('큐펫&amp;몹 정리(최신)'!Q:Q,MATCH($E345,'큐펫&amp;몹 정리(최신)'!$B:$B,0))*35,INDEX('큐펫&amp;몹 정리(최신)'!Q:Q,MATCH($E345,'큐펫&amp;몹 정리(최신)'!$B:$B,0))*40))))</f>
        <v>175</v>
      </c>
      <c r="M345" s="190">
        <f>IF($J345=1,INDEX('큐펫&amp;몹 정리(최신)'!R:R,MATCH($E345,'큐펫&amp;몹 정리(최신)'!$B:$B,0))*20,IF($J345=2,INDEX('큐펫&amp;몹 정리(최신)'!R:R,MATCH($E345,'큐펫&amp;몹 정리(최신)'!$B:$B,0))*25,IF($J345=3,INDEX('큐펫&amp;몹 정리(최신)'!R:R,MATCH($E345,'큐펫&amp;몹 정리(최신)'!$B:$B,0))*30,IF($J345=4,INDEX('큐펫&amp;몹 정리(최신)'!R:R,MATCH($E345,'큐펫&amp;몹 정리(최신)'!$B:$B,0))*35,INDEX('큐펫&amp;몹 정리(최신)'!R:R,MATCH($E345,'큐펫&amp;몹 정리(최신)'!$B:$B,0))*40))))</f>
        <v>770</v>
      </c>
      <c r="N345" s="190">
        <f>IF($J345=1,INDEX('큐펫&amp;몹 정리(최신)'!S:S,MATCH($E345,'큐펫&amp;몹 정리(최신)'!$B:$B,0))*20,IF($J345=2,INDEX('큐펫&amp;몹 정리(최신)'!S:S,MATCH($E345,'큐펫&amp;몹 정리(최신)'!$B:$B,0))*25,IF($J345=3,INDEX('큐펫&amp;몹 정리(최신)'!S:S,MATCH($E345,'큐펫&amp;몹 정리(최신)'!$B:$B,0))*30,IF($J345=4,INDEX('큐펫&amp;몹 정리(최신)'!S:S,MATCH($E345,'큐펫&amp;몹 정리(최신)'!$B:$B,0))*35,INDEX('큐펫&amp;몹 정리(최신)'!S:S,MATCH($E345,'큐펫&amp;몹 정리(최신)'!$B:$B,0))*40))))</f>
        <v>420</v>
      </c>
      <c r="O345" s="190">
        <f>IF($J345=1,INDEX('큐펫&amp;몹 정리(최신)'!T:T,MATCH($E345,'큐펫&amp;몹 정리(최신)'!$B:$B,0))*20,IF($J345=2,INDEX('큐펫&amp;몹 정리(최신)'!T:T,MATCH($E345,'큐펫&amp;몹 정리(최신)'!$B:$B,0))*25,IF($J345=3,INDEX('큐펫&amp;몹 정리(최신)'!T:T,MATCH($E345,'큐펫&amp;몹 정리(최신)'!$B:$B,0))*30,IF($J345=4,INDEX('큐펫&amp;몹 정리(최신)'!T:T,MATCH($E345,'큐펫&amp;몹 정리(최신)'!$B:$B,0))*35,INDEX('큐펫&amp;몹 정리(최신)'!T:T,MATCH($E345,'큐펫&amp;몹 정리(최신)'!$B:$B,0))*40))))</f>
        <v>735</v>
      </c>
      <c r="P345" s="217">
        <v>80</v>
      </c>
      <c r="Q345" s="217">
        <f t="shared" si="40"/>
        <v>204120</v>
      </c>
      <c r="R345" s="217">
        <f t="shared" si="41"/>
        <v>2147</v>
      </c>
      <c r="S345" s="217">
        <f t="shared" si="42"/>
        <v>2795</v>
      </c>
      <c r="T345" s="217">
        <f t="shared" si="43"/>
        <v>41233</v>
      </c>
      <c r="U345" s="217">
        <f t="shared" si="44"/>
        <v>32772</v>
      </c>
      <c r="V345" s="217">
        <f t="shared" si="45"/>
        <v>28738</v>
      </c>
      <c r="W345" s="217">
        <f>ROUND(AC345+(INDEX(Ref!B$1:B$9,MATCH($AI345,Ref!$A$1:$A$9,0))*P345*0.0001),)</f>
        <v>34</v>
      </c>
      <c r="X345" s="217">
        <f>ROUND(AD345+(INDEX(Ref!C$1:C$9,MATCH($AI345,Ref!$A$1:$A$9,0))*$P345*0.0001),)</f>
        <v>46</v>
      </c>
      <c r="Y345" s="217">
        <f>ROUND(AE345+(INDEX(Ref!D$1:D$9,MATCH($AI345,Ref!$A$1:$A$9,0))*$P345*0.0001),)</f>
        <v>76</v>
      </c>
      <c r="Z345" s="217">
        <f>ROUND(AF345+(INDEX(Ref!E$1:E$9,MATCH($AI345,Ref!$A$1:$A$9,0))*$P345*0.0001),)</f>
        <v>73</v>
      </c>
      <c r="AA345" s="217">
        <f>ROUND(AG345+(INDEX(Ref!F$1:F$9,MATCH($AI345,Ref!$A$1:$A$9,0))*$P345*0.0001),)</f>
        <v>39</v>
      </c>
      <c r="AB345" s="217">
        <f>ROUND(AH345+(INDEX(Ref!G$1:G$9,MATCH($AI345,Ref!$A$1:$A$9,0))*$P345*0.0001),)</f>
        <v>36</v>
      </c>
      <c r="AC345" s="137">
        <v>24</v>
      </c>
      <c r="AD345" s="137">
        <v>33</v>
      </c>
      <c r="AE345" s="137">
        <v>60</v>
      </c>
      <c r="AF345" s="137">
        <v>53</v>
      </c>
      <c r="AG345" s="137">
        <v>28</v>
      </c>
      <c r="AH345" s="137">
        <v>26</v>
      </c>
      <c r="AI345" s="208">
        <v>2</v>
      </c>
      <c r="AJ345" s="172">
        <v>3000</v>
      </c>
      <c r="AK345" s="172">
        <v>30411</v>
      </c>
      <c r="AL345" s="172">
        <v>2000</v>
      </c>
      <c r="AM345" s="172">
        <v>30413</v>
      </c>
      <c r="AN345" s="172">
        <v>0</v>
      </c>
      <c r="AO345" s="172">
        <f t="shared" si="46"/>
        <v>34411</v>
      </c>
      <c r="AP345" s="172">
        <v>0</v>
      </c>
      <c r="AQ345" s="172">
        <f t="shared" si="47"/>
        <v>34413</v>
      </c>
      <c r="AR345" s="172">
        <v>1</v>
      </c>
      <c r="AS345" s="172">
        <v>0</v>
      </c>
      <c r="AT345" s="199">
        <v>78069</v>
      </c>
      <c r="AU345" s="195" t="s">
        <v>277</v>
      </c>
    </row>
    <row r="346" spans="1:47" x14ac:dyDescent="0.2">
      <c r="A346" s="173">
        <v>55069</v>
      </c>
      <c r="B346" s="174" t="s">
        <v>275</v>
      </c>
      <c r="C346" s="172">
        <v>86069</v>
      </c>
      <c r="D346" s="172">
        <v>150069</v>
      </c>
      <c r="E346" s="206" t="s">
        <v>276</v>
      </c>
      <c r="F346" s="207">
        <v>9</v>
      </c>
      <c r="G346" s="173">
        <v>11500</v>
      </c>
      <c r="H346" s="173">
        <v>9500</v>
      </c>
      <c r="I346" s="172">
        <v>10000</v>
      </c>
      <c r="J346" s="172">
        <v>5</v>
      </c>
      <c r="K346" s="190">
        <f>IF($J346=1,INDEX('큐펫&amp;몹 정리(최신)'!P:P,MATCH($E346,'큐펫&amp;몹 정리(최신)'!$B:$B,0))*20,IF($J346=2,INDEX('큐펫&amp;몹 정리(최신)'!P:P,MATCH($E346,'큐펫&amp;몹 정리(최신)'!$B:$B,0))*25,IF($J346=3,INDEX('큐펫&amp;몹 정리(최신)'!P:P,MATCH($E346,'큐펫&amp;몹 정리(최신)'!$B:$B,0))*30,IF($J346=4,INDEX('큐펫&amp;몹 정리(최신)'!P:P,MATCH($E346,'큐펫&amp;몹 정리(최신)'!$B:$B,0))*35,INDEX('큐펫&amp;몹 정리(최신)'!P:P,MATCH($E346,'큐펫&amp;몹 정리(최신)'!$B:$B,0))*40))))</f>
        <v>1600</v>
      </c>
      <c r="L346" s="190">
        <f>IF($J346=1,INDEX('큐펫&amp;몹 정리(최신)'!Q:Q,MATCH($E346,'큐펫&amp;몹 정리(최신)'!$B:$B,0))*20,IF($J346=2,INDEX('큐펫&amp;몹 정리(최신)'!Q:Q,MATCH($E346,'큐펫&amp;몹 정리(최신)'!$B:$B,0))*25,IF($J346=3,INDEX('큐펫&amp;몹 정리(최신)'!Q:Q,MATCH($E346,'큐펫&amp;몹 정리(최신)'!$B:$B,0))*30,IF($J346=4,INDEX('큐펫&amp;몹 정리(최신)'!Q:Q,MATCH($E346,'큐펫&amp;몹 정리(최신)'!$B:$B,0))*35,INDEX('큐펫&amp;몹 정리(최신)'!Q:Q,MATCH($E346,'큐펫&amp;몹 정리(최신)'!$B:$B,0))*40))))</f>
        <v>200</v>
      </c>
      <c r="M346" s="190">
        <f>IF($J346=1,INDEX('큐펫&amp;몹 정리(최신)'!R:R,MATCH($E346,'큐펫&amp;몹 정리(최신)'!$B:$B,0))*20,IF($J346=2,INDEX('큐펫&amp;몹 정리(최신)'!R:R,MATCH($E346,'큐펫&amp;몹 정리(최신)'!$B:$B,0))*25,IF($J346=3,INDEX('큐펫&amp;몹 정리(최신)'!R:R,MATCH($E346,'큐펫&amp;몹 정리(최신)'!$B:$B,0))*30,IF($J346=4,INDEX('큐펫&amp;몹 정리(최신)'!R:R,MATCH($E346,'큐펫&amp;몹 정리(최신)'!$B:$B,0))*35,INDEX('큐펫&amp;몹 정리(최신)'!R:R,MATCH($E346,'큐펫&amp;몹 정리(최신)'!$B:$B,0))*40))))</f>
        <v>880</v>
      </c>
      <c r="N346" s="190">
        <f>IF($J346=1,INDEX('큐펫&amp;몹 정리(최신)'!S:S,MATCH($E346,'큐펫&amp;몹 정리(최신)'!$B:$B,0))*20,IF($J346=2,INDEX('큐펫&amp;몹 정리(최신)'!S:S,MATCH($E346,'큐펫&amp;몹 정리(최신)'!$B:$B,0))*25,IF($J346=3,INDEX('큐펫&amp;몹 정리(최신)'!S:S,MATCH($E346,'큐펫&amp;몹 정리(최신)'!$B:$B,0))*30,IF($J346=4,INDEX('큐펫&amp;몹 정리(최신)'!S:S,MATCH($E346,'큐펫&amp;몹 정리(최신)'!$B:$B,0))*35,INDEX('큐펫&amp;몹 정리(최신)'!S:S,MATCH($E346,'큐펫&amp;몹 정리(최신)'!$B:$B,0))*40))))</f>
        <v>480</v>
      </c>
      <c r="O346" s="190">
        <f>IF($J346=1,INDEX('큐펫&amp;몹 정리(최신)'!T:T,MATCH($E346,'큐펫&amp;몹 정리(최신)'!$B:$B,0))*20,IF($J346=2,INDEX('큐펫&amp;몹 정리(최신)'!T:T,MATCH($E346,'큐펫&amp;몹 정리(최신)'!$B:$B,0))*25,IF($J346=3,INDEX('큐펫&amp;몹 정리(최신)'!T:T,MATCH($E346,'큐펫&amp;몹 정리(최신)'!$B:$B,0))*30,IF($J346=4,INDEX('큐펫&amp;몹 정리(최신)'!T:T,MATCH($E346,'큐펫&amp;몹 정리(최신)'!$B:$B,0))*35,INDEX('큐펫&amp;몹 정리(최신)'!T:T,MATCH($E346,'큐펫&amp;몹 정리(최신)'!$B:$B,0))*40))))</f>
        <v>840</v>
      </c>
      <c r="P346" s="217">
        <v>100</v>
      </c>
      <c r="Q346" s="217">
        <f t="shared" si="40"/>
        <v>302400</v>
      </c>
      <c r="R346" s="217">
        <f t="shared" si="41"/>
        <v>3033</v>
      </c>
      <c r="S346" s="217">
        <f t="shared" si="42"/>
        <v>4207</v>
      </c>
      <c r="T346" s="217">
        <f t="shared" si="43"/>
        <v>60855</v>
      </c>
      <c r="U346" s="217">
        <f t="shared" si="44"/>
        <v>44174</v>
      </c>
      <c r="V346" s="217">
        <f t="shared" si="45"/>
        <v>38723</v>
      </c>
      <c r="W346" s="217">
        <f>ROUND(AC346+(INDEX(Ref!B$1:B$9,MATCH($AI346,Ref!$A$1:$A$9,0))*P346*0.0001),)</f>
        <v>38</v>
      </c>
      <c r="X346" s="217">
        <f>ROUND(AD346+(INDEX(Ref!C$1:C$9,MATCH($AI346,Ref!$A$1:$A$9,0))*$P346*0.0001),)</f>
        <v>52</v>
      </c>
      <c r="Y346" s="217">
        <f>ROUND(AE346+(INDEX(Ref!D$1:D$9,MATCH($AI346,Ref!$A$1:$A$9,0))*$P346*0.0001),)</f>
        <v>84</v>
      </c>
      <c r="Z346" s="217">
        <f>ROUND(AF346+(INDEX(Ref!E$1:E$9,MATCH($AI346,Ref!$A$1:$A$9,0))*$P346*0.0001),)</f>
        <v>83</v>
      </c>
      <c r="AA346" s="217">
        <f>ROUND(AG346+(INDEX(Ref!F$1:F$9,MATCH($AI346,Ref!$A$1:$A$9,0))*$P346*0.0001),)</f>
        <v>45</v>
      </c>
      <c r="AB346" s="217">
        <f>ROUND(AH346+(INDEX(Ref!G$1:G$9,MATCH($AI346,Ref!$A$1:$A$9,0))*$P346*0.0001),)</f>
        <v>42</v>
      </c>
      <c r="AC346" s="137">
        <v>26</v>
      </c>
      <c r="AD346" s="137">
        <v>36</v>
      </c>
      <c r="AE346" s="137">
        <v>64</v>
      </c>
      <c r="AF346" s="137">
        <v>58.000000000000007</v>
      </c>
      <c r="AG346" s="137">
        <v>31</v>
      </c>
      <c r="AH346" s="137">
        <v>29</v>
      </c>
      <c r="AI346" s="208">
        <v>2</v>
      </c>
      <c r="AJ346" s="172">
        <v>3000</v>
      </c>
      <c r="AK346" s="172">
        <v>30411</v>
      </c>
      <c r="AL346" s="172">
        <v>2000</v>
      </c>
      <c r="AM346" s="172">
        <v>30414</v>
      </c>
      <c r="AN346" s="172">
        <v>0</v>
      </c>
      <c r="AO346" s="172">
        <f t="shared" si="46"/>
        <v>34411</v>
      </c>
      <c r="AP346" s="172">
        <v>0</v>
      </c>
      <c r="AQ346" s="172">
        <f t="shared" si="47"/>
        <v>34414</v>
      </c>
      <c r="AR346" s="172">
        <v>1</v>
      </c>
      <c r="AS346" s="172">
        <v>0</v>
      </c>
      <c r="AT346" s="199">
        <v>78069</v>
      </c>
      <c r="AU346" s="195" t="s">
        <v>277</v>
      </c>
    </row>
    <row r="347" spans="1:47" x14ac:dyDescent="0.2">
      <c r="A347" s="173">
        <v>55070</v>
      </c>
      <c r="B347" s="174" t="s">
        <v>278</v>
      </c>
      <c r="C347" s="172">
        <v>86070</v>
      </c>
      <c r="D347" s="172">
        <v>150070</v>
      </c>
      <c r="E347" s="206" t="s">
        <v>279</v>
      </c>
      <c r="F347" s="207">
        <v>8</v>
      </c>
      <c r="G347" s="172">
        <v>13000</v>
      </c>
      <c r="H347" s="172">
        <v>9000</v>
      </c>
      <c r="I347" s="172">
        <v>10000</v>
      </c>
      <c r="J347" s="172">
        <v>1</v>
      </c>
      <c r="K347" s="190">
        <f>IF($J347=1,INDEX('큐펫&amp;몹 정리(최신)'!P:P,MATCH($E347,'큐펫&amp;몹 정리(최신)'!$B:$B,0))*20,IF($J347=2,INDEX('큐펫&amp;몹 정리(최신)'!P:P,MATCH($E347,'큐펫&amp;몹 정리(최신)'!$B:$B,0))*25,IF($J347=3,INDEX('큐펫&amp;몹 정리(최신)'!P:P,MATCH($E347,'큐펫&amp;몹 정리(최신)'!$B:$B,0))*30,IF($J347=4,INDEX('큐펫&amp;몹 정리(최신)'!P:P,MATCH($E347,'큐펫&amp;몹 정리(최신)'!$B:$B,0))*35,INDEX('큐펫&amp;몹 정리(최신)'!P:P,MATCH($E347,'큐펫&amp;몹 정리(최신)'!$B:$B,0))*40))))</f>
        <v>900</v>
      </c>
      <c r="L347" s="190">
        <f>IF($J347=1,INDEX('큐펫&amp;몹 정리(최신)'!Q:Q,MATCH($E347,'큐펫&amp;몹 정리(최신)'!$B:$B,0))*20,IF($J347=2,INDEX('큐펫&amp;몹 정리(최신)'!Q:Q,MATCH($E347,'큐펫&amp;몹 정리(최신)'!$B:$B,0))*25,IF($J347=3,INDEX('큐펫&amp;몹 정리(최신)'!Q:Q,MATCH($E347,'큐펫&amp;몹 정리(최신)'!$B:$B,0))*30,IF($J347=4,INDEX('큐펫&amp;몹 정리(최신)'!Q:Q,MATCH($E347,'큐펫&amp;몹 정리(최신)'!$B:$B,0))*35,INDEX('큐펫&amp;몹 정리(최신)'!Q:Q,MATCH($E347,'큐펫&amp;몹 정리(최신)'!$B:$B,0))*40))))</f>
        <v>140</v>
      </c>
      <c r="M347" s="190">
        <f>IF($J347=1,INDEX('큐펫&amp;몹 정리(최신)'!R:R,MATCH($E347,'큐펫&amp;몹 정리(최신)'!$B:$B,0))*20,IF($J347=2,INDEX('큐펫&amp;몹 정리(최신)'!R:R,MATCH($E347,'큐펫&amp;몹 정리(최신)'!$B:$B,0))*25,IF($J347=3,INDEX('큐펫&amp;몹 정리(최신)'!R:R,MATCH($E347,'큐펫&amp;몹 정리(최신)'!$B:$B,0))*30,IF($J347=4,INDEX('큐펫&amp;몹 정리(최신)'!R:R,MATCH($E347,'큐펫&amp;몹 정리(최신)'!$B:$B,0))*35,INDEX('큐펫&amp;몹 정리(최신)'!R:R,MATCH($E347,'큐펫&amp;몹 정리(최신)'!$B:$B,0))*40))))</f>
        <v>100</v>
      </c>
      <c r="N347" s="190">
        <f>IF($J347=1,INDEX('큐펫&amp;몹 정리(최신)'!S:S,MATCH($E347,'큐펫&amp;몹 정리(최신)'!$B:$B,0))*20,IF($J347=2,INDEX('큐펫&amp;몹 정리(최신)'!S:S,MATCH($E347,'큐펫&amp;몹 정리(최신)'!$B:$B,0))*25,IF($J347=3,INDEX('큐펫&amp;몹 정리(최신)'!S:S,MATCH($E347,'큐펫&amp;몹 정리(최신)'!$B:$B,0))*30,IF($J347=4,INDEX('큐펫&amp;몹 정리(최신)'!S:S,MATCH($E347,'큐펫&amp;몹 정리(최신)'!$B:$B,0))*35,INDEX('큐펫&amp;몹 정리(최신)'!S:S,MATCH($E347,'큐펫&amp;몹 정리(최신)'!$B:$B,0))*40))))</f>
        <v>400</v>
      </c>
      <c r="O347" s="190">
        <f>IF($J347=1,INDEX('큐펫&amp;몹 정리(최신)'!T:T,MATCH($E347,'큐펫&amp;몹 정리(최신)'!$B:$B,0))*20,IF($J347=2,INDEX('큐펫&amp;몹 정리(최신)'!T:T,MATCH($E347,'큐펫&amp;몹 정리(최신)'!$B:$B,0))*25,IF($J347=3,INDEX('큐펫&amp;몹 정리(최신)'!T:T,MATCH($E347,'큐펫&amp;몹 정리(최신)'!$B:$B,0))*30,IF($J347=4,INDEX('큐펫&amp;몹 정리(최신)'!T:T,MATCH($E347,'큐펫&amp;몹 정리(최신)'!$B:$B,0))*35,INDEX('큐펫&amp;몹 정리(최신)'!T:T,MATCH($E347,'큐펫&amp;몹 정리(최신)'!$B:$B,0))*40))))</f>
        <v>460</v>
      </c>
      <c r="P347" s="217">
        <v>20</v>
      </c>
      <c r="Q347" s="217">
        <f t="shared" si="40"/>
        <v>29520</v>
      </c>
      <c r="R347" s="217">
        <f t="shared" si="41"/>
        <v>466</v>
      </c>
      <c r="S347" s="217">
        <f t="shared" si="42"/>
        <v>2456</v>
      </c>
      <c r="T347" s="217">
        <f t="shared" si="43"/>
        <v>423</v>
      </c>
      <c r="U347" s="217">
        <f t="shared" si="44"/>
        <v>11807</v>
      </c>
      <c r="V347" s="217">
        <f t="shared" si="45"/>
        <v>6804</v>
      </c>
      <c r="W347" s="217">
        <f>ROUND(AC347+(INDEX(Ref!B$1:B$9,MATCH($AI347,Ref!$A$1:$A$9,0))*P347*0.0001),)</f>
        <v>17</v>
      </c>
      <c r="X347" s="217">
        <f>ROUND(AD347+(INDEX(Ref!C$1:C$9,MATCH($AI347,Ref!$A$1:$A$9,0))*$P347*0.0001),)</f>
        <v>32</v>
      </c>
      <c r="Y347" s="217">
        <f>ROUND(AE347+(INDEX(Ref!D$1:D$9,MATCH($AI347,Ref!$A$1:$A$9,0))*$P347*0.0001),)</f>
        <v>39</v>
      </c>
      <c r="Z347" s="217">
        <f>ROUND(AF347+(INDEX(Ref!E$1:E$9,MATCH($AI347,Ref!$A$1:$A$9,0))*$P347*0.0001),)</f>
        <v>19</v>
      </c>
      <c r="AA347" s="217">
        <f>ROUND(AG347+(INDEX(Ref!F$1:F$9,MATCH($AI347,Ref!$A$1:$A$9,0))*$P347*0.0001),)</f>
        <v>41</v>
      </c>
      <c r="AB347" s="217">
        <f>ROUND(AH347+(INDEX(Ref!G$1:G$9,MATCH($AI347,Ref!$A$1:$A$9,0))*$P347*0.0001),)</f>
        <v>36</v>
      </c>
      <c r="AC347" s="137">
        <v>15</v>
      </c>
      <c r="AD347" s="137">
        <v>28</v>
      </c>
      <c r="AE347" s="137">
        <v>36</v>
      </c>
      <c r="AF347" s="137">
        <v>17</v>
      </c>
      <c r="AG347" s="137">
        <v>36</v>
      </c>
      <c r="AH347" s="137">
        <v>32</v>
      </c>
      <c r="AI347" s="208">
        <v>5</v>
      </c>
      <c r="AJ347" s="172">
        <v>3000</v>
      </c>
      <c r="AK347" s="172">
        <v>30415</v>
      </c>
      <c r="AL347" s="172">
        <v>2000</v>
      </c>
      <c r="AM347" s="172">
        <v>30418</v>
      </c>
      <c r="AN347" s="172">
        <v>0</v>
      </c>
      <c r="AO347" s="172">
        <f t="shared" si="46"/>
        <v>34415</v>
      </c>
      <c r="AP347" s="172">
        <v>0</v>
      </c>
      <c r="AQ347" s="172">
        <f t="shared" si="47"/>
        <v>34418</v>
      </c>
      <c r="AR347" s="172">
        <v>1</v>
      </c>
      <c r="AS347" s="172">
        <v>0</v>
      </c>
      <c r="AT347" s="199">
        <v>78070</v>
      </c>
      <c r="AU347" s="195" t="s">
        <v>280</v>
      </c>
    </row>
    <row r="348" spans="1:47" x14ac:dyDescent="0.2">
      <c r="A348" s="173">
        <v>55070</v>
      </c>
      <c r="B348" s="174" t="s">
        <v>278</v>
      </c>
      <c r="C348" s="172">
        <v>86070</v>
      </c>
      <c r="D348" s="172">
        <v>150070</v>
      </c>
      <c r="E348" s="206" t="s">
        <v>279</v>
      </c>
      <c r="F348" s="207">
        <v>8</v>
      </c>
      <c r="G348" s="172">
        <v>13000</v>
      </c>
      <c r="H348" s="172">
        <v>9000</v>
      </c>
      <c r="I348" s="172">
        <v>10000</v>
      </c>
      <c r="J348" s="172">
        <v>2</v>
      </c>
      <c r="K348" s="190">
        <f>IF($J348=1,INDEX('큐펫&amp;몹 정리(최신)'!P:P,MATCH($E348,'큐펫&amp;몹 정리(최신)'!$B:$B,0))*20,IF($J348=2,INDEX('큐펫&amp;몹 정리(최신)'!P:P,MATCH($E348,'큐펫&amp;몹 정리(최신)'!$B:$B,0))*25,IF($J348=3,INDEX('큐펫&amp;몹 정리(최신)'!P:P,MATCH($E348,'큐펫&amp;몹 정리(최신)'!$B:$B,0))*30,IF($J348=4,INDEX('큐펫&amp;몹 정리(최신)'!P:P,MATCH($E348,'큐펫&amp;몹 정리(최신)'!$B:$B,0))*35,INDEX('큐펫&amp;몹 정리(최신)'!P:P,MATCH($E348,'큐펫&amp;몹 정리(최신)'!$B:$B,0))*40))))</f>
        <v>1125</v>
      </c>
      <c r="L348" s="190">
        <f>IF($J348=1,INDEX('큐펫&amp;몹 정리(최신)'!Q:Q,MATCH($E348,'큐펫&amp;몹 정리(최신)'!$B:$B,0))*20,IF($J348=2,INDEX('큐펫&amp;몹 정리(최신)'!Q:Q,MATCH($E348,'큐펫&amp;몹 정리(최신)'!$B:$B,0))*25,IF($J348=3,INDEX('큐펫&amp;몹 정리(최신)'!Q:Q,MATCH($E348,'큐펫&amp;몹 정리(최신)'!$B:$B,0))*30,IF($J348=4,INDEX('큐펫&amp;몹 정리(최신)'!Q:Q,MATCH($E348,'큐펫&amp;몹 정리(최신)'!$B:$B,0))*35,INDEX('큐펫&amp;몹 정리(최신)'!Q:Q,MATCH($E348,'큐펫&amp;몹 정리(최신)'!$B:$B,0))*40))))</f>
        <v>175</v>
      </c>
      <c r="M348" s="190">
        <f>IF($J348=1,INDEX('큐펫&amp;몹 정리(최신)'!R:R,MATCH($E348,'큐펫&amp;몹 정리(최신)'!$B:$B,0))*20,IF($J348=2,INDEX('큐펫&amp;몹 정리(최신)'!R:R,MATCH($E348,'큐펫&amp;몹 정리(최신)'!$B:$B,0))*25,IF($J348=3,INDEX('큐펫&amp;몹 정리(최신)'!R:R,MATCH($E348,'큐펫&amp;몹 정리(최신)'!$B:$B,0))*30,IF($J348=4,INDEX('큐펫&amp;몹 정리(최신)'!R:R,MATCH($E348,'큐펫&amp;몹 정리(최신)'!$B:$B,0))*35,INDEX('큐펫&amp;몹 정리(최신)'!R:R,MATCH($E348,'큐펫&amp;몹 정리(최신)'!$B:$B,0))*40))))</f>
        <v>125</v>
      </c>
      <c r="N348" s="190">
        <f>IF($J348=1,INDEX('큐펫&amp;몹 정리(최신)'!S:S,MATCH($E348,'큐펫&amp;몹 정리(최신)'!$B:$B,0))*20,IF($J348=2,INDEX('큐펫&amp;몹 정리(최신)'!S:S,MATCH($E348,'큐펫&amp;몹 정리(최신)'!$B:$B,0))*25,IF($J348=3,INDEX('큐펫&amp;몹 정리(최신)'!S:S,MATCH($E348,'큐펫&amp;몹 정리(최신)'!$B:$B,0))*30,IF($J348=4,INDEX('큐펫&amp;몹 정리(최신)'!S:S,MATCH($E348,'큐펫&amp;몹 정리(최신)'!$B:$B,0))*35,INDEX('큐펫&amp;몹 정리(최신)'!S:S,MATCH($E348,'큐펫&amp;몹 정리(최신)'!$B:$B,0))*40))))</f>
        <v>500</v>
      </c>
      <c r="O348" s="190">
        <f>IF($J348=1,INDEX('큐펫&amp;몹 정리(최신)'!T:T,MATCH($E348,'큐펫&amp;몹 정리(최신)'!$B:$B,0))*20,IF($J348=2,INDEX('큐펫&amp;몹 정리(최신)'!T:T,MATCH($E348,'큐펫&amp;몹 정리(최신)'!$B:$B,0))*25,IF($J348=3,INDEX('큐펫&amp;몹 정리(최신)'!T:T,MATCH($E348,'큐펫&amp;몹 정리(최신)'!$B:$B,0))*30,IF($J348=4,INDEX('큐펫&amp;몹 정리(최신)'!T:T,MATCH($E348,'큐펫&amp;몹 정리(최신)'!$B:$B,0))*35,INDEX('큐펫&amp;몹 정리(최신)'!T:T,MATCH($E348,'큐펫&amp;몹 정리(최신)'!$B:$B,0))*40))))</f>
        <v>575</v>
      </c>
      <c r="P348" s="217">
        <v>40</v>
      </c>
      <c r="Q348" s="217">
        <f t="shared" si="40"/>
        <v>70400</v>
      </c>
      <c r="R348" s="217">
        <f t="shared" si="41"/>
        <v>855</v>
      </c>
      <c r="S348" s="217">
        <f t="shared" si="42"/>
        <v>4687</v>
      </c>
      <c r="T348" s="217">
        <f t="shared" si="43"/>
        <v>805</v>
      </c>
      <c r="U348" s="217">
        <f t="shared" si="44"/>
        <v>21009</v>
      </c>
      <c r="V348" s="217">
        <f t="shared" si="45"/>
        <v>12099</v>
      </c>
      <c r="W348" s="217">
        <f>ROUND(AC348+(INDEX(Ref!B$1:B$9,MATCH($AI348,Ref!$A$1:$A$9,0))*P348*0.0001),)</f>
        <v>21</v>
      </c>
      <c r="X348" s="217">
        <f>ROUND(AD348+(INDEX(Ref!C$1:C$9,MATCH($AI348,Ref!$A$1:$A$9,0))*$P348*0.0001),)</f>
        <v>40</v>
      </c>
      <c r="Y348" s="217">
        <f>ROUND(AE348+(INDEX(Ref!D$1:D$9,MATCH($AI348,Ref!$A$1:$A$9,0))*$P348*0.0001),)</f>
        <v>44</v>
      </c>
      <c r="Z348" s="217">
        <f>ROUND(AF348+(INDEX(Ref!E$1:E$9,MATCH($AI348,Ref!$A$1:$A$9,0))*$P348*0.0001),)</f>
        <v>24</v>
      </c>
      <c r="AA348" s="217">
        <f>ROUND(AG348+(INDEX(Ref!F$1:F$9,MATCH($AI348,Ref!$A$1:$A$9,0))*$P348*0.0001),)</f>
        <v>51</v>
      </c>
      <c r="AB348" s="217">
        <f>ROUND(AH348+(INDEX(Ref!G$1:G$9,MATCH($AI348,Ref!$A$1:$A$9,0))*$P348*0.0001),)</f>
        <v>44</v>
      </c>
      <c r="AC348" s="137">
        <v>17</v>
      </c>
      <c r="AD348" s="137">
        <v>32</v>
      </c>
      <c r="AE348" s="137">
        <v>39</v>
      </c>
      <c r="AF348" s="137">
        <v>19</v>
      </c>
      <c r="AG348" s="137">
        <v>41</v>
      </c>
      <c r="AH348" s="137">
        <v>36</v>
      </c>
      <c r="AI348" s="208">
        <v>5</v>
      </c>
      <c r="AJ348" s="172">
        <v>3000</v>
      </c>
      <c r="AK348" s="172">
        <v>30416</v>
      </c>
      <c r="AL348" s="172">
        <v>2000</v>
      </c>
      <c r="AM348" s="172">
        <v>30418</v>
      </c>
      <c r="AN348" s="172">
        <v>0</v>
      </c>
      <c r="AO348" s="172">
        <f t="shared" si="46"/>
        <v>34416</v>
      </c>
      <c r="AP348" s="172">
        <v>0</v>
      </c>
      <c r="AQ348" s="172">
        <f t="shared" si="47"/>
        <v>34418</v>
      </c>
      <c r="AR348" s="172">
        <v>1</v>
      </c>
      <c r="AS348" s="172">
        <v>0</v>
      </c>
      <c r="AT348" s="199">
        <v>78070</v>
      </c>
      <c r="AU348" s="195" t="s">
        <v>280</v>
      </c>
    </row>
    <row r="349" spans="1:47" x14ac:dyDescent="0.2">
      <c r="A349" s="173">
        <v>55070</v>
      </c>
      <c r="B349" s="174" t="s">
        <v>278</v>
      </c>
      <c r="C349" s="172">
        <v>86070</v>
      </c>
      <c r="D349" s="172">
        <v>150070</v>
      </c>
      <c r="E349" s="206" t="s">
        <v>279</v>
      </c>
      <c r="F349" s="207">
        <v>8</v>
      </c>
      <c r="G349" s="172">
        <v>13000</v>
      </c>
      <c r="H349" s="172">
        <v>9000</v>
      </c>
      <c r="I349" s="172">
        <v>10000</v>
      </c>
      <c r="J349" s="172">
        <v>3</v>
      </c>
      <c r="K349" s="190">
        <f>IF($J349=1,INDEX('큐펫&amp;몹 정리(최신)'!P:P,MATCH($E349,'큐펫&amp;몹 정리(최신)'!$B:$B,0))*20,IF($J349=2,INDEX('큐펫&amp;몹 정리(최신)'!P:P,MATCH($E349,'큐펫&amp;몹 정리(최신)'!$B:$B,0))*25,IF($J349=3,INDEX('큐펫&amp;몹 정리(최신)'!P:P,MATCH($E349,'큐펫&amp;몹 정리(최신)'!$B:$B,0))*30,IF($J349=4,INDEX('큐펫&amp;몹 정리(최신)'!P:P,MATCH($E349,'큐펫&amp;몹 정리(최신)'!$B:$B,0))*35,INDEX('큐펫&amp;몹 정리(최신)'!P:P,MATCH($E349,'큐펫&amp;몹 정리(최신)'!$B:$B,0))*40))))</f>
        <v>1350</v>
      </c>
      <c r="L349" s="190">
        <f>IF($J349=1,INDEX('큐펫&amp;몹 정리(최신)'!Q:Q,MATCH($E349,'큐펫&amp;몹 정리(최신)'!$B:$B,0))*20,IF($J349=2,INDEX('큐펫&amp;몹 정리(최신)'!Q:Q,MATCH($E349,'큐펫&amp;몹 정리(최신)'!$B:$B,0))*25,IF($J349=3,INDEX('큐펫&amp;몹 정리(최신)'!Q:Q,MATCH($E349,'큐펫&amp;몹 정리(최신)'!$B:$B,0))*30,IF($J349=4,INDEX('큐펫&amp;몹 정리(최신)'!Q:Q,MATCH($E349,'큐펫&amp;몹 정리(최신)'!$B:$B,0))*35,INDEX('큐펫&amp;몹 정리(최신)'!Q:Q,MATCH($E349,'큐펫&amp;몹 정리(최신)'!$B:$B,0))*40))))</f>
        <v>210</v>
      </c>
      <c r="M349" s="190">
        <f>IF($J349=1,INDEX('큐펫&amp;몹 정리(최신)'!R:R,MATCH($E349,'큐펫&amp;몹 정리(최신)'!$B:$B,0))*20,IF($J349=2,INDEX('큐펫&amp;몹 정리(최신)'!R:R,MATCH($E349,'큐펫&amp;몹 정리(최신)'!$B:$B,0))*25,IF($J349=3,INDEX('큐펫&amp;몹 정리(최신)'!R:R,MATCH($E349,'큐펫&amp;몹 정리(최신)'!$B:$B,0))*30,IF($J349=4,INDEX('큐펫&amp;몹 정리(최신)'!R:R,MATCH($E349,'큐펫&amp;몹 정리(최신)'!$B:$B,0))*35,INDEX('큐펫&amp;몹 정리(최신)'!R:R,MATCH($E349,'큐펫&amp;몹 정리(최신)'!$B:$B,0))*40))))</f>
        <v>150</v>
      </c>
      <c r="N349" s="190">
        <f>IF($J349=1,INDEX('큐펫&amp;몹 정리(최신)'!S:S,MATCH($E349,'큐펫&amp;몹 정리(최신)'!$B:$B,0))*20,IF($J349=2,INDEX('큐펫&amp;몹 정리(최신)'!S:S,MATCH($E349,'큐펫&amp;몹 정리(최신)'!$B:$B,0))*25,IF($J349=3,INDEX('큐펫&amp;몹 정리(최신)'!S:S,MATCH($E349,'큐펫&amp;몹 정리(최신)'!$B:$B,0))*30,IF($J349=4,INDEX('큐펫&amp;몹 정리(최신)'!S:S,MATCH($E349,'큐펫&amp;몹 정리(최신)'!$B:$B,0))*35,INDEX('큐펫&amp;몹 정리(최신)'!S:S,MATCH($E349,'큐펫&amp;몹 정리(최신)'!$B:$B,0))*40))))</f>
        <v>600</v>
      </c>
      <c r="O349" s="190">
        <f>IF($J349=1,INDEX('큐펫&amp;몹 정리(최신)'!T:T,MATCH($E349,'큐펫&amp;몹 정리(최신)'!$B:$B,0))*20,IF($J349=2,INDEX('큐펫&amp;몹 정리(최신)'!T:T,MATCH($E349,'큐펫&amp;몹 정리(최신)'!$B:$B,0))*25,IF($J349=3,INDEX('큐펫&amp;몹 정리(최신)'!T:T,MATCH($E349,'큐펫&amp;몹 정리(최신)'!$B:$B,0))*30,IF($J349=4,INDEX('큐펫&amp;몹 정리(최신)'!T:T,MATCH($E349,'큐펫&amp;몹 정리(최신)'!$B:$B,0))*35,INDEX('큐펫&amp;몹 정리(최신)'!T:T,MATCH($E349,'큐펫&amp;몹 정리(최신)'!$B:$B,0))*40))))</f>
        <v>690</v>
      </c>
      <c r="P349" s="217">
        <v>60</v>
      </c>
      <c r="Q349" s="217">
        <f t="shared" si="40"/>
        <v>128200</v>
      </c>
      <c r="R349" s="217">
        <f t="shared" si="41"/>
        <v>1527</v>
      </c>
      <c r="S349" s="217">
        <f t="shared" si="42"/>
        <v>7727</v>
      </c>
      <c r="T349" s="217">
        <f t="shared" si="43"/>
        <v>1282</v>
      </c>
      <c r="U349" s="217">
        <f t="shared" si="44"/>
        <v>33010</v>
      </c>
      <c r="V349" s="217">
        <f t="shared" si="45"/>
        <v>19003</v>
      </c>
      <c r="W349" s="217">
        <f>ROUND(AC349+(INDEX(Ref!B$1:B$9,MATCH($AI349,Ref!$A$1:$A$9,0))*P349*0.0001),)</f>
        <v>26</v>
      </c>
      <c r="X349" s="217">
        <f>ROUND(AD349+(INDEX(Ref!C$1:C$9,MATCH($AI349,Ref!$A$1:$A$9,0))*$P349*0.0001),)</f>
        <v>47</v>
      </c>
      <c r="Y349" s="217">
        <f>ROUND(AE349+(INDEX(Ref!D$1:D$9,MATCH($AI349,Ref!$A$1:$A$9,0))*$P349*0.0001),)</f>
        <v>50</v>
      </c>
      <c r="Z349" s="217">
        <f>ROUND(AF349+(INDEX(Ref!E$1:E$9,MATCH($AI349,Ref!$A$1:$A$9,0))*$P349*0.0001),)</f>
        <v>28</v>
      </c>
      <c r="AA349" s="217">
        <f>ROUND(AG349+(INDEX(Ref!F$1:F$9,MATCH($AI349,Ref!$A$1:$A$9,0))*$P349*0.0001),)</f>
        <v>60</v>
      </c>
      <c r="AB349" s="217">
        <f>ROUND(AH349+(INDEX(Ref!G$1:G$9,MATCH($AI349,Ref!$A$1:$A$9,0))*$P349*0.0001),)</f>
        <v>53</v>
      </c>
      <c r="AC349" s="137">
        <v>19</v>
      </c>
      <c r="AD349" s="137">
        <v>36</v>
      </c>
      <c r="AE349" s="137">
        <v>42</v>
      </c>
      <c r="AF349" s="137">
        <v>21</v>
      </c>
      <c r="AG349" s="137">
        <v>46</v>
      </c>
      <c r="AH349" s="137">
        <v>40</v>
      </c>
      <c r="AI349" s="208">
        <v>5</v>
      </c>
      <c r="AJ349" s="172">
        <v>3000</v>
      </c>
      <c r="AK349" s="172">
        <v>30416</v>
      </c>
      <c r="AL349" s="172">
        <v>2000</v>
      </c>
      <c r="AM349" s="172">
        <v>30419</v>
      </c>
      <c r="AN349" s="172">
        <v>0</v>
      </c>
      <c r="AO349" s="172">
        <f t="shared" si="46"/>
        <v>34416</v>
      </c>
      <c r="AP349" s="172">
        <v>0</v>
      </c>
      <c r="AQ349" s="172">
        <f t="shared" si="47"/>
        <v>34419</v>
      </c>
      <c r="AR349" s="172">
        <v>1</v>
      </c>
      <c r="AS349" s="172">
        <v>0</v>
      </c>
      <c r="AT349" s="199">
        <v>78070</v>
      </c>
      <c r="AU349" s="195" t="s">
        <v>280</v>
      </c>
    </row>
    <row r="350" spans="1:47" x14ac:dyDescent="0.2">
      <c r="A350" s="173">
        <v>55070</v>
      </c>
      <c r="B350" s="174" t="s">
        <v>278</v>
      </c>
      <c r="C350" s="172">
        <v>86070</v>
      </c>
      <c r="D350" s="172">
        <v>150070</v>
      </c>
      <c r="E350" s="206" t="s">
        <v>279</v>
      </c>
      <c r="F350" s="207">
        <v>8</v>
      </c>
      <c r="G350" s="172">
        <v>13000</v>
      </c>
      <c r="H350" s="172">
        <v>9000</v>
      </c>
      <c r="I350" s="172">
        <v>10000</v>
      </c>
      <c r="J350" s="172">
        <v>4</v>
      </c>
      <c r="K350" s="190">
        <f>IF($J350=1,INDEX('큐펫&amp;몹 정리(최신)'!P:P,MATCH($E350,'큐펫&amp;몹 정리(최신)'!$B:$B,0))*20,IF($J350=2,INDEX('큐펫&amp;몹 정리(최신)'!P:P,MATCH($E350,'큐펫&amp;몹 정리(최신)'!$B:$B,0))*25,IF($J350=3,INDEX('큐펫&amp;몹 정리(최신)'!P:P,MATCH($E350,'큐펫&amp;몹 정리(최신)'!$B:$B,0))*30,IF($J350=4,INDEX('큐펫&amp;몹 정리(최신)'!P:P,MATCH($E350,'큐펫&amp;몹 정리(최신)'!$B:$B,0))*35,INDEX('큐펫&amp;몹 정리(최신)'!P:P,MATCH($E350,'큐펫&amp;몹 정리(최신)'!$B:$B,0))*40))))</f>
        <v>1575</v>
      </c>
      <c r="L350" s="190">
        <f>IF($J350=1,INDEX('큐펫&amp;몹 정리(최신)'!Q:Q,MATCH($E350,'큐펫&amp;몹 정리(최신)'!$B:$B,0))*20,IF($J350=2,INDEX('큐펫&amp;몹 정리(최신)'!Q:Q,MATCH($E350,'큐펫&amp;몹 정리(최신)'!$B:$B,0))*25,IF($J350=3,INDEX('큐펫&amp;몹 정리(최신)'!Q:Q,MATCH($E350,'큐펫&amp;몹 정리(최신)'!$B:$B,0))*30,IF($J350=4,INDEX('큐펫&amp;몹 정리(최신)'!Q:Q,MATCH($E350,'큐펫&amp;몹 정리(최신)'!$B:$B,0))*35,INDEX('큐펫&amp;몹 정리(최신)'!Q:Q,MATCH($E350,'큐펫&amp;몹 정리(최신)'!$B:$B,0))*40))))</f>
        <v>245</v>
      </c>
      <c r="M350" s="190">
        <f>IF($J350=1,INDEX('큐펫&amp;몹 정리(최신)'!R:R,MATCH($E350,'큐펫&amp;몹 정리(최신)'!$B:$B,0))*20,IF($J350=2,INDEX('큐펫&amp;몹 정리(최신)'!R:R,MATCH($E350,'큐펫&amp;몹 정리(최신)'!$B:$B,0))*25,IF($J350=3,INDEX('큐펫&amp;몹 정리(최신)'!R:R,MATCH($E350,'큐펫&amp;몹 정리(최신)'!$B:$B,0))*30,IF($J350=4,INDEX('큐펫&amp;몹 정리(최신)'!R:R,MATCH($E350,'큐펫&amp;몹 정리(최신)'!$B:$B,0))*35,INDEX('큐펫&amp;몹 정리(최신)'!R:R,MATCH($E350,'큐펫&amp;몹 정리(최신)'!$B:$B,0))*40))))</f>
        <v>175</v>
      </c>
      <c r="N350" s="190">
        <f>IF($J350=1,INDEX('큐펫&amp;몹 정리(최신)'!S:S,MATCH($E350,'큐펫&amp;몹 정리(최신)'!$B:$B,0))*20,IF($J350=2,INDEX('큐펫&amp;몹 정리(최신)'!S:S,MATCH($E350,'큐펫&amp;몹 정리(최신)'!$B:$B,0))*25,IF($J350=3,INDEX('큐펫&amp;몹 정리(최신)'!S:S,MATCH($E350,'큐펫&amp;몹 정리(최신)'!$B:$B,0))*30,IF($J350=4,INDEX('큐펫&amp;몹 정리(최신)'!S:S,MATCH($E350,'큐펫&amp;몹 정리(최신)'!$B:$B,0))*35,INDEX('큐펫&amp;몹 정리(최신)'!S:S,MATCH($E350,'큐펫&amp;몹 정리(최신)'!$B:$B,0))*40))))</f>
        <v>700</v>
      </c>
      <c r="O350" s="190">
        <f>IF($J350=1,INDEX('큐펫&amp;몹 정리(최신)'!T:T,MATCH($E350,'큐펫&amp;몹 정리(최신)'!$B:$B,0))*20,IF($J350=2,INDEX('큐펫&amp;몹 정리(최신)'!T:T,MATCH($E350,'큐펫&amp;몹 정리(최신)'!$B:$B,0))*25,IF($J350=3,INDEX('큐펫&amp;몹 정리(최신)'!T:T,MATCH($E350,'큐펫&amp;몹 정리(최신)'!$B:$B,0))*30,IF($J350=4,INDEX('큐펫&amp;몹 정리(최신)'!T:T,MATCH($E350,'큐펫&amp;몹 정리(최신)'!$B:$B,0))*35,INDEX('큐펫&amp;몹 정리(최신)'!T:T,MATCH($E350,'큐펫&amp;몹 정리(최신)'!$B:$B,0))*40))))</f>
        <v>805</v>
      </c>
      <c r="P350" s="217">
        <v>80</v>
      </c>
      <c r="Q350" s="217">
        <f t="shared" si="40"/>
        <v>201840</v>
      </c>
      <c r="R350" s="217">
        <f t="shared" si="41"/>
        <v>2486</v>
      </c>
      <c r="S350" s="217">
        <f t="shared" si="42"/>
        <v>12204</v>
      </c>
      <c r="T350" s="217">
        <f t="shared" si="43"/>
        <v>2155</v>
      </c>
      <c r="U350" s="217">
        <f t="shared" si="44"/>
        <v>46912</v>
      </c>
      <c r="V350" s="217">
        <f t="shared" si="45"/>
        <v>27001</v>
      </c>
      <c r="W350" s="217">
        <f>ROUND(AC350+(INDEX(Ref!B$1:B$9,MATCH($AI350,Ref!$A$1:$A$9,0))*P350*0.0001),)</f>
        <v>31</v>
      </c>
      <c r="X350" s="217">
        <f>ROUND(AD350+(INDEX(Ref!C$1:C$9,MATCH($AI350,Ref!$A$1:$A$9,0))*$P350*0.0001),)</f>
        <v>54</v>
      </c>
      <c r="Y350" s="217">
        <f>ROUND(AE350+(INDEX(Ref!D$1:D$9,MATCH($AI350,Ref!$A$1:$A$9,0))*$P350*0.0001),)</f>
        <v>54</v>
      </c>
      <c r="Z350" s="217">
        <f>ROUND(AF350+(INDEX(Ref!E$1:E$9,MATCH($AI350,Ref!$A$1:$A$9,0))*$P350*0.0001),)</f>
        <v>34</v>
      </c>
      <c r="AA350" s="217">
        <f>ROUND(AG350+(INDEX(Ref!F$1:F$9,MATCH($AI350,Ref!$A$1:$A$9,0))*$P350*0.0001),)</f>
        <v>70</v>
      </c>
      <c r="AB350" s="217">
        <f>ROUND(AH350+(INDEX(Ref!G$1:G$9,MATCH($AI350,Ref!$A$1:$A$9,0))*$P350*0.0001),)</f>
        <v>61</v>
      </c>
      <c r="AC350" s="137">
        <v>22</v>
      </c>
      <c r="AD350" s="137">
        <v>39</v>
      </c>
      <c r="AE350" s="137">
        <v>44</v>
      </c>
      <c r="AF350" s="137">
        <v>24</v>
      </c>
      <c r="AG350" s="137">
        <v>51</v>
      </c>
      <c r="AH350" s="137">
        <v>44</v>
      </c>
      <c r="AI350" s="208">
        <v>5</v>
      </c>
      <c r="AJ350" s="172">
        <v>3000</v>
      </c>
      <c r="AK350" s="172">
        <v>30417</v>
      </c>
      <c r="AL350" s="172">
        <v>2000</v>
      </c>
      <c r="AM350" s="172">
        <v>30419</v>
      </c>
      <c r="AN350" s="172">
        <v>0</v>
      </c>
      <c r="AO350" s="172">
        <f t="shared" si="46"/>
        <v>34417</v>
      </c>
      <c r="AP350" s="172">
        <v>0</v>
      </c>
      <c r="AQ350" s="172">
        <f t="shared" si="47"/>
        <v>34419</v>
      </c>
      <c r="AR350" s="172">
        <v>1</v>
      </c>
      <c r="AS350" s="172">
        <v>0</v>
      </c>
      <c r="AT350" s="199">
        <v>78070</v>
      </c>
      <c r="AU350" s="195" t="s">
        <v>280</v>
      </c>
    </row>
    <row r="351" spans="1:47" x14ac:dyDescent="0.2">
      <c r="A351" s="173">
        <v>55070</v>
      </c>
      <c r="B351" s="174" t="s">
        <v>278</v>
      </c>
      <c r="C351" s="172">
        <v>86070</v>
      </c>
      <c r="D351" s="172">
        <v>150070</v>
      </c>
      <c r="E351" s="206" t="s">
        <v>279</v>
      </c>
      <c r="F351" s="207">
        <v>8</v>
      </c>
      <c r="G351" s="172">
        <v>13000</v>
      </c>
      <c r="H351" s="172">
        <v>9000</v>
      </c>
      <c r="I351" s="172">
        <v>10000</v>
      </c>
      <c r="J351" s="172">
        <v>5</v>
      </c>
      <c r="K351" s="190">
        <f>IF($J351=1,INDEX('큐펫&amp;몹 정리(최신)'!P:P,MATCH($E351,'큐펫&amp;몹 정리(최신)'!$B:$B,0))*20,IF($J351=2,INDEX('큐펫&amp;몹 정리(최신)'!P:P,MATCH($E351,'큐펫&amp;몹 정리(최신)'!$B:$B,0))*25,IF($J351=3,INDEX('큐펫&amp;몹 정리(최신)'!P:P,MATCH($E351,'큐펫&amp;몹 정리(최신)'!$B:$B,0))*30,IF($J351=4,INDEX('큐펫&amp;몹 정리(최신)'!P:P,MATCH($E351,'큐펫&amp;몹 정리(최신)'!$B:$B,0))*35,INDEX('큐펫&amp;몹 정리(최신)'!P:P,MATCH($E351,'큐펫&amp;몹 정리(최신)'!$B:$B,0))*40))))</f>
        <v>1800</v>
      </c>
      <c r="L351" s="190">
        <f>IF($J351=1,INDEX('큐펫&amp;몹 정리(최신)'!Q:Q,MATCH($E351,'큐펫&amp;몹 정리(최신)'!$B:$B,0))*20,IF($J351=2,INDEX('큐펫&amp;몹 정리(최신)'!Q:Q,MATCH($E351,'큐펫&amp;몹 정리(최신)'!$B:$B,0))*25,IF($J351=3,INDEX('큐펫&amp;몹 정리(최신)'!Q:Q,MATCH($E351,'큐펫&amp;몹 정리(최신)'!$B:$B,0))*30,IF($J351=4,INDEX('큐펫&amp;몹 정리(최신)'!Q:Q,MATCH($E351,'큐펫&amp;몹 정리(최신)'!$B:$B,0))*35,INDEX('큐펫&amp;몹 정리(최신)'!Q:Q,MATCH($E351,'큐펫&amp;몹 정리(최신)'!$B:$B,0))*40))))</f>
        <v>280</v>
      </c>
      <c r="M351" s="190">
        <f>IF($J351=1,INDEX('큐펫&amp;몹 정리(최신)'!R:R,MATCH($E351,'큐펫&amp;몹 정리(최신)'!$B:$B,0))*20,IF($J351=2,INDEX('큐펫&amp;몹 정리(최신)'!R:R,MATCH($E351,'큐펫&amp;몹 정리(최신)'!$B:$B,0))*25,IF($J351=3,INDEX('큐펫&amp;몹 정리(최신)'!R:R,MATCH($E351,'큐펫&amp;몹 정리(최신)'!$B:$B,0))*30,IF($J351=4,INDEX('큐펫&amp;몹 정리(최신)'!R:R,MATCH($E351,'큐펫&amp;몹 정리(최신)'!$B:$B,0))*35,INDEX('큐펫&amp;몹 정리(최신)'!R:R,MATCH($E351,'큐펫&amp;몹 정리(최신)'!$B:$B,0))*40))))</f>
        <v>200</v>
      </c>
      <c r="N351" s="190">
        <f>IF($J351=1,INDEX('큐펫&amp;몹 정리(최신)'!S:S,MATCH($E351,'큐펫&amp;몹 정리(최신)'!$B:$B,0))*20,IF($J351=2,INDEX('큐펫&amp;몹 정리(최신)'!S:S,MATCH($E351,'큐펫&amp;몹 정리(최신)'!$B:$B,0))*25,IF($J351=3,INDEX('큐펫&amp;몹 정리(최신)'!S:S,MATCH($E351,'큐펫&amp;몹 정리(최신)'!$B:$B,0))*30,IF($J351=4,INDEX('큐펫&amp;몹 정리(최신)'!S:S,MATCH($E351,'큐펫&amp;몹 정리(최신)'!$B:$B,0))*35,INDEX('큐펫&amp;몹 정리(최신)'!S:S,MATCH($E351,'큐펫&amp;몹 정리(최신)'!$B:$B,0))*40))))</f>
        <v>800</v>
      </c>
      <c r="O351" s="190">
        <f>IF($J351=1,INDEX('큐펫&amp;몹 정리(최신)'!T:T,MATCH($E351,'큐펫&amp;몹 정리(최신)'!$B:$B,0))*20,IF($J351=2,INDEX('큐펫&amp;몹 정리(최신)'!T:T,MATCH($E351,'큐펫&amp;몹 정리(최신)'!$B:$B,0))*25,IF($J351=3,INDEX('큐펫&amp;몹 정리(최신)'!T:T,MATCH($E351,'큐펫&amp;몹 정리(최신)'!$B:$B,0))*30,IF($J351=4,INDEX('큐펫&amp;몹 정리(최신)'!T:T,MATCH($E351,'큐펫&amp;몹 정리(최신)'!$B:$B,0))*35,INDEX('큐펫&amp;몹 정리(최신)'!T:T,MATCH($E351,'큐펫&amp;몹 정리(최신)'!$B:$B,0))*40))))</f>
        <v>920</v>
      </c>
      <c r="P351" s="217">
        <v>100</v>
      </c>
      <c r="Q351" s="217">
        <f t="shared" si="40"/>
        <v>297000</v>
      </c>
      <c r="R351" s="217">
        <f t="shared" si="41"/>
        <v>3583</v>
      </c>
      <c r="S351" s="217">
        <f t="shared" si="42"/>
        <v>18152</v>
      </c>
      <c r="T351" s="217">
        <f t="shared" si="43"/>
        <v>3041</v>
      </c>
      <c r="U351" s="217">
        <f t="shared" si="44"/>
        <v>64014</v>
      </c>
      <c r="V351" s="217">
        <f t="shared" si="45"/>
        <v>36838</v>
      </c>
      <c r="W351" s="217">
        <f>ROUND(AC351+(INDEX(Ref!B$1:B$9,MATCH($AI351,Ref!$A$1:$A$9,0))*P351*0.0001),)</f>
        <v>35</v>
      </c>
      <c r="X351" s="217">
        <f>ROUND(AD351+(INDEX(Ref!C$1:C$9,MATCH($AI351,Ref!$A$1:$A$9,0))*$P351*0.0001),)</f>
        <v>62</v>
      </c>
      <c r="Y351" s="217">
        <f>ROUND(AE351+(INDEX(Ref!D$1:D$9,MATCH($AI351,Ref!$A$1:$A$9,0))*$P351*0.0001),)</f>
        <v>60</v>
      </c>
      <c r="Z351" s="217">
        <f>ROUND(AF351+(INDEX(Ref!E$1:E$9,MATCH($AI351,Ref!$A$1:$A$9,0))*$P351*0.0001),)</f>
        <v>38</v>
      </c>
      <c r="AA351" s="217">
        <f>ROUND(AG351+(INDEX(Ref!F$1:F$9,MATCH($AI351,Ref!$A$1:$A$9,0))*$P351*0.0001),)</f>
        <v>80</v>
      </c>
      <c r="AB351" s="217">
        <f>ROUND(AH351+(INDEX(Ref!G$1:G$9,MATCH($AI351,Ref!$A$1:$A$9,0))*$P351*0.0001),)</f>
        <v>69</v>
      </c>
      <c r="AC351" s="137">
        <v>24</v>
      </c>
      <c r="AD351" s="137">
        <v>43</v>
      </c>
      <c r="AE351" s="137">
        <v>47</v>
      </c>
      <c r="AF351" s="137">
        <v>26</v>
      </c>
      <c r="AG351" s="137">
        <v>56</v>
      </c>
      <c r="AH351" s="137">
        <v>48</v>
      </c>
      <c r="AI351" s="208">
        <v>5</v>
      </c>
      <c r="AJ351" s="172">
        <v>3000</v>
      </c>
      <c r="AK351" s="172">
        <v>30417</v>
      </c>
      <c r="AL351" s="172">
        <v>2000</v>
      </c>
      <c r="AM351" s="172">
        <v>30420</v>
      </c>
      <c r="AN351" s="172">
        <v>0</v>
      </c>
      <c r="AO351" s="172">
        <f t="shared" si="46"/>
        <v>34417</v>
      </c>
      <c r="AP351" s="172">
        <v>0</v>
      </c>
      <c r="AQ351" s="172">
        <f t="shared" si="47"/>
        <v>34420</v>
      </c>
      <c r="AR351" s="172">
        <v>1</v>
      </c>
      <c r="AS351" s="172">
        <v>0</v>
      </c>
      <c r="AT351" s="199">
        <v>78070</v>
      </c>
      <c r="AU351" s="195" t="s">
        <v>280</v>
      </c>
    </row>
    <row r="352" spans="1:47" x14ac:dyDescent="0.2">
      <c r="A352" s="173">
        <v>55071</v>
      </c>
      <c r="B352" s="174" t="s">
        <v>281</v>
      </c>
      <c r="C352" s="172">
        <v>86071</v>
      </c>
      <c r="D352" s="172">
        <v>150071</v>
      </c>
      <c r="E352" s="206" t="s">
        <v>282</v>
      </c>
      <c r="F352" s="207">
        <v>4</v>
      </c>
      <c r="G352" s="172">
        <v>8500</v>
      </c>
      <c r="H352" s="172">
        <v>8500</v>
      </c>
      <c r="I352" s="172">
        <v>10000</v>
      </c>
      <c r="J352" s="172">
        <v>1</v>
      </c>
      <c r="K352" s="190">
        <f>IF($J352=1,INDEX('큐펫&amp;몹 정리(최신)'!P:P,MATCH($E352,'큐펫&amp;몹 정리(최신)'!$B:$B,0))*20,IF($J352=2,INDEX('큐펫&amp;몹 정리(최신)'!P:P,MATCH($E352,'큐펫&amp;몹 정리(최신)'!$B:$B,0))*25,IF($J352=3,INDEX('큐펫&amp;몹 정리(최신)'!P:P,MATCH($E352,'큐펫&amp;몹 정리(최신)'!$B:$B,0))*30,IF($J352=4,INDEX('큐펫&amp;몹 정리(최신)'!P:P,MATCH($E352,'큐펫&amp;몹 정리(최신)'!$B:$B,0))*35,INDEX('큐펫&amp;몹 정리(최신)'!P:P,MATCH($E352,'큐펫&amp;몹 정리(최신)'!$B:$B,0))*40))))</f>
        <v>760</v>
      </c>
      <c r="L352" s="190">
        <f>IF($J352=1,INDEX('큐펫&amp;몹 정리(최신)'!Q:Q,MATCH($E352,'큐펫&amp;몹 정리(최신)'!$B:$B,0))*20,IF($J352=2,INDEX('큐펫&amp;몹 정리(최신)'!Q:Q,MATCH($E352,'큐펫&amp;몹 정리(최신)'!$B:$B,0))*25,IF($J352=3,INDEX('큐펫&amp;몹 정리(최신)'!Q:Q,MATCH($E352,'큐펫&amp;몹 정리(최신)'!$B:$B,0))*30,IF($J352=4,INDEX('큐펫&amp;몹 정리(최신)'!Q:Q,MATCH($E352,'큐펫&amp;몹 정리(최신)'!$B:$B,0))*35,INDEX('큐펫&amp;몹 정리(최신)'!Q:Q,MATCH($E352,'큐펫&amp;몹 정리(최신)'!$B:$B,0))*40))))</f>
        <v>80</v>
      </c>
      <c r="M352" s="190">
        <f>IF($J352=1,INDEX('큐펫&amp;몹 정리(최신)'!R:R,MATCH($E352,'큐펫&amp;몹 정리(최신)'!$B:$B,0))*20,IF($J352=2,INDEX('큐펫&amp;몹 정리(최신)'!R:R,MATCH($E352,'큐펫&amp;몹 정리(최신)'!$B:$B,0))*25,IF($J352=3,INDEX('큐펫&amp;몹 정리(최신)'!R:R,MATCH($E352,'큐펫&amp;몹 정리(최신)'!$B:$B,0))*30,IF($J352=4,INDEX('큐펫&amp;몹 정리(최신)'!R:R,MATCH($E352,'큐펫&amp;몹 정리(최신)'!$B:$B,0))*35,INDEX('큐펫&amp;몹 정리(최신)'!R:R,MATCH($E352,'큐펫&amp;몹 정리(최신)'!$B:$B,0))*40))))</f>
        <v>420</v>
      </c>
      <c r="N352" s="190">
        <f>IF($J352=1,INDEX('큐펫&amp;몹 정리(최신)'!S:S,MATCH($E352,'큐펫&amp;몹 정리(최신)'!$B:$B,0))*20,IF($J352=2,INDEX('큐펫&amp;몹 정리(최신)'!S:S,MATCH($E352,'큐펫&amp;몹 정리(최신)'!$B:$B,0))*25,IF($J352=3,INDEX('큐펫&amp;몹 정리(최신)'!S:S,MATCH($E352,'큐펫&amp;몹 정리(최신)'!$B:$B,0))*30,IF($J352=4,INDEX('큐펫&amp;몹 정리(최신)'!S:S,MATCH($E352,'큐펫&amp;몹 정리(최신)'!$B:$B,0))*35,INDEX('큐펫&amp;몹 정리(최신)'!S:S,MATCH($E352,'큐펫&amp;몹 정리(최신)'!$B:$B,0))*40))))</f>
        <v>340</v>
      </c>
      <c r="O352" s="190">
        <f>IF($J352=1,INDEX('큐펫&amp;몹 정리(최신)'!T:T,MATCH($E352,'큐펫&amp;몹 정리(최신)'!$B:$B,0))*20,IF($J352=2,INDEX('큐펫&amp;몹 정리(최신)'!T:T,MATCH($E352,'큐펫&amp;몹 정리(최신)'!$B:$B,0))*25,IF($J352=3,INDEX('큐펫&amp;몹 정리(최신)'!T:T,MATCH($E352,'큐펫&amp;몹 정리(최신)'!$B:$B,0))*30,IF($J352=4,INDEX('큐펫&amp;몹 정리(최신)'!T:T,MATCH($E352,'큐펫&amp;몹 정리(최신)'!$B:$B,0))*35,INDEX('큐펫&amp;몹 정리(최신)'!T:T,MATCH($E352,'큐펫&amp;몹 정리(최신)'!$B:$B,0))*40))))</f>
        <v>400</v>
      </c>
      <c r="P352" s="217">
        <v>20</v>
      </c>
      <c r="Q352" s="217">
        <f t="shared" si="40"/>
        <v>25536</v>
      </c>
      <c r="R352" s="217">
        <f t="shared" si="41"/>
        <v>418</v>
      </c>
      <c r="S352" s="217">
        <f t="shared" si="42"/>
        <v>704</v>
      </c>
      <c r="T352" s="217">
        <f t="shared" si="43"/>
        <v>4944</v>
      </c>
      <c r="U352" s="217">
        <f t="shared" si="44"/>
        <v>10717</v>
      </c>
      <c r="V352" s="217">
        <f t="shared" si="45"/>
        <v>6334</v>
      </c>
      <c r="W352" s="217">
        <f>ROUND(AC352+(INDEX(Ref!B$1:B$9,MATCH($AI352,Ref!$A$1:$A$9,0))*P352*0.0001),)</f>
        <v>21</v>
      </c>
      <c r="X352" s="217">
        <f>ROUND(AD352+(INDEX(Ref!C$1:C$9,MATCH($AI352,Ref!$A$1:$A$9,0))*$P352*0.0001),)</f>
        <v>26</v>
      </c>
      <c r="Y352" s="217">
        <f>ROUND(AE352+(INDEX(Ref!D$1:D$9,MATCH($AI352,Ref!$A$1:$A$9,0))*$P352*0.0001),)</f>
        <v>43</v>
      </c>
      <c r="Z352" s="217">
        <f>ROUND(AF352+(INDEX(Ref!E$1:E$9,MATCH($AI352,Ref!$A$1:$A$9,0))*$P352*0.0001),)</f>
        <v>34</v>
      </c>
      <c r="AA352" s="217">
        <f>ROUND(AG352+(INDEX(Ref!F$1:F$9,MATCH($AI352,Ref!$A$1:$A$9,0))*$P352*0.0001),)</f>
        <v>28</v>
      </c>
      <c r="AB352" s="217">
        <f>ROUND(AH352+(INDEX(Ref!G$1:G$9,MATCH($AI352,Ref!$A$1:$A$9,0))*$P352*0.0001),)</f>
        <v>32</v>
      </c>
      <c r="AC352" s="137">
        <v>18</v>
      </c>
      <c r="AD352" s="137">
        <v>23</v>
      </c>
      <c r="AE352" s="137">
        <v>40</v>
      </c>
      <c r="AF352" s="137">
        <v>30</v>
      </c>
      <c r="AG352" s="137">
        <v>25</v>
      </c>
      <c r="AH352" s="137">
        <v>28</v>
      </c>
      <c r="AI352" s="208">
        <v>8</v>
      </c>
      <c r="AJ352" s="172">
        <v>3000</v>
      </c>
      <c r="AK352" s="172">
        <v>30421</v>
      </c>
      <c r="AL352" s="172">
        <v>2000</v>
      </c>
      <c r="AM352" s="172">
        <v>30424</v>
      </c>
      <c r="AN352" s="172">
        <v>0</v>
      </c>
      <c r="AO352" s="172">
        <f t="shared" si="46"/>
        <v>34421</v>
      </c>
      <c r="AP352" s="172">
        <v>0</v>
      </c>
      <c r="AQ352" s="172">
        <f t="shared" si="47"/>
        <v>34424</v>
      </c>
      <c r="AR352" s="172">
        <v>1</v>
      </c>
      <c r="AS352" s="172">
        <v>0</v>
      </c>
      <c r="AT352" s="199">
        <v>78071</v>
      </c>
      <c r="AU352" s="195" t="s">
        <v>283</v>
      </c>
    </row>
    <row r="353" spans="1:47" x14ac:dyDescent="0.2">
      <c r="A353" s="173">
        <v>55071</v>
      </c>
      <c r="B353" s="174" t="s">
        <v>281</v>
      </c>
      <c r="C353" s="172">
        <v>86071</v>
      </c>
      <c r="D353" s="172">
        <v>150071</v>
      </c>
      <c r="E353" s="206" t="s">
        <v>282</v>
      </c>
      <c r="F353" s="207">
        <v>4</v>
      </c>
      <c r="G353" s="172">
        <v>8500</v>
      </c>
      <c r="H353" s="172">
        <v>8500</v>
      </c>
      <c r="I353" s="172">
        <v>10000</v>
      </c>
      <c r="J353" s="172">
        <v>2</v>
      </c>
      <c r="K353" s="190">
        <f>IF($J353=1,INDEX('큐펫&amp;몹 정리(최신)'!P:P,MATCH($E353,'큐펫&amp;몹 정리(최신)'!$B:$B,0))*20,IF($J353=2,INDEX('큐펫&amp;몹 정리(최신)'!P:P,MATCH($E353,'큐펫&amp;몹 정리(최신)'!$B:$B,0))*25,IF($J353=3,INDEX('큐펫&amp;몹 정리(최신)'!P:P,MATCH($E353,'큐펫&amp;몹 정리(최신)'!$B:$B,0))*30,IF($J353=4,INDEX('큐펫&amp;몹 정리(최신)'!P:P,MATCH($E353,'큐펫&amp;몹 정리(최신)'!$B:$B,0))*35,INDEX('큐펫&amp;몹 정리(최신)'!P:P,MATCH($E353,'큐펫&amp;몹 정리(최신)'!$B:$B,0))*40))))</f>
        <v>950</v>
      </c>
      <c r="L353" s="190">
        <f>IF($J353=1,INDEX('큐펫&amp;몹 정리(최신)'!Q:Q,MATCH($E353,'큐펫&amp;몹 정리(최신)'!$B:$B,0))*20,IF($J353=2,INDEX('큐펫&amp;몹 정리(최신)'!Q:Q,MATCH($E353,'큐펫&amp;몹 정리(최신)'!$B:$B,0))*25,IF($J353=3,INDEX('큐펫&amp;몹 정리(최신)'!Q:Q,MATCH($E353,'큐펫&amp;몹 정리(최신)'!$B:$B,0))*30,IF($J353=4,INDEX('큐펫&amp;몹 정리(최신)'!Q:Q,MATCH($E353,'큐펫&amp;몹 정리(최신)'!$B:$B,0))*35,INDEX('큐펫&amp;몹 정리(최신)'!Q:Q,MATCH($E353,'큐펫&amp;몹 정리(최신)'!$B:$B,0))*40))))</f>
        <v>100</v>
      </c>
      <c r="M353" s="190">
        <f>IF($J353=1,INDEX('큐펫&amp;몹 정리(최신)'!R:R,MATCH($E353,'큐펫&amp;몹 정리(최신)'!$B:$B,0))*20,IF($J353=2,INDEX('큐펫&amp;몹 정리(최신)'!R:R,MATCH($E353,'큐펫&amp;몹 정리(최신)'!$B:$B,0))*25,IF($J353=3,INDEX('큐펫&amp;몹 정리(최신)'!R:R,MATCH($E353,'큐펫&amp;몹 정리(최신)'!$B:$B,0))*30,IF($J353=4,INDEX('큐펫&amp;몹 정리(최신)'!R:R,MATCH($E353,'큐펫&amp;몹 정리(최신)'!$B:$B,0))*35,INDEX('큐펫&amp;몹 정리(최신)'!R:R,MATCH($E353,'큐펫&amp;몹 정리(최신)'!$B:$B,0))*40))))</f>
        <v>525</v>
      </c>
      <c r="N353" s="190">
        <f>IF($J353=1,INDEX('큐펫&amp;몹 정리(최신)'!S:S,MATCH($E353,'큐펫&amp;몹 정리(최신)'!$B:$B,0))*20,IF($J353=2,INDEX('큐펫&amp;몹 정리(최신)'!S:S,MATCH($E353,'큐펫&amp;몹 정리(최신)'!$B:$B,0))*25,IF($J353=3,INDEX('큐펫&amp;몹 정리(최신)'!S:S,MATCH($E353,'큐펫&amp;몹 정리(최신)'!$B:$B,0))*30,IF($J353=4,INDEX('큐펫&amp;몹 정리(최신)'!S:S,MATCH($E353,'큐펫&amp;몹 정리(최신)'!$B:$B,0))*35,INDEX('큐펫&amp;몹 정리(최신)'!S:S,MATCH($E353,'큐펫&amp;몹 정리(최신)'!$B:$B,0))*40))))</f>
        <v>425</v>
      </c>
      <c r="O353" s="190">
        <f>IF($J353=1,INDEX('큐펫&amp;몹 정리(최신)'!T:T,MATCH($E353,'큐펫&amp;몹 정리(최신)'!$B:$B,0))*20,IF($J353=2,INDEX('큐펫&amp;몹 정리(최신)'!T:T,MATCH($E353,'큐펫&amp;몹 정리(최신)'!$B:$B,0))*25,IF($J353=3,INDEX('큐펫&amp;몹 정리(최신)'!T:T,MATCH($E353,'큐펫&amp;몹 정리(최신)'!$B:$B,0))*30,IF($J353=4,INDEX('큐펫&amp;몹 정리(최신)'!T:T,MATCH($E353,'큐펫&amp;몹 정리(최신)'!$B:$B,0))*35,INDEX('큐펫&amp;몹 정리(최신)'!T:T,MATCH($E353,'큐펫&amp;몹 정리(최신)'!$B:$B,0))*40))))</f>
        <v>500</v>
      </c>
      <c r="P353" s="217">
        <v>40</v>
      </c>
      <c r="Q353" s="217">
        <f t="shared" si="40"/>
        <v>61320</v>
      </c>
      <c r="R353" s="217">
        <f t="shared" si="41"/>
        <v>764</v>
      </c>
      <c r="S353" s="217">
        <f t="shared" si="42"/>
        <v>1329</v>
      </c>
      <c r="T353" s="217">
        <f t="shared" si="43"/>
        <v>9379</v>
      </c>
      <c r="U353" s="217">
        <f t="shared" si="44"/>
        <v>18921</v>
      </c>
      <c r="V353" s="217">
        <f t="shared" si="45"/>
        <v>11167</v>
      </c>
      <c r="W353" s="217">
        <f>ROUND(AC353+(INDEX(Ref!B$1:B$9,MATCH($AI353,Ref!$A$1:$A$9,0))*P353*0.0001),)</f>
        <v>26</v>
      </c>
      <c r="X353" s="217">
        <f>ROUND(AD353+(INDEX(Ref!C$1:C$9,MATCH($AI353,Ref!$A$1:$A$9,0))*$P353*0.0001),)</f>
        <v>32</v>
      </c>
      <c r="Y353" s="217">
        <f>ROUND(AE353+(INDEX(Ref!D$1:D$9,MATCH($AI353,Ref!$A$1:$A$9,0))*$P353*0.0001),)</f>
        <v>49</v>
      </c>
      <c r="Z353" s="217">
        <f>ROUND(AF353+(INDEX(Ref!E$1:E$9,MATCH($AI353,Ref!$A$1:$A$9,0))*$P353*0.0001),)</f>
        <v>42</v>
      </c>
      <c r="AA353" s="217">
        <f>ROUND(AG353+(INDEX(Ref!F$1:F$9,MATCH($AI353,Ref!$A$1:$A$9,0))*$P353*0.0001),)</f>
        <v>35</v>
      </c>
      <c r="AB353" s="217">
        <f>ROUND(AH353+(INDEX(Ref!G$1:G$9,MATCH($AI353,Ref!$A$1:$A$9,0))*$P353*0.0001),)</f>
        <v>40</v>
      </c>
      <c r="AC353" s="137">
        <v>21</v>
      </c>
      <c r="AD353" s="137">
        <v>26</v>
      </c>
      <c r="AE353" s="137">
        <v>43</v>
      </c>
      <c r="AF353" s="137">
        <v>34</v>
      </c>
      <c r="AG353" s="137">
        <v>28</v>
      </c>
      <c r="AH353" s="137">
        <v>32</v>
      </c>
      <c r="AI353" s="208">
        <v>8</v>
      </c>
      <c r="AJ353" s="172">
        <v>3000</v>
      </c>
      <c r="AK353" s="172">
        <v>30422</v>
      </c>
      <c r="AL353" s="172">
        <v>2000</v>
      </c>
      <c r="AM353" s="172">
        <v>30424</v>
      </c>
      <c r="AN353" s="172">
        <v>0</v>
      </c>
      <c r="AO353" s="172">
        <f t="shared" si="46"/>
        <v>34422</v>
      </c>
      <c r="AP353" s="172">
        <v>0</v>
      </c>
      <c r="AQ353" s="172">
        <f t="shared" si="47"/>
        <v>34424</v>
      </c>
      <c r="AR353" s="172">
        <v>1</v>
      </c>
      <c r="AS353" s="172">
        <v>0</v>
      </c>
      <c r="AT353" s="199">
        <v>78071</v>
      </c>
      <c r="AU353" s="195" t="s">
        <v>283</v>
      </c>
    </row>
    <row r="354" spans="1:47" x14ac:dyDescent="0.2">
      <c r="A354" s="173">
        <v>55071</v>
      </c>
      <c r="B354" s="174" t="s">
        <v>281</v>
      </c>
      <c r="C354" s="172">
        <v>86071</v>
      </c>
      <c r="D354" s="172">
        <v>150071</v>
      </c>
      <c r="E354" s="206" t="s">
        <v>282</v>
      </c>
      <c r="F354" s="207">
        <v>4</v>
      </c>
      <c r="G354" s="172">
        <v>8500</v>
      </c>
      <c r="H354" s="172">
        <v>8500</v>
      </c>
      <c r="I354" s="172">
        <v>10000</v>
      </c>
      <c r="J354" s="172">
        <v>3</v>
      </c>
      <c r="K354" s="190">
        <f>IF($J354=1,INDEX('큐펫&amp;몹 정리(최신)'!P:P,MATCH($E354,'큐펫&amp;몹 정리(최신)'!$B:$B,0))*20,IF($J354=2,INDEX('큐펫&amp;몹 정리(최신)'!P:P,MATCH($E354,'큐펫&amp;몹 정리(최신)'!$B:$B,0))*25,IF($J354=3,INDEX('큐펫&amp;몹 정리(최신)'!P:P,MATCH($E354,'큐펫&amp;몹 정리(최신)'!$B:$B,0))*30,IF($J354=4,INDEX('큐펫&amp;몹 정리(최신)'!P:P,MATCH($E354,'큐펫&amp;몹 정리(최신)'!$B:$B,0))*35,INDEX('큐펫&amp;몹 정리(최신)'!P:P,MATCH($E354,'큐펫&amp;몹 정리(최신)'!$B:$B,0))*40))))</f>
        <v>1140</v>
      </c>
      <c r="L354" s="190">
        <f>IF($J354=1,INDEX('큐펫&amp;몹 정리(최신)'!Q:Q,MATCH($E354,'큐펫&amp;몹 정리(최신)'!$B:$B,0))*20,IF($J354=2,INDEX('큐펫&amp;몹 정리(최신)'!Q:Q,MATCH($E354,'큐펫&amp;몹 정리(최신)'!$B:$B,0))*25,IF($J354=3,INDEX('큐펫&amp;몹 정리(최신)'!Q:Q,MATCH($E354,'큐펫&amp;몹 정리(최신)'!$B:$B,0))*30,IF($J354=4,INDEX('큐펫&amp;몹 정리(최신)'!Q:Q,MATCH($E354,'큐펫&amp;몹 정리(최신)'!$B:$B,0))*35,INDEX('큐펫&amp;몹 정리(최신)'!Q:Q,MATCH($E354,'큐펫&amp;몹 정리(최신)'!$B:$B,0))*40))))</f>
        <v>120</v>
      </c>
      <c r="M354" s="190">
        <f>IF($J354=1,INDEX('큐펫&amp;몹 정리(최신)'!R:R,MATCH($E354,'큐펫&amp;몹 정리(최신)'!$B:$B,0))*20,IF($J354=2,INDEX('큐펫&amp;몹 정리(최신)'!R:R,MATCH($E354,'큐펫&amp;몹 정리(최신)'!$B:$B,0))*25,IF($J354=3,INDEX('큐펫&amp;몹 정리(최신)'!R:R,MATCH($E354,'큐펫&amp;몹 정리(최신)'!$B:$B,0))*30,IF($J354=4,INDEX('큐펫&amp;몹 정리(최신)'!R:R,MATCH($E354,'큐펫&amp;몹 정리(최신)'!$B:$B,0))*35,INDEX('큐펫&amp;몹 정리(최신)'!R:R,MATCH($E354,'큐펫&amp;몹 정리(최신)'!$B:$B,0))*40))))</f>
        <v>630</v>
      </c>
      <c r="N354" s="190">
        <f>IF($J354=1,INDEX('큐펫&amp;몹 정리(최신)'!S:S,MATCH($E354,'큐펫&amp;몹 정리(최신)'!$B:$B,0))*20,IF($J354=2,INDEX('큐펫&amp;몹 정리(최신)'!S:S,MATCH($E354,'큐펫&amp;몹 정리(최신)'!$B:$B,0))*25,IF($J354=3,INDEX('큐펫&amp;몹 정리(최신)'!S:S,MATCH($E354,'큐펫&amp;몹 정리(최신)'!$B:$B,0))*30,IF($J354=4,INDEX('큐펫&amp;몹 정리(최신)'!S:S,MATCH($E354,'큐펫&amp;몹 정리(최신)'!$B:$B,0))*35,INDEX('큐펫&amp;몹 정리(최신)'!S:S,MATCH($E354,'큐펫&amp;몹 정리(최신)'!$B:$B,0))*40))))</f>
        <v>510</v>
      </c>
      <c r="O354" s="190">
        <f>IF($J354=1,INDEX('큐펫&amp;몹 정리(최신)'!T:T,MATCH($E354,'큐펫&amp;몹 정리(최신)'!$B:$B,0))*20,IF($J354=2,INDEX('큐펫&amp;몹 정리(최신)'!T:T,MATCH($E354,'큐펫&amp;몹 정리(최신)'!$B:$B,0))*25,IF($J354=3,INDEX('큐펫&amp;몹 정리(최신)'!T:T,MATCH($E354,'큐펫&amp;몹 정리(최신)'!$B:$B,0))*30,IF($J354=4,INDEX('큐펫&amp;몹 정리(최신)'!T:T,MATCH($E354,'큐펫&amp;몹 정리(최신)'!$B:$B,0))*35,INDEX('큐펫&amp;몹 정리(최신)'!T:T,MATCH($E354,'큐펫&amp;몹 정리(최신)'!$B:$B,0))*40))))</f>
        <v>600</v>
      </c>
      <c r="P354" s="217">
        <v>60</v>
      </c>
      <c r="Q354" s="217">
        <f t="shared" si="40"/>
        <v>111036</v>
      </c>
      <c r="R354" s="217">
        <f t="shared" si="41"/>
        <v>1265</v>
      </c>
      <c r="S354" s="217">
        <f t="shared" si="42"/>
        <v>2247</v>
      </c>
      <c r="T354" s="217">
        <f t="shared" si="43"/>
        <v>15897</v>
      </c>
      <c r="U354" s="217">
        <f t="shared" si="44"/>
        <v>29081</v>
      </c>
      <c r="V354" s="217">
        <f t="shared" si="45"/>
        <v>17150</v>
      </c>
      <c r="W354" s="217">
        <f>ROUND(AC354+(INDEX(Ref!B$1:B$9,MATCH($AI354,Ref!$A$1:$A$9,0))*P354*0.0001),)</f>
        <v>31</v>
      </c>
      <c r="X354" s="217">
        <f>ROUND(AD354+(INDEX(Ref!C$1:C$9,MATCH($AI354,Ref!$A$1:$A$9,0))*$P354*0.0001),)</f>
        <v>40</v>
      </c>
      <c r="Y354" s="217">
        <f>ROUND(AE354+(INDEX(Ref!D$1:D$9,MATCH($AI354,Ref!$A$1:$A$9,0))*$P354*0.0001),)</f>
        <v>54</v>
      </c>
      <c r="Z354" s="217">
        <f>ROUND(AF354+(INDEX(Ref!E$1:E$9,MATCH($AI354,Ref!$A$1:$A$9,0))*$P354*0.0001),)</f>
        <v>50</v>
      </c>
      <c r="AA354" s="217">
        <f>ROUND(AG354+(INDEX(Ref!F$1:F$9,MATCH($AI354,Ref!$A$1:$A$9,0))*$P354*0.0001),)</f>
        <v>42</v>
      </c>
      <c r="AB354" s="217">
        <f>ROUND(AH354+(INDEX(Ref!G$1:G$9,MATCH($AI354,Ref!$A$1:$A$9,0))*$P354*0.0001),)</f>
        <v>47</v>
      </c>
      <c r="AC354" s="137">
        <v>23</v>
      </c>
      <c r="AD354" s="137">
        <v>30</v>
      </c>
      <c r="AE354" s="137">
        <v>45</v>
      </c>
      <c r="AF354" s="137">
        <v>38</v>
      </c>
      <c r="AG354" s="137">
        <v>32</v>
      </c>
      <c r="AH354" s="137">
        <v>36</v>
      </c>
      <c r="AI354" s="208">
        <v>8</v>
      </c>
      <c r="AJ354" s="172">
        <v>3000</v>
      </c>
      <c r="AK354" s="172">
        <v>30422</v>
      </c>
      <c r="AL354" s="172">
        <v>2000</v>
      </c>
      <c r="AM354" s="172">
        <v>30425</v>
      </c>
      <c r="AN354" s="172">
        <v>0</v>
      </c>
      <c r="AO354" s="172">
        <f t="shared" si="46"/>
        <v>34422</v>
      </c>
      <c r="AP354" s="172">
        <v>0</v>
      </c>
      <c r="AQ354" s="172">
        <f t="shared" si="47"/>
        <v>34425</v>
      </c>
      <c r="AR354" s="172">
        <v>1</v>
      </c>
      <c r="AS354" s="172">
        <v>0</v>
      </c>
      <c r="AT354" s="199">
        <v>78071</v>
      </c>
      <c r="AU354" s="195" t="s">
        <v>283</v>
      </c>
    </row>
    <row r="355" spans="1:47" x14ac:dyDescent="0.2">
      <c r="A355" s="173">
        <v>55071</v>
      </c>
      <c r="B355" s="174" t="s">
        <v>281</v>
      </c>
      <c r="C355" s="172">
        <v>86071</v>
      </c>
      <c r="D355" s="172">
        <v>150071</v>
      </c>
      <c r="E355" s="206" t="s">
        <v>282</v>
      </c>
      <c r="F355" s="207">
        <v>4</v>
      </c>
      <c r="G355" s="172">
        <v>8500</v>
      </c>
      <c r="H355" s="172">
        <v>8500</v>
      </c>
      <c r="I355" s="172">
        <v>10000</v>
      </c>
      <c r="J355" s="172">
        <v>4</v>
      </c>
      <c r="K355" s="190">
        <f>IF($J355=1,INDEX('큐펫&amp;몹 정리(최신)'!P:P,MATCH($E355,'큐펫&amp;몹 정리(최신)'!$B:$B,0))*20,IF($J355=2,INDEX('큐펫&amp;몹 정리(최신)'!P:P,MATCH($E355,'큐펫&amp;몹 정리(최신)'!$B:$B,0))*25,IF($J355=3,INDEX('큐펫&amp;몹 정리(최신)'!P:P,MATCH($E355,'큐펫&amp;몹 정리(최신)'!$B:$B,0))*30,IF($J355=4,INDEX('큐펫&amp;몹 정리(최신)'!P:P,MATCH($E355,'큐펫&amp;몹 정리(최신)'!$B:$B,0))*35,INDEX('큐펫&amp;몹 정리(최신)'!P:P,MATCH($E355,'큐펫&amp;몹 정리(최신)'!$B:$B,0))*40))))</f>
        <v>1330</v>
      </c>
      <c r="L355" s="190">
        <f>IF($J355=1,INDEX('큐펫&amp;몹 정리(최신)'!Q:Q,MATCH($E355,'큐펫&amp;몹 정리(최신)'!$B:$B,0))*20,IF($J355=2,INDEX('큐펫&amp;몹 정리(최신)'!Q:Q,MATCH($E355,'큐펫&amp;몹 정리(최신)'!$B:$B,0))*25,IF($J355=3,INDEX('큐펫&amp;몹 정리(최신)'!Q:Q,MATCH($E355,'큐펫&amp;몹 정리(최신)'!$B:$B,0))*30,IF($J355=4,INDEX('큐펫&amp;몹 정리(최신)'!Q:Q,MATCH($E355,'큐펫&amp;몹 정리(최신)'!$B:$B,0))*35,INDEX('큐펫&amp;몹 정리(최신)'!Q:Q,MATCH($E355,'큐펫&amp;몹 정리(최신)'!$B:$B,0))*40))))</f>
        <v>140</v>
      </c>
      <c r="M355" s="190">
        <f>IF($J355=1,INDEX('큐펫&amp;몹 정리(최신)'!R:R,MATCH($E355,'큐펫&amp;몹 정리(최신)'!$B:$B,0))*20,IF($J355=2,INDEX('큐펫&amp;몹 정리(최신)'!R:R,MATCH($E355,'큐펫&amp;몹 정리(최신)'!$B:$B,0))*25,IF($J355=3,INDEX('큐펫&amp;몹 정리(최신)'!R:R,MATCH($E355,'큐펫&amp;몹 정리(최신)'!$B:$B,0))*30,IF($J355=4,INDEX('큐펫&amp;몹 정리(최신)'!R:R,MATCH($E355,'큐펫&amp;몹 정리(최신)'!$B:$B,0))*35,INDEX('큐펫&amp;몹 정리(최신)'!R:R,MATCH($E355,'큐펫&amp;몹 정리(최신)'!$B:$B,0))*40))))</f>
        <v>735</v>
      </c>
      <c r="N355" s="190">
        <f>IF($J355=1,INDEX('큐펫&amp;몹 정리(최신)'!S:S,MATCH($E355,'큐펫&amp;몹 정리(최신)'!$B:$B,0))*20,IF($J355=2,INDEX('큐펫&amp;몹 정리(최신)'!S:S,MATCH($E355,'큐펫&amp;몹 정리(최신)'!$B:$B,0))*25,IF($J355=3,INDEX('큐펫&amp;몹 정리(최신)'!S:S,MATCH($E355,'큐펫&amp;몹 정리(최신)'!$B:$B,0))*30,IF($J355=4,INDEX('큐펫&amp;몹 정리(최신)'!S:S,MATCH($E355,'큐펫&amp;몹 정리(최신)'!$B:$B,0))*35,INDEX('큐펫&amp;몹 정리(최신)'!S:S,MATCH($E355,'큐펫&amp;몹 정리(최신)'!$B:$B,0))*40))))</f>
        <v>595</v>
      </c>
      <c r="O355" s="190">
        <f>IF($J355=1,INDEX('큐펫&amp;몹 정리(최신)'!T:T,MATCH($E355,'큐펫&amp;몹 정리(최신)'!$B:$B,0))*20,IF($J355=2,INDEX('큐펫&amp;몹 정리(최신)'!T:T,MATCH($E355,'큐펫&amp;몹 정리(최신)'!$B:$B,0))*25,IF($J355=3,INDEX('큐펫&amp;몹 정리(최신)'!T:T,MATCH($E355,'큐펫&amp;몹 정리(최신)'!$B:$B,0))*30,IF($J355=4,INDEX('큐펫&amp;몹 정리(최신)'!T:T,MATCH($E355,'큐펫&amp;몹 정리(최신)'!$B:$B,0))*35,INDEX('큐펫&amp;몹 정리(최신)'!T:T,MATCH($E355,'큐펫&amp;몹 정리(최신)'!$B:$B,0))*40))))</f>
        <v>700</v>
      </c>
      <c r="P355" s="217">
        <v>80</v>
      </c>
      <c r="Q355" s="217">
        <f t="shared" si="40"/>
        <v>177904</v>
      </c>
      <c r="R355" s="217">
        <f t="shared" si="41"/>
        <v>1949</v>
      </c>
      <c r="S355" s="217">
        <f t="shared" si="42"/>
        <v>3519</v>
      </c>
      <c r="T355" s="217">
        <f t="shared" si="43"/>
        <v>24901</v>
      </c>
      <c r="U355" s="217">
        <f t="shared" si="44"/>
        <v>41960</v>
      </c>
      <c r="V355" s="217">
        <f t="shared" si="45"/>
        <v>24733</v>
      </c>
      <c r="W355" s="217">
        <f>ROUND(AC355+(INDEX(Ref!B$1:B$9,MATCH($AI355,Ref!$A$1:$A$9,0))*P355*0.0001),)</f>
        <v>36</v>
      </c>
      <c r="X355" s="217">
        <f>ROUND(AD355+(INDEX(Ref!C$1:C$9,MATCH($AI355,Ref!$A$1:$A$9,0))*$P355*0.0001),)</f>
        <v>46</v>
      </c>
      <c r="Y355" s="217">
        <f>ROUND(AE355+(INDEX(Ref!D$1:D$9,MATCH($AI355,Ref!$A$1:$A$9,0))*$P355*0.0001),)</f>
        <v>61</v>
      </c>
      <c r="Z355" s="217">
        <f>ROUND(AF355+(INDEX(Ref!E$1:E$9,MATCH($AI355,Ref!$A$1:$A$9,0))*$P355*0.0001),)</f>
        <v>58</v>
      </c>
      <c r="AA355" s="217">
        <f>ROUND(AG355+(INDEX(Ref!F$1:F$9,MATCH($AI355,Ref!$A$1:$A$9,0))*$P355*0.0001),)</f>
        <v>49</v>
      </c>
      <c r="AB355" s="217">
        <f>ROUND(AH355+(INDEX(Ref!G$1:G$9,MATCH($AI355,Ref!$A$1:$A$9,0))*$P355*0.0001),)</f>
        <v>54</v>
      </c>
      <c r="AC355" s="137">
        <v>26</v>
      </c>
      <c r="AD355" s="137">
        <v>33</v>
      </c>
      <c r="AE355" s="137">
        <v>49</v>
      </c>
      <c r="AF355" s="137">
        <v>42</v>
      </c>
      <c r="AG355" s="137">
        <v>35</v>
      </c>
      <c r="AH355" s="137">
        <v>39</v>
      </c>
      <c r="AI355" s="208">
        <v>8</v>
      </c>
      <c r="AJ355" s="172">
        <v>3000</v>
      </c>
      <c r="AK355" s="172">
        <v>30423</v>
      </c>
      <c r="AL355" s="172">
        <v>2000</v>
      </c>
      <c r="AM355" s="172">
        <v>30425</v>
      </c>
      <c r="AN355" s="172">
        <v>0</v>
      </c>
      <c r="AO355" s="172">
        <f t="shared" si="46"/>
        <v>34423</v>
      </c>
      <c r="AP355" s="172">
        <v>0</v>
      </c>
      <c r="AQ355" s="172">
        <f t="shared" si="47"/>
        <v>34425</v>
      </c>
      <c r="AR355" s="172">
        <v>1</v>
      </c>
      <c r="AS355" s="172">
        <v>0</v>
      </c>
      <c r="AT355" s="199">
        <v>78071</v>
      </c>
      <c r="AU355" s="195" t="s">
        <v>283</v>
      </c>
    </row>
    <row r="356" spans="1:47" x14ac:dyDescent="0.2">
      <c r="A356" s="173">
        <v>55071</v>
      </c>
      <c r="B356" s="174" t="s">
        <v>281</v>
      </c>
      <c r="C356" s="172">
        <v>86071</v>
      </c>
      <c r="D356" s="172">
        <v>150071</v>
      </c>
      <c r="E356" s="206" t="s">
        <v>282</v>
      </c>
      <c r="F356" s="207">
        <v>4</v>
      </c>
      <c r="G356" s="172">
        <v>8500</v>
      </c>
      <c r="H356" s="172">
        <v>8500</v>
      </c>
      <c r="I356" s="172">
        <v>10000</v>
      </c>
      <c r="J356" s="172">
        <v>5</v>
      </c>
      <c r="K356" s="190">
        <f>IF($J356=1,INDEX('큐펫&amp;몹 정리(최신)'!P:P,MATCH($E356,'큐펫&amp;몹 정리(최신)'!$B:$B,0))*20,IF($J356=2,INDEX('큐펫&amp;몹 정리(최신)'!P:P,MATCH($E356,'큐펫&amp;몹 정리(최신)'!$B:$B,0))*25,IF($J356=3,INDEX('큐펫&amp;몹 정리(최신)'!P:P,MATCH($E356,'큐펫&amp;몹 정리(최신)'!$B:$B,0))*30,IF($J356=4,INDEX('큐펫&amp;몹 정리(최신)'!P:P,MATCH($E356,'큐펫&amp;몹 정리(최신)'!$B:$B,0))*35,INDEX('큐펫&amp;몹 정리(최신)'!P:P,MATCH($E356,'큐펫&amp;몹 정리(최신)'!$B:$B,0))*40))))</f>
        <v>1520</v>
      </c>
      <c r="L356" s="190">
        <f>IF($J356=1,INDEX('큐펫&amp;몹 정리(최신)'!Q:Q,MATCH($E356,'큐펫&amp;몹 정리(최신)'!$B:$B,0))*20,IF($J356=2,INDEX('큐펫&amp;몹 정리(최신)'!Q:Q,MATCH($E356,'큐펫&amp;몹 정리(최신)'!$B:$B,0))*25,IF($J356=3,INDEX('큐펫&amp;몹 정리(최신)'!Q:Q,MATCH($E356,'큐펫&amp;몹 정리(최신)'!$B:$B,0))*30,IF($J356=4,INDEX('큐펫&amp;몹 정리(최신)'!Q:Q,MATCH($E356,'큐펫&amp;몹 정리(최신)'!$B:$B,0))*35,INDEX('큐펫&amp;몹 정리(최신)'!Q:Q,MATCH($E356,'큐펫&amp;몹 정리(최신)'!$B:$B,0))*40))))</f>
        <v>160</v>
      </c>
      <c r="M356" s="190">
        <f>IF($J356=1,INDEX('큐펫&amp;몹 정리(최신)'!R:R,MATCH($E356,'큐펫&amp;몹 정리(최신)'!$B:$B,0))*20,IF($J356=2,INDEX('큐펫&amp;몹 정리(최신)'!R:R,MATCH($E356,'큐펫&amp;몹 정리(최신)'!$B:$B,0))*25,IF($J356=3,INDEX('큐펫&amp;몹 정리(최신)'!R:R,MATCH($E356,'큐펫&amp;몹 정리(최신)'!$B:$B,0))*30,IF($J356=4,INDEX('큐펫&amp;몹 정리(최신)'!R:R,MATCH($E356,'큐펫&amp;몹 정리(최신)'!$B:$B,0))*35,INDEX('큐펫&amp;몹 정리(최신)'!R:R,MATCH($E356,'큐펫&amp;몹 정리(최신)'!$B:$B,0))*40))))</f>
        <v>840</v>
      </c>
      <c r="N356" s="190">
        <f>IF($J356=1,INDEX('큐펫&amp;몹 정리(최신)'!S:S,MATCH($E356,'큐펫&amp;몹 정리(최신)'!$B:$B,0))*20,IF($J356=2,INDEX('큐펫&amp;몹 정리(최신)'!S:S,MATCH($E356,'큐펫&amp;몹 정리(최신)'!$B:$B,0))*25,IF($J356=3,INDEX('큐펫&amp;몹 정리(최신)'!S:S,MATCH($E356,'큐펫&amp;몹 정리(최신)'!$B:$B,0))*30,IF($J356=4,INDEX('큐펫&amp;몹 정리(최신)'!S:S,MATCH($E356,'큐펫&amp;몹 정리(최신)'!$B:$B,0))*35,INDEX('큐펫&amp;몹 정리(최신)'!S:S,MATCH($E356,'큐펫&amp;몹 정리(최신)'!$B:$B,0))*40))))</f>
        <v>680</v>
      </c>
      <c r="O356" s="190">
        <f>IF($J356=1,INDEX('큐펫&amp;몹 정리(최신)'!T:T,MATCH($E356,'큐펫&amp;몹 정리(최신)'!$B:$B,0))*20,IF($J356=2,INDEX('큐펫&amp;몹 정리(최신)'!T:T,MATCH($E356,'큐펫&amp;몹 정리(최신)'!$B:$B,0))*25,IF($J356=3,INDEX('큐펫&amp;몹 정리(최신)'!T:T,MATCH($E356,'큐펫&amp;몹 정리(최신)'!$B:$B,0))*30,IF($J356=4,INDEX('큐펫&amp;몹 정리(최신)'!T:T,MATCH($E356,'큐펫&amp;몹 정리(최신)'!$B:$B,0))*35,INDEX('큐펫&amp;몹 정리(최신)'!T:T,MATCH($E356,'큐펫&amp;몹 정리(최신)'!$B:$B,0))*40))))</f>
        <v>800</v>
      </c>
      <c r="P356" s="217">
        <v>100</v>
      </c>
      <c r="Q356" s="217">
        <f t="shared" si="40"/>
        <v>259920</v>
      </c>
      <c r="R356" s="217">
        <f t="shared" si="41"/>
        <v>2982</v>
      </c>
      <c r="S356" s="217">
        <f t="shared" si="42"/>
        <v>5202</v>
      </c>
      <c r="T356" s="217">
        <f t="shared" si="43"/>
        <v>36794</v>
      </c>
      <c r="U356" s="217">
        <f t="shared" si="44"/>
        <v>56455</v>
      </c>
      <c r="V356" s="217">
        <f t="shared" si="45"/>
        <v>33266</v>
      </c>
      <c r="W356" s="217">
        <f>ROUND(AC356+(INDEX(Ref!B$1:B$9,MATCH($AI356,Ref!$A$1:$A$9,0))*P356*0.0001),)</f>
        <v>42</v>
      </c>
      <c r="X356" s="217">
        <f>ROUND(AD356+(INDEX(Ref!C$1:C$9,MATCH($AI356,Ref!$A$1:$A$9,0))*$P356*0.0001),)</f>
        <v>52</v>
      </c>
      <c r="Y356" s="217">
        <f>ROUND(AE356+(INDEX(Ref!D$1:D$9,MATCH($AI356,Ref!$A$1:$A$9,0))*$P356*0.0001),)</f>
        <v>66</v>
      </c>
      <c r="Z356" s="217">
        <f>ROUND(AF356+(INDEX(Ref!E$1:E$9,MATCH($AI356,Ref!$A$1:$A$9,0))*$P356*0.0001),)</f>
        <v>66</v>
      </c>
      <c r="AA356" s="217">
        <f>ROUND(AG356+(INDEX(Ref!F$1:F$9,MATCH($AI356,Ref!$A$1:$A$9,0))*$P356*0.0001),)</f>
        <v>56</v>
      </c>
      <c r="AB356" s="217">
        <f>ROUND(AH356+(INDEX(Ref!G$1:G$9,MATCH($AI356,Ref!$A$1:$A$9,0))*$P356*0.0001),)</f>
        <v>62</v>
      </c>
      <c r="AC356" s="137">
        <v>29</v>
      </c>
      <c r="AD356" s="137">
        <v>36</v>
      </c>
      <c r="AE356" s="137">
        <v>51</v>
      </c>
      <c r="AF356" s="137">
        <v>46</v>
      </c>
      <c r="AG356" s="137">
        <v>39</v>
      </c>
      <c r="AH356" s="137">
        <v>43</v>
      </c>
      <c r="AI356" s="208">
        <v>8</v>
      </c>
      <c r="AJ356" s="172">
        <v>3000</v>
      </c>
      <c r="AK356" s="172">
        <v>30423</v>
      </c>
      <c r="AL356" s="172">
        <v>2000</v>
      </c>
      <c r="AM356" s="172">
        <v>30426</v>
      </c>
      <c r="AN356" s="172">
        <v>0</v>
      </c>
      <c r="AO356" s="172">
        <f t="shared" si="46"/>
        <v>34423</v>
      </c>
      <c r="AP356" s="172">
        <v>0</v>
      </c>
      <c r="AQ356" s="172">
        <f t="shared" si="47"/>
        <v>34426</v>
      </c>
      <c r="AR356" s="172">
        <v>1</v>
      </c>
      <c r="AS356" s="172">
        <v>0</v>
      </c>
      <c r="AT356" s="199">
        <v>78071</v>
      </c>
      <c r="AU356" s="195" t="s">
        <v>283</v>
      </c>
    </row>
    <row r="357" spans="1:47" x14ac:dyDescent="0.2">
      <c r="A357" s="173">
        <v>55072</v>
      </c>
      <c r="B357" s="174" t="s">
        <v>284</v>
      </c>
      <c r="C357" s="172">
        <v>86072</v>
      </c>
      <c r="D357" s="172">
        <v>150072</v>
      </c>
      <c r="E357" s="206" t="s">
        <v>285</v>
      </c>
      <c r="F357" s="207">
        <v>5</v>
      </c>
      <c r="G357" s="172">
        <v>8500</v>
      </c>
      <c r="H357" s="172">
        <v>8500</v>
      </c>
      <c r="I357" s="172">
        <v>10000</v>
      </c>
      <c r="J357" s="172">
        <v>1</v>
      </c>
      <c r="K357" s="190">
        <f>IF($J357=1,INDEX('큐펫&amp;몹 정리(최신)'!P:P,MATCH($E357,'큐펫&amp;몹 정리(최신)'!$B:$B,0))*20,IF($J357=2,INDEX('큐펫&amp;몹 정리(최신)'!P:P,MATCH($E357,'큐펫&amp;몹 정리(최신)'!$B:$B,0))*25,IF($J357=3,INDEX('큐펫&amp;몹 정리(최신)'!P:P,MATCH($E357,'큐펫&amp;몹 정리(최신)'!$B:$B,0))*30,IF($J357=4,INDEX('큐펫&amp;몹 정리(최신)'!P:P,MATCH($E357,'큐펫&amp;몹 정리(최신)'!$B:$B,0))*35,INDEX('큐펫&amp;몹 정리(최신)'!P:P,MATCH($E357,'큐펫&amp;몹 정리(최신)'!$B:$B,0))*40))))</f>
        <v>820</v>
      </c>
      <c r="L357" s="190">
        <f>IF($J357=1,INDEX('큐펫&amp;몹 정리(최신)'!Q:Q,MATCH($E357,'큐펫&amp;몹 정리(최신)'!$B:$B,0))*20,IF($J357=2,INDEX('큐펫&amp;몹 정리(최신)'!Q:Q,MATCH($E357,'큐펫&amp;몹 정리(최신)'!$B:$B,0))*25,IF($J357=3,INDEX('큐펫&amp;몹 정리(최신)'!Q:Q,MATCH($E357,'큐펫&amp;몹 정리(최신)'!$B:$B,0))*30,IF($J357=4,INDEX('큐펫&amp;몹 정리(최신)'!Q:Q,MATCH($E357,'큐펫&amp;몹 정리(최신)'!$B:$B,0))*35,INDEX('큐펫&amp;몹 정리(최신)'!Q:Q,MATCH($E357,'큐펫&amp;몹 정리(최신)'!$B:$B,0))*40))))</f>
        <v>80</v>
      </c>
      <c r="M357" s="190">
        <f>IF($J357=1,INDEX('큐펫&amp;몹 정리(최신)'!R:R,MATCH($E357,'큐펫&amp;몹 정리(최신)'!$B:$B,0))*20,IF($J357=2,INDEX('큐펫&amp;몹 정리(최신)'!R:R,MATCH($E357,'큐펫&amp;몹 정리(최신)'!$B:$B,0))*25,IF($J357=3,INDEX('큐펫&amp;몹 정리(최신)'!R:R,MATCH($E357,'큐펫&amp;몹 정리(최신)'!$B:$B,0))*30,IF($J357=4,INDEX('큐펫&amp;몹 정리(최신)'!R:R,MATCH($E357,'큐펫&amp;몹 정리(최신)'!$B:$B,0))*35,INDEX('큐펫&amp;몹 정리(최신)'!R:R,MATCH($E357,'큐펫&amp;몹 정리(최신)'!$B:$B,0))*40))))</f>
        <v>360</v>
      </c>
      <c r="N357" s="190">
        <f>IF($J357=1,INDEX('큐펫&amp;몹 정리(최신)'!S:S,MATCH($E357,'큐펫&amp;몹 정리(최신)'!$B:$B,0))*20,IF($J357=2,INDEX('큐펫&amp;몹 정리(최신)'!S:S,MATCH($E357,'큐펫&amp;몹 정리(최신)'!$B:$B,0))*25,IF($J357=3,INDEX('큐펫&amp;몹 정리(최신)'!S:S,MATCH($E357,'큐펫&amp;몹 정리(최신)'!$B:$B,0))*30,IF($J357=4,INDEX('큐펫&amp;몹 정리(최신)'!S:S,MATCH($E357,'큐펫&amp;몹 정리(최신)'!$B:$B,0))*35,INDEX('큐펫&amp;몹 정리(최신)'!S:S,MATCH($E357,'큐펫&amp;몹 정리(최신)'!$B:$B,0))*40))))</f>
        <v>340</v>
      </c>
      <c r="O357" s="190">
        <f>IF($J357=1,INDEX('큐펫&amp;몹 정리(최신)'!T:T,MATCH($E357,'큐펫&amp;몹 정리(최신)'!$B:$B,0))*20,IF($J357=2,INDEX('큐펫&amp;몹 정리(최신)'!T:T,MATCH($E357,'큐펫&amp;몹 정리(최신)'!$B:$B,0))*25,IF($J357=3,INDEX('큐펫&amp;몹 정리(최신)'!T:T,MATCH($E357,'큐펫&amp;몹 정리(최신)'!$B:$B,0))*30,IF($J357=4,INDEX('큐펫&amp;몹 정리(최신)'!T:T,MATCH($E357,'큐펫&amp;몹 정리(최신)'!$B:$B,0))*35,INDEX('큐펫&amp;몹 정리(최신)'!T:T,MATCH($E357,'큐펫&amp;몹 정리(최신)'!$B:$B,0))*40))))</f>
        <v>400</v>
      </c>
      <c r="P357" s="217">
        <v>20</v>
      </c>
      <c r="Q357" s="217">
        <f t="shared" si="40"/>
        <v>27552</v>
      </c>
      <c r="R357" s="217">
        <f t="shared" si="41"/>
        <v>418</v>
      </c>
      <c r="S357" s="217">
        <f t="shared" si="42"/>
        <v>704</v>
      </c>
      <c r="T357" s="217">
        <f t="shared" si="43"/>
        <v>4251</v>
      </c>
      <c r="U357" s="217">
        <f t="shared" si="44"/>
        <v>10717</v>
      </c>
      <c r="V357" s="217">
        <f t="shared" si="45"/>
        <v>6334</v>
      </c>
      <c r="W357" s="217">
        <f>ROUND(AC357+(INDEX(Ref!B$1:B$9,MATCH($AI357,Ref!$A$1:$A$9,0))*P357*0.0001),)</f>
        <v>21</v>
      </c>
      <c r="X357" s="217">
        <f>ROUND(AD357+(INDEX(Ref!C$1:C$9,MATCH($AI357,Ref!$A$1:$A$9,0))*$P357*0.0001),)</f>
        <v>26</v>
      </c>
      <c r="Y357" s="217">
        <f>ROUND(AE357+(INDEX(Ref!D$1:D$9,MATCH($AI357,Ref!$A$1:$A$9,0))*$P357*0.0001),)</f>
        <v>43</v>
      </c>
      <c r="Z357" s="217">
        <f>ROUND(AF357+(INDEX(Ref!E$1:E$9,MATCH($AI357,Ref!$A$1:$A$9,0))*$P357*0.0001),)</f>
        <v>34</v>
      </c>
      <c r="AA357" s="217">
        <f>ROUND(AG357+(INDEX(Ref!F$1:F$9,MATCH($AI357,Ref!$A$1:$A$9,0))*$P357*0.0001),)</f>
        <v>28</v>
      </c>
      <c r="AB357" s="217">
        <f>ROUND(AH357+(INDEX(Ref!G$1:G$9,MATCH($AI357,Ref!$A$1:$A$9,0))*$P357*0.0001),)</f>
        <v>32</v>
      </c>
      <c r="AC357" s="137">
        <v>18</v>
      </c>
      <c r="AD357" s="137">
        <v>23</v>
      </c>
      <c r="AE357" s="137">
        <v>40</v>
      </c>
      <c r="AF357" s="137">
        <v>30</v>
      </c>
      <c r="AG357" s="137">
        <v>25</v>
      </c>
      <c r="AH357" s="137">
        <v>28</v>
      </c>
      <c r="AI357" s="208">
        <v>8</v>
      </c>
      <c r="AJ357" s="172">
        <v>3000</v>
      </c>
      <c r="AK357" s="172">
        <v>30427</v>
      </c>
      <c r="AL357" s="172">
        <v>2000</v>
      </c>
      <c r="AM357" s="172">
        <v>30430</v>
      </c>
      <c r="AN357" s="172">
        <v>0</v>
      </c>
      <c r="AO357" s="172">
        <f t="shared" si="46"/>
        <v>34427</v>
      </c>
      <c r="AP357" s="172">
        <v>0</v>
      </c>
      <c r="AQ357" s="172">
        <f t="shared" si="47"/>
        <v>34430</v>
      </c>
      <c r="AR357" s="172">
        <v>1</v>
      </c>
      <c r="AS357" s="172">
        <v>0</v>
      </c>
      <c r="AT357" s="199">
        <v>78072</v>
      </c>
      <c r="AU357" s="195" t="s">
        <v>286</v>
      </c>
    </row>
    <row r="358" spans="1:47" x14ac:dyDescent="0.2">
      <c r="A358" s="173">
        <v>55072</v>
      </c>
      <c r="B358" s="174" t="s">
        <v>284</v>
      </c>
      <c r="C358" s="172">
        <v>86072</v>
      </c>
      <c r="D358" s="172">
        <v>150072</v>
      </c>
      <c r="E358" s="206" t="s">
        <v>285</v>
      </c>
      <c r="F358" s="207">
        <v>5</v>
      </c>
      <c r="G358" s="172">
        <v>8500</v>
      </c>
      <c r="H358" s="172">
        <v>8500</v>
      </c>
      <c r="I358" s="172">
        <v>10000</v>
      </c>
      <c r="J358" s="172">
        <v>2</v>
      </c>
      <c r="K358" s="190">
        <f>IF($J358=1,INDEX('큐펫&amp;몹 정리(최신)'!P:P,MATCH($E358,'큐펫&amp;몹 정리(최신)'!$B:$B,0))*20,IF($J358=2,INDEX('큐펫&amp;몹 정리(최신)'!P:P,MATCH($E358,'큐펫&amp;몹 정리(최신)'!$B:$B,0))*25,IF($J358=3,INDEX('큐펫&amp;몹 정리(최신)'!P:P,MATCH($E358,'큐펫&amp;몹 정리(최신)'!$B:$B,0))*30,IF($J358=4,INDEX('큐펫&amp;몹 정리(최신)'!P:P,MATCH($E358,'큐펫&amp;몹 정리(최신)'!$B:$B,0))*35,INDEX('큐펫&amp;몹 정리(최신)'!P:P,MATCH($E358,'큐펫&amp;몹 정리(최신)'!$B:$B,0))*40))))</f>
        <v>1025</v>
      </c>
      <c r="L358" s="190">
        <f>IF($J358=1,INDEX('큐펫&amp;몹 정리(최신)'!Q:Q,MATCH($E358,'큐펫&amp;몹 정리(최신)'!$B:$B,0))*20,IF($J358=2,INDEX('큐펫&amp;몹 정리(최신)'!Q:Q,MATCH($E358,'큐펫&amp;몹 정리(최신)'!$B:$B,0))*25,IF($J358=3,INDEX('큐펫&amp;몹 정리(최신)'!Q:Q,MATCH($E358,'큐펫&amp;몹 정리(최신)'!$B:$B,0))*30,IF($J358=4,INDEX('큐펫&amp;몹 정리(최신)'!Q:Q,MATCH($E358,'큐펫&amp;몹 정리(최신)'!$B:$B,0))*35,INDEX('큐펫&amp;몹 정리(최신)'!Q:Q,MATCH($E358,'큐펫&amp;몹 정리(최신)'!$B:$B,0))*40))))</f>
        <v>100</v>
      </c>
      <c r="M358" s="190">
        <f>IF($J358=1,INDEX('큐펫&amp;몹 정리(최신)'!R:R,MATCH($E358,'큐펫&amp;몹 정리(최신)'!$B:$B,0))*20,IF($J358=2,INDEX('큐펫&amp;몹 정리(최신)'!R:R,MATCH($E358,'큐펫&amp;몹 정리(최신)'!$B:$B,0))*25,IF($J358=3,INDEX('큐펫&amp;몹 정리(최신)'!R:R,MATCH($E358,'큐펫&amp;몹 정리(최신)'!$B:$B,0))*30,IF($J358=4,INDEX('큐펫&amp;몹 정리(최신)'!R:R,MATCH($E358,'큐펫&amp;몹 정리(최신)'!$B:$B,0))*35,INDEX('큐펫&amp;몹 정리(최신)'!R:R,MATCH($E358,'큐펫&amp;몹 정리(최신)'!$B:$B,0))*40))))</f>
        <v>450</v>
      </c>
      <c r="N358" s="190">
        <f>IF($J358=1,INDEX('큐펫&amp;몹 정리(최신)'!S:S,MATCH($E358,'큐펫&amp;몹 정리(최신)'!$B:$B,0))*20,IF($J358=2,INDEX('큐펫&amp;몹 정리(최신)'!S:S,MATCH($E358,'큐펫&amp;몹 정리(최신)'!$B:$B,0))*25,IF($J358=3,INDEX('큐펫&amp;몹 정리(최신)'!S:S,MATCH($E358,'큐펫&amp;몹 정리(최신)'!$B:$B,0))*30,IF($J358=4,INDEX('큐펫&amp;몹 정리(최신)'!S:S,MATCH($E358,'큐펫&amp;몹 정리(최신)'!$B:$B,0))*35,INDEX('큐펫&amp;몹 정리(최신)'!S:S,MATCH($E358,'큐펫&amp;몹 정리(최신)'!$B:$B,0))*40))))</f>
        <v>425</v>
      </c>
      <c r="O358" s="190">
        <f>IF($J358=1,INDEX('큐펫&amp;몹 정리(최신)'!T:T,MATCH($E358,'큐펫&amp;몹 정리(최신)'!$B:$B,0))*20,IF($J358=2,INDEX('큐펫&amp;몹 정리(최신)'!T:T,MATCH($E358,'큐펫&amp;몹 정리(최신)'!$B:$B,0))*25,IF($J358=3,INDEX('큐펫&amp;몹 정리(최신)'!T:T,MATCH($E358,'큐펫&amp;몹 정리(최신)'!$B:$B,0))*30,IF($J358=4,INDEX('큐펫&amp;몹 정리(최신)'!T:T,MATCH($E358,'큐펫&amp;몹 정리(최신)'!$B:$B,0))*35,INDEX('큐펫&amp;몹 정리(최신)'!T:T,MATCH($E358,'큐펫&amp;몹 정리(최신)'!$B:$B,0))*40))))</f>
        <v>500</v>
      </c>
      <c r="P358" s="217">
        <v>40</v>
      </c>
      <c r="Q358" s="217">
        <f t="shared" si="40"/>
        <v>66190</v>
      </c>
      <c r="R358" s="217">
        <f t="shared" si="41"/>
        <v>764</v>
      </c>
      <c r="S358" s="217">
        <f t="shared" si="42"/>
        <v>1329</v>
      </c>
      <c r="T358" s="217">
        <f t="shared" si="43"/>
        <v>8056</v>
      </c>
      <c r="U358" s="217">
        <f t="shared" si="44"/>
        <v>18921</v>
      </c>
      <c r="V358" s="217">
        <f t="shared" si="45"/>
        <v>11167</v>
      </c>
      <c r="W358" s="217">
        <f>ROUND(AC358+(INDEX(Ref!B$1:B$9,MATCH($AI358,Ref!$A$1:$A$9,0))*P358*0.0001),)</f>
        <v>26</v>
      </c>
      <c r="X358" s="217">
        <f>ROUND(AD358+(INDEX(Ref!C$1:C$9,MATCH($AI358,Ref!$A$1:$A$9,0))*$P358*0.0001),)</f>
        <v>32</v>
      </c>
      <c r="Y358" s="217">
        <f>ROUND(AE358+(INDEX(Ref!D$1:D$9,MATCH($AI358,Ref!$A$1:$A$9,0))*$P358*0.0001),)</f>
        <v>49</v>
      </c>
      <c r="Z358" s="217">
        <f>ROUND(AF358+(INDEX(Ref!E$1:E$9,MATCH($AI358,Ref!$A$1:$A$9,0))*$P358*0.0001),)</f>
        <v>42</v>
      </c>
      <c r="AA358" s="217">
        <f>ROUND(AG358+(INDEX(Ref!F$1:F$9,MATCH($AI358,Ref!$A$1:$A$9,0))*$P358*0.0001),)</f>
        <v>35</v>
      </c>
      <c r="AB358" s="217">
        <f>ROUND(AH358+(INDEX(Ref!G$1:G$9,MATCH($AI358,Ref!$A$1:$A$9,0))*$P358*0.0001),)</f>
        <v>40</v>
      </c>
      <c r="AC358" s="137">
        <v>21</v>
      </c>
      <c r="AD358" s="137">
        <v>26</v>
      </c>
      <c r="AE358" s="137">
        <v>43</v>
      </c>
      <c r="AF358" s="137">
        <v>34</v>
      </c>
      <c r="AG358" s="137">
        <v>28</v>
      </c>
      <c r="AH358" s="137">
        <v>32</v>
      </c>
      <c r="AI358" s="208">
        <v>8</v>
      </c>
      <c r="AJ358" s="172">
        <v>3000</v>
      </c>
      <c r="AK358" s="172">
        <v>30428</v>
      </c>
      <c r="AL358" s="172">
        <v>2000</v>
      </c>
      <c r="AM358" s="172">
        <v>30430</v>
      </c>
      <c r="AN358" s="172">
        <v>0</v>
      </c>
      <c r="AO358" s="172">
        <f t="shared" si="46"/>
        <v>34428</v>
      </c>
      <c r="AP358" s="172">
        <v>0</v>
      </c>
      <c r="AQ358" s="172">
        <f t="shared" si="47"/>
        <v>34430</v>
      </c>
      <c r="AR358" s="172">
        <v>1</v>
      </c>
      <c r="AS358" s="172">
        <v>0</v>
      </c>
      <c r="AT358" s="199">
        <v>78072</v>
      </c>
      <c r="AU358" s="195" t="s">
        <v>286</v>
      </c>
    </row>
    <row r="359" spans="1:47" x14ac:dyDescent="0.2">
      <c r="A359" s="173">
        <v>55072</v>
      </c>
      <c r="B359" s="174" t="s">
        <v>284</v>
      </c>
      <c r="C359" s="172">
        <v>86072</v>
      </c>
      <c r="D359" s="172">
        <v>150072</v>
      </c>
      <c r="E359" s="206" t="s">
        <v>285</v>
      </c>
      <c r="F359" s="207">
        <v>5</v>
      </c>
      <c r="G359" s="172">
        <v>8500</v>
      </c>
      <c r="H359" s="172">
        <v>8500</v>
      </c>
      <c r="I359" s="172">
        <v>10000</v>
      </c>
      <c r="J359" s="172">
        <v>3</v>
      </c>
      <c r="K359" s="190">
        <f>IF($J359=1,INDEX('큐펫&amp;몹 정리(최신)'!P:P,MATCH($E359,'큐펫&amp;몹 정리(최신)'!$B:$B,0))*20,IF($J359=2,INDEX('큐펫&amp;몹 정리(최신)'!P:P,MATCH($E359,'큐펫&amp;몹 정리(최신)'!$B:$B,0))*25,IF($J359=3,INDEX('큐펫&amp;몹 정리(최신)'!P:P,MATCH($E359,'큐펫&amp;몹 정리(최신)'!$B:$B,0))*30,IF($J359=4,INDEX('큐펫&amp;몹 정리(최신)'!P:P,MATCH($E359,'큐펫&amp;몹 정리(최신)'!$B:$B,0))*35,INDEX('큐펫&amp;몹 정리(최신)'!P:P,MATCH($E359,'큐펫&amp;몹 정리(최신)'!$B:$B,0))*40))))</f>
        <v>1230</v>
      </c>
      <c r="L359" s="190">
        <f>IF($J359=1,INDEX('큐펫&amp;몹 정리(최신)'!Q:Q,MATCH($E359,'큐펫&amp;몹 정리(최신)'!$B:$B,0))*20,IF($J359=2,INDEX('큐펫&amp;몹 정리(최신)'!Q:Q,MATCH($E359,'큐펫&amp;몹 정리(최신)'!$B:$B,0))*25,IF($J359=3,INDEX('큐펫&amp;몹 정리(최신)'!Q:Q,MATCH($E359,'큐펫&amp;몹 정리(최신)'!$B:$B,0))*30,IF($J359=4,INDEX('큐펫&amp;몹 정리(최신)'!Q:Q,MATCH($E359,'큐펫&amp;몹 정리(최신)'!$B:$B,0))*35,INDEX('큐펫&amp;몹 정리(최신)'!Q:Q,MATCH($E359,'큐펫&amp;몹 정리(최신)'!$B:$B,0))*40))))</f>
        <v>120</v>
      </c>
      <c r="M359" s="190">
        <f>IF($J359=1,INDEX('큐펫&amp;몹 정리(최신)'!R:R,MATCH($E359,'큐펫&amp;몹 정리(최신)'!$B:$B,0))*20,IF($J359=2,INDEX('큐펫&amp;몹 정리(최신)'!R:R,MATCH($E359,'큐펫&amp;몹 정리(최신)'!$B:$B,0))*25,IF($J359=3,INDEX('큐펫&amp;몹 정리(최신)'!R:R,MATCH($E359,'큐펫&amp;몹 정리(최신)'!$B:$B,0))*30,IF($J359=4,INDEX('큐펫&amp;몹 정리(최신)'!R:R,MATCH($E359,'큐펫&amp;몹 정리(최신)'!$B:$B,0))*35,INDEX('큐펫&amp;몹 정리(최신)'!R:R,MATCH($E359,'큐펫&amp;몹 정리(최신)'!$B:$B,0))*40))))</f>
        <v>540</v>
      </c>
      <c r="N359" s="190">
        <f>IF($J359=1,INDEX('큐펫&amp;몹 정리(최신)'!S:S,MATCH($E359,'큐펫&amp;몹 정리(최신)'!$B:$B,0))*20,IF($J359=2,INDEX('큐펫&amp;몹 정리(최신)'!S:S,MATCH($E359,'큐펫&amp;몹 정리(최신)'!$B:$B,0))*25,IF($J359=3,INDEX('큐펫&amp;몹 정리(최신)'!S:S,MATCH($E359,'큐펫&amp;몹 정리(최신)'!$B:$B,0))*30,IF($J359=4,INDEX('큐펫&amp;몹 정리(최신)'!S:S,MATCH($E359,'큐펫&amp;몹 정리(최신)'!$B:$B,0))*35,INDEX('큐펫&amp;몹 정리(최신)'!S:S,MATCH($E359,'큐펫&amp;몹 정리(최신)'!$B:$B,0))*40))))</f>
        <v>510</v>
      </c>
      <c r="O359" s="190">
        <f>IF($J359=1,INDEX('큐펫&amp;몹 정리(최신)'!T:T,MATCH($E359,'큐펫&amp;몹 정리(최신)'!$B:$B,0))*20,IF($J359=2,INDEX('큐펫&amp;몹 정리(최신)'!T:T,MATCH($E359,'큐펫&amp;몹 정리(최신)'!$B:$B,0))*25,IF($J359=3,INDEX('큐펫&amp;몹 정리(최신)'!T:T,MATCH($E359,'큐펫&amp;몹 정리(최신)'!$B:$B,0))*30,IF($J359=4,INDEX('큐펫&amp;몹 정리(최신)'!T:T,MATCH($E359,'큐펫&amp;몹 정리(최신)'!$B:$B,0))*35,INDEX('큐펫&amp;몹 정리(최신)'!T:T,MATCH($E359,'큐펫&amp;몹 정리(최신)'!$B:$B,0))*40))))</f>
        <v>600</v>
      </c>
      <c r="P359" s="217">
        <v>60</v>
      </c>
      <c r="Q359" s="217">
        <f t="shared" si="40"/>
        <v>119752</v>
      </c>
      <c r="R359" s="217">
        <f t="shared" si="41"/>
        <v>1265</v>
      </c>
      <c r="S359" s="217">
        <f t="shared" si="42"/>
        <v>2247</v>
      </c>
      <c r="T359" s="217">
        <f t="shared" si="43"/>
        <v>13647</v>
      </c>
      <c r="U359" s="217">
        <f t="shared" si="44"/>
        <v>29081</v>
      </c>
      <c r="V359" s="217">
        <f t="shared" si="45"/>
        <v>17150</v>
      </c>
      <c r="W359" s="217">
        <f>ROUND(AC359+(INDEX(Ref!B$1:B$9,MATCH($AI359,Ref!$A$1:$A$9,0))*P359*0.0001),)</f>
        <v>31</v>
      </c>
      <c r="X359" s="217">
        <f>ROUND(AD359+(INDEX(Ref!C$1:C$9,MATCH($AI359,Ref!$A$1:$A$9,0))*$P359*0.0001),)</f>
        <v>40</v>
      </c>
      <c r="Y359" s="217">
        <f>ROUND(AE359+(INDEX(Ref!D$1:D$9,MATCH($AI359,Ref!$A$1:$A$9,0))*$P359*0.0001),)</f>
        <v>54</v>
      </c>
      <c r="Z359" s="217">
        <f>ROUND(AF359+(INDEX(Ref!E$1:E$9,MATCH($AI359,Ref!$A$1:$A$9,0))*$P359*0.0001),)</f>
        <v>50</v>
      </c>
      <c r="AA359" s="217">
        <f>ROUND(AG359+(INDEX(Ref!F$1:F$9,MATCH($AI359,Ref!$A$1:$A$9,0))*$P359*0.0001),)</f>
        <v>42</v>
      </c>
      <c r="AB359" s="217">
        <f>ROUND(AH359+(INDEX(Ref!G$1:G$9,MATCH($AI359,Ref!$A$1:$A$9,0))*$P359*0.0001),)</f>
        <v>47</v>
      </c>
      <c r="AC359" s="137">
        <v>23</v>
      </c>
      <c r="AD359" s="137">
        <v>30</v>
      </c>
      <c r="AE359" s="137">
        <v>45</v>
      </c>
      <c r="AF359" s="137">
        <v>38</v>
      </c>
      <c r="AG359" s="137">
        <v>32</v>
      </c>
      <c r="AH359" s="137">
        <v>36</v>
      </c>
      <c r="AI359" s="208">
        <v>8</v>
      </c>
      <c r="AJ359" s="172">
        <v>3000</v>
      </c>
      <c r="AK359" s="172">
        <v>30428</v>
      </c>
      <c r="AL359" s="172">
        <v>2000</v>
      </c>
      <c r="AM359" s="172">
        <v>30431</v>
      </c>
      <c r="AN359" s="172">
        <v>0</v>
      </c>
      <c r="AO359" s="172">
        <f t="shared" si="46"/>
        <v>34428</v>
      </c>
      <c r="AP359" s="172">
        <v>0</v>
      </c>
      <c r="AQ359" s="172">
        <f t="shared" si="47"/>
        <v>34431</v>
      </c>
      <c r="AR359" s="172">
        <v>1</v>
      </c>
      <c r="AS359" s="172">
        <v>0</v>
      </c>
      <c r="AT359" s="199">
        <v>78072</v>
      </c>
      <c r="AU359" s="195" t="s">
        <v>286</v>
      </c>
    </row>
    <row r="360" spans="1:47" x14ac:dyDescent="0.2">
      <c r="A360" s="173">
        <v>55072</v>
      </c>
      <c r="B360" s="174" t="s">
        <v>284</v>
      </c>
      <c r="C360" s="172">
        <v>86072</v>
      </c>
      <c r="D360" s="172">
        <v>150072</v>
      </c>
      <c r="E360" s="206" t="s">
        <v>285</v>
      </c>
      <c r="F360" s="207">
        <v>5</v>
      </c>
      <c r="G360" s="172">
        <v>8500</v>
      </c>
      <c r="H360" s="172">
        <v>8500</v>
      </c>
      <c r="I360" s="172">
        <v>10000</v>
      </c>
      <c r="J360" s="172">
        <v>4</v>
      </c>
      <c r="K360" s="190">
        <f>IF($J360=1,INDEX('큐펫&amp;몹 정리(최신)'!P:P,MATCH($E360,'큐펫&amp;몹 정리(최신)'!$B:$B,0))*20,IF($J360=2,INDEX('큐펫&amp;몹 정리(최신)'!P:P,MATCH($E360,'큐펫&amp;몹 정리(최신)'!$B:$B,0))*25,IF($J360=3,INDEX('큐펫&amp;몹 정리(최신)'!P:P,MATCH($E360,'큐펫&amp;몹 정리(최신)'!$B:$B,0))*30,IF($J360=4,INDEX('큐펫&amp;몹 정리(최신)'!P:P,MATCH($E360,'큐펫&amp;몹 정리(최신)'!$B:$B,0))*35,INDEX('큐펫&amp;몹 정리(최신)'!P:P,MATCH($E360,'큐펫&amp;몹 정리(최신)'!$B:$B,0))*40))))</f>
        <v>1435</v>
      </c>
      <c r="L360" s="190">
        <f>IF($J360=1,INDEX('큐펫&amp;몹 정리(최신)'!Q:Q,MATCH($E360,'큐펫&amp;몹 정리(최신)'!$B:$B,0))*20,IF($J360=2,INDEX('큐펫&amp;몹 정리(최신)'!Q:Q,MATCH($E360,'큐펫&amp;몹 정리(최신)'!$B:$B,0))*25,IF($J360=3,INDEX('큐펫&amp;몹 정리(최신)'!Q:Q,MATCH($E360,'큐펫&amp;몹 정리(최신)'!$B:$B,0))*30,IF($J360=4,INDEX('큐펫&amp;몹 정리(최신)'!Q:Q,MATCH($E360,'큐펫&amp;몹 정리(최신)'!$B:$B,0))*35,INDEX('큐펫&amp;몹 정리(최신)'!Q:Q,MATCH($E360,'큐펫&amp;몹 정리(최신)'!$B:$B,0))*40))))</f>
        <v>140</v>
      </c>
      <c r="M360" s="190">
        <f>IF($J360=1,INDEX('큐펫&amp;몹 정리(최신)'!R:R,MATCH($E360,'큐펫&amp;몹 정리(최신)'!$B:$B,0))*20,IF($J360=2,INDEX('큐펫&amp;몹 정리(최신)'!R:R,MATCH($E360,'큐펫&amp;몹 정리(최신)'!$B:$B,0))*25,IF($J360=3,INDEX('큐펫&amp;몹 정리(최신)'!R:R,MATCH($E360,'큐펫&amp;몹 정리(최신)'!$B:$B,0))*30,IF($J360=4,INDEX('큐펫&amp;몹 정리(최신)'!R:R,MATCH($E360,'큐펫&amp;몹 정리(최신)'!$B:$B,0))*35,INDEX('큐펫&amp;몹 정리(최신)'!R:R,MATCH($E360,'큐펫&amp;몹 정리(최신)'!$B:$B,0))*40))))</f>
        <v>630</v>
      </c>
      <c r="N360" s="190">
        <f>IF($J360=1,INDEX('큐펫&amp;몹 정리(최신)'!S:S,MATCH($E360,'큐펫&amp;몹 정리(최신)'!$B:$B,0))*20,IF($J360=2,INDEX('큐펫&amp;몹 정리(최신)'!S:S,MATCH($E360,'큐펫&amp;몹 정리(최신)'!$B:$B,0))*25,IF($J360=3,INDEX('큐펫&amp;몹 정리(최신)'!S:S,MATCH($E360,'큐펫&amp;몹 정리(최신)'!$B:$B,0))*30,IF($J360=4,INDEX('큐펫&amp;몹 정리(최신)'!S:S,MATCH($E360,'큐펫&amp;몹 정리(최신)'!$B:$B,0))*35,INDEX('큐펫&amp;몹 정리(최신)'!S:S,MATCH($E360,'큐펫&amp;몹 정리(최신)'!$B:$B,0))*40))))</f>
        <v>595</v>
      </c>
      <c r="O360" s="190">
        <f>IF($J360=1,INDEX('큐펫&amp;몹 정리(최신)'!T:T,MATCH($E360,'큐펫&amp;몹 정리(최신)'!$B:$B,0))*20,IF($J360=2,INDEX('큐펫&amp;몹 정리(최신)'!T:T,MATCH($E360,'큐펫&amp;몹 정리(최신)'!$B:$B,0))*25,IF($J360=3,INDEX('큐펫&amp;몹 정리(최신)'!T:T,MATCH($E360,'큐펫&amp;몹 정리(최신)'!$B:$B,0))*30,IF($J360=4,INDEX('큐펫&amp;몹 정리(최신)'!T:T,MATCH($E360,'큐펫&amp;몹 정리(최신)'!$B:$B,0))*35,INDEX('큐펫&amp;몹 정리(최신)'!T:T,MATCH($E360,'큐펫&amp;몹 정리(최신)'!$B:$B,0))*40))))</f>
        <v>700</v>
      </c>
      <c r="P360" s="217">
        <v>80</v>
      </c>
      <c r="Q360" s="217">
        <f t="shared" si="40"/>
        <v>191928</v>
      </c>
      <c r="R360" s="217">
        <f t="shared" si="41"/>
        <v>1949</v>
      </c>
      <c r="S360" s="217">
        <f t="shared" si="42"/>
        <v>3519</v>
      </c>
      <c r="T360" s="217">
        <f t="shared" si="43"/>
        <v>21368</v>
      </c>
      <c r="U360" s="217">
        <f t="shared" si="44"/>
        <v>41960</v>
      </c>
      <c r="V360" s="217">
        <f t="shared" si="45"/>
        <v>24733</v>
      </c>
      <c r="W360" s="217">
        <f>ROUND(AC360+(INDEX(Ref!B$1:B$9,MATCH($AI360,Ref!$A$1:$A$9,0))*P360*0.0001),)</f>
        <v>36</v>
      </c>
      <c r="X360" s="217">
        <f>ROUND(AD360+(INDEX(Ref!C$1:C$9,MATCH($AI360,Ref!$A$1:$A$9,0))*$P360*0.0001),)</f>
        <v>46</v>
      </c>
      <c r="Y360" s="217">
        <f>ROUND(AE360+(INDEX(Ref!D$1:D$9,MATCH($AI360,Ref!$A$1:$A$9,0))*$P360*0.0001),)</f>
        <v>61</v>
      </c>
      <c r="Z360" s="217">
        <f>ROUND(AF360+(INDEX(Ref!E$1:E$9,MATCH($AI360,Ref!$A$1:$A$9,0))*$P360*0.0001),)</f>
        <v>58</v>
      </c>
      <c r="AA360" s="217">
        <f>ROUND(AG360+(INDEX(Ref!F$1:F$9,MATCH($AI360,Ref!$A$1:$A$9,0))*$P360*0.0001),)</f>
        <v>49</v>
      </c>
      <c r="AB360" s="217">
        <f>ROUND(AH360+(INDEX(Ref!G$1:G$9,MATCH($AI360,Ref!$A$1:$A$9,0))*$P360*0.0001),)</f>
        <v>54</v>
      </c>
      <c r="AC360" s="137">
        <v>26</v>
      </c>
      <c r="AD360" s="137">
        <v>33</v>
      </c>
      <c r="AE360" s="137">
        <v>49</v>
      </c>
      <c r="AF360" s="137">
        <v>42</v>
      </c>
      <c r="AG360" s="137">
        <v>35</v>
      </c>
      <c r="AH360" s="137">
        <v>39</v>
      </c>
      <c r="AI360" s="208">
        <v>8</v>
      </c>
      <c r="AJ360" s="172">
        <v>3000</v>
      </c>
      <c r="AK360" s="172">
        <v>30429</v>
      </c>
      <c r="AL360" s="172">
        <v>2000</v>
      </c>
      <c r="AM360" s="172">
        <v>30431</v>
      </c>
      <c r="AN360" s="172">
        <v>0</v>
      </c>
      <c r="AO360" s="172">
        <f t="shared" si="46"/>
        <v>34429</v>
      </c>
      <c r="AP360" s="172">
        <v>0</v>
      </c>
      <c r="AQ360" s="172">
        <f t="shared" si="47"/>
        <v>34431</v>
      </c>
      <c r="AR360" s="172">
        <v>1</v>
      </c>
      <c r="AS360" s="172">
        <v>0</v>
      </c>
      <c r="AT360" s="199">
        <v>78072</v>
      </c>
      <c r="AU360" s="195" t="s">
        <v>286</v>
      </c>
    </row>
    <row r="361" spans="1:47" x14ac:dyDescent="0.2">
      <c r="A361" s="173">
        <v>55072</v>
      </c>
      <c r="B361" s="174" t="s">
        <v>284</v>
      </c>
      <c r="C361" s="172">
        <v>86072</v>
      </c>
      <c r="D361" s="172">
        <v>150072</v>
      </c>
      <c r="E361" s="206" t="s">
        <v>285</v>
      </c>
      <c r="F361" s="207">
        <v>5</v>
      </c>
      <c r="G361" s="172">
        <v>8500</v>
      </c>
      <c r="H361" s="172">
        <v>8500</v>
      </c>
      <c r="I361" s="172">
        <v>10000</v>
      </c>
      <c r="J361" s="172">
        <v>5</v>
      </c>
      <c r="K361" s="190">
        <f>IF($J361=1,INDEX('큐펫&amp;몹 정리(최신)'!P:P,MATCH($E361,'큐펫&amp;몹 정리(최신)'!$B:$B,0))*20,IF($J361=2,INDEX('큐펫&amp;몹 정리(최신)'!P:P,MATCH($E361,'큐펫&amp;몹 정리(최신)'!$B:$B,0))*25,IF($J361=3,INDEX('큐펫&amp;몹 정리(최신)'!P:P,MATCH($E361,'큐펫&amp;몹 정리(최신)'!$B:$B,0))*30,IF($J361=4,INDEX('큐펫&amp;몹 정리(최신)'!P:P,MATCH($E361,'큐펫&amp;몹 정리(최신)'!$B:$B,0))*35,INDEX('큐펫&amp;몹 정리(최신)'!P:P,MATCH($E361,'큐펫&amp;몹 정리(최신)'!$B:$B,0))*40))))</f>
        <v>1640</v>
      </c>
      <c r="L361" s="190">
        <f>IF($J361=1,INDEX('큐펫&amp;몹 정리(최신)'!Q:Q,MATCH($E361,'큐펫&amp;몹 정리(최신)'!$B:$B,0))*20,IF($J361=2,INDEX('큐펫&amp;몹 정리(최신)'!Q:Q,MATCH($E361,'큐펫&amp;몹 정리(최신)'!$B:$B,0))*25,IF($J361=3,INDEX('큐펫&amp;몹 정리(최신)'!Q:Q,MATCH($E361,'큐펫&amp;몹 정리(최신)'!$B:$B,0))*30,IF($J361=4,INDEX('큐펫&amp;몹 정리(최신)'!Q:Q,MATCH($E361,'큐펫&amp;몹 정리(최신)'!$B:$B,0))*35,INDEX('큐펫&amp;몹 정리(최신)'!Q:Q,MATCH($E361,'큐펫&amp;몹 정리(최신)'!$B:$B,0))*40))))</f>
        <v>160</v>
      </c>
      <c r="M361" s="190">
        <f>IF($J361=1,INDEX('큐펫&amp;몹 정리(최신)'!R:R,MATCH($E361,'큐펫&amp;몹 정리(최신)'!$B:$B,0))*20,IF($J361=2,INDEX('큐펫&amp;몹 정리(최신)'!R:R,MATCH($E361,'큐펫&amp;몹 정리(최신)'!$B:$B,0))*25,IF($J361=3,INDEX('큐펫&amp;몹 정리(최신)'!R:R,MATCH($E361,'큐펫&amp;몹 정리(최신)'!$B:$B,0))*30,IF($J361=4,INDEX('큐펫&amp;몹 정리(최신)'!R:R,MATCH($E361,'큐펫&amp;몹 정리(최신)'!$B:$B,0))*35,INDEX('큐펫&amp;몹 정리(최신)'!R:R,MATCH($E361,'큐펫&amp;몹 정리(최신)'!$B:$B,0))*40))))</f>
        <v>720</v>
      </c>
      <c r="N361" s="190">
        <f>IF($J361=1,INDEX('큐펫&amp;몹 정리(최신)'!S:S,MATCH($E361,'큐펫&amp;몹 정리(최신)'!$B:$B,0))*20,IF($J361=2,INDEX('큐펫&amp;몹 정리(최신)'!S:S,MATCH($E361,'큐펫&amp;몹 정리(최신)'!$B:$B,0))*25,IF($J361=3,INDEX('큐펫&amp;몹 정리(최신)'!S:S,MATCH($E361,'큐펫&amp;몹 정리(최신)'!$B:$B,0))*30,IF($J361=4,INDEX('큐펫&amp;몹 정리(최신)'!S:S,MATCH($E361,'큐펫&amp;몹 정리(최신)'!$B:$B,0))*35,INDEX('큐펫&amp;몹 정리(최신)'!S:S,MATCH($E361,'큐펫&amp;몹 정리(최신)'!$B:$B,0))*40))))</f>
        <v>680</v>
      </c>
      <c r="O361" s="190">
        <f>IF($J361=1,INDEX('큐펫&amp;몹 정리(최신)'!T:T,MATCH($E361,'큐펫&amp;몹 정리(최신)'!$B:$B,0))*20,IF($J361=2,INDEX('큐펫&amp;몹 정리(최신)'!T:T,MATCH($E361,'큐펫&amp;몹 정리(최신)'!$B:$B,0))*25,IF($J361=3,INDEX('큐펫&amp;몹 정리(최신)'!T:T,MATCH($E361,'큐펫&amp;몹 정리(최신)'!$B:$B,0))*30,IF($J361=4,INDEX('큐펫&amp;몹 정리(최신)'!T:T,MATCH($E361,'큐펫&amp;몹 정리(최신)'!$B:$B,0))*35,INDEX('큐펫&amp;몹 정리(최신)'!T:T,MATCH($E361,'큐펫&amp;몹 정리(최신)'!$B:$B,0))*40))))</f>
        <v>800</v>
      </c>
      <c r="P361" s="217">
        <v>100</v>
      </c>
      <c r="Q361" s="217">
        <f t="shared" si="40"/>
        <v>280440</v>
      </c>
      <c r="R361" s="217">
        <f t="shared" si="41"/>
        <v>2982</v>
      </c>
      <c r="S361" s="217">
        <f t="shared" si="42"/>
        <v>5202</v>
      </c>
      <c r="T361" s="217">
        <f t="shared" si="43"/>
        <v>31567</v>
      </c>
      <c r="U361" s="217">
        <f t="shared" si="44"/>
        <v>56455</v>
      </c>
      <c r="V361" s="217">
        <f t="shared" si="45"/>
        <v>33266</v>
      </c>
      <c r="W361" s="217">
        <f>ROUND(AC361+(INDEX(Ref!B$1:B$9,MATCH($AI361,Ref!$A$1:$A$9,0))*P361*0.0001),)</f>
        <v>42</v>
      </c>
      <c r="X361" s="217">
        <f>ROUND(AD361+(INDEX(Ref!C$1:C$9,MATCH($AI361,Ref!$A$1:$A$9,0))*$P361*0.0001),)</f>
        <v>52</v>
      </c>
      <c r="Y361" s="217">
        <f>ROUND(AE361+(INDEX(Ref!D$1:D$9,MATCH($AI361,Ref!$A$1:$A$9,0))*$P361*0.0001),)</f>
        <v>66</v>
      </c>
      <c r="Z361" s="217">
        <f>ROUND(AF361+(INDEX(Ref!E$1:E$9,MATCH($AI361,Ref!$A$1:$A$9,0))*$P361*0.0001),)</f>
        <v>66</v>
      </c>
      <c r="AA361" s="217">
        <f>ROUND(AG361+(INDEX(Ref!F$1:F$9,MATCH($AI361,Ref!$A$1:$A$9,0))*$P361*0.0001),)</f>
        <v>56</v>
      </c>
      <c r="AB361" s="217">
        <f>ROUND(AH361+(INDEX(Ref!G$1:G$9,MATCH($AI361,Ref!$A$1:$A$9,0))*$P361*0.0001),)</f>
        <v>62</v>
      </c>
      <c r="AC361" s="137">
        <v>29</v>
      </c>
      <c r="AD361" s="137">
        <v>36</v>
      </c>
      <c r="AE361" s="137">
        <v>51</v>
      </c>
      <c r="AF361" s="137">
        <v>46</v>
      </c>
      <c r="AG361" s="137">
        <v>39</v>
      </c>
      <c r="AH361" s="137">
        <v>43</v>
      </c>
      <c r="AI361" s="208">
        <v>8</v>
      </c>
      <c r="AJ361" s="172">
        <v>3000</v>
      </c>
      <c r="AK361" s="172">
        <v>30429</v>
      </c>
      <c r="AL361" s="172">
        <v>2000</v>
      </c>
      <c r="AM361" s="172">
        <v>30432</v>
      </c>
      <c r="AN361" s="172">
        <v>0</v>
      </c>
      <c r="AO361" s="172">
        <f t="shared" si="46"/>
        <v>34429</v>
      </c>
      <c r="AP361" s="172">
        <v>0</v>
      </c>
      <c r="AQ361" s="172">
        <f t="shared" si="47"/>
        <v>34432</v>
      </c>
      <c r="AR361" s="172">
        <v>1</v>
      </c>
      <c r="AS361" s="172">
        <v>0</v>
      </c>
      <c r="AT361" s="199">
        <v>78072</v>
      </c>
      <c r="AU361" s="195" t="s">
        <v>286</v>
      </c>
    </row>
    <row r="362" spans="1:47" x14ac:dyDescent="0.2">
      <c r="A362" s="173">
        <v>55073</v>
      </c>
      <c r="B362" s="174" t="s">
        <v>287</v>
      </c>
      <c r="C362" s="172">
        <v>86073</v>
      </c>
      <c r="D362" s="172">
        <v>150073</v>
      </c>
      <c r="E362" s="206" t="s">
        <v>288</v>
      </c>
      <c r="F362" s="207">
        <v>5</v>
      </c>
      <c r="G362" s="172">
        <v>13000</v>
      </c>
      <c r="H362" s="172">
        <v>9000</v>
      </c>
      <c r="I362" s="172">
        <v>10000</v>
      </c>
      <c r="J362" s="172">
        <v>1</v>
      </c>
      <c r="K362" s="190">
        <f>IF($J362=1,INDEX('큐펫&amp;몹 정리(최신)'!P:P,MATCH($E362,'큐펫&amp;몹 정리(최신)'!$B:$B,0))*20,IF($J362=2,INDEX('큐펫&amp;몹 정리(최신)'!P:P,MATCH($E362,'큐펫&amp;몹 정리(최신)'!$B:$B,0))*25,IF($J362=3,INDEX('큐펫&amp;몹 정리(최신)'!P:P,MATCH($E362,'큐펫&amp;몹 정리(최신)'!$B:$B,0))*30,IF($J362=4,INDEX('큐펫&amp;몹 정리(최신)'!P:P,MATCH($E362,'큐펫&amp;몹 정리(최신)'!$B:$B,0))*35,INDEX('큐펫&amp;몹 정리(최신)'!P:P,MATCH($E362,'큐펫&amp;몹 정리(최신)'!$B:$B,0))*40))))</f>
        <v>900</v>
      </c>
      <c r="L362" s="190">
        <f>IF($J362=1,INDEX('큐펫&amp;몹 정리(최신)'!Q:Q,MATCH($E362,'큐펫&amp;몹 정리(최신)'!$B:$B,0))*20,IF($J362=2,INDEX('큐펫&amp;몹 정리(최신)'!Q:Q,MATCH($E362,'큐펫&amp;몹 정리(최신)'!$B:$B,0))*25,IF($J362=3,INDEX('큐펫&amp;몹 정리(최신)'!Q:Q,MATCH($E362,'큐펫&amp;몹 정리(최신)'!$B:$B,0))*30,IF($J362=4,INDEX('큐펫&amp;몹 정리(최신)'!Q:Q,MATCH($E362,'큐펫&amp;몹 정리(최신)'!$B:$B,0))*35,INDEX('큐펫&amp;몹 정리(최신)'!Q:Q,MATCH($E362,'큐펫&amp;몹 정리(최신)'!$B:$B,0))*40))))</f>
        <v>140</v>
      </c>
      <c r="M362" s="190">
        <f>IF($J362=1,INDEX('큐펫&amp;몹 정리(최신)'!R:R,MATCH($E362,'큐펫&amp;몹 정리(최신)'!$B:$B,0))*20,IF($J362=2,INDEX('큐펫&amp;몹 정리(최신)'!R:R,MATCH($E362,'큐펫&amp;몹 정리(최신)'!$B:$B,0))*25,IF($J362=3,INDEX('큐펫&amp;몹 정리(최신)'!R:R,MATCH($E362,'큐펫&amp;몹 정리(최신)'!$B:$B,0))*30,IF($J362=4,INDEX('큐펫&amp;몹 정리(최신)'!R:R,MATCH($E362,'큐펫&amp;몹 정리(최신)'!$B:$B,0))*35,INDEX('큐펫&amp;몹 정리(최신)'!R:R,MATCH($E362,'큐펫&amp;몹 정리(최신)'!$B:$B,0))*40))))</f>
        <v>100</v>
      </c>
      <c r="N362" s="190">
        <f>IF($J362=1,INDEX('큐펫&amp;몹 정리(최신)'!S:S,MATCH($E362,'큐펫&amp;몹 정리(최신)'!$B:$B,0))*20,IF($J362=2,INDEX('큐펫&amp;몹 정리(최신)'!S:S,MATCH($E362,'큐펫&amp;몹 정리(최신)'!$B:$B,0))*25,IF($J362=3,INDEX('큐펫&amp;몹 정리(최신)'!S:S,MATCH($E362,'큐펫&amp;몹 정리(최신)'!$B:$B,0))*30,IF($J362=4,INDEX('큐펫&amp;몹 정리(최신)'!S:S,MATCH($E362,'큐펫&amp;몹 정리(최신)'!$B:$B,0))*35,INDEX('큐펫&amp;몹 정리(최신)'!S:S,MATCH($E362,'큐펫&amp;몹 정리(최신)'!$B:$B,0))*40))))</f>
        <v>400</v>
      </c>
      <c r="O362" s="190">
        <f>IF($J362=1,INDEX('큐펫&amp;몹 정리(최신)'!T:T,MATCH($E362,'큐펫&amp;몹 정리(최신)'!$B:$B,0))*20,IF($J362=2,INDEX('큐펫&amp;몹 정리(최신)'!T:T,MATCH($E362,'큐펫&amp;몹 정리(최신)'!$B:$B,0))*25,IF($J362=3,INDEX('큐펫&amp;몹 정리(최신)'!T:T,MATCH($E362,'큐펫&amp;몹 정리(최신)'!$B:$B,0))*30,IF($J362=4,INDEX('큐펫&amp;몹 정리(최신)'!T:T,MATCH($E362,'큐펫&amp;몹 정리(최신)'!$B:$B,0))*35,INDEX('큐펫&amp;몹 정리(최신)'!T:T,MATCH($E362,'큐펫&amp;몹 정리(최신)'!$B:$B,0))*40))))</f>
        <v>460</v>
      </c>
      <c r="P362" s="217">
        <v>20</v>
      </c>
      <c r="Q362" s="217">
        <f t="shared" si="40"/>
        <v>29520</v>
      </c>
      <c r="R362" s="217">
        <f t="shared" si="41"/>
        <v>466</v>
      </c>
      <c r="S362" s="217">
        <f t="shared" si="42"/>
        <v>2456</v>
      </c>
      <c r="T362" s="217">
        <f t="shared" si="43"/>
        <v>423</v>
      </c>
      <c r="U362" s="217">
        <f t="shared" si="44"/>
        <v>11807</v>
      </c>
      <c r="V362" s="217">
        <f t="shared" si="45"/>
        <v>6804</v>
      </c>
      <c r="W362" s="217">
        <f>ROUND(AC362+(INDEX(Ref!B$1:B$9,MATCH($AI362,Ref!$A$1:$A$9,0))*P362*0.0001),)</f>
        <v>17</v>
      </c>
      <c r="X362" s="217">
        <f>ROUND(AD362+(INDEX(Ref!C$1:C$9,MATCH($AI362,Ref!$A$1:$A$9,0))*$P362*0.0001),)</f>
        <v>32</v>
      </c>
      <c r="Y362" s="217">
        <f>ROUND(AE362+(INDEX(Ref!D$1:D$9,MATCH($AI362,Ref!$A$1:$A$9,0))*$P362*0.0001),)</f>
        <v>39</v>
      </c>
      <c r="Z362" s="217">
        <f>ROUND(AF362+(INDEX(Ref!E$1:E$9,MATCH($AI362,Ref!$A$1:$A$9,0))*$P362*0.0001),)</f>
        <v>19</v>
      </c>
      <c r="AA362" s="217">
        <f>ROUND(AG362+(INDEX(Ref!F$1:F$9,MATCH($AI362,Ref!$A$1:$A$9,0))*$P362*0.0001),)</f>
        <v>41</v>
      </c>
      <c r="AB362" s="217">
        <f>ROUND(AH362+(INDEX(Ref!G$1:G$9,MATCH($AI362,Ref!$A$1:$A$9,0))*$P362*0.0001),)</f>
        <v>36</v>
      </c>
      <c r="AC362" s="137">
        <v>15</v>
      </c>
      <c r="AD362" s="137">
        <v>28</v>
      </c>
      <c r="AE362" s="137">
        <v>36</v>
      </c>
      <c r="AF362" s="137">
        <v>17</v>
      </c>
      <c r="AG362" s="137">
        <v>36</v>
      </c>
      <c r="AH362" s="137">
        <v>32</v>
      </c>
      <c r="AI362" s="208">
        <v>5</v>
      </c>
      <c r="AJ362" s="172">
        <v>3000</v>
      </c>
      <c r="AK362" s="172">
        <v>30433</v>
      </c>
      <c r="AL362" s="172">
        <v>2000</v>
      </c>
      <c r="AM362" s="172">
        <v>30436</v>
      </c>
      <c r="AN362" s="172">
        <v>0</v>
      </c>
      <c r="AO362" s="172">
        <f t="shared" si="46"/>
        <v>34433</v>
      </c>
      <c r="AP362" s="172">
        <v>0</v>
      </c>
      <c r="AQ362" s="172">
        <f t="shared" si="47"/>
        <v>34436</v>
      </c>
      <c r="AR362" s="172">
        <v>1</v>
      </c>
      <c r="AS362" s="172">
        <v>0</v>
      </c>
      <c r="AT362" s="199">
        <v>78073</v>
      </c>
      <c r="AU362" s="195" t="s">
        <v>289</v>
      </c>
    </row>
    <row r="363" spans="1:47" x14ac:dyDescent="0.2">
      <c r="A363" s="173">
        <v>55073</v>
      </c>
      <c r="B363" s="174" t="s">
        <v>287</v>
      </c>
      <c r="C363" s="172">
        <v>86073</v>
      </c>
      <c r="D363" s="172">
        <v>150073</v>
      </c>
      <c r="E363" s="206" t="s">
        <v>288</v>
      </c>
      <c r="F363" s="207">
        <v>5</v>
      </c>
      <c r="G363" s="172">
        <v>13000</v>
      </c>
      <c r="H363" s="172">
        <v>9000</v>
      </c>
      <c r="I363" s="172">
        <v>10000</v>
      </c>
      <c r="J363" s="172">
        <v>2</v>
      </c>
      <c r="K363" s="190">
        <f>IF($J363=1,INDEX('큐펫&amp;몹 정리(최신)'!P:P,MATCH($E363,'큐펫&amp;몹 정리(최신)'!$B:$B,0))*20,IF($J363=2,INDEX('큐펫&amp;몹 정리(최신)'!P:P,MATCH($E363,'큐펫&amp;몹 정리(최신)'!$B:$B,0))*25,IF($J363=3,INDEX('큐펫&amp;몹 정리(최신)'!P:P,MATCH($E363,'큐펫&amp;몹 정리(최신)'!$B:$B,0))*30,IF($J363=4,INDEX('큐펫&amp;몹 정리(최신)'!P:P,MATCH($E363,'큐펫&amp;몹 정리(최신)'!$B:$B,0))*35,INDEX('큐펫&amp;몹 정리(최신)'!P:P,MATCH($E363,'큐펫&amp;몹 정리(최신)'!$B:$B,0))*40))))</f>
        <v>1125</v>
      </c>
      <c r="L363" s="190">
        <f>IF($J363=1,INDEX('큐펫&amp;몹 정리(최신)'!Q:Q,MATCH($E363,'큐펫&amp;몹 정리(최신)'!$B:$B,0))*20,IF($J363=2,INDEX('큐펫&amp;몹 정리(최신)'!Q:Q,MATCH($E363,'큐펫&amp;몹 정리(최신)'!$B:$B,0))*25,IF($J363=3,INDEX('큐펫&amp;몹 정리(최신)'!Q:Q,MATCH($E363,'큐펫&amp;몹 정리(최신)'!$B:$B,0))*30,IF($J363=4,INDEX('큐펫&amp;몹 정리(최신)'!Q:Q,MATCH($E363,'큐펫&amp;몹 정리(최신)'!$B:$B,0))*35,INDEX('큐펫&amp;몹 정리(최신)'!Q:Q,MATCH($E363,'큐펫&amp;몹 정리(최신)'!$B:$B,0))*40))))</f>
        <v>175</v>
      </c>
      <c r="M363" s="190">
        <f>IF($J363=1,INDEX('큐펫&amp;몹 정리(최신)'!R:R,MATCH($E363,'큐펫&amp;몹 정리(최신)'!$B:$B,0))*20,IF($J363=2,INDEX('큐펫&amp;몹 정리(최신)'!R:R,MATCH($E363,'큐펫&amp;몹 정리(최신)'!$B:$B,0))*25,IF($J363=3,INDEX('큐펫&amp;몹 정리(최신)'!R:R,MATCH($E363,'큐펫&amp;몹 정리(최신)'!$B:$B,0))*30,IF($J363=4,INDEX('큐펫&amp;몹 정리(최신)'!R:R,MATCH($E363,'큐펫&amp;몹 정리(최신)'!$B:$B,0))*35,INDEX('큐펫&amp;몹 정리(최신)'!R:R,MATCH($E363,'큐펫&amp;몹 정리(최신)'!$B:$B,0))*40))))</f>
        <v>125</v>
      </c>
      <c r="N363" s="190">
        <f>IF($J363=1,INDEX('큐펫&amp;몹 정리(최신)'!S:S,MATCH($E363,'큐펫&amp;몹 정리(최신)'!$B:$B,0))*20,IF($J363=2,INDEX('큐펫&amp;몹 정리(최신)'!S:S,MATCH($E363,'큐펫&amp;몹 정리(최신)'!$B:$B,0))*25,IF($J363=3,INDEX('큐펫&amp;몹 정리(최신)'!S:S,MATCH($E363,'큐펫&amp;몹 정리(최신)'!$B:$B,0))*30,IF($J363=4,INDEX('큐펫&amp;몹 정리(최신)'!S:S,MATCH($E363,'큐펫&amp;몹 정리(최신)'!$B:$B,0))*35,INDEX('큐펫&amp;몹 정리(최신)'!S:S,MATCH($E363,'큐펫&amp;몹 정리(최신)'!$B:$B,0))*40))))</f>
        <v>500</v>
      </c>
      <c r="O363" s="190">
        <f>IF($J363=1,INDEX('큐펫&amp;몹 정리(최신)'!T:T,MATCH($E363,'큐펫&amp;몹 정리(최신)'!$B:$B,0))*20,IF($J363=2,INDEX('큐펫&amp;몹 정리(최신)'!T:T,MATCH($E363,'큐펫&amp;몹 정리(최신)'!$B:$B,0))*25,IF($J363=3,INDEX('큐펫&amp;몹 정리(최신)'!T:T,MATCH($E363,'큐펫&amp;몹 정리(최신)'!$B:$B,0))*30,IF($J363=4,INDEX('큐펫&amp;몹 정리(최신)'!T:T,MATCH($E363,'큐펫&amp;몹 정리(최신)'!$B:$B,0))*35,INDEX('큐펫&amp;몹 정리(최신)'!T:T,MATCH($E363,'큐펫&amp;몹 정리(최신)'!$B:$B,0))*40))))</f>
        <v>575</v>
      </c>
      <c r="P363" s="217">
        <v>40</v>
      </c>
      <c r="Q363" s="217">
        <f t="shared" si="40"/>
        <v>70400</v>
      </c>
      <c r="R363" s="217">
        <f t="shared" si="41"/>
        <v>855</v>
      </c>
      <c r="S363" s="217">
        <f t="shared" si="42"/>
        <v>4687</v>
      </c>
      <c r="T363" s="217">
        <f t="shared" si="43"/>
        <v>805</v>
      </c>
      <c r="U363" s="217">
        <f t="shared" si="44"/>
        <v>21009</v>
      </c>
      <c r="V363" s="217">
        <f t="shared" si="45"/>
        <v>12099</v>
      </c>
      <c r="W363" s="217">
        <f>ROUND(AC363+(INDEX(Ref!B$1:B$9,MATCH($AI363,Ref!$A$1:$A$9,0))*P363*0.0001),)</f>
        <v>21</v>
      </c>
      <c r="X363" s="217">
        <f>ROUND(AD363+(INDEX(Ref!C$1:C$9,MATCH($AI363,Ref!$A$1:$A$9,0))*$P363*0.0001),)</f>
        <v>40</v>
      </c>
      <c r="Y363" s="217">
        <f>ROUND(AE363+(INDEX(Ref!D$1:D$9,MATCH($AI363,Ref!$A$1:$A$9,0))*$P363*0.0001),)</f>
        <v>44</v>
      </c>
      <c r="Z363" s="217">
        <f>ROUND(AF363+(INDEX(Ref!E$1:E$9,MATCH($AI363,Ref!$A$1:$A$9,0))*$P363*0.0001),)</f>
        <v>24</v>
      </c>
      <c r="AA363" s="217">
        <f>ROUND(AG363+(INDEX(Ref!F$1:F$9,MATCH($AI363,Ref!$A$1:$A$9,0))*$P363*0.0001),)</f>
        <v>51</v>
      </c>
      <c r="AB363" s="217">
        <f>ROUND(AH363+(INDEX(Ref!G$1:G$9,MATCH($AI363,Ref!$A$1:$A$9,0))*$P363*0.0001),)</f>
        <v>44</v>
      </c>
      <c r="AC363" s="137">
        <v>17</v>
      </c>
      <c r="AD363" s="137">
        <v>32</v>
      </c>
      <c r="AE363" s="137">
        <v>39</v>
      </c>
      <c r="AF363" s="137">
        <v>19</v>
      </c>
      <c r="AG363" s="137">
        <v>41</v>
      </c>
      <c r="AH363" s="137">
        <v>36</v>
      </c>
      <c r="AI363" s="208">
        <v>5</v>
      </c>
      <c r="AJ363" s="172">
        <v>3000</v>
      </c>
      <c r="AK363" s="172">
        <v>30434</v>
      </c>
      <c r="AL363" s="172">
        <v>2000</v>
      </c>
      <c r="AM363" s="172">
        <v>30436</v>
      </c>
      <c r="AN363" s="172">
        <v>0</v>
      </c>
      <c r="AO363" s="172">
        <f t="shared" si="46"/>
        <v>34434</v>
      </c>
      <c r="AP363" s="172">
        <v>0</v>
      </c>
      <c r="AQ363" s="172">
        <f t="shared" si="47"/>
        <v>34436</v>
      </c>
      <c r="AR363" s="172">
        <v>1</v>
      </c>
      <c r="AS363" s="172">
        <v>0</v>
      </c>
      <c r="AT363" s="199">
        <v>78073</v>
      </c>
      <c r="AU363" s="195" t="s">
        <v>289</v>
      </c>
    </row>
    <row r="364" spans="1:47" x14ac:dyDescent="0.2">
      <c r="A364" s="173">
        <v>55073</v>
      </c>
      <c r="B364" s="174" t="s">
        <v>287</v>
      </c>
      <c r="C364" s="172">
        <v>86073</v>
      </c>
      <c r="D364" s="172">
        <v>150073</v>
      </c>
      <c r="E364" s="206" t="s">
        <v>288</v>
      </c>
      <c r="F364" s="207">
        <v>5</v>
      </c>
      <c r="G364" s="172">
        <v>13000</v>
      </c>
      <c r="H364" s="172">
        <v>9000</v>
      </c>
      <c r="I364" s="172">
        <v>10000</v>
      </c>
      <c r="J364" s="172">
        <v>3</v>
      </c>
      <c r="K364" s="190">
        <f>IF($J364=1,INDEX('큐펫&amp;몹 정리(최신)'!P:P,MATCH($E364,'큐펫&amp;몹 정리(최신)'!$B:$B,0))*20,IF($J364=2,INDEX('큐펫&amp;몹 정리(최신)'!P:P,MATCH($E364,'큐펫&amp;몹 정리(최신)'!$B:$B,0))*25,IF($J364=3,INDEX('큐펫&amp;몹 정리(최신)'!P:P,MATCH($E364,'큐펫&amp;몹 정리(최신)'!$B:$B,0))*30,IF($J364=4,INDEX('큐펫&amp;몹 정리(최신)'!P:P,MATCH($E364,'큐펫&amp;몹 정리(최신)'!$B:$B,0))*35,INDEX('큐펫&amp;몹 정리(최신)'!P:P,MATCH($E364,'큐펫&amp;몹 정리(최신)'!$B:$B,0))*40))))</f>
        <v>1350</v>
      </c>
      <c r="L364" s="190">
        <f>IF($J364=1,INDEX('큐펫&amp;몹 정리(최신)'!Q:Q,MATCH($E364,'큐펫&amp;몹 정리(최신)'!$B:$B,0))*20,IF($J364=2,INDEX('큐펫&amp;몹 정리(최신)'!Q:Q,MATCH($E364,'큐펫&amp;몹 정리(최신)'!$B:$B,0))*25,IF($J364=3,INDEX('큐펫&amp;몹 정리(최신)'!Q:Q,MATCH($E364,'큐펫&amp;몹 정리(최신)'!$B:$B,0))*30,IF($J364=4,INDEX('큐펫&amp;몹 정리(최신)'!Q:Q,MATCH($E364,'큐펫&amp;몹 정리(최신)'!$B:$B,0))*35,INDEX('큐펫&amp;몹 정리(최신)'!Q:Q,MATCH($E364,'큐펫&amp;몹 정리(최신)'!$B:$B,0))*40))))</f>
        <v>210</v>
      </c>
      <c r="M364" s="190">
        <f>IF($J364=1,INDEX('큐펫&amp;몹 정리(최신)'!R:R,MATCH($E364,'큐펫&amp;몹 정리(최신)'!$B:$B,0))*20,IF($J364=2,INDEX('큐펫&amp;몹 정리(최신)'!R:R,MATCH($E364,'큐펫&amp;몹 정리(최신)'!$B:$B,0))*25,IF($J364=3,INDEX('큐펫&amp;몹 정리(최신)'!R:R,MATCH($E364,'큐펫&amp;몹 정리(최신)'!$B:$B,0))*30,IF($J364=4,INDEX('큐펫&amp;몹 정리(최신)'!R:R,MATCH($E364,'큐펫&amp;몹 정리(최신)'!$B:$B,0))*35,INDEX('큐펫&amp;몹 정리(최신)'!R:R,MATCH($E364,'큐펫&amp;몹 정리(최신)'!$B:$B,0))*40))))</f>
        <v>150</v>
      </c>
      <c r="N364" s="190">
        <f>IF($J364=1,INDEX('큐펫&amp;몹 정리(최신)'!S:S,MATCH($E364,'큐펫&amp;몹 정리(최신)'!$B:$B,0))*20,IF($J364=2,INDEX('큐펫&amp;몹 정리(최신)'!S:S,MATCH($E364,'큐펫&amp;몹 정리(최신)'!$B:$B,0))*25,IF($J364=3,INDEX('큐펫&amp;몹 정리(최신)'!S:S,MATCH($E364,'큐펫&amp;몹 정리(최신)'!$B:$B,0))*30,IF($J364=4,INDEX('큐펫&amp;몹 정리(최신)'!S:S,MATCH($E364,'큐펫&amp;몹 정리(최신)'!$B:$B,0))*35,INDEX('큐펫&amp;몹 정리(최신)'!S:S,MATCH($E364,'큐펫&amp;몹 정리(최신)'!$B:$B,0))*40))))</f>
        <v>600</v>
      </c>
      <c r="O364" s="190">
        <f>IF($J364=1,INDEX('큐펫&amp;몹 정리(최신)'!T:T,MATCH($E364,'큐펫&amp;몹 정리(최신)'!$B:$B,0))*20,IF($J364=2,INDEX('큐펫&amp;몹 정리(최신)'!T:T,MATCH($E364,'큐펫&amp;몹 정리(최신)'!$B:$B,0))*25,IF($J364=3,INDEX('큐펫&amp;몹 정리(최신)'!T:T,MATCH($E364,'큐펫&amp;몹 정리(최신)'!$B:$B,0))*30,IF($J364=4,INDEX('큐펫&amp;몹 정리(최신)'!T:T,MATCH($E364,'큐펫&amp;몹 정리(최신)'!$B:$B,0))*35,INDEX('큐펫&amp;몹 정리(최신)'!T:T,MATCH($E364,'큐펫&amp;몹 정리(최신)'!$B:$B,0))*40))))</f>
        <v>690</v>
      </c>
      <c r="P364" s="217">
        <v>60</v>
      </c>
      <c r="Q364" s="217">
        <f t="shared" si="40"/>
        <v>128200</v>
      </c>
      <c r="R364" s="217">
        <f t="shared" si="41"/>
        <v>1527</v>
      </c>
      <c r="S364" s="217">
        <f t="shared" si="42"/>
        <v>7727</v>
      </c>
      <c r="T364" s="217">
        <f t="shared" si="43"/>
        <v>1282</v>
      </c>
      <c r="U364" s="217">
        <f t="shared" si="44"/>
        <v>33010</v>
      </c>
      <c r="V364" s="217">
        <f t="shared" si="45"/>
        <v>19003</v>
      </c>
      <c r="W364" s="217">
        <f>ROUND(AC364+(INDEX(Ref!B$1:B$9,MATCH($AI364,Ref!$A$1:$A$9,0))*P364*0.0001),)</f>
        <v>26</v>
      </c>
      <c r="X364" s="217">
        <f>ROUND(AD364+(INDEX(Ref!C$1:C$9,MATCH($AI364,Ref!$A$1:$A$9,0))*$P364*0.0001),)</f>
        <v>47</v>
      </c>
      <c r="Y364" s="217">
        <f>ROUND(AE364+(INDEX(Ref!D$1:D$9,MATCH($AI364,Ref!$A$1:$A$9,0))*$P364*0.0001),)</f>
        <v>50</v>
      </c>
      <c r="Z364" s="217">
        <f>ROUND(AF364+(INDEX(Ref!E$1:E$9,MATCH($AI364,Ref!$A$1:$A$9,0))*$P364*0.0001),)</f>
        <v>28</v>
      </c>
      <c r="AA364" s="217">
        <f>ROUND(AG364+(INDEX(Ref!F$1:F$9,MATCH($AI364,Ref!$A$1:$A$9,0))*$P364*0.0001),)</f>
        <v>60</v>
      </c>
      <c r="AB364" s="217">
        <f>ROUND(AH364+(INDEX(Ref!G$1:G$9,MATCH($AI364,Ref!$A$1:$A$9,0))*$P364*0.0001),)</f>
        <v>53</v>
      </c>
      <c r="AC364" s="137">
        <v>19</v>
      </c>
      <c r="AD364" s="137">
        <v>36</v>
      </c>
      <c r="AE364" s="137">
        <v>42</v>
      </c>
      <c r="AF364" s="137">
        <v>21</v>
      </c>
      <c r="AG364" s="137">
        <v>46</v>
      </c>
      <c r="AH364" s="137">
        <v>40</v>
      </c>
      <c r="AI364" s="208">
        <v>5</v>
      </c>
      <c r="AJ364" s="172">
        <v>3000</v>
      </c>
      <c r="AK364" s="172">
        <v>30434</v>
      </c>
      <c r="AL364" s="172">
        <v>2000</v>
      </c>
      <c r="AM364" s="172">
        <v>30437</v>
      </c>
      <c r="AN364" s="172">
        <v>0</v>
      </c>
      <c r="AO364" s="172">
        <f t="shared" si="46"/>
        <v>34434</v>
      </c>
      <c r="AP364" s="172">
        <v>0</v>
      </c>
      <c r="AQ364" s="172">
        <f t="shared" si="47"/>
        <v>34437</v>
      </c>
      <c r="AR364" s="172">
        <v>1</v>
      </c>
      <c r="AS364" s="172">
        <v>0</v>
      </c>
      <c r="AT364" s="199">
        <v>78073</v>
      </c>
      <c r="AU364" s="195" t="s">
        <v>289</v>
      </c>
    </row>
    <row r="365" spans="1:47" x14ac:dyDescent="0.2">
      <c r="A365" s="173">
        <v>55073</v>
      </c>
      <c r="B365" s="174" t="s">
        <v>287</v>
      </c>
      <c r="C365" s="172">
        <v>86073</v>
      </c>
      <c r="D365" s="172">
        <v>150073</v>
      </c>
      <c r="E365" s="206" t="s">
        <v>288</v>
      </c>
      <c r="F365" s="207">
        <v>5</v>
      </c>
      <c r="G365" s="172">
        <v>13000</v>
      </c>
      <c r="H365" s="172">
        <v>9000</v>
      </c>
      <c r="I365" s="172">
        <v>10000</v>
      </c>
      <c r="J365" s="172">
        <v>4</v>
      </c>
      <c r="K365" s="190">
        <f>IF($J365=1,INDEX('큐펫&amp;몹 정리(최신)'!P:P,MATCH($E365,'큐펫&amp;몹 정리(최신)'!$B:$B,0))*20,IF($J365=2,INDEX('큐펫&amp;몹 정리(최신)'!P:P,MATCH($E365,'큐펫&amp;몹 정리(최신)'!$B:$B,0))*25,IF($J365=3,INDEX('큐펫&amp;몹 정리(최신)'!P:P,MATCH($E365,'큐펫&amp;몹 정리(최신)'!$B:$B,0))*30,IF($J365=4,INDEX('큐펫&amp;몹 정리(최신)'!P:P,MATCH($E365,'큐펫&amp;몹 정리(최신)'!$B:$B,0))*35,INDEX('큐펫&amp;몹 정리(최신)'!P:P,MATCH($E365,'큐펫&amp;몹 정리(최신)'!$B:$B,0))*40))))</f>
        <v>1575</v>
      </c>
      <c r="L365" s="190">
        <f>IF($J365=1,INDEX('큐펫&amp;몹 정리(최신)'!Q:Q,MATCH($E365,'큐펫&amp;몹 정리(최신)'!$B:$B,0))*20,IF($J365=2,INDEX('큐펫&amp;몹 정리(최신)'!Q:Q,MATCH($E365,'큐펫&amp;몹 정리(최신)'!$B:$B,0))*25,IF($J365=3,INDEX('큐펫&amp;몹 정리(최신)'!Q:Q,MATCH($E365,'큐펫&amp;몹 정리(최신)'!$B:$B,0))*30,IF($J365=4,INDEX('큐펫&amp;몹 정리(최신)'!Q:Q,MATCH($E365,'큐펫&amp;몹 정리(최신)'!$B:$B,0))*35,INDEX('큐펫&amp;몹 정리(최신)'!Q:Q,MATCH($E365,'큐펫&amp;몹 정리(최신)'!$B:$B,0))*40))))</f>
        <v>245</v>
      </c>
      <c r="M365" s="190">
        <f>IF($J365=1,INDEX('큐펫&amp;몹 정리(최신)'!R:R,MATCH($E365,'큐펫&amp;몹 정리(최신)'!$B:$B,0))*20,IF($J365=2,INDEX('큐펫&amp;몹 정리(최신)'!R:R,MATCH($E365,'큐펫&amp;몹 정리(최신)'!$B:$B,0))*25,IF($J365=3,INDEX('큐펫&amp;몹 정리(최신)'!R:R,MATCH($E365,'큐펫&amp;몹 정리(최신)'!$B:$B,0))*30,IF($J365=4,INDEX('큐펫&amp;몹 정리(최신)'!R:R,MATCH($E365,'큐펫&amp;몹 정리(최신)'!$B:$B,0))*35,INDEX('큐펫&amp;몹 정리(최신)'!R:R,MATCH($E365,'큐펫&amp;몹 정리(최신)'!$B:$B,0))*40))))</f>
        <v>175</v>
      </c>
      <c r="N365" s="190">
        <f>IF($J365=1,INDEX('큐펫&amp;몹 정리(최신)'!S:S,MATCH($E365,'큐펫&amp;몹 정리(최신)'!$B:$B,0))*20,IF($J365=2,INDEX('큐펫&amp;몹 정리(최신)'!S:S,MATCH($E365,'큐펫&amp;몹 정리(최신)'!$B:$B,0))*25,IF($J365=3,INDEX('큐펫&amp;몹 정리(최신)'!S:S,MATCH($E365,'큐펫&amp;몹 정리(최신)'!$B:$B,0))*30,IF($J365=4,INDEX('큐펫&amp;몹 정리(최신)'!S:S,MATCH($E365,'큐펫&amp;몹 정리(최신)'!$B:$B,0))*35,INDEX('큐펫&amp;몹 정리(최신)'!S:S,MATCH($E365,'큐펫&amp;몹 정리(최신)'!$B:$B,0))*40))))</f>
        <v>700</v>
      </c>
      <c r="O365" s="190">
        <f>IF($J365=1,INDEX('큐펫&amp;몹 정리(최신)'!T:T,MATCH($E365,'큐펫&amp;몹 정리(최신)'!$B:$B,0))*20,IF($J365=2,INDEX('큐펫&amp;몹 정리(최신)'!T:T,MATCH($E365,'큐펫&amp;몹 정리(최신)'!$B:$B,0))*25,IF($J365=3,INDEX('큐펫&amp;몹 정리(최신)'!T:T,MATCH($E365,'큐펫&amp;몹 정리(최신)'!$B:$B,0))*30,IF($J365=4,INDEX('큐펫&amp;몹 정리(최신)'!T:T,MATCH($E365,'큐펫&amp;몹 정리(최신)'!$B:$B,0))*35,INDEX('큐펫&amp;몹 정리(최신)'!T:T,MATCH($E365,'큐펫&amp;몹 정리(최신)'!$B:$B,0))*40))))</f>
        <v>805</v>
      </c>
      <c r="P365" s="217">
        <v>80</v>
      </c>
      <c r="Q365" s="217">
        <f t="shared" si="40"/>
        <v>201840</v>
      </c>
      <c r="R365" s="217">
        <f t="shared" si="41"/>
        <v>2486</v>
      </c>
      <c r="S365" s="217">
        <f t="shared" si="42"/>
        <v>12204</v>
      </c>
      <c r="T365" s="217">
        <f t="shared" si="43"/>
        <v>2155</v>
      </c>
      <c r="U365" s="217">
        <f t="shared" si="44"/>
        <v>46912</v>
      </c>
      <c r="V365" s="217">
        <f t="shared" si="45"/>
        <v>27001</v>
      </c>
      <c r="W365" s="217">
        <f>ROUND(AC365+(INDEX(Ref!B$1:B$9,MATCH($AI365,Ref!$A$1:$A$9,0))*P365*0.0001),)</f>
        <v>31</v>
      </c>
      <c r="X365" s="217">
        <f>ROUND(AD365+(INDEX(Ref!C$1:C$9,MATCH($AI365,Ref!$A$1:$A$9,0))*$P365*0.0001),)</f>
        <v>54</v>
      </c>
      <c r="Y365" s="217">
        <f>ROUND(AE365+(INDEX(Ref!D$1:D$9,MATCH($AI365,Ref!$A$1:$A$9,0))*$P365*0.0001),)</f>
        <v>54</v>
      </c>
      <c r="Z365" s="217">
        <f>ROUND(AF365+(INDEX(Ref!E$1:E$9,MATCH($AI365,Ref!$A$1:$A$9,0))*$P365*0.0001),)</f>
        <v>34</v>
      </c>
      <c r="AA365" s="217">
        <f>ROUND(AG365+(INDEX(Ref!F$1:F$9,MATCH($AI365,Ref!$A$1:$A$9,0))*$P365*0.0001),)</f>
        <v>70</v>
      </c>
      <c r="AB365" s="217">
        <f>ROUND(AH365+(INDEX(Ref!G$1:G$9,MATCH($AI365,Ref!$A$1:$A$9,0))*$P365*0.0001),)</f>
        <v>61</v>
      </c>
      <c r="AC365" s="137">
        <v>22</v>
      </c>
      <c r="AD365" s="137">
        <v>39</v>
      </c>
      <c r="AE365" s="137">
        <v>44</v>
      </c>
      <c r="AF365" s="137">
        <v>24</v>
      </c>
      <c r="AG365" s="137">
        <v>51</v>
      </c>
      <c r="AH365" s="137">
        <v>44</v>
      </c>
      <c r="AI365" s="208">
        <v>5</v>
      </c>
      <c r="AJ365" s="172">
        <v>3000</v>
      </c>
      <c r="AK365" s="172">
        <v>30435</v>
      </c>
      <c r="AL365" s="172">
        <v>2000</v>
      </c>
      <c r="AM365" s="172">
        <v>30437</v>
      </c>
      <c r="AN365" s="172">
        <v>0</v>
      </c>
      <c r="AO365" s="172">
        <f t="shared" si="46"/>
        <v>34435</v>
      </c>
      <c r="AP365" s="172">
        <v>0</v>
      </c>
      <c r="AQ365" s="172">
        <f t="shared" si="47"/>
        <v>34437</v>
      </c>
      <c r="AR365" s="172">
        <v>1</v>
      </c>
      <c r="AS365" s="172">
        <v>0</v>
      </c>
      <c r="AT365" s="199">
        <v>78073</v>
      </c>
      <c r="AU365" s="195" t="s">
        <v>289</v>
      </c>
    </row>
    <row r="366" spans="1:47" x14ac:dyDescent="0.2">
      <c r="A366" s="173">
        <v>55073</v>
      </c>
      <c r="B366" s="174" t="s">
        <v>287</v>
      </c>
      <c r="C366" s="172">
        <v>86073</v>
      </c>
      <c r="D366" s="172">
        <v>150073</v>
      </c>
      <c r="E366" s="206" t="s">
        <v>288</v>
      </c>
      <c r="F366" s="207">
        <v>5</v>
      </c>
      <c r="G366" s="172">
        <v>13000</v>
      </c>
      <c r="H366" s="172">
        <v>9000</v>
      </c>
      <c r="I366" s="172">
        <v>10000</v>
      </c>
      <c r="J366" s="172">
        <v>5</v>
      </c>
      <c r="K366" s="190">
        <f>IF($J366=1,INDEX('큐펫&amp;몹 정리(최신)'!P:P,MATCH($E366,'큐펫&amp;몹 정리(최신)'!$B:$B,0))*20,IF($J366=2,INDEX('큐펫&amp;몹 정리(최신)'!P:P,MATCH($E366,'큐펫&amp;몹 정리(최신)'!$B:$B,0))*25,IF($J366=3,INDEX('큐펫&amp;몹 정리(최신)'!P:P,MATCH($E366,'큐펫&amp;몹 정리(최신)'!$B:$B,0))*30,IF($J366=4,INDEX('큐펫&amp;몹 정리(최신)'!P:P,MATCH($E366,'큐펫&amp;몹 정리(최신)'!$B:$B,0))*35,INDEX('큐펫&amp;몹 정리(최신)'!P:P,MATCH($E366,'큐펫&amp;몹 정리(최신)'!$B:$B,0))*40))))</f>
        <v>1800</v>
      </c>
      <c r="L366" s="190">
        <f>IF($J366=1,INDEX('큐펫&amp;몹 정리(최신)'!Q:Q,MATCH($E366,'큐펫&amp;몹 정리(최신)'!$B:$B,0))*20,IF($J366=2,INDEX('큐펫&amp;몹 정리(최신)'!Q:Q,MATCH($E366,'큐펫&amp;몹 정리(최신)'!$B:$B,0))*25,IF($J366=3,INDEX('큐펫&amp;몹 정리(최신)'!Q:Q,MATCH($E366,'큐펫&amp;몹 정리(최신)'!$B:$B,0))*30,IF($J366=4,INDEX('큐펫&amp;몹 정리(최신)'!Q:Q,MATCH($E366,'큐펫&amp;몹 정리(최신)'!$B:$B,0))*35,INDEX('큐펫&amp;몹 정리(최신)'!Q:Q,MATCH($E366,'큐펫&amp;몹 정리(최신)'!$B:$B,0))*40))))</f>
        <v>280</v>
      </c>
      <c r="M366" s="190">
        <f>IF($J366=1,INDEX('큐펫&amp;몹 정리(최신)'!R:R,MATCH($E366,'큐펫&amp;몹 정리(최신)'!$B:$B,0))*20,IF($J366=2,INDEX('큐펫&amp;몹 정리(최신)'!R:R,MATCH($E366,'큐펫&amp;몹 정리(최신)'!$B:$B,0))*25,IF($J366=3,INDEX('큐펫&amp;몹 정리(최신)'!R:R,MATCH($E366,'큐펫&amp;몹 정리(최신)'!$B:$B,0))*30,IF($J366=4,INDEX('큐펫&amp;몹 정리(최신)'!R:R,MATCH($E366,'큐펫&amp;몹 정리(최신)'!$B:$B,0))*35,INDEX('큐펫&amp;몹 정리(최신)'!R:R,MATCH($E366,'큐펫&amp;몹 정리(최신)'!$B:$B,0))*40))))</f>
        <v>200</v>
      </c>
      <c r="N366" s="190">
        <f>IF($J366=1,INDEX('큐펫&amp;몹 정리(최신)'!S:S,MATCH($E366,'큐펫&amp;몹 정리(최신)'!$B:$B,0))*20,IF($J366=2,INDEX('큐펫&amp;몹 정리(최신)'!S:S,MATCH($E366,'큐펫&amp;몹 정리(최신)'!$B:$B,0))*25,IF($J366=3,INDEX('큐펫&amp;몹 정리(최신)'!S:S,MATCH($E366,'큐펫&amp;몹 정리(최신)'!$B:$B,0))*30,IF($J366=4,INDEX('큐펫&amp;몹 정리(최신)'!S:S,MATCH($E366,'큐펫&amp;몹 정리(최신)'!$B:$B,0))*35,INDEX('큐펫&amp;몹 정리(최신)'!S:S,MATCH($E366,'큐펫&amp;몹 정리(최신)'!$B:$B,0))*40))))</f>
        <v>800</v>
      </c>
      <c r="O366" s="190">
        <f>IF($J366=1,INDEX('큐펫&amp;몹 정리(최신)'!T:T,MATCH($E366,'큐펫&amp;몹 정리(최신)'!$B:$B,0))*20,IF($J366=2,INDEX('큐펫&amp;몹 정리(최신)'!T:T,MATCH($E366,'큐펫&amp;몹 정리(최신)'!$B:$B,0))*25,IF($J366=3,INDEX('큐펫&amp;몹 정리(최신)'!T:T,MATCH($E366,'큐펫&amp;몹 정리(최신)'!$B:$B,0))*30,IF($J366=4,INDEX('큐펫&amp;몹 정리(최신)'!T:T,MATCH($E366,'큐펫&amp;몹 정리(최신)'!$B:$B,0))*35,INDEX('큐펫&amp;몹 정리(최신)'!T:T,MATCH($E366,'큐펫&amp;몹 정리(최신)'!$B:$B,0))*40))))</f>
        <v>920</v>
      </c>
      <c r="P366" s="217">
        <v>100</v>
      </c>
      <c r="Q366" s="217">
        <f t="shared" si="40"/>
        <v>297000</v>
      </c>
      <c r="R366" s="217">
        <f t="shared" si="41"/>
        <v>3583</v>
      </c>
      <c r="S366" s="217">
        <f t="shared" si="42"/>
        <v>18152</v>
      </c>
      <c r="T366" s="217">
        <f t="shared" si="43"/>
        <v>3041</v>
      </c>
      <c r="U366" s="217">
        <f t="shared" si="44"/>
        <v>64014</v>
      </c>
      <c r="V366" s="217">
        <f t="shared" si="45"/>
        <v>36838</v>
      </c>
      <c r="W366" s="217">
        <f>ROUND(AC366+(INDEX(Ref!B$1:B$9,MATCH($AI366,Ref!$A$1:$A$9,0))*P366*0.0001),)</f>
        <v>35</v>
      </c>
      <c r="X366" s="217">
        <f>ROUND(AD366+(INDEX(Ref!C$1:C$9,MATCH($AI366,Ref!$A$1:$A$9,0))*$P366*0.0001),)</f>
        <v>62</v>
      </c>
      <c r="Y366" s="217">
        <f>ROUND(AE366+(INDEX(Ref!D$1:D$9,MATCH($AI366,Ref!$A$1:$A$9,0))*$P366*0.0001),)</f>
        <v>60</v>
      </c>
      <c r="Z366" s="217">
        <f>ROUND(AF366+(INDEX(Ref!E$1:E$9,MATCH($AI366,Ref!$A$1:$A$9,0))*$P366*0.0001),)</f>
        <v>38</v>
      </c>
      <c r="AA366" s="217">
        <f>ROUND(AG366+(INDEX(Ref!F$1:F$9,MATCH($AI366,Ref!$A$1:$A$9,0))*$P366*0.0001),)</f>
        <v>80</v>
      </c>
      <c r="AB366" s="217">
        <f>ROUND(AH366+(INDEX(Ref!G$1:G$9,MATCH($AI366,Ref!$A$1:$A$9,0))*$P366*0.0001),)</f>
        <v>69</v>
      </c>
      <c r="AC366" s="137">
        <v>24</v>
      </c>
      <c r="AD366" s="137">
        <v>43</v>
      </c>
      <c r="AE366" s="137">
        <v>47</v>
      </c>
      <c r="AF366" s="137">
        <v>26</v>
      </c>
      <c r="AG366" s="137">
        <v>56</v>
      </c>
      <c r="AH366" s="137">
        <v>48</v>
      </c>
      <c r="AI366" s="208">
        <v>5</v>
      </c>
      <c r="AJ366" s="172">
        <v>3000</v>
      </c>
      <c r="AK366" s="172">
        <v>30435</v>
      </c>
      <c r="AL366" s="172">
        <v>2000</v>
      </c>
      <c r="AM366" s="172">
        <v>30438</v>
      </c>
      <c r="AN366" s="172">
        <v>0</v>
      </c>
      <c r="AO366" s="172">
        <f t="shared" si="46"/>
        <v>34435</v>
      </c>
      <c r="AP366" s="172">
        <v>0</v>
      </c>
      <c r="AQ366" s="172">
        <f t="shared" si="47"/>
        <v>34438</v>
      </c>
      <c r="AR366" s="172">
        <v>1</v>
      </c>
      <c r="AS366" s="172">
        <v>0</v>
      </c>
      <c r="AT366" s="199">
        <v>78073</v>
      </c>
      <c r="AU366" s="195" t="s">
        <v>289</v>
      </c>
    </row>
    <row r="367" spans="1:47" x14ac:dyDescent="0.2">
      <c r="A367" s="173">
        <v>55074</v>
      </c>
      <c r="B367" s="174" t="s">
        <v>290</v>
      </c>
      <c r="C367" s="172">
        <v>86074</v>
      </c>
      <c r="D367" s="172">
        <v>150074</v>
      </c>
      <c r="E367" s="206" t="s">
        <v>291</v>
      </c>
      <c r="F367" s="207">
        <v>5</v>
      </c>
      <c r="G367" s="172">
        <v>8500</v>
      </c>
      <c r="H367" s="172">
        <v>8500</v>
      </c>
      <c r="I367" s="172">
        <v>10000</v>
      </c>
      <c r="J367" s="172">
        <v>1</v>
      </c>
      <c r="K367" s="190">
        <f>IF($J367=1,INDEX('큐펫&amp;몹 정리(최신)'!P:P,MATCH($E367,'큐펫&amp;몹 정리(최신)'!$B:$B,0))*20,IF($J367=2,INDEX('큐펫&amp;몹 정리(최신)'!P:P,MATCH($E367,'큐펫&amp;몹 정리(최신)'!$B:$B,0))*25,IF($J367=3,INDEX('큐펫&amp;몹 정리(최신)'!P:P,MATCH($E367,'큐펫&amp;몹 정리(최신)'!$B:$B,0))*30,IF($J367=4,INDEX('큐펫&amp;몹 정리(최신)'!P:P,MATCH($E367,'큐펫&amp;몹 정리(최신)'!$B:$B,0))*35,INDEX('큐펫&amp;몹 정리(최신)'!P:P,MATCH($E367,'큐펫&amp;몹 정리(최신)'!$B:$B,0))*40))))</f>
        <v>800</v>
      </c>
      <c r="L367" s="190">
        <f>IF($J367=1,INDEX('큐펫&amp;몹 정리(최신)'!Q:Q,MATCH($E367,'큐펫&amp;몹 정리(최신)'!$B:$B,0))*20,IF($J367=2,INDEX('큐펫&amp;몹 정리(최신)'!Q:Q,MATCH($E367,'큐펫&amp;몹 정리(최신)'!$B:$B,0))*25,IF($J367=3,INDEX('큐펫&amp;몹 정리(최신)'!Q:Q,MATCH($E367,'큐펫&amp;몹 정리(최신)'!$B:$B,0))*30,IF($J367=4,INDEX('큐펫&amp;몹 정리(최신)'!Q:Q,MATCH($E367,'큐펫&amp;몹 정리(최신)'!$B:$B,0))*35,INDEX('큐펫&amp;몹 정리(최신)'!Q:Q,MATCH($E367,'큐펫&amp;몹 정리(최신)'!$B:$B,0))*40))))</f>
        <v>100</v>
      </c>
      <c r="M367" s="190">
        <f>IF($J367=1,INDEX('큐펫&amp;몹 정리(최신)'!R:R,MATCH($E367,'큐펫&amp;몹 정리(최신)'!$B:$B,0))*20,IF($J367=2,INDEX('큐펫&amp;몹 정리(최신)'!R:R,MATCH($E367,'큐펫&amp;몹 정리(최신)'!$B:$B,0))*25,IF($J367=3,INDEX('큐펫&amp;몹 정리(최신)'!R:R,MATCH($E367,'큐펫&amp;몹 정리(최신)'!$B:$B,0))*30,IF($J367=4,INDEX('큐펫&amp;몹 정리(최신)'!R:R,MATCH($E367,'큐펫&amp;몹 정리(최신)'!$B:$B,0))*35,INDEX('큐펫&amp;몹 정리(최신)'!R:R,MATCH($E367,'큐펫&amp;몹 정리(최신)'!$B:$B,0))*40))))</f>
        <v>440</v>
      </c>
      <c r="N367" s="190">
        <f>IF($J367=1,INDEX('큐펫&amp;몹 정리(최신)'!S:S,MATCH($E367,'큐펫&amp;몹 정리(최신)'!$B:$B,0))*20,IF($J367=2,INDEX('큐펫&amp;몹 정리(최신)'!S:S,MATCH($E367,'큐펫&amp;몹 정리(최신)'!$B:$B,0))*25,IF($J367=3,INDEX('큐펫&amp;몹 정리(최신)'!S:S,MATCH($E367,'큐펫&amp;몹 정리(최신)'!$B:$B,0))*30,IF($J367=4,INDEX('큐펫&amp;몹 정리(최신)'!S:S,MATCH($E367,'큐펫&amp;몹 정리(최신)'!$B:$B,0))*35,INDEX('큐펫&amp;몹 정리(최신)'!S:S,MATCH($E367,'큐펫&amp;몹 정리(최신)'!$B:$B,0))*40))))</f>
        <v>240</v>
      </c>
      <c r="O367" s="190">
        <f>IF($J367=1,INDEX('큐펫&amp;몹 정리(최신)'!T:T,MATCH($E367,'큐펫&amp;몹 정리(최신)'!$B:$B,0))*20,IF($J367=2,INDEX('큐펫&amp;몹 정리(최신)'!T:T,MATCH($E367,'큐펫&amp;몹 정리(최신)'!$B:$B,0))*25,IF($J367=3,INDEX('큐펫&amp;몹 정리(최신)'!T:T,MATCH($E367,'큐펫&amp;몹 정리(최신)'!$B:$B,0))*30,IF($J367=4,INDEX('큐펫&amp;몹 정리(최신)'!T:T,MATCH($E367,'큐펫&amp;몹 정리(최신)'!$B:$B,0))*35,INDEX('큐펫&amp;몹 정리(최신)'!T:T,MATCH($E367,'큐펫&amp;몹 정리(최신)'!$B:$B,0))*40))))</f>
        <v>420</v>
      </c>
      <c r="P367" s="217">
        <v>20</v>
      </c>
      <c r="Q367" s="217">
        <f t="shared" si="40"/>
        <v>26880</v>
      </c>
      <c r="R367" s="217">
        <f t="shared" si="41"/>
        <v>506</v>
      </c>
      <c r="S367" s="217">
        <f t="shared" si="42"/>
        <v>861</v>
      </c>
      <c r="T367" s="217">
        <f t="shared" si="43"/>
        <v>5175</v>
      </c>
      <c r="U367" s="217">
        <f t="shared" si="44"/>
        <v>7567</v>
      </c>
      <c r="V367" s="217">
        <f t="shared" si="45"/>
        <v>6649</v>
      </c>
      <c r="W367" s="217">
        <f>ROUND(AC367+(INDEX(Ref!B$1:B$9,MATCH($AI367,Ref!$A$1:$A$9,0))*P367*0.0001),)</f>
        <v>21</v>
      </c>
      <c r="X367" s="217">
        <f>ROUND(AD367+(INDEX(Ref!C$1:C$9,MATCH($AI367,Ref!$A$1:$A$9,0))*$P367*0.0001),)</f>
        <v>26</v>
      </c>
      <c r="Y367" s="217">
        <f>ROUND(AE367+(INDEX(Ref!D$1:D$9,MATCH($AI367,Ref!$A$1:$A$9,0))*$P367*0.0001),)</f>
        <v>43</v>
      </c>
      <c r="Z367" s="217">
        <f>ROUND(AF367+(INDEX(Ref!E$1:E$9,MATCH($AI367,Ref!$A$1:$A$9,0))*$P367*0.0001),)</f>
        <v>34</v>
      </c>
      <c r="AA367" s="217">
        <f>ROUND(AG367+(INDEX(Ref!F$1:F$9,MATCH($AI367,Ref!$A$1:$A$9,0))*$P367*0.0001),)</f>
        <v>28</v>
      </c>
      <c r="AB367" s="217">
        <f>ROUND(AH367+(INDEX(Ref!G$1:G$9,MATCH($AI367,Ref!$A$1:$A$9,0))*$P367*0.0001),)</f>
        <v>32</v>
      </c>
      <c r="AC367" s="137">
        <v>18</v>
      </c>
      <c r="AD367" s="137">
        <v>23</v>
      </c>
      <c r="AE367" s="137">
        <v>40</v>
      </c>
      <c r="AF367" s="137">
        <v>30</v>
      </c>
      <c r="AG367" s="137">
        <v>25</v>
      </c>
      <c r="AH367" s="137">
        <v>28</v>
      </c>
      <c r="AI367" s="208">
        <v>8</v>
      </c>
      <c r="AJ367" s="172">
        <v>3000</v>
      </c>
      <c r="AK367" s="172">
        <v>30439</v>
      </c>
      <c r="AL367" s="172">
        <v>2000</v>
      </c>
      <c r="AM367" s="172">
        <v>30442</v>
      </c>
      <c r="AN367" s="172">
        <v>0</v>
      </c>
      <c r="AO367" s="172">
        <f t="shared" si="46"/>
        <v>34439</v>
      </c>
      <c r="AP367" s="172">
        <v>0</v>
      </c>
      <c r="AQ367" s="172">
        <f t="shared" si="47"/>
        <v>34442</v>
      </c>
      <c r="AR367" s="172">
        <v>1</v>
      </c>
      <c r="AS367" s="172">
        <v>0</v>
      </c>
      <c r="AT367" s="199">
        <v>78074</v>
      </c>
      <c r="AU367" s="195" t="s">
        <v>292</v>
      </c>
    </row>
    <row r="368" spans="1:47" x14ac:dyDescent="0.2">
      <c r="A368" s="173">
        <v>55074</v>
      </c>
      <c r="B368" s="174" t="s">
        <v>290</v>
      </c>
      <c r="C368" s="172">
        <v>86074</v>
      </c>
      <c r="D368" s="172">
        <v>150074</v>
      </c>
      <c r="E368" s="206" t="s">
        <v>291</v>
      </c>
      <c r="F368" s="207">
        <v>5</v>
      </c>
      <c r="G368" s="172">
        <v>8500</v>
      </c>
      <c r="H368" s="172">
        <v>8500</v>
      </c>
      <c r="I368" s="172">
        <v>10000</v>
      </c>
      <c r="J368" s="172">
        <v>2</v>
      </c>
      <c r="K368" s="190">
        <f>IF($J368=1,INDEX('큐펫&amp;몹 정리(최신)'!P:P,MATCH($E368,'큐펫&amp;몹 정리(최신)'!$B:$B,0))*20,IF($J368=2,INDEX('큐펫&amp;몹 정리(최신)'!P:P,MATCH($E368,'큐펫&amp;몹 정리(최신)'!$B:$B,0))*25,IF($J368=3,INDEX('큐펫&amp;몹 정리(최신)'!P:P,MATCH($E368,'큐펫&amp;몹 정리(최신)'!$B:$B,0))*30,IF($J368=4,INDEX('큐펫&amp;몹 정리(최신)'!P:P,MATCH($E368,'큐펫&amp;몹 정리(최신)'!$B:$B,0))*35,INDEX('큐펫&amp;몹 정리(최신)'!P:P,MATCH($E368,'큐펫&amp;몹 정리(최신)'!$B:$B,0))*40))))</f>
        <v>1000</v>
      </c>
      <c r="L368" s="190">
        <f>IF($J368=1,INDEX('큐펫&amp;몹 정리(최신)'!Q:Q,MATCH($E368,'큐펫&amp;몹 정리(최신)'!$B:$B,0))*20,IF($J368=2,INDEX('큐펫&amp;몹 정리(최신)'!Q:Q,MATCH($E368,'큐펫&amp;몹 정리(최신)'!$B:$B,0))*25,IF($J368=3,INDEX('큐펫&amp;몹 정리(최신)'!Q:Q,MATCH($E368,'큐펫&amp;몹 정리(최신)'!$B:$B,0))*30,IF($J368=4,INDEX('큐펫&amp;몹 정리(최신)'!Q:Q,MATCH($E368,'큐펫&amp;몹 정리(최신)'!$B:$B,0))*35,INDEX('큐펫&amp;몹 정리(최신)'!Q:Q,MATCH($E368,'큐펫&amp;몹 정리(최신)'!$B:$B,0))*40))))</f>
        <v>125</v>
      </c>
      <c r="M368" s="190">
        <f>IF($J368=1,INDEX('큐펫&amp;몹 정리(최신)'!R:R,MATCH($E368,'큐펫&amp;몹 정리(최신)'!$B:$B,0))*20,IF($J368=2,INDEX('큐펫&amp;몹 정리(최신)'!R:R,MATCH($E368,'큐펫&amp;몹 정리(최신)'!$B:$B,0))*25,IF($J368=3,INDEX('큐펫&amp;몹 정리(최신)'!R:R,MATCH($E368,'큐펫&amp;몹 정리(최신)'!$B:$B,0))*30,IF($J368=4,INDEX('큐펫&amp;몹 정리(최신)'!R:R,MATCH($E368,'큐펫&amp;몹 정리(최신)'!$B:$B,0))*35,INDEX('큐펫&amp;몹 정리(최신)'!R:R,MATCH($E368,'큐펫&amp;몹 정리(최신)'!$B:$B,0))*40))))</f>
        <v>550</v>
      </c>
      <c r="N368" s="190">
        <f>IF($J368=1,INDEX('큐펫&amp;몹 정리(최신)'!S:S,MATCH($E368,'큐펫&amp;몹 정리(최신)'!$B:$B,0))*20,IF($J368=2,INDEX('큐펫&amp;몹 정리(최신)'!S:S,MATCH($E368,'큐펫&amp;몹 정리(최신)'!$B:$B,0))*25,IF($J368=3,INDEX('큐펫&amp;몹 정리(최신)'!S:S,MATCH($E368,'큐펫&amp;몹 정리(최신)'!$B:$B,0))*30,IF($J368=4,INDEX('큐펫&amp;몹 정리(최신)'!S:S,MATCH($E368,'큐펫&amp;몹 정리(최신)'!$B:$B,0))*35,INDEX('큐펫&amp;몹 정리(최신)'!S:S,MATCH($E368,'큐펫&amp;몹 정리(최신)'!$B:$B,0))*40))))</f>
        <v>300</v>
      </c>
      <c r="O368" s="190">
        <f>IF($J368=1,INDEX('큐펫&amp;몹 정리(최신)'!T:T,MATCH($E368,'큐펫&amp;몹 정리(최신)'!$B:$B,0))*20,IF($J368=2,INDEX('큐펫&amp;몹 정리(최신)'!T:T,MATCH($E368,'큐펫&amp;몹 정리(최신)'!$B:$B,0))*25,IF($J368=3,INDEX('큐펫&amp;몹 정리(최신)'!T:T,MATCH($E368,'큐펫&amp;몹 정리(최신)'!$B:$B,0))*30,IF($J368=4,INDEX('큐펫&amp;몹 정리(최신)'!T:T,MATCH($E368,'큐펫&amp;몹 정리(최신)'!$B:$B,0))*35,INDEX('큐펫&amp;몹 정리(최신)'!T:T,MATCH($E368,'큐펫&amp;몹 정리(최신)'!$B:$B,0))*40))))</f>
        <v>525</v>
      </c>
      <c r="P368" s="217">
        <v>40</v>
      </c>
      <c r="Q368" s="217">
        <f t="shared" si="40"/>
        <v>64600</v>
      </c>
      <c r="R368" s="217">
        <f t="shared" si="41"/>
        <v>933</v>
      </c>
      <c r="S368" s="217">
        <f t="shared" si="42"/>
        <v>1635</v>
      </c>
      <c r="T368" s="217">
        <f t="shared" si="43"/>
        <v>9820</v>
      </c>
      <c r="U368" s="217">
        <f t="shared" si="44"/>
        <v>13359</v>
      </c>
      <c r="V368" s="217">
        <f t="shared" si="45"/>
        <v>11723</v>
      </c>
      <c r="W368" s="217">
        <f>ROUND(AC368+(INDEX(Ref!B$1:B$9,MATCH($AI368,Ref!$A$1:$A$9,0))*P368*0.0001),)</f>
        <v>26</v>
      </c>
      <c r="X368" s="217">
        <f>ROUND(AD368+(INDEX(Ref!C$1:C$9,MATCH($AI368,Ref!$A$1:$A$9,0))*$P368*0.0001),)</f>
        <v>32</v>
      </c>
      <c r="Y368" s="217">
        <f>ROUND(AE368+(INDEX(Ref!D$1:D$9,MATCH($AI368,Ref!$A$1:$A$9,0))*$P368*0.0001),)</f>
        <v>49</v>
      </c>
      <c r="Z368" s="217">
        <f>ROUND(AF368+(INDEX(Ref!E$1:E$9,MATCH($AI368,Ref!$A$1:$A$9,0))*$P368*0.0001),)</f>
        <v>42</v>
      </c>
      <c r="AA368" s="217">
        <f>ROUND(AG368+(INDEX(Ref!F$1:F$9,MATCH($AI368,Ref!$A$1:$A$9,0))*$P368*0.0001),)</f>
        <v>35</v>
      </c>
      <c r="AB368" s="217">
        <f>ROUND(AH368+(INDEX(Ref!G$1:G$9,MATCH($AI368,Ref!$A$1:$A$9,0))*$P368*0.0001),)</f>
        <v>40</v>
      </c>
      <c r="AC368" s="137">
        <v>21</v>
      </c>
      <c r="AD368" s="137">
        <v>26</v>
      </c>
      <c r="AE368" s="137">
        <v>43</v>
      </c>
      <c r="AF368" s="137">
        <v>34</v>
      </c>
      <c r="AG368" s="137">
        <v>28</v>
      </c>
      <c r="AH368" s="137">
        <v>32</v>
      </c>
      <c r="AI368" s="208">
        <v>8</v>
      </c>
      <c r="AJ368" s="172">
        <v>3000</v>
      </c>
      <c r="AK368" s="172">
        <v>30440</v>
      </c>
      <c r="AL368" s="172">
        <v>2000</v>
      </c>
      <c r="AM368" s="172">
        <v>30442</v>
      </c>
      <c r="AN368" s="172">
        <v>0</v>
      </c>
      <c r="AO368" s="172">
        <f t="shared" si="46"/>
        <v>34440</v>
      </c>
      <c r="AP368" s="172">
        <v>0</v>
      </c>
      <c r="AQ368" s="172">
        <f t="shared" si="47"/>
        <v>34442</v>
      </c>
      <c r="AR368" s="172">
        <v>1</v>
      </c>
      <c r="AS368" s="172">
        <v>0</v>
      </c>
      <c r="AT368" s="199">
        <v>78074</v>
      </c>
      <c r="AU368" s="195" t="s">
        <v>292</v>
      </c>
    </row>
    <row r="369" spans="1:47" x14ac:dyDescent="0.2">
      <c r="A369" s="173">
        <v>55074</v>
      </c>
      <c r="B369" s="174" t="s">
        <v>290</v>
      </c>
      <c r="C369" s="172">
        <v>86074</v>
      </c>
      <c r="D369" s="172">
        <v>150074</v>
      </c>
      <c r="E369" s="206" t="s">
        <v>291</v>
      </c>
      <c r="F369" s="207">
        <v>5</v>
      </c>
      <c r="G369" s="172">
        <v>8500</v>
      </c>
      <c r="H369" s="172">
        <v>8500</v>
      </c>
      <c r="I369" s="172">
        <v>10000</v>
      </c>
      <c r="J369" s="172">
        <v>3</v>
      </c>
      <c r="K369" s="190">
        <f>IF($J369=1,INDEX('큐펫&amp;몹 정리(최신)'!P:P,MATCH($E369,'큐펫&amp;몹 정리(최신)'!$B:$B,0))*20,IF($J369=2,INDEX('큐펫&amp;몹 정리(최신)'!P:P,MATCH($E369,'큐펫&amp;몹 정리(최신)'!$B:$B,0))*25,IF($J369=3,INDEX('큐펫&amp;몹 정리(최신)'!P:P,MATCH($E369,'큐펫&amp;몹 정리(최신)'!$B:$B,0))*30,IF($J369=4,INDEX('큐펫&amp;몹 정리(최신)'!P:P,MATCH($E369,'큐펫&amp;몹 정리(최신)'!$B:$B,0))*35,INDEX('큐펫&amp;몹 정리(최신)'!P:P,MATCH($E369,'큐펫&amp;몹 정리(최신)'!$B:$B,0))*40))))</f>
        <v>1200</v>
      </c>
      <c r="L369" s="190">
        <f>IF($J369=1,INDEX('큐펫&amp;몹 정리(최신)'!Q:Q,MATCH($E369,'큐펫&amp;몹 정리(최신)'!$B:$B,0))*20,IF($J369=2,INDEX('큐펫&amp;몹 정리(최신)'!Q:Q,MATCH($E369,'큐펫&amp;몹 정리(최신)'!$B:$B,0))*25,IF($J369=3,INDEX('큐펫&amp;몹 정리(최신)'!Q:Q,MATCH($E369,'큐펫&amp;몹 정리(최신)'!$B:$B,0))*30,IF($J369=4,INDEX('큐펫&amp;몹 정리(최신)'!Q:Q,MATCH($E369,'큐펫&amp;몹 정리(최신)'!$B:$B,0))*35,INDEX('큐펫&amp;몹 정리(최신)'!Q:Q,MATCH($E369,'큐펫&amp;몹 정리(최신)'!$B:$B,0))*40))))</f>
        <v>150</v>
      </c>
      <c r="M369" s="190">
        <f>IF($J369=1,INDEX('큐펫&amp;몹 정리(최신)'!R:R,MATCH($E369,'큐펫&amp;몹 정리(최신)'!$B:$B,0))*20,IF($J369=2,INDEX('큐펫&amp;몹 정리(최신)'!R:R,MATCH($E369,'큐펫&amp;몹 정리(최신)'!$B:$B,0))*25,IF($J369=3,INDEX('큐펫&amp;몹 정리(최신)'!R:R,MATCH($E369,'큐펫&amp;몹 정리(최신)'!$B:$B,0))*30,IF($J369=4,INDEX('큐펫&amp;몹 정리(최신)'!R:R,MATCH($E369,'큐펫&amp;몹 정리(최신)'!$B:$B,0))*35,INDEX('큐펫&amp;몹 정리(최신)'!R:R,MATCH($E369,'큐펫&amp;몹 정리(최신)'!$B:$B,0))*40))))</f>
        <v>660</v>
      </c>
      <c r="N369" s="190">
        <f>IF($J369=1,INDEX('큐펫&amp;몹 정리(최신)'!S:S,MATCH($E369,'큐펫&amp;몹 정리(최신)'!$B:$B,0))*20,IF($J369=2,INDEX('큐펫&amp;몹 정리(최신)'!S:S,MATCH($E369,'큐펫&amp;몹 정리(최신)'!$B:$B,0))*25,IF($J369=3,INDEX('큐펫&amp;몹 정리(최신)'!S:S,MATCH($E369,'큐펫&amp;몹 정리(최신)'!$B:$B,0))*30,IF($J369=4,INDEX('큐펫&amp;몹 정리(최신)'!S:S,MATCH($E369,'큐펫&amp;몹 정리(최신)'!$B:$B,0))*35,INDEX('큐펫&amp;몹 정리(최신)'!S:S,MATCH($E369,'큐펫&amp;몹 정리(최신)'!$B:$B,0))*40))))</f>
        <v>360</v>
      </c>
      <c r="O369" s="190">
        <f>IF($J369=1,INDEX('큐펫&amp;몹 정리(최신)'!T:T,MATCH($E369,'큐펫&amp;몹 정리(최신)'!$B:$B,0))*20,IF($J369=2,INDEX('큐펫&amp;몹 정리(최신)'!T:T,MATCH($E369,'큐펫&amp;몹 정리(최신)'!$B:$B,0))*25,IF($J369=3,INDEX('큐펫&amp;몹 정리(최신)'!T:T,MATCH($E369,'큐펫&amp;몹 정리(최신)'!$B:$B,0))*30,IF($J369=4,INDEX('큐펫&amp;몹 정리(최신)'!T:T,MATCH($E369,'큐펫&amp;몹 정리(최신)'!$B:$B,0))*35,INDEX('큐펫&amp;몹 정리(최신)'!T:T,MATCH($E369,'큐펫&amp;몹 정리(최신)'!$B:$B,0))*40))))</f>
        <v>630</v>
      </c>
      <c r="P369" s="217">
        <v>60</v>
      </c>
      <c r="Q369" s="217">
        <f t="shared" si="40"/>
        <v>116880</v>
      </c>
      <c r="R369" s="217">
        <f t="shared" si="41"/>
        <v>1553</v>
      </c>
      <c r="S369" s="217">
        <f t="shared" si="42"/>
        <v>2777</v>
      </c>
      <c r="T369" s="217">
        <f t="shared" si="43"/>
        <v>16647</v>
      </c>
      <c r="U369" s="217">
        <f t="shared" si="44"/>
        <v>20531</v>
      </c>
      <c r="V369" s="217">
        <f t="shared" si="45"/>
        <v>18005</v>
      </c>
      <c r="W369" s="217">
        <f>ROUND(AC369+(INDEX(Ref!B$1:B$9,MATCH($AI369,Ref!$A$1:$A$9,0))*P369*0.0001),)</f>
        <v>31</v>
      </c>
      <c r="X369" s="217">
        <f>ROUND(AD369+(INDEX(Ref!C$1:C$9,MATCH($AI369,Ref!$A$1:$A$9,0))*$P369*0.0001),)</f>
        <v>40</v>
      </c>
      <c r="Y369" s="217">
        <f>ROUND(AE369+(INDEX(Ref!D$1:D$9,MATCH($AI369,Ref!$A$1:$A$9,0))*$P369*0.0001),)</f>
        <v>54</v>
      </c>
      <c r="Z369" s="217">
        <f>ROUND(AF369+(INDEX(Ref!E$1:E$9,MATCH($AI369,Ref!$A$1:$A$9,0))*$P369*0.0001),)</f>
        <v>50</v>
      </c>
      <c r="AA369" s="217">
        <f>ROUND(AG369+(INDEX(Ref!F$1:F$9,MATCH($AI369,Ref!$A$1:$A$9,0))*$P369*0.0001),)</f>
        <v>42</v>
      </c>
      <c r="AB369" s="217">
        <f>ROUND(AH369+(INDEX(Ref!G$1:G$9,MATCH($AI369,Ref!$A$1:$A$9,0))*$P369*0.0001),)</f>
        <v>47</v>
      </c>
      <c r="AC369" s="137">
        <v>23</v>
      </c>
      <c r="AD369" s="137">
        <v>30</v>
      </c>
      <c r="AE369" s="137">
        <v>45</v>
      </c>
      <c r="AF369" s="137">
        <v>38</v>
      </c>
      <c r="AG369" s="137">
        <v>32</v>
      </c>
      <c r="AH369" s="137">
        <v>36</v>
      </c>
      <c r="AI369" s="208">
        <v>8</v>
      </c>
      <c r="AJ369" s="172">
        <v>3000</v>
      </c>
      <c r="AK369" s="172">
        <v>30440</v>
      </c>
      <c r="AL369" s="172">
        <v>2000</v>
      </c>
      <c r="AM369" s="172">
        <v>30443</v>
      </c>
      <c r="AN369" s="172">
        <v>0</v>
      </c>
      <c r="AO369" s="172">
        <f t="shared" si="46"/>
        <v>34440</v>
      </c>
      <c r="AP369" s="172">
        <v>0</v>
      </c>
      <c r="AQ369" s="172">
        <f t="shared" si="47"/>
        <v>34443</v>
      </c>
      <c r="AR369" s="172">
        <v>1</v>
      </c>
      <c r="AS369" s="172">
        <v>0</v>
      </c>
      <c r="AT369" s="199">
        <v>78074</v>
      </c>
      <c r="AU369" s="195" t="s">
        <v>292</v>
      </c>
    </row>
    <row r="370" spans="1:47" x14ac:dyDescent="0.2">
      <c r="A370" s="173">
        <v>55074</v>
      </c>
      <c r="B370" s="174" t="s">
        <v>290</v>
      </c>
      <c r="C370" s="172">
        <v>86074</v>
      </c>
      <c r="D370" s="172">
        <v>150074</v>
      </c>
      <c r="E370" s="206" t="s">
        <v>291</v>
      </c>
      <c r="F370" s="207">
        <v>5</v>
      </c>
      <c r="G370" s="172">
        <v>8500</v>
      </c>
      <c r="H370" s="172">
        <v>8500</v>
      </c>
      <c r="I370" s="172">
        <v>10000</v>
      </c>
      <c r="J370" s="172">
        <v>4</v>
      </c>
      <c r="K370" s="190">
        <f>IF($J370=1,INDEX('큐펫&amp;몹 정리(최신)'!P:P,MATCH($E370,'큐펫&amp;몹 정리(최신)'!$B:$B,0))*20,IF($J370=2,INDEX('큐펫&amp;몹 정리(최신)'!P:P,MATCH($E370,'큐펫&amp;몹 정리(최신)'!$B:$B,0))*25,IF($J370=3,INDEX('큐펫&amp;몹 정리(최신)'!P:P,MATCH($E370,'큐펫&amp;몹 정리(최신)'!$B:$B,0))*30,IF($J370=4,INDEX('큐펫&amp;몹 정리(최신)'!P:P,MATCH($E370,'큐펫&amp;몹 정리(최신)'!$B:$B,0))*35,INDEX('큐펫&amp;몹 정리(최신)'!P:P,MATCH($E370,'큐펫&amp;몹 정리(최신)'!$B:$B,0))*40))))</f>
        <v>1400</v>
      </c>
      <c r="L370" s="190">
        <f>IF($J370=1,INDEX('큐펫&amp;몹 정리(최신)'!Q:Q,MATCH($E370,'큐펫&amp;몹 정리(최신)'!$B:$B,0))*20,IF($J370=2,INDEX('큐펫&amp;몹 정리(최신)'!Q:Q,MATCH($E370,'큐펫&amp;몹 정리(최신)'!$B:$B,0))*25,IF($J370=3,INDEX('큐펫&amp;몹 정리(최신)'!Q:Q,MATCH($E370,'큐펫&amp;몹 정리(최신)'!$B:$B,0))*30,IF($J370=4,INDEX('큐펫&amp;몹 정리(최신)'!Q:Q,MATCH($E370,'큐펫&amp;몹 정리(최신)'!$B:$B,0))*35,INDEX('큐펫&amp;몹 정리(최신)'!Q:Q,MATCH($E370,'큐펫&amp;몹 정리(최신)'!$B:$B,0))*40))))</f>
        <v>175</v>
      </c>
      <c r="M370" s="190">
        <f>IF($J370=1,INDEX('큐펫&amp;몹 정리(최신)'!R:R,MATCH($E370,'큐펫&amp;몹 정리(최신)'!$B:$B,0))*20,IF($J370=2,INDEX('큐펫&amp;몹 정리(최신)'!R:R,MATCH($E370,'큐펫&amp;몹 정리(최신)'!$B:$B,0))*25,IF($J370=3,INDEX('큐펫&amp;몹 정리(최신)'!R:R,MATCH($E370,'큐펫&amp;몹 정리(최신)'!$B:$B,0))*30,IF($J370=4,INDEX('큐펫&amp;몹 정리(최신)'!R:R,MATCH($E370,'큐펫&amp;몹 정리(최신)'!$B:$B,0))*35,INDEX('큐펫&amp;몹 정리(최신)'!R:R,MATCH($E370,'큐펫&amp;몹 정리(최신)'!$B:$B,0))*40))))</f>
        <v>770</v>
      </c>
      <c r="N370" s="190">
        <f>IF($J370=1,INDEX('큐펫&amp;몹 정리(최신)'!S:S,MATCH($E370,'큐펫&amp;몹 정리(최신)'!$B:$B,0))*20,IF($J370=2,INDEX('큐펫&amp;몹 정리(최신)'!S:S,MATCH($E370,'큐펫&amp;몹 정리(최신)'!$B:$B,0))*25,IF($J370=3,INDEX('큐펫&amp;몹 정리(최신)'!S:S,MATCH($E370,'큐펫&amp;몹 정리(최신)'!$B:$B,0))*30,IF($J370=4,INDEX('큐펫&amp;몹 정리(최신)'!S:S,MATCH($E370,'큐펫&amp;몹 정리(최신)'!$B:$B,0))*35,INDEX('큐펫&amp;몹 정리(최신)'!S:S,MATCH($E370,'큐펫&amp;몹 정리(최신)'!$B:$B,0))*40))))</f>
        <v>420</v>
      </c>
      <c r="O370" s="190">
        <f>IF($J370=1,INDEX('큐펫&amp;몹 정리(최신)'!T:T,MATCH($E370,'큐펫&amp;몹 정리(최신)'!$B:$B,0))*20,IF($J370=2,INDEX('큐펫&amp;몹 정리(최신)'!T:T,MATCH($E370,'큐펫&amp;몹 정리(최신)'!$B:$B,0))*25,IF($J370=3,INDEX('큐펫&amp;몹 정리(최신)'!T:T,MATCH($E370,'큐펫&amp;몹 정리(최신)'!$B:$B,0))*30,IF($J370=4,INDEX('큐펫&amp;몹 정리(최신)'!T:T,MATCH($E370,'큐펫&amp;몹 정리(최신)'!$B:$B,0))*35,INDEX('큐펫&amp;몹 정리(최신)'!T:T,MATCH($E370,'큐펫&amp;몹 정리(최신)'!$B:$B,0))*40))))</f>
        <v>735</v>
      </c>
      <c r="P370" s="217">
        <v>80</v>
      </c>
      <c r="Q370" s="217">
        <f t="shared" si="40"/>
        <v>187320</v>
      </c>
      <c r="R370" s="217">
        <f t="shared" si="41"/>
        <v>2403</v>
      </c>
      <c r="S370" s="217">
        <f t="shared" si="42"/>
        <v>4359</v>
      </c>
      <c r="T370" s="217">
        <f t="shared" si="43"/>
        <v>26078</v>
      </c>
      <c r="U370" s="217">
        <f t="shared" si="44"/>
        <v>29623</v>
      </c>
      <c r="V370" s="217">
        <f t="shared" si="45"/>
        <v>25966</v>
      </c>
      <c r="W370" s="217">
        <f>ROUND(AC370+(INDEX(Ref!B$1:B$9,MATCH($AI370,Ref!$A$1:$A$9,0))*P370*0.0001),)</f>
        <v>36</v>
      </c>
      <c r="X370" s="217">
        <f>ROUND(AD370+(INDEX(Ref!C$1:C$9,MATCH($AI370,Ref!$A$1:$A$9,0))*$P370*0.0001),)</f>
        <v>46</v>
      </c>
      <c r="Y370" s="217">
        <f>ROUND(AE370+(INDEX(Ref!D$1:D$9,MATCH($AI370,Ref!$A$1:$A$9,0))*$P370*0.0001),)</f>
        <v>61</v>
      </c>
      <c r="Z370" s="217">
        <f>ROUND(AF370+(INDEX(Ref!E$1:E$9,MATCH($AI370,Ref!$A$1:$A$9,0))*$P370*0.0001),)</f>
        <v>58</v>
      </c>
      <c r="AA370" s="217">
        <f>ROUND(AG370+(INDEX(Ref!F$1:F$9,MATCH($AI370,Ref!$A$1:$A$9,0))*$P370*0.0001),)</f>
        <v>49</v>
      </c>
      <c r="AB370" s="217">
        <f>ROUND(AH370+(INDEX(Ref!G$1:G$9,MATCH($AI370,Ref!$A$1:$A$9,0))*$P370*0.0001),)</f>
        <v>54</v>
      </c>
      <c r="AC370" s="137">
        <v>26</v>
      </c>
      <c r="AD370" s="137">
        <v>33</v>
      </c>
      <c r="AE370" s="137">
        <v>49</v>
      </c>
      <c r="AF370" s="137">
        <v>42</v>
      </c>
      <c r="AG370" s="137">
        <v>35</v>
      </c>
      <c r="AH370" s="137">
        <v>39</v>
      </c>
      <c r="AI370" s="208">
        <v>8</v>
      </c>
      <c r="AJ370" s="172">
        <v>3000</v>
      </c>
      <c r="AK370" s="172">
        <v>30441</v>
      </c>
      <c r="AL370" s="172">
        <v>2000</v>
      </c>
      <c r="AM370" s="172">
        <v>30443</v>
      </c>
      <c r="AN370" s="172">
        <v>0</v>
      </c>
      <c r="AO370" s="172">
        <f t="shared" si="46"/>
        <v>34441</v>
      </c>
      <c r="AP370" s="172">
        <v>0</v>
      </c>
      <c r="AQ370" s="172">
        <f t="shared" si="47"/>
        <v>34443</v>
      </c>
      <c r="AR370" s="172">
        <v>1</v>
      </c>
      <c r="AS370" s="172">
        <v>0</v>
      </c>
      <c r="AT370" s="199">
        <v>78074</v>
      </c>
      <c r="AU370" s="195" t="s">
        <v>292</v>
      </c>
    </row>
    <row r="371" spans="1:47" x14ac:dyDescent="0.2">
      <c r="A371" s="173">
        <v>55074</v>
      </c>
      <c r="B371" s="174" t="s">
        <v>290</v>
      </c>
      <c r="C371" s="172">
        <v>86074</v>
      </c>
      <c r="D371" s="172">
        <v>150074</v>
      </c>
      <c r="E371" s="206" t="s">
        <v>291</v>
      </c>
      <c r="F371" s="207">
        <v>5</v>
      </c>
      <c r="G371" s="172">
        <v>8500</v>
      </c>
      <c r="H371" s="172">
        <v>8500</v>
      </c>
      <c r="I371" s="172">
        <v>10000</v>
      </c>
      <c r="J371" s="172">
        <v>5</v>
      </c>
      <c r="K371" s="190">
        <f>IF($J371=1,INDEX('큐펫&amp;몹 정리(최신)'!P:P,MATCH($E371,'큐펫&amp;몹 정리(최신)'!$B:$B,0))*20,IF($J371=2,INDEX('큐펫&amp;몹 정리(최신)'!P:P,MATCH($E371,'큐펫&amp;몹 정리(최신)'!$B:$B,0))*25,IF($J371=3,INDEX('큐펫&amp;몹 정리(최신)'!P:P,MATCH($E371,'큐펫&amp;몹 정리(최신)'!$B:$B,0))*30,IF($J371=4,INDEX('큐펫&amp;몹 정리(최신)'!P:P,MATCH($E371,'큐펫&amp;몹 정리(최신)'!$B:$B,0))*35,INDEX('큐펫&amp;몹 정리(최신)'!P:P,MATCH($E371,'큐펫&amp;몹 정리(최신)'!$B:$B,0))*40))))</f>
        <v>1600</v>
      </c>
      <c r="L371" s="190">
        <f>IF($J371=1,INDEX('큐펫&amp;몹 정리(최신)'!Q:Q,MATCH($E371,'큐펫&amp;몹 정리(최신)'!$B:$B,0))*20,IF($J371=2,INDEX('큐펫&amp;몹 정리(최신)'!Q:Q,MATCH($E371,'큐펫&amp;몹 정리(최신)'!$B:$B,0))*25,IF($J371=3,INDEX('큐펫&amp;몹 정리(최신)'!Q:Q,MATCH($E371,'큐펫&amp;몹 정리(최신)'!$B:$B,0))*30,IF($J371=4,INDEX('큐펫&amp;몹 정리(최신)'!Q:Q,MATCH($E371,'큐펫&amp;몹 정리(최신)'!$B:$B,0))*35,INDEX('큐펫&amp;몹 정리(최신)'!Q:Q,MATCH($E371,'큐펫&amp;몹 정리(최신)'!$B:$B,0))*40))))</f>
        <v>200</v>
      </c>
      <c r="M371" s="190">
        <f>IF($J371=1,INDEX('큐펫&amp;몹 정리(최신)'!R:R,MATCH($E371,'큐펫&amp;몹 정리(최신)'!$B:$B,0))*20,IF($J371=2,INDEX('큐펫&amp;몹 정리(최신)'!R:R,MATCH($E371,'큐펫&amp;몹 정리(최신)'!$B:$B,0))*25,IF($J371=3,INDEX('큐펫&amp;몹 정리(최신)'!R:R,MATCH($E371,'큐펫&amp;몹 정리(최신)'!$B:$B,0))*30,IF($J371=4,INDEX('큐펫&amp;몹 정리(최신)'!R:R,MATCH($E371,'큐펫&amp;몹 정리(최신)'!$B:$B,0))*35,INDEX('큐펫&amp;몹 정리(최신)'!R:R,MATCH($E371,'큐펫&amp;몹 정리(최신)'!$B:$B,0))*40))))</f>
        <v>880</v>
      </c>
      <c r="N371" s="190">
        <f>IF($J371=1,INDEX('큐펫&amp;몹 정리(최신)'!S:S,MATCH($E371,'큐펫&amp;몹 정리(최신)'!$B:$B,0))*20,IF($J371=2,INDEX('큐펫&amp;몹 정리(최신)'!S:S,MATCH($E371,'큐펫&amp;몹 정리(최신)'!$B:$B,0))*25,IF($J371=3,INDEX('큐펫&amp;몹 정리(최신)'!S:S,MATCH($E371,'큐펫&amp;몹 정리(최신)'!$B:$B,0))*30,IF($J371=4,INDEX('큐펫&amp;몹 정리(최신)'!S:S,MATCH($E371,'큐펫&amp;몹 정리(최신)'!$B:$B,0))*35,INDEX('큐펫&amp;몹 정리(최신)'!S:S,MATCH($E371,'큐펫&amp;몹 정리(최신)'!$B:$B,0))*40))))</f>
        <v>480</v>
      </c>
      <c r="O371" s="190">
        <f>IF($J371=1,INDEX('큐펫&amp;몹 정리(최신)'!T:T,MATCH($E371,'큐펫&amp;몹 정리(최신)'!$B:$B,0))*20,IF($J371=2,INDEX('큐펫&amp;몹 정리(최신)'!T:T,MATCH($E371,'큐펫&amp;몹 정리(최신)'!$B:$B,0))*25,IF($J371=3,INDEX('큐펫&amp;몹 정리(최신)'!T:T,MATCH($E371,'큐펫&amp;몹 정리(최신)'!$B:$B,0))*30,IF($J371=4,INDEX('큐펫&amp;몹 정리(최신)'!T:T,MATCH($E371,'큐펫&amp;몹 정리(최신)'!$B:$B,0))*35,INDEX('큐펫&amp;몹 정리(최신)'!T:T,MATCH($E371,'큐펫&amp;몹 정리(최신)'!$B:$B,0))*40))))</f>
        <v>840</v>
      </c>
      <c r="P371" s="217">
        <v>100</v>
      </c>
      <c r="Q371" s="217">
        <f t="shared" si="40"/>
        <v>273600</v>
      </c>
      <c r="R371" s="217">
        <f t="shared" si="41"/>
        <v>3688</v>
      </c>
      <c r="S371" s="217">
        <f t="shared" si="42"/>
        <v>6456</v>
      </c>
      <c r="T371" s="217">
        <f t="shared" si="43"/>
        <v>38537</v>
      </c>
      <c r="U371" s="217">
        <f t="shared" si="44"/>
        <v>39855</v>
      </c>
      <c r="V371" s="217">
        <f t="shared" si="45"/>
        <v>34926</v>
      </c>
      <c r="W371" s="217">
        <f>ROUND(AC371+(INDEX(Ref!B$1:B$9,MATCH($AI371,Ref!$A$1:$A$9,0))*P371*0.0001),)</f>
        <v>42</v>
      </c>
      <c r="X371" s="217">
        <f>ROUND(AD371+(INDEX(Ref!C$1:C$9,MATCH($AI371,Ref!$A$1:$A$9,0))*$P371*0.0001),)</f>
        <v>52</v>
      </c>
      <c r="Y371" s="217">
        <f>ROUND(AE371+(INDEX(Ref!D$1:D$9,MATCH($AI371,Ref!$A$1:$A$9,0))*$P371*0.0001),)</f>
        <v>66</v>
      </c>
      <c r="Z371" s="217">
        <f>ROUND(AF371+(INDEX(Ref!E$1:E$9,MATCH($AI371,Ref!$A$1:$A$9,0))*$P371*0.0001),)</f>
        <v>66</v>
      </c>
      <c r="AA371" s="217">
        <f>ROUND(AG371+(INDEX(Ref!F$1:F$9,MATCH($AI371,Ref!$A$1:$A$9,0))*$P371*0.0001),)</f>
        <v>56</v>
      </c>
      <c r="AB371" s="217">
        <f>ROUND(AH371+(INDEX(Ref!G$1:G$9,MATCH($AI371,Ref!$A$1:$A$9,0))*$P371*0.0001),)</f>
        <v>62</v>
      </c>
      <c r="AC371" s="137">
        <v>29</v>
      </c>
      <c r="AD371" s="137">
        <v>36</v>
      </c>
      <c r="AE371" s="137">
        <v>51</v>
      </c>
      <c r="AF371" s="137">
        <v>46</v>
      </c>
      <c r="AG371" s="137">
        <v>39</v>
      </c>
      <c r="AH371" s="137">
        <v>43</v>
      </c>
      <c r="AI371" s="208">
        <v>8</v>
      </c>
      <c r="AJ371" s="172">
        <v>3000</v>
      </c>
      <c r="AK371" s="172">
        <v>30441</v>
      </c>
      <c r="AL371" s="172">
        <v>2000</v>
      </c>
      <c r="AM371" s="172">
        <v>30444</v>
      </c>
      <c r="AN371" s="172">
        <v>0</v>
      </c>
      <c r="AO371" s="172">
        <f t="shared" si="46"/>
        <v>34441</v>
      </c>
      <c r="AP371" s="172">
        <v>0</v>
      </c>
      <c r="AQ371" s="172">
        <f t="shared" si="47"/>
        <v>34444</v>
      </c>
      <c r="AR371" s="172">
        <v>1</v>
      </c>
      <c r="AS371" s="172">
        <v>0</v>
      </c>
      <c r="AT371" s="199">
        <v>78074</v>
      </c>
      <c r="AU371" s="195" t="s">
        <v>292</v>
      </c>
    </row>
    <row r="372" spans="1:47" x14ac:dyDescent="0.2">
      <c r="A372" s="173">
        <v>55075</v>
      </c>
      <c r="B372" s="174" t="s">
        <v>293</v>
      </c>
      <c r="C372" s="172">
        <v>86075</v>
      </c>
      <c r="D372" s="172">
        <v>150075</v>
      </c>
      <c r="E372" s="206" t="s">
        <v>1091</v>
      </c>
      <c r="F372" s="207">
        <v>5</v>
      </c>
      <c r="G372" s="172">
        <v>10000</v>
      </c>
      <c r="H372" s="172">
        <v>10000</v>
      </c>
      <c r="I372" s="172">
        <v>10000</v>
      </c>
      <c r="J372" s="172">
        <v>1</v>
      </c>
      <c r="K372" s="190">
        <f>IF($J372=1,INDEX('큐펫&amp;몹 정리(최신)'!P:P,MATCH($E372,'큐펫&amp;몹 정리(최신)'!$B:$B,0))*20,IF($J372=2,INDEX('큐펫&amp;몹 정리(최신)'!P:P,MATCH($E372,'큐펫&amp;몹 정리(최신)'!$B:$B,0))*25,IF($J372=3,INDEX('큐펫&amp;몹 정리(최신)'!P:P,MATCH($E372,'큐펫&amp;몹 정리(최신)'!$B:$B,0))*30,IF($J372=4,INDEX('큐펫&amp;몹 정리(최신)'!P:P,MATCH($E372,'큐펫&amp;몹 정리(최신)'!$B:$B,0))*35,INDEX('큐펫&amp;몹 정리(최신)'!P:P,MATCH($E372,'큐펫&amp;몹 정리(최신)'!$B:$B,0))*40))))</f>
        <v>800</v>
      </c>
      <c r="L372" s="190">
        <f>IF($J372=1,INDEX('큐펫&amp;몹 정리(최신)'!Q:Q,MATCH($E372,'큐펫&amp;몹 정리(최신)'!$B:$B,0))*20,IF($J372=2,INDEX('큐펫&amp;몹 정리(최신)'!Q:Q,MATCH($E372,'큐펫&amp;몹 정리(최신)'!$B:$B,0))*25,IF($J372=3,INDEX('큐펫&amp;몹 정리(최신)'!Q:Q,MATCH($E372,'큐펫&amp;몹 정리(최신)'!$B:$B,0))*30,IF($J372=4,INDEX('큐펫&amp;몹 정리(최신)'!Q:Q,MATCH($E372,'큐펫&amp;몹 정리(최신)'!$B:$B,0))*35,INDEX('큐펫&amp;몹 정리(최신)'!Q:Q,MATCH($E372,'큐펫&amp;몹 정리(최신)'!$B:$B,0))*40))))</f>
        <v>440</v>
      </c>
      <c r="M372" s="190">
        <f>IF($J372=1,INDEX('큐펫&amp;몹 정리(최신)'!R:R,MATCH($E372,'큐펫&amp;몹 정리(최신)'!$B:$B,0))*20,IF($J372=2,INDEX('큐펫&amp;몹 정리(최신)'!R:R,MATCH($E372,'큐펫&amp;몹 정리(최신)'!$B:$B,0))*25,IF($J372=3,INDEX('큐펫&amp;몹 정리(최신)'!R:R,MATCH($E372,'큐펫&amp;몹 정리(최신)'!$B:$B,0))*30,IF($J372=4,INDEX('큐펫&amp;몹 정리(최신)'!R:R,MATCH($E372,'큐펫&amp;몹 정리(최신)'!$B:$B,0))*35,INDEX('큐펫&amp;몹 정리(최신)'!R:R,MATCH($E372,'큐펫&amp;몹 정리(최신)'!$B:$B,0))*40))))</f>
        <v>100</v>
      </c>
      <c r="N372" s="190">
        <f>IF($J372=1,INDEX('큐펫&amp;몹 정리(최신)'!S:S,MATCH($E372,'큐펫&amp;몹 정리(최신)'!$B:$B,0))*20,IF($J372=2,INDEX('큐펫&amp;몹 정리(최신)'!S:S,MATCH($E372,'큐펫&amp;몹 정리(최신)'!$B:$B,0))*25,IF($J372=3,INDEX('큐펫&amp;몹 정리(최신)'!S:S,MATCH($E372,'큐펫&amp;몹 정리(최신)'!$B:$B,0))*30,IF($J372=4,INDEX('큐펫&amp;몹 정리(최신)'!S:S,MATCH($E372,'큐펫&amp;몹 정리(최신)'!$B:$B,0))*35,INDEX('큐펫&amp;몹 정리(최신)'!S:S,MATCH($E372,'큐펫&amp;몹 정리(최신)'!$B:$B,0))*40))))</f>
        <v>420</v>
      </c>
      <c r="O372" s="190">
        <f>IF($J372=1,INDEX('큐펫&amp;몹 정리(최신)'!T:T,MATCH($E372,'큐펫&amp;몹 정리(최신)'!$B:$B,0))*20,IF($J372=2,INDEX('큐펫&amp;몹 정리(최신)'!T:T,MATCH($E372,'큐펫&amp;몹 정리(최신)'!$B:$B,0))*25,IF($J372=3,INDEX('큐펫&amp;몹 정리(최신)'!T:T,MATCH($E372,'큐펫&amp;몹 정리(최신)'!$B:$B,0))*30,IF($J372=4,INDEX('큐펫&amp;몹 정리(최신)'!T:T,MATCH($E372,'큐펫&amp;몹 정리(최신)'!$B:$B,0))*35,INDEX('큐펫&amp;몹 정리(최신)'!T:T,MATCH($E372,'큐펫&amp;몹 정리(최신)'!$B:$B,0))*40))))</f>
        <v>240</v>
      </c>
      <c r="P372" s="217">
        <v>20</v>
      </c>
      <c r="Q372" s="217">
        <f t="shared" si="40"/>
        <v>29440</v>
      </c>
      <c r="R372" s="217">
        <f t="shared" si="41"/>
        <v>4590</v>
      </c>
      <c r="S372" s="217">
        <f t="shared" si="42"/>
        <v>3527</v>
      </c>
      <c r="T372" s="217">
        <f t="shared" si="43"/>
        <v>693</v>
      </c>
      <c r="U372" s="217">
        <f t="shared" si="44"/>
        <v>16600</v>
      </c>
      <c r="V372" s="217">
        <f t="shared" si="45"/>
        <v>4765</v>
      </c>
      <c r="W372" s="217">
        <f>ROUND(AC372+(INDEX(Ref!B$1:B$9,MATCH($AI372,Ref!$A$1:$A$9,0))*P372*0.0001),)</f>
        <v>32</v>
      </c>
      <c r="X372" s="217">
        <f>ROUND(AD372+(INDEX(Ref!C$1:C$9,MATCH($AI372,Ref!$A$1:$A$9,0))*$P372*0.0001),)</f>
        <v>21</v>
      </c>
      <c r="Y372" s="217">
        <f>ROUND(AE372+(INDEX(Ref!D$1:D$9,MATCH($AI372,Ref!$A$1:$A$9,0))*$P372*0.0001),)</f>
        <v>59</v>
      </c>
      <c r="Z372" s="217">
        <f>ROUND(AF372+(INDEX(Ref!E$1:E$9,MATCH($AI372,Ref!$A$1:$A$9,0))*$P372*0.0001),)</f>
        <v>25</v>
      </c>
      <c r="AA372" s="217">
        <f>ROUND(AG372+(INDEX(Ref!F$1:F$9,MATCH($AI372,Ref!$A$1:$A$9,0))*$P372*0.0001),)</f>
        <v>28</v>
      </c>
      <c r="AB372" s="217">
        <f>ROUND(AH372+(INDEX(Ref!G$1:G$9,MATCH($AI372,Ref!$A$1:$A$9,0))*$P372*0.0001),)</f>
        <v>19</v>
      </c>
      <c r="AC372" s="137">
        <v>28</v>
      </c>
      <c r="AD372" s="137">
        <v>18</v>
      </c>
      <c r="AE372" s="137">
        <v>54</v>
      </c>
      <c r="AF372" s="137">
        <v>22</v>
      </c>
      <c r="AG372" s="137">
        <v>25</v>
      </c>
      <c r="AH372" s="137">
        <v>17</v>
      </c>
      <c r="AI372" s="208">
        <v>3</v>
      </c>
      <c r="AJ372" s="172">
        <v>3000</v>
      </c>
      <c r="AK372" s="172">
        <v>30445</v>
      </c>
      <c r="AL372" s="172">
        <v>2000</v>
      </c>
      <c r="AM372" s="172">
        <v>30448</v>
      </c>
      <c r="AN372" s="172">
        <v>0</v>
      </c>
      <c r="AO372" s="172">
        <f t="shared" si="46"/>
        <v>34445</v>
      </c>
      <c r="AP372" s="172">
        <v>0</v>
      </c>
      <c r="AQ372" s="172">
        <f t="shared" si="47"/>
        <v>34448</v>
      </c>
      <c r="AR372" s="172">
        <v>1</v>
      </c>
      <c r="AS372" s="172">
        <v>0</v>
      </c>
      <c r="AT372" s="199">
        <v>78075</v>
      </c>
      <c r="AU372" s="195" t="s">
        <v>294</v>
      </c>
    </row>
    <row r="373" spans="1:47" x14ac:dyDescent="0.2">
      <c r="A373" s="173">
        <v>55075</v>
      </c>
      <c r="B373" s="174" t="s">
        <v>293</v>
      </c>
      <c r="C373" s="172">
        <v>86075</v>
      </c>
      <c r="D373" s="172">
        <v>150075</v>
      </c>
      <c r="E373" s="206" t="s">
        <v>1091</v>
      </c>
      <c r="F373" s="207">
        <v>5</v>
      </c>
      <c r="G373" s="172">
        <v>10000</v>
      </c>
      <c r="H373" s="172">
        <v>10000</v>
      </c>
      <c r="I373" s="172">
        <v>10000</v>
      </c>
      <c r="J373" s="172">
        <v>2</v>
      </c>
      <c r="K373" s="190">
        <f>IF($J373=1,INDEX('큐펫&amp;몹 정리(최신)'!P:P,MATCH($E373,'큐펫&amp;몹 정리(최신)'!$B:$B,0))*20,IF($J373=2,INDEX('큐펫&amp;몹 정리(최신)'!P:P,MATCH($E373,'큐펫&amp;몹 정리(최신)'!$B:$B,0))*25,IF($J373=3,INDEX('큐펫&amp;몹 정리(최신)'!P:P,MATCH($E373,'큐펫&amp;몹 정리(최신)'!$B:$B,0))*30,IF($J373=4,INDEX('큐펫&amp;몹 정리(최신)'!P:P,MATCH($E373,'큐펫&amp;몹 정리(최신)'!$B:$B,0))*35,INDEX('큐펫&amp;몹 정리(최신)'!P:P,MATCH($E373,'큐펫&amp;몹 정리(최신)'!$B:$B,0))*40))))</f>
        <v>1000</v>
      </c>
      <c r="L373" s="190">
        <f>IF($J373=1,INDEX('큐펫&amp;몹 정리(최신)'!Q:Q,MATCH($E373,'큐펫&amp;몹 정리(최신)'!$B:$B,0))*20,IF($J373=2,INDEX('큐펫&amp;몹 정리(최신)'!Q:Q,MATCH($E373,'큐펫&amp;몹 정리(최신)'!$B:$B,0))*25,IF($J373=3,INDEX('큐펫&amp;몹 정리(최신)'!Q:Q,MATCH($E373,'큐펫&amp;몹 정리(최신)'!$B:$B,0))*30,IF($J373=4,INDEX('큐펫&amp;몹 정리(최신)'!Q:Q,MATCH($E373,'큐펫&amp;몹 정리(최신)'!$B:$B,0))*35,INDEX('큐펫&amp;몹 정리(최신)'!Q:Q,MATCH($E373,'큐펫&amp;몹 정리(최신)'!$B:$B,0))*40))))</f>
        <v>550</v>
      </c>
      <c r="M373" s="190">
        <f>IF($J373=1,INDEX('큐펫&amp;몹 정리(최신)'!R:R,MATCH($E373,'큐펫&amp;몹 정리(최신)'!$B:$B,0))*20,IF($J373=2,INDEX('큐펫&amp;몹 정리(최신)'!R:R,MATCH($E373,'큐펫&amp;몹 정리(최신)'!$B:$B,0))*25,IF($J373=3,INDEX('큐펫&amp;몹 정리(최신)'!R:R,MATCH($E373,'큐펫&amp;몹 정리(최신)'!$B:$B,0))*30,IF($J373=4,INDEX('큐펫&amp;몹 정리(최신)'!R:R,MATCH($E373,'큐펫&amp;몹 정리(최신)'!$B:$B,0))*35,INDEX('큐펫&amp;몹 정리(최신)'!R:R,MATCH($E373,'큐펫&amp;몹 정리(최신)'!$B:$B,0))*40))))</f>
        <v>125</v>
      </c>
      <c r="N373" s="190">
        <f>IF($J373=1,INDEX('큐펫&amp;몹 정리(최신)'!S:S,MATCH($E373,'큐펫&amp;몹 정리(최신)'!$B:$B,0))*20,IF($J373=2,INDEX('큐펫&amp;몹 정리(최신)'!S:S,MATCH($E373,'큐펫&amp;몹 정리(최신)'!$B:$B,0))*25,IF($J373=3,INDEX('큐펫&amp;몹 정리(최신)'!S:S,MATCH($E373,'큐펫&amp;몹 정리(최신)'!$B:$B,0))*30,IF($J373=4,INDEX('큐펫&amp;몹 정리(최신)'!S:S,MATCH($E373,'큐펫&amp;몹 정리(최신)'!$B:$B,0))*35,INDEX('큐펫&amp;몹 정리(최신)'!S:S,MATCH($E373,'큐펫&amp;몹 정리(최신)'!$B:$B,0))*40))))</f>
        <v>525</v>
      </c>
      <c r="O373" s="190">
        <f>IF($J373=1,INDEX('큐펫&amp;몹 정리(최신)'!T:T,MATCH($E373,'큐펫&amp;몹 정리(최신)'!$B:$B,0))*20,IF($J373=2,INDEX('큐펫&amp;몹 정리(최신)'!T:T,MATCH($E373,'큐펫&amp;몹 정리(최신)'!$B:$B,0))*25,IF($J373=3,INDEX('큐펫&amp;몹 정리(최신)'!T:T,MATCH($E373,'큐펫&amp;몹 정리(최신)'!$B:$B,0))*30,IF($J373=4,INDEX('큐펫&amp;몹 정리(최신)'!T:T,MATCH($E373,'큐펫&amp;몹 정리(최신)'!$B:$B,0))*35,INDEX('큐펫&amp;몹 정리(최신)'!T:T,MATCH($E373,'큐펫&amp;몹 정리(최신)'!$B:$B,0))*40))))</f>
        <v>300</v>
      </c>
      <c r="P373" s="217">
        <v>40</v>
      </c>
      <c r="Q373" s="217">
        <f t="shared" si="40"/>
        <v>72600</v>
      </c>
      <c r="R373" s="217">
        <f t="shared" si="41"/>
        <v>8913</v>
      </c>
      <c r="S373" s="217">
        <f t="shared" si="42"/>
        <v>6842</v>
      </c>
      <c r="T373" s="217">
        <f t="shared" si="43"/>
        <v>1293</v>
      </c>
      <c r="U373" s="217">
        <f t="shared" si="44"/>
        <v>28624</v>
      </c>
      <c r="V373" s="217">
        <f t="shared" si="45"/>
        <v>8206</v>
      </c>
      <c r="W373" s="217">
        <f>ROUND(AC373+(INDEX(Ref!B$1:B$9,MATCH($AI373,Ref!$A$1:$A$9,0))*P373*0.0001),)</f>
        <v>40</v>
      </c>
      <c r="X373" s="217">
        <f>ROUND(AD373+(INDEX(Ref!C$1:C$9,MATCH($AI373,Ref!$A$1:$A$9,0))*$P373*0.0001),)</f>
        <v>26</v>
      </c>
      <c r="Y373" s="217">
        <f>ROUND(AE373+(INDEX(Ref!D$1:D$9,MATCH($AI373,Ref!$A$1:$A$9,0))*$P373*0.0001),)</f>
        <v>69</v>
      </c>
      <c r="Z373" s="217">
        <f>ROUND(AF373+(INDEX(Ref!E$1:E$9,MATCH($AI373,Ref!$A$1:$A$9,0))*$P373*0.0001),)</f>
        <v>31</v>
      </c>
      <c r="AA373" s="217">
        <f>ROUND(AG373+(INDEX(Ref!F$1:F$9,MATCH($AI373,Ref!$A$1:$A$9,0))*$P373*0.0001),)</f>
        <v>35</v>
      </c>
      <c r="AB373" s="217">
        <f>ROUND(AH373+(INDEX(Ref!G$1:G$9,MATCH($AI373,Ref!$A$1:$A$9,0))*$P373*0.0001),)</f>
        <v>24</v>
      </c>
      <c r="AC373" s="137">
        <v>32</v>
      </c>
      <c r="AD373" s="137">
        <v>21</v>
      </c>
      <c r="AE373" s="137">
        <v>59</v>
      </c>
      <c r="AF373" s="137">
        <v>25</v>
      </c>
      <c r="AG373" s="137">
        <v>28</v>
      </c>
      <c r="AH373" s="137">
        <v>19</v>
      </c>
      <c r="AI373" s="208">
        <v>3</v>
      </c>
      <c r="AJ373" s="172">
        <v>3000</v>
      </c>
      <c r="AK373" s="172">
        <v>30446</v>
      </c>
      <c r="AL373" s="172">
        <v>2000</v>
      </c>
      <c r="AM373" s="172">
        <v>30448</v>
      </c>
      <c r="AN373" s="172">
        <v>0</v>
      </c>
      <c r="AO373" s="172">
        <f t="shared" si="46"/>
        <v>34446</v>
      </c>
      <c r="AP373" s="172">
        <v>0</v>
      </c>
      <c r="AQ373" s="172">
        <f t="shared" si="47"/>
        <v>34448</v>
      </c>
      <c r="AR373" s="172">
        <v>1</v>
      </c>
      <c r="AS373" s="172">
        <v>0</v>
      </c>
      <c r="AT373" s="199">
        <v>78075</v>
      </c>
      <c r="AU373" s="195" t="s">
        <v>294</v>
      </c>
    </row>
    <row r="374" spans="1:47" x14ac:dyDescent="0.2">
      <c r="A374" s="173">
        <v>55075</v>
      </c>
      <c r="B374" s="174" t="s">
        <v>293</v>
      </c>
      <c r="C374" s="172">
        <v>86075</v>
      </c>
      <c r="D374" s="172">
        <v>150075</v>
      </c>
      <c r="E374" s="206" t="s">
        <v>1091</v>
      </c>
      <c r="F374" s="207">
        <v>5</v>
      </c>
      <c r="G374" s="172">
        <v>10000</v>
      </c>
      <c r="H374" s="172">
        <v>10000</v>
      </c>
      <c r="I374" s="172">
        <v>10000</v>
      </c>
      <c r="J374" s="172">
        <v>3</v>
      </c>
      <c r="K374" s="190">
        <f>IF($J374=1,INDEX('큐펫&amp;몹 정리(최신)'!P:P,MATCH($E374,'큐펫&amp;몹 정리(최신)'!$B:$B,0))*20,IF($J374=2,INDEX('큐펫&amp;몹 정리(최신)'!P:P,MATCH($E374,'큐펫&amp;몹 정리(최신)'!$B:$B,0))*25,IF($J374=3,INDEX('큐펫&amp;몹 정리(최신)'!P:P,MATCH($E374,'큐펫&amp;몹 정리(최신)'!$B:$B,0))*30,IF($J374=4,INDEX('큐펫&amp;몹 정리(최신)'!P:P,MATCH($E374,'큐펫&amp;몹 정리(최신)'!$B:$B,0))*35,INDEX('큐펫&amp;몹 정리(최신)'!P:P,MATCH($E374,'큐펫&amp;몹 정리(최신)'!$B:$B,0))*40))))</f>
        <v>1200</v>
      </c>
      <c r="L374" s="190">
        <f>IF($J374=1,INDEX('큐펫&amp;몹 정리(최신)'!Q:Q,MATCH($E374,'큐펫&amp;몹 정리(최신)'!$B:$B,0))*20,IF($J374=2,INDEX('큐펫&amp;몹 정리(최신)'!Q:Q,MATCH($E374,'큐펫&amp;몹 정리(최신)'!$B:$B,0))*25,IF($J374=3,INDEX('큐펫&amp;몹 정리(최신)'!Q:Q,MATCH($E374,'큐펫&amp;몹 정리(최신)'!$B:$B,0))*30,IF($J374=4,INDEX('큐펫&amp;몹 정리(최신)'!Q:Q,MATCH($E374,'큐펫&amp;몹 정리(최신)'!$B:$B,0))*35,INDEX('큐펫&amp;몹 정리(최신)'!Q:Q,MATCH($E374,'큐펫&amp;몹 정리(최신)'!$B:$B,0))*40))))</f>
        <v>660</v>
      </c>
      <c r="M374" s="190">
        <f>IF($J374=1,INDEX('큐펫&amp;몹 정리(최신)'!R:R,MATCH($E374,'큐펫&amp;몹 정리(최신)'!$B:$B,0))*20,IF($J374=2,INDEX('큐펫&amp;몹 정리(최신)'!R:R,MATCH($E374,'큐펫&amp;몹 정리(최신)'!$B:$B,0))*25,IF($J374=3,INDEX('큐펫&amp;몹 정리(최신)'!R:R,MATCH($E374,'큐펫&amp;몹 정리(최신)'!$B:$B,0))*30,IF($J374=4,INDEX('큐펫&amp;몹 정리(최신)'!R:R,MATCH($E374,'큐펫&amp;몹 정리(최신)'!$B:$B,0))*35,INDEX('큐펫&amp;몹 정리(최신)'!R:R,MATCH($E374,'큐펫&amp;몹 정리(최신)'!$B:$B,0))*40))))</f>
        <v>150</v>
      </c>
      <c r="N374" s="190">
        <f>IF($J374=1,INDEX('큐펫&amp;몹 정리(최신)'!S:S,MATCH($E374,'큐펫&amp;몹 정리(최신)'!$B:$B,0))*20,IF($J374=2,INDEX('큐펫&amp;몹 정리(최신)'!S:S,MATCH($E374,'큐펫&amp;몹 정리(최신)'!$B:$B,0))*25,IF($J374=3,INDEX('큐펫&amp;몹 정리(최신)'!S:S,MATCH($E374,'큐펫&amp;몹 정리(최신)'!$B:$B,0))*30,IF($J374=4,INDEX('큐펫&amp;몹 정리(최신)'!S:S,MATCH($E374,'큐펫&amp;몹 정리(최신)'!$B:$B,0))*35,INDEX('큐펫&amp;몹 정리(최신)'!S:S,MATCH($E374,'큐펫&amp;몹 정리(최신)'!$B:$B,0))*40))))</f>
        <v>630</v>
      </c>
      <c r="O374" s="190">
        <f>IF($J374=1,INDEX('큐펫&amp;몹 정리(최신)'!T:T,MATCH($E374,'큐펫&amp;몹 정리(최신)'!$B:$B,0))*20,IF($J374=2,INDEX('큐펫&amp;몹 정리(최신)'!T:T,MATCH($E374,'큐펫&amp;몹 정리(최신)'!$B:$B,0))*25,IF($J374=3,INDEX('큐펫&amp;몹 정리(최신)'!T:T,MATCH($E374,'큐펫&amp;몹 정리(최신)'!$B:$B,0))*30,IF($J374=4,INDEX('큐펫&amp;몹 정리(최신)'!T:T,MATCH($E374,'큐펫&amp;몹 정리(최신)'!$B:$B,0))*35,INDEX('큐펫&amp;몹 정리(최신)'!T:T,MATCH($E374,'큐펫&amp;몹 정리(최신)'!$B:$B,0))*40))))</f>
        <v>360</v>
      </c>
      <c r="P374" s="217">
        <v>60</v>
      </c>
      <c r="Q374" s="217">
        <f t="shared" si="40"/>
        <v>134160</v>
      </c>
      <c r="R374" s="217">
        <f t="shared" si="41"/>
        <v>14719</v>
      </c>
      <c r="S374" s="217">
        <f t="shared" si="42"/>
        <v>11773</v>
      </c>
      <c r="T374" s="217">
        <f t="shared" si="43"/>
        <v>2169</v>
      </c>
      <c r="U374" s="217">
        <f t="shared" si="44"/>
        <v>43484</v>
      </c>
      <c r="V374" s="217">
        <f t="shared" si="45"/>
        <v>12457</v>
      </c>
      <c r="W374" s="217">
        <f>ROUND(AC374+(INDEX(Ref!B$1:B$9,MATCH($AI374,Ref!$A$1:$A$9,0))*P374*0.0001),)</f>
        <v>47</v>
      </c>
      <c r="X374" s="217">
        <f>ROUND(AD374+(INDEX(Ref!C$1:C$9,MATCH($AI374,Ref!$A$1:$A$9,0))*$P374*0.0001),)</f>
        <v>31</v>
      </c>
      <c r="Y374" s="217">
        <f>ROUND(AE374+(INDEX(Ref!D$1:D$9,MATCH($AI374,Ref!$A$1:$A$9,0))*$P374*0.0001),)</f>
        <v>78</v>
      </c>
      <c r="Z374" s="217">
        <f>ROUND(AF374+(INDEX(Ref!E$1:E$9,MATCH($AI374,Ref!$A$1:$A$9,0))*$P374*0.0001),)</f>
        <v>37</v>
      </c>
      <c r="AA374" s="217">
        <f>ROUND(AG374+(INDEX(Ref!F$1:F$9,MATCH($AI374,Ref!$A$1:$A$9,0))*$P374*0.0001),)</f>
        <v>42</v>
      </c>
      <c r="AB374" s="217">
        <f>ROUND(AH374+(INDEX(Ref!G$1:G$9,MATCH($AI374,Ref!$A$1:$A$9,0))*$P374*0.0001),)</f>
        <v>28</v>
      </c>
      <c r="AC374" s="137">
        <v>36</v>
      </c>
      <c r="AD374" s="137">
        <v>23</v>
      </c>
      <c r="AE374" s="137">
        <v>64</v>
      </c>
      <c r="AF374" s="137">
        <v>28</v>
      </c>
      <c r="AG374" s="137">
        <v>32</v>
      </c>
      <c r="AH374" s="137">
        <v>21</v>
      </c>
      <c r="AI374" s="208">
        <v>3</v>
      </c>
      <c r="AJ374" s="172">
        <v>3000</v>
      </c>
      <c r="AK374" s="172">
        <v>30446</v>
      </c>
      <c r="AL374" s="172">
        <v>2000</v>
      </c>
      <c r="AM374" s="172">
        <v>30449</v>
      </c>
      <c r="AN374" s="172">
        <v>0</v>
      </c>
      <c r="AO374" s="172">
        <f t="shared" si="46"/>
        <v>34446</v>
      </c>
      <c r="AP374" s="172">
        <v>0</v>
      </c>
      <c r="AQ374" s="172">
        <f t="shared" si="47"/>
        <v>34449</v>
      </c>
      <c r="AR374" s="172">
        <v>1</v>
      </c>
      <c r="AS374" s="172">
        <v>0</v>
      </c>
      <c r="AT374" s="199">
        <v>78075</v>
      </c>
      <c r="AU374" s="195" t="s">
        <v>294</v>
      </c>
    </row>
    <row r="375" spans="1:47" x14ac:dyDescent="0.2">
      <c r="A375" s="173">
        <v>55075</v>
      </c>
      <c r="B375" s="174" t="s">
        <v>293</v>
      </c>
      <c r="C375" s="172">
        <v>86075</v>
      </c>
      <c r="D375" s="172">
        <v>150075</v>
      </c>
      <c r="E375" s="206" t="s">
        <v>1091</v>
      </c>
      <c r="F375" s="207">
        <v>5</v>
      </c>
      <c r="G375" s="172">
        <v>10000</v>
      </c>
      <c r="H375" s="172">
        <v>10000</v>
      </c>
      <c r="I375" s="172">
        <v>10000</v>
      </c>
      <c r="J375" s="172">
        <v>4</v>
      </c>
      <c r="K375" s="190">
        <f>IF($J375=1,INDEX('큐펫&amp;몹 정리(최신)'!P:P,MATCH($E375,'큐펫&amp;몹 정리(최신)'!$B:$B,0))*20,IF($J375=2,INDEX('큐펫&amp;몹 정리(최신)'!P:P,MATCH($E375,'큐펫&amp;몹 정리(최신)'!$B:$B,0))*25,IF($J375=3,INDEX('큐펫&amp;몹 정리(최신)'!P:P,MATCH($E375,'큐펫&amp;몹 정리(최신)'!$B:$B,0))*30,IF($J375=4,INDEX('큐펫&amp;몹 정리(최신)'!P:P,MATCH($E375,'큐펫&amp;몹 정리(최신)'!$B:$B,0))*35,INDEX('큐펫&amp;몹 정리(최신)'!P:P,MATCH($E375,'큐펫&amp;몹 정리(최신)'!$B:$B,0))*40))))</f>
        <v>1400</v>
      </c>
      <c r="L375" s="190">
        <f>IF($J375=1,INDEX('큐펫&amp;몹 정리(최신)'!Q:Q,MATCH($E375,'큐펫&amp;몹 정리(최신)'!$B:$B,0))*20,IF($J375=2,INDEX('큐펫&amp;몹 정리(최신)'!Q:Q,MATCH($E375,'큐펫&amp;몹 정리(최신)'!$B:$B,0))*25,IF($J375=3,INDEX('큐펫&amp;몹 정리(최신)'!Q:Q,MATCH($E375,'큐펫&amp;몹 정리(최신)'!$B:$B,0))*30,IF($J375=4,INDEX('큐펫&amp;몹 정리(최신)'!Q:Q,MATCH($E375,'큐펫&amp;몹 정리(최신)'!$B:$B,0))*35,INDEX('큐펫&amp;몹 정리(최신)'!Q:Q,MATCH($E375,'큐펫&amp;몹 정리(최신)'!$B:$B,0))*40))))</f>
        <v>770</v>
      </c>
      <c r="M375" s="190">
        <f>IF($J375=1,INDEX('큐펫&amp;몹 정리(최신)'!R:R,MATCH($E375,'큐펫&amp;몹 정리(최신)'!$B:$B,0))*20,IF($J375=2,INDEX('큐펫&amp;몹 정리(최신)'!R:R,MATCH($E375,'큐펫&amp;몹 정리(최신)'!$B:$B,0))*25,IF($J375=3,INDEX('큐펫&amp;몹 정리(최신)'!R:R,MATCH($E375,'큐펫&amp;몹 정리(최신)'!$B:$B,0))*30,IF($J375=4,INDEX('큐펫&amp;몹 정리(최신)'!R:R,MATCH($E375,'큐펫&amp;몹 정리(최신)'!$B:$B,0))*35,INDEX('큐펫&amp;몹 정리(최신)'!R:R,MATCH($E375,'큐펫&amp;몹 정리(최신)'!$B:$B,0))*40))))</f>
        <v>175</v>
      </c>
      <c r="N375" s="190">
        <f>IF($J375=1,INDEX('큐펫&amp;몹 정리(최신)'!S:S,MATCH($E375,'큐펫&amp;몹 정리(최신)'!$B:$B,0))*20,IF($J375=2,INDEX('큐펫&amp;몹 정리(최신)'!S:S,MATCH($E375,'큐펫&amp;몹 정리(최신)'!$B:$B,0))*25,IF($J375=3,INDEX('큐펫&amp;몹 정리(최신)'!S:S,MATCH($E375,'큐펫&amp;몹 정리(최신)'!$B:$B,0))*30,IF($J375=4,INDEX('큐펫&amp;몹 정리(최신)'!S:S,MATCH($E375,'큐펫&amp;몹 정리(최신)'!$B:$B,0))*35,INDEX('큐펫&amp;몹 정리(최신)'!S:S,MATCH($E375,'큐펫&amp;몹 정리(최신)'!$B:$B,0))*40))))</f>
        <v>735</v>
      </c>
      <c r="O375" s="190">
        <f>IF($J375=1,INDEX('큐펫&amp;몹 정리(최신)'!T:T,MATCH($E375,'큐펫&amp;몹 정리(최신)'!$B:$B,0))*20,IF($J375=2,INDEX('큐펫&amp;몹 정리(최신)'!T:T,MATCH($E375,'큐펫&amp;몹 정리(최신)'!$B:$B,0))*25,IF($J375=3,INDEX('큐펫&amp;몹 정리(최신)'!T:T,MATCH($E375,'큐펫&amp;몹 정리(최신)'!$B:$B,0))*30,IF($J375=4,INDEX('큐펫&amp;몹 정리(최신)'!T:T,MATCH($E375,'큐펫&amp;몹 정리(최신)'!$B:$B,0))*35,INDEX('큐펫&amp;몹 정리(최신)'!T:T,MATCH($E375,'큐펫&amp;몹 정리(최신)'!$B:$B,0))*40))))</f>
        <v>420</v>
      </c>
      <c r="P375" s="217">
        <v>80</v>
      </c>
      <c r="Q375" s="217">
        <f t="shared" si="40"/>
        <v>217560</v>
      </c>
      <c r="R375" s="217">
        <f t="shared" si="41"/>
        <v>22620</v>
      </c>
      <c r="S375" s="217">
        <f t="shared" si="42"/>
        <v>18646</v>
      </c>
      <c r="T375" s="217">
        <f t="shared" si="43"/>
        <v>3376</v>
      </c>
      <c r="U375" s="217">
        <f t="shared" si="44"/>
        <v>61756</v>
      </c>
      <c r="V375" s="217">
        <f t="shared" si="45"/>
        <v>17683</v>
      </c>
      <c r="W375" s="217">
        <f>ROUND(AC375+(INDEX(Ref!B$1:B$9,MATCH($AI375,Ref!$A$1:$A$9,0))*P375*0.0001),)</f>
        <v>54</v>
      </c>
      <c r="X375" s="217">
        <f>ROUND(AD375+(INDEX(Ref!C$1:C$9,MATCH($AI375,Ref!$A$1:$A$9,0))*$P375*0.0001),)</f>
        <v>36</v>
      </c>
      <c r="Y375" s="217">
        <f>ROUND(AE375+(INDEX(Ref!D$1:D$9,MATCH($AI375,Ref!$A$1:$A$9,0))*$P375*0.0001),)</f>
        <v>88</v>
      </c>
      <c r="Z375" s="217">
        <f>ROUND(AF375+(INDEX(Ref!E$1:E$9,MATCH($AI375,Ref!$A$1:$A$9,0))*$P375*0.0001),)</f>
        <v>43</v>
      </c>
      <c r="AA375" s="217">
        <f>ROUND(AG375+(INDEX(Ref!F$1:F$9,MATCH($AI375,Ref!$A$1:$A$9,0))*$P375*0.0001),)</f>
        <v>49</v>
      </c>
      <c r="AB375" s="217">
        <f>ROUND(AH375+(INDEX(Ref!G$1:G$9,MATCH($AI375,Ref!$A$1:$A$9,0))*$P375*0.0001),)</f>
        <v>34</v>
      </c>
      <c r="AC375" s="137">
        <v>39</v>
      </c>
      <c r="AD375" s="137">
        <v>26</v>
      </c>
      <c r="AE375" s="137">
        <v>69</v>
      </c>
      <c r="AF375" s="137">
        <v>31</v>
      </c>
      <c r="AG375" s="137">
        <v>35</v>
      </c>
      <c r="AH375" s="137">
        <v>24</v>
      </c>
      <c r="AI375" s="208">
        <v>3</v>
      </c>
      <c r="AJ375" s="172">
        <v>3000</v>
      </c>
      <c r="AK375" s="172">
        <v>30447</v>
      </c>
      <c r="AL375" s="172">
        <v>2000</v>
      </c>
      <c r="AM375" s="172">
        <v>30449</v>
      </c>
      <c r="AN375" s="172">
        <v>0</v>
      </c>
      <c r="AO375" s="172">
        <f t="shared" si="46"/>
        <v>34447</v>
      </c>
      <c r="AP375" s="172">
        <v>0</v>
      </c>
      <c r="AQ375" s="172">
        <f t="shared" si="47"/>
        <v>34449</v>
      </c>
      <c r="AR375" s="172">
        <v>1</v>
      </c>
      <c r="AS375" s="172">
        <v>0</v>
      </c>
      <c r="AT375" s="199">
        <v>78075</v>
      </c>
      <c r="AU375" s="195" t="s">
        <v>294</v>
      </c>
    </row>
    <row r="376" spans="1:47" x14ac:dyDescent="0.2">
      <c r="A376" s="173">
        <v>55075</v>
      </c>
      <c r="B376" s="174" t="s">
        <v>293</v>
      </c>
      <c r="C376" s="172">
        <v>86075</v>
      </c>
      <c r="D376" s="172">
        <v>150075</v>
      </c>
      <c r="E376" s="206" t="s">
        <v>1091</v>
      </c>
      <c r="F376" s="207">
        <v>5</v>
      </c>
      <c r="G376" s="172">
        <v>10000</v>
      </c>
      <c r="H376" s="172">
        <v>10000</v>
      </c>
      <c r="I376" s="172">
        <v>10000</v>
      </c>
      <c r="J376" s="172">
        <v>5</v>
      </c>
      <c r="K376" s="190">
        <f>IF($J376=1,INDEX('큐펫&amp;몹 정리(최신)'!P:P,MATCH($E376,'큐펫&amp;몹 정리(최신)'!$B:$B,0))*20,IF($J376=2,INDEX('큐펫&amp;몹 정리(최신)'!P:P,MATCH($E376,'큐펫&amp;몹 정리(최신)'!$B:$B,0))*25,IF($J376=3,INDEX('큐펫&amp;몹 정리(최신)'!P:P,MATCH($E376,'큐펫&amp;몹 정리(최신)'!$B:$B,0))*30,IF($J376=4,INDEX('큐펫&amp;몹 정리(최신)'!P:P,MATCH($E376,'큐펫&amp;몹 정리(최신)'!$B:$B,0))*35,INDEX('큐펫&amp;몹 정리(최신)'!P:P,MATCH($E376,'큐펫&amp;몹 정리(최신)'!$B:$B,0))*40))))</f>
        <v>1600</v>
      </c>
      <c r="L376" s="190">
        <f>IF($J376=1,INDEX('큐펫&amp;몹 정리(최신)'!Q:Q,MATCH($E376,'큐펫&amp;몹 정리(최신)'!$B:$B,0))*20,IF($J376=2,INDEX('큐펫&amp;몹 정리(최신)'!Q:Q,MATCH($E376,'큐펫&amp;몹 정리(최신)'!$B:$B,0))*25,IF($J376=3,INDEX('큐펫&amp;몹 정리(최신)'!Q:Q,MATCH($E376,'큐펫&amp;몹 정리(최신)'!$B:$B,0))*30,IF($J376=4,INDEX('큐펫&amp;몹 정리(최신)'!Q:Q,MATCH($E376,'큐펫&amp;몹 정리(최신)'!$B:$B,0))*35,INDEX('큐펫&amp;몹 정리(최신)'!Q:Q,MATCH($E376,'큐펫&amp;몹 정리(최신)'!$B:$B,0))*40))))</f>
        <v>880</v>
      </c>
      <c r="M376" s="190">
        <f>IF($J376=1,INDEX('큐펫&amp;몹 정리(최신)'!R:R,MATCH($E376,'큐펫&amp;몹 정리(최신)'!$B:$B,0))*20,IF($J376=2,INDEX('큐펫&amp;몹 정리(최신)'!R:R,MATCH($E376,'큐펫&amp;몹 정리(최신)'!$B:$B,0))*25,IF($J376=3,INDEX('큐펫&amp;몹 정리(최신)'!R:R,MATCH($E376,'큐펫&amp;몹 정리(최신)'!$B:$B,0))*30,IF($J376=4,INDEX('큐펫&amp;몹 정리(최신)'!R:R,MATCH($E376,'큐펫&amp;몹 정리(최신)'!$B:$B,0))*35,INDEX('큐펫&amp;몹 정리(최신)'!R:R,MATCH($E376,'큐펫&amp;몹 정리(최신)'!$B:$B,0))*40))))</f>
        <v>200</v>
      </c>
      <c r="N376" s="190">
        <f>IF($J376=1,INDEX('큐펫&amp;몹 정리(최신)'!S:S,MATCH($E376,'큐펫&amp;몹 정리(최신)'!$B:$B,0))*20,IF($J376=2,INDEX('큐펫&amp;몹 정리(최신)'!S:S,MATCH($E376,'큐펫&amp;몹 정리(최신)'!$B:$B,0))*25,IF($J376=3,INDEX('큐펫&amp;몹 정리(최신)'!S:S,MATCH($E376,'큐펫&amp;몹 정리(최신)'!$B:$B,0))*30,IF($J376=4,INDEX('큐펫&amp;몹 정리(최신)'!S:S,MATCH($E376,'큐펫&amp;몹 정리(최신)'!$B:$B,0))*35,INDEX('큐펫&amp;몹 정리(최신)'!S:S,MATCH($E376,'큐펫&amp;몹 정리(최신)'!$B:$B,0))*40))))</f>
        <v>840</v>
      </c>
      <c r="O376" s="190">
        <f>IF($J376=1,INDEX('큐펫&amp;몹 정리(최신)'!T:T,MATCH($E376,'큐펫&amp;몹 정리(최신)'!$B:$B,0))*20,IF($J376=2,INDEX('큐펫&amp;몹 정리(최신)'!T:T,MATCH($E376,'큐펫&amp;몹 정리(최신)'!$B:$B,0))*25,IF($J376=3,INDEX('큐펫&amp;몹 정리(최신)'!T:T,MATCH($E376,'큐펫&amp;몹 정리(최신)'!$B:$B,0))*30,IF($J376=4,INDEX('큐펫&amp;몹 정리(최신)'!T:T,MATCH($E376,'큐펫&amp;몹 정리(최신)'!$B:$B,0))*35,INDEX('큐펫&amp;몹 정리(최신)'!T:T,MATCH($E376,'큐펫&amp;몹 정리(최신)'!$B:$B,0))*40))))</f>
        <v>480</v>
      </c>
      <c r="P376" s="217">
        <v>100</v>
      </c>
      <c r="Q376" s="217">
        <f t="shared" si="40"/>
        <v>324800</v>
      </c>
      <c r="R376" s="217">
        <f t="shared" si="41"/>
        <v>34022</v>
      </c>
      <c r="S376" s="217">
        <f t="shared" si="42"/>
        <v>26803</v>
      </c>
      <c r="T376" s="217">
        <f t="shared" si="43"/>
        <v>4966</v>
      </c>
      <c r="U376" s="217">
        <f t="shared" si="44"/>
        <v>83179</v>
      </c>
      <c r="V376" s="217">
        <f t="shared" si="45"/>
        <v>23809</v>
      </c>
      <c r="W376" s="217">
        <f>ROUND(AC376+(INDEX(Ref!B$1:B$9,MATCH($AI376,Ref!$A$1:$A$9,0))*P376*0.0001),)</f>
        <v>62</v>
      </c>
      <c r="X376" s="217">
        <f>ROUND(AD376+(INDEX(Ref!C$1:C$9,MATCH($AI376,Ref!$A$1:$A$9,0))*$P376*0.0001),)</f>
        <v>42</v>
      </c>
      <c r="Y376" s="217">
        <f>ROUND(AE376+(INDEX(Ref!D$1:D$9,MATCH($AI376,Ref!$A$1:$A$9,0))*$P376*0.0001),)</f>
        <v>98</v>
      </c>
      <c r="Z376" s="217">
        <f>ROUND(AF376+(INDEX(Ref!E$1:E$9,MATCH($AI376,Ref!$A$1:$A$9,0))*$P376*0.0001),)</f>
        <v>49</v>
      </c>
      <c r="AA376" s="217">
        <f>ROUND(AG376+(INDEX(Ref!F$1:F$9,MATCH($AI376,Ref!$A$1:$A$9,0))*$P376*0.0001),)</f>
        <v>55</v>
      </c>
      <c r="AB376" s="217">
        <f>ROUND(AH376+(INDEX(Ref!G$1:G$9,MATCH($AI376,Ref!$A$1:$A$9,0))*$P376*0.0001),)</f>
        <v>38</v>
      </c>
      <c r="AC376" s="137">
        <v>43</v>
      </c>
      <c r="AD376" s="137">
        <v>29</v>
      </c>
      <c r="AE376" s="137">
        <v>74</v>
      </c>
      <c r="AF376" s="137">
        <v>34</v>
      </c>
      <c r="AG376" s="137">
        <v>38</v>
      </c>
      <c r="AH376" s="137">
        <v>26</v>
      </c>
      <c r="AI376" s="208">
        <v>3</v>
      </c>
      <c r="AJ376" s="172">
        <v>3000</v>
      </c>
      <c r="AK376" s="172">
        <v>30447</v>
      </c>
      <c r="AL376" s="172">
        <v>2000</v>
      </c>
      <c r="AM376" s="172">
        <v>30450</v>
      </c>
      <c r="AN376" s="172">
        <v>0</v>
      </c>
      <c r="AO376" s="172">
        <f t="shared" si="46"/>
        <v>34447</v>
      </c>
      <c r="AP376" s="172">
        <v>0</v>
      </c>
      <c r="AQ376" s="172">
        <f t="shared" si="47"/>
        <v>34450</v>
      </c>
      <c r="AR376" s="172">
        <v>1</v>
      </c>
      <c r="AS376" s="172">
        <v>0</v>
      </c>
      <c r="AT376" s="199">
        <v>78075</v>
      </c>
      <c r="AU376" s="195" t="s">
        <v>294</v>
      </c>
    </row>
    <row r="377" spans="1:47" x14ac:dyDescent="0.2">
      <c r="A377" s="173">
        <v>55076</v>
      </c>
      <c r="B377" s="174" t="s">
        <v>295</v>
      </c>
      <c r="C377" s="172">
        <v>86076</v>
      </c>
      <c r="D377" s="172">
        <v>150076</v>
      </c>
      <c r="E377" s="206" t="s">
        <v>296</v>
      </c>
      <c r="F377" s="207">
        <v>5</v>
      </c>
      <c r="G377" s="172">
        <v>13000</v>
      </c>
      <c r="H377" s="172">
        <v>9000</v>
      </c>
      <c r="I377" s="172">
        <v>10000</v>
      </c>
      <c r="J377" s="172">
        <v>1</v>
      </c>
      <c r="K377" s="190">
        <f>IF($J377=1,INDEX('큐펫&amp;몹 정리(최신)'!P:P,MATCH($E377,'큐펫&amp;몹 정리(최신)'!$B:$B,0))*20,IF($J377=2,INDEX('큐펫&amp;몹 정리(최신)'!P:P,MATCH($E377,'큐펫&amp;몹 정리(최신)'!$B:$B,0))*25,IF($J377=3,INDEX('큐펫&amp;몹 정리(최신)'!P:P,MATCH($E377,'큐펫&amp;몹 정리(최신)'!$B:$B,0))*30,IF($J377=4,INDEX('큐펫&amp;몹 정리(최신)'!P:P,MATCH($E377,'큐펫&amp;몹 정리(최신)'!$B:$B,0))*35,INDEX('큐펫&amp;몹 정리(최신)'!P:P,MATCH($E377,'큐펫&amp;몹 정리(최신)'!$B:$B,0))*40))))</f>
        <v>800</v>
      </c>
      <c r="L377" s="190">
        <f>IF($J377=1,INDEX('큐펫&amp;몹 정리(최신)'!Q:Q,MATCH($E377,'큐펫&amp;몹 정리(최신)'!$B:$B,0))*20,IF($J377=2,INDEX('큐펫&amp;몹 정리(최신)'!Q:Q,MATCH($E377,'큐펫&amp;몹 정리(최신)'!$B:$B,0))*25,IF($J377=3,INDEX('큐펫&amp;몹 정리(최신)'!Q:Q,MATCH($E377,'큐펫&amp;몹 정리(최신)'!$B:$B,0))*30,IF($J377=4,INDEX('큐펫&amp;몹 정리(최신)'!Q:Q,MATCH($E377,'큐펫&amp;몹 정리(최신)'!$B:$B,0))*35,INDEX('큐펫&amp;몹 정리(최신)'!Q:Q,MATCH($E377,'큐펫&amp;몹 정리(최신)'!$B:$B,0))*40))))</f>
        <v>340</v>
      </c>
      <c r="M377" s="190">
        <f>IF($J377=1,INDEX('큐펫&amp;몹 정리(최신)'!R:R,MATCH($E377,'큐펫&amp;몹 정리(최신)'!$B:$B,0))*20,IF($J377=2,INDEX('큐펫&amp;몹 정리(최신)'!R:R,MATCH($E377,'큐펫&amp;몹 정리(최신)'!$B:$B,0))*25,IF($J377=3,INDEX('큐펫&amp;몹 정리(최신)'!R:R,MATCH($E377,'큐펫&amp;몹 정리(최신)'!$B:$B,0))*30,IF($J377=4,INDEX('큐펫&amp;몹 정리(최신)'!R:R,MATCH($E377,'큐펫&amp;몹 정리(최신)'!$B:$B,0))*35,INDEX('큐펫&amp;몹 정리(최신)'!R:R,MATCH($E377,'큐펫&amp;몹 정리(최신)'!$B:$B,0))*40))))</f>
        <v>80</v>
      </c>
      <c r="N377" s="190">
        <f>IF($J377=1,INDEX('큐펫&amp;몹 정리(최신)'!S:S,MATCH($E377,'큐펫&amp;몹 정리(최신)'!$B:$B,0))*20,IF($J377=2,INDEX('큐펫&amp;몹 정리(최신)'!S:S,MATCH($E377,'큐펫&amp;몹 정리(최신)'!$B:$B,0))*25,IF($J377=3,INDEX('큐펫&amp;몹 정리(최신)'!S:S,MATCH($E377,'큐펫&amp;몹 정리(최신)'!$B:$B,0))*30,IF($J377=4,INDEX('큐펫&amp;몹 정리(최신)'!S:S,MATCH($E377,'큐펫&amp;몹 정리(최신)'!$B:$B,0))*35,INDEX('큐펫&amp;몹 정리(최신)'!S:S,MATCH($E377,'큐펫&amp;몹 정리(최신)'!$B:$B,0))*40))))</f>
        <v>340</v>
      </c>
      <c r="O377" s="190">
        <f>IF($J377=1,INDEX('큐펫&amp;몹 정리(최신)'!T:T,MATCH($E377,'큐펫&amp;몹 정리(최신)'!$B:$B,0))*20,IF($J377=2,INDEX('큐펫&amp;몹 정리(최신)'!T:T,MATCH($E377,'큐펫&amp;몹 정리(최신)'!$B:$B,0))*25,IF($J377=3,INDEX('큐펫&amp;몹 정리(최신)'!T:T,MATCH($E377,'큐펫&amp;몹 정리(최신)'!$B:$B,0))*30,IF($J377=4,INDEX('큐펫&amp;몹 정리(최신)'!T:T,MATCH($E377,'큐펫&amp;몹 정리(최신)'!$B:$B,0))*35,INDEX('큐펫&amp;몹 정리(최신)'!T:T,MATCH($E377,'큐펫&amp;몹 정리(최신)'!$B:$B,0))*40))))</f>
        <v>440</v>
      </c>
      <c r="P377" s="217">
        <v>20</v>
      </c>
      <c r="Q377" s="217">
        <f t="shared" si="40"/>
        <v>26240</v>
      </c>
      <c r="R377" s="217">
        <f t="shared" si="41"/>
        <v>1044</v>
      </c>
      <c r="S377" s="217">
        <f t="shared" si="42"/>
        <v>5818</v>
      </c>
      <c r="T377" s="217">
        <f t="shared" si="43"/>
        <v>350</v>
      </c>
      <c r="U377" s="217">
        <f t="shared" si="44"/>
        <v>10037</v>
      </c>
      <c r="V377" s="217">
        <f t="shared" si="45"/>
        <v>6509</v>
      </c>
      <c r="W377" s="217">
        <f>ROUND(AC377+(INDEX(Ref!B$1:B$9,MATCH($AI377,Ref!$A$1:$A$9,0))*P377*0.0001),)</f>
        <v>17</v>
      </c>
      <c r="X377" s="217">
        <f>ROUND(AD377+(INDEX(Ref!C$1:C$9,MATCH($AI377,Ref!$A$1:$A$9,0))*$P377*0.0001),)</f>
        <v>32</v>
      </c>
      <c r="Y377" s="217">
        <f>ROUND(AE377+(INDEX(Ref!D$1:D$9,MATCH($AI377,Ref!$A$1:$A$9,0))*$P377*0.0001),)</f>
        <v>39</v>
      </c>
      <c r="Z377" s="217">
        <f>ROUND(AF377+(INDEX(Ref!E$1:E$9,MATCH($AI377,Ref!$A$1:$A$9,0))*$P377*0.0001),)</f>
        <v>19</v>
      </c>
      <c r="AA377" s="217">
        <f>ROUND(AG377+(INDEX(Ref!F$1:F$9,MATCH($AI377,Ref!$A$1:$A$9,0))*$P377*0.0001),)</f>
        <v>41</v>
      </c>
      <c r="AB377" s="217">
        <f>ROUND(AH377+(INDEX(Ref!G$1:G$9,MATCH($AI377,Ref!$A$1:$A$9,0))*$P377*0.0001),)</f>
        <v>36</v>
      </c>
      <c r="AC377" s="137">
        <v>15</v>
      </c>
      <c r="AD377" s="137">
        <v>28</v>
      </c>
      <c r="AE377" s="137">
        <v>36</v>
      </c>
      <c r="AF377" s="137">
        <v>17</v>
      </c>
      <c r="AG377" s="137">
        <v>36</v>
      </c>
      <c r="AH377" s="137">
        <v>32</v>
      </c>
      <c r="AI377" s="208">
        <v>5</v>
      </c>
      <c r="AJ377" s="172">
        <v>3000</v>
      </c>
      <c r="AK377" s="172">
        <v>30451</v>
      </c>
      <c r="AL377" s="172">
        <v>2000</v>
      </c>
      <c r="AM377" s="172">
        <v>30454</v>
      </c>
      <c r="AN377" s="172">
        <v>0</v>
      </c>
      <c r="AO377" s="172">
        <f t="shared" si="46"/>
        <v>34451</v>
      </c>
      <c r="AP377" s="172">
        <v>0</v>
      </c>
      <c r="AQ377" s="172">
        <f t="shared" si="47"/>
        <v>34454</v>
      </c>
      <c r="AR377" s="172">
        <v>1</v>
      </c>
      <c r="AS377" s="172">
        <v>0</v>
      </c>
      <c r="AT377" s="199">
        <v>78076</v>
      </c>
      <c r="AU377" s="195" t="s">
        <v>297</v>
      </c>
    </row>
    <row r="378" spans="1:47" x14ac:dyDescent="0.2">
      <c r="A378" s="173">
        <v>55076</v>
      </c>
      <c r="B378" s="174" t="s">
        <v>295</v>
      </c>
      <c r="C378" s="172">
        <v>86076</v>
      </c>
      <c r="D378" s="172">
        <v>150076</v>
      </c>
      <c r="E378" s="206" t="s">
        <v>296</v>
      </c>
      <c r="F378" s="207">
        <v>5</v>
      </c>
      <c r="G378" s="172">
        <v>13000</v>
      </c>
      <c r="H378" s="172">
        <v>9000</v>
      </c>
      <c r="I378" s="172">
        <v>10000</v>
      </c>
      <c r="J378" s="172">
        <v>2</v>
      </c>
      <c r="K378" s="190">
        <f>IF($J378=1,INDEX('큐펫&amp;몹 정리(최신)'!P:P,MATCH($E378,'큐펫&amp;몹 정리(최신)'!$B:$B,0))*20,IF($J378=2,INDEX('큐펫&amp;몹 정리(최신)'!P:P,MATCH($E378,'큐펫&amp;몹 정리(최신)'!$B:$B,0))*25,IF($J378=3,INDEX('큐펫&amp;몹 정리(최신)'!P:P,MATCH($E378,'큐펫&amp;몹 정리(최신)'!$B:$B,0))*30,IF($J378=4,INDEX('큐펫&amp;몹 정리(최신)'!P:P,MATCH($E378,'큐펫&amp;몹 정리(최신)'!$B:$B,0))*35,INDEX('큐펫&amp;몹 정리(최신)'!P:P,MATCH($E378,'큐펫&amp;몹 정리(최신)'!$B:$B,0))*40))))</f>
        <v>1000</v>
      </c>
      <c r="L378" s="190">
        <f>IF($J378=1,INDEX('큐펫&amp;몹 정리(최신)'!Q:Q,MATCH($E378,'큐펫&amp;몹 정리(최신)'!$B:$B,0))*20,IF($J378=2,INDEX('큐펫&amp;몹 정리(최신)'!Q:Q,MATCH($E378,'큐펫&amp;몹 정리(최신)'!$B:$B,0))*25,IF($J378=3,INDEX('큐펫&amp;몹 정리(최신)'!Q:Q,MATCH($E378,'큐펫&amp;몹 정리(최신)'!$B:$B,0))*30,IF($J378=4,INDEX('큐펫&amp;몹 정리(최신)'!Q:Q,MATCH($E378,'큐펫&amp;몹 정리(최신)'!$B:$B,0))*35,INDEX('큐펫&amp;몹 정리(최신)'!Q:Q,MATCH($E378,'큐펫&amp;몹 정리(최신)'!$B:$B,0))*40))))</f>
        <v>425</v>
      </c>
      <c r="M378" s="190">
        <f>IF($J378=1,INDEX('큐펫&amp;몹 정리(최신)'!R:R,MATCH($E378,'큐펫&amp;몹 정리(최신)'!$B:$B,0))*20,IF($J378=2,INDEX('큐펫&amp;몹 정리(최신)'!R:R,MATCH($E378,'큐펫&amp;몹 정리(최신)'!$B:$B,0))*25,IF($J378=3,INDEX('큐펫&amp;몹 정리(최신)'!R:R,MATCH($E378,'큐펫&amp;몹 정리(최신)'!$B:$B,0))*30,IF($J378=4,INDEX('큐펫&amp;몹 정리(최신)'!R:R,MATCH($E378,'큐펫&amp;몹 정리(최신)'!$B:$B,0))*35,INDEX('큐펫&amp;몹 정리(최신)'!R:R,MATCH($E378,'큐펫&amp;몹 정리(최신)'!$B:$B,0))*40))))</f>
        <v>100</v>
      </c>
      <c r="N378" s="190">
        <f>IF($J378=1,INDEX('큐펫&amp;몹 정리(최신)'!S:S,MATCH($E378,'큐펫&amp;몹 정리(최신)'!$B:$B,0))*20,IF($J378=2,INDEX('큐펫&amp;몹 정리(최신)'!S:S,MATCH($E378,'큐펫&amp;몹 정리(최신)'!$B:$B,0))*25,IF($J378=3,INDEX('큐펫&amp;몹 정리(최신)'!S:S,MATCH($E378,'큐펫&amp;몹 정리(최신)'!$B:$B,0))*30,IF($J378=4,INDEX('큐펫&amp;몹 정리(최신)'!S:S,MATCH($E378,'큐펫&amp;몹 정리(최신)'!$B:$B,0))*35,INDEX('큐펫&amp;몹 정리(최신)'!S:S,MATCH($E378,'큐펫&amp;몹 정리(최신)'!$B:$B,0))*40))))</f>
        <v>425</v>
      </c>
      <c r="O378" s="190">
        <f>IF($J378=1,INDEX('큐펫&amp;몹 정리(최신)'!T:T,MATCH($E378,'큐펫&amp;몹 정리(최신)'!$B:$B,0))*20,IF($J378=2,INDEX('큐펫&amp;몹 정리(최신)'!T:T,MATCH($E378,'큐펫&amp;몹 정리(최신)'!$B:$B,0))*25,IF($J378=3,INDEX('큐펫&amp;몹 정리(최신)'!T:T,MATCH($E378,'큐펫&amp;몹 정리(최신)'!$B:$B,0))*30,IF($J378=4,INDEX('큐펫&amp;몹 정리(최신)'!T:T,MATCH($E378,'큐펫&amp;몹 정리(최신)'!$B:$B,0))*35,INDEX('큐펫&amp;몹 정리(최신)'!T:T,MATCH($E378,'큐펫&amp;몹 정리(최신)'!$B:$B,0))*40))))</f>
        <v>550</v>
      </c>
      <c r="P378" s="217">
        <v>40</v>
      </c>
      <c r="Q378" s="217">
        <f t="shared" si="40"/>
        <v>62600</v>
      </c>
      <c r="R378" s="217">
        <f t="shared" si="41"/>
        <v>1957</v>
      </c>
      <c r="S378" s="217">
        <f t="shared" si="42"/>
        <v>11190</v>
      </c>
      <c r="T378" s="217">
        <f t="shared" si="43"/>
        <v>661</v>
      </c>
      <c r="U378" s="217">
        <f t="shared" si="44"/>
        <v>17859</v>
      </c>
      <c r="V378" s="217">
        <f t="shared" si="45"/>
        <v>11574</v>
      </c>
      <c r="W378" s="217">
        <f>ROUND(AC378+(INDEX(Ref!B$1:B$9,MATCH($AI378,Ref!$A$1:$A$9,0))*P378*0.0001),)</f>
        <v>21</v>
      </c>
      <c r="X378" s="217">
        <f>ROUND(AD378+(INDEX(Ref!C$1:C$9,MATCH($AI378,Ref!$A$1:$A$9,0))*$P378*0.0001),)</f>
        <v>40</v>
      </c>
      <c r="Y378" s="217">
        <f>ROUND(AE378+(INDEX(Ref!D$1:D$9,MATCH($AI378,Ref!$A$1:$A$9,0))*$P378*0.0001),)</f>
        <v>44</v>
      </c>
      <c r="Z378" s="217">
        <f>ROUND(AF378+(INDEX(Ref!E$1:E$9,MATCH($AI378,Ref!$A$1:$A$9,0))*$P378*0.0001),)</f>
        <v>24</v>
      </c>
      <c r="AA378" s="217">
        <f>ROUND(AG378+(INDEX(Ref!F$1:F$9,MATCH($AI378,Ref!$A$1:$A$9,0))*$P378*0.0001),)</f>
        <v>51</v>
      </c>
      <c r="AB378" s="217">
        <f>ROUND(AH378+(INDEX(Ref!G$1:G$9,MATCH($AI378,Ref!$A$1:$A$9,0))*$P378*0.0001),)</f>
        <v>44</v>
      </c>
      <c r="AC378" s="137">
        <v>17</v>
      </c>
      <c r="AD378" s="137">
        <v>32</v>
      </c>
      <c r="AE378" s="137">
        <v>39</v>
      </c>
      <c r="AF378" s="137">
        <v>19</v>
      </c>
      <c r="AG378" s="137">
        <v>41</v>
      </c>
      <c r="AH378" s="137">
        <v>36</v>
      </c>
      <c r="AI378" s="208">
        <v>5</v>
      </c>
      <c r="AJ378" s="172">
        <v>3000</v>
      </c>
      <c r="AK378" s="172">
        <v>30452</v>
      </c>
      <c r="AL378" s="172">
        <v>2000</v>
      </c>
      <c r="AM378" s="172">
        <v>30454</v>
      </c>
      <c r="AN378" s="172">
        <v>0</v>
      </c>
      <c r="AO378" s="172">
        <f t="shared" si="46"/>
        <v>34452</v>
      </c>
      <c r="AP378" s="172">
        <v>0</v>
      </c>
      <c r="AQ378" s="172">
        <f t="shared" si="47"/>
        <v>34454</v>
      </c>
      <c r="AR378" s="172">
        <v>1</v>
      </c>
      <c r="AS378" s="172">
        <v>0</v>
      </c>
      <c r="AT378" s="199">
        <v>78076</v>
      </c>
      <c r="AU378" s="195" t="s">
        <v>297</v>
      </c>
    </row>
    <row r="379" spans="1:47" x14ac:dyDescent="0.2">
      <c r="A379" s="173">
        <v>55076</v>
      </c>
      <c r="B379" s="174" t="s">
        <v>295</v>
      </c>
      <c r="C379" s="172">
        <v>86076</v>
      </c>
      <c r="D379" s="172">
        <v>150076</v>
      </c>
      <c r="E379" s="206" t="s">
        <v>296</v>
      </c>
      <c r="F379" s="207">
        <v>5</v>
      </c>
      <c r="G379" s="172">
        <v>13000</v>
      </c>
      <c r="H379" s="172">
        <v>9000</v>
      </c>
      <c r="I379" s="172">
        <v>10000</v>
      </c>
      <c r="J379" s="172">
        <v>3</v>
      </c>
      <c r="K379" s="190">
        <f>IF($J379=1,INDEX('큐펫&amp;몹 정리(최신)'!P:P,MATCH($E379,'큐펫&amp;몹 정리(최신)'!$B:$B,0))*20,IF($J379=2,INDEX('큐펫&amp;몹 정리(최신)'!P:P,MATCH($E379,'큐펫&amp;몹 정리(최신)'!$B:$B,0))*25,IF($J379=3,INDEX('큐펫&amp;몹 정리(최신)'!P:P,MATCH($E379,'큐펫&amp;몹 정리(최신)'!$B:$B,0))*30,IF($J379=4,INDEX('큐펫&amp;몹 정리(최신)'!P:P,MATCH($E379,'큐펫&amp;몹 정리(최신)'!$B:$B,0))*35,INDEX('큐펫&amp;몹 정리(최신)'!P:P,MATCH($E379,'큐펫&amp;몹 정리(최신)'!$B:$B,0))*40))))</f>
        <v>1200</v>
      </c>
      <c r="L379" s="190">
        <f>IF($J379=1,INDEX('큐펫&amp;몹 정리(최신)'!Q:Q,MATCH($E379,'큐펫&amp;몹 정리(최신)'!$B:$B,0))*20,IF($J379=2,INDEX('큐펫&amp;몹 정리(최신)'!Q:Q,MATCH($E379,'큐펫&amp;몹 정리(최신)'!$B:$B,0))*25,IF($J379=3,INDEX('큐펫&amp;몹 정리(최신)'!Q:Q,MATCH($E379,'큐펫&amp;몹 정리(최신)'!$B:$B,0))*30,IF($J379=4,INDEX('큐펫&amp;몹 정리(최신)'!Q:Q,MATCH($E379,'큐펫&amp;몹 정리(최신)'!$B:$B,0))*35,INDEX('큐펫&amp;몹 정리(최신)'!Q:Q,MATCH($E379,'큐펫&amp;몹 정리(최신)'!$B:$B,0))*40))))</f>
        <v>510</v>
      </c>
      <c r="M379" s="190">
        <f>IF($J379=1,INDEX('큐펫&amp;몹 정리(최신)'!R:R,MATCH($E379,'큐펫&amp;몹 정리(최신)'!$B:$B,0))*20,IF($J379=2,INDEX('큐펫&amp;몹 정리(최신)'!R:R,MATCH($E379,'큐펫&amp;몹 정리(최신)'!$B:$B,0))*25,IF($J379=3,INDEX('큐펫&amp;몹 정리(최신)'!R:R,MATCH($E379,'큐펫&amp;몹 정리(최신)'!$B:$B,0))*30,IF($J379=4,INDEX('큐펫&amp;몹 정리(최신)'!R:R,MATCH($E379,'큐펫&amp;몹 정리(최신)'!$B:$B,0))*35,INDEX('큐펫&amp;몹 정리(최신)'!R:R,MATCH($E379,'큐펫&amp;몹 정리(최신)'!$B:$B,0))*40))))</f>
        <v>120</v>
      </c>
      <c r="N379" s="190">
        <f>IF($J379=1,INDEX('큐펫&amp;몹 정리(최신)'!S:S,MATCH($E379,'큐펫&amp;몹 정리(최신)'!$B:$B,0))*20,IF($J379=2,INDEX('큐펫&amp;몹 정리(최신)'!S:S,MATCH($E379,'큐펫&amp;몹 정리(최신)'!$B:$B,0))*25,IF($J379=3,INDEX('큐펫&amp;몹 정리(최신)'!S:S,MATCH($E379,'큐펫&amp;몹 정리(최신)'!$B:$B,0))*30,IF($J379=4,INDEX('큐펫&amp;몹 정리(최신)'!S:S,MATCH($E379,'큐펫&amp;몹 정리(최신)'!$B:$B,0))*35,INDEX('큐펫&amp;몹 정리(최신)'!S:S,MATCH($E379,'큐펫&amp;몹 정리(최신)'!$B:$B,0))*40))))</f>
        <v>510</v>
      </c>
      <c r="O379" s="190">
        <f>IF($J379=1,INDEX('큐펫&amp;몹 정리(최신)'!T:T,MATCH($E379,'큐펫&amp;몹 정리(최신)'!$B:$B,0))*20,IF($J379=2,INDEX('큐펫&amp;몹 정리(최신)'!T:T,MATCH($E379,'큐펫&amp;몹 정리(최신)'!$B:$B,0))*25,IF($J379=3,INDEX('큐펫&amp;몹 정리(최신)'!T:T,MATCH($E379,'큐펫&amp;몹 정리(최신)'!$B:$B,0))*30,IF($J379=4,INDEX('큐펫&amp;몹 정리(최신)'!T:T,MATCH($E379,'큐펫&amp;몹 정리(최신)'!$B:$B,0))*35,INDEX('큐펫&amp;몹 정리(최신)'!T:T,MATCH($E379,'큐펫&amp;몹 정리(최신)'!$B:$B,0))*40))))</f>
        <v>660</v>
      </c>
      <c r="P379" s="217">
        <v>60</v>
      </c>
      <c r="Q379" s="217">
        <f t="shared" si="40"/>
        <v>114000</v>
      </c>
      <c r="R379" s="217">
        <f t="shared" si="41"/>
        <v>3555</v>
      </c>
      <c r="S379" s="217">
        <f t="shared" si="42"/>
        <v>18527</v>
      </c>
      <c r="T379" s="217">
        <f t="shared" si="43"/>
        <v>1047</v>
      </c>
      <c r="U379" s="217">
        <f t="shared" si="44"/>
        <v>28060</v>
      </c>
      <c r="V379" s="217">
        <f t="shared" si="45"/>
        <v>18178</v>
      </c>
      <c r="W379" s="217">
        <f>ROUND(AC379+(INDEX(Ref!B$1:B$9,MATCH($AI379,Ref!$A$1:$A$9,0))*P379*0.0001),)</f>
        <v>26</v>
      </c>
      <c r="X379" s="217">
        <f>ROUND(AD379+(INDEX(Ref!C$1:C$9,MATCH($AI379,Ref!$A$1:$A$9,0))*$P379*0.0001),)</f>
        <v>47</v>
      </c>
      <c r="Y379" s="217">
        <f>ROUND(AE379+(INDEX(Ref!D$1:D$9,MATCH($AI379,Ref!$A$1:$A$9,0))*$P379*0.0001),)</f>
        <v>50</v>
      </c>
      <c r="Z379" s="217">
        <f>ROUND(AF379+(INDEX(Ref!E$1:E$9,MATCH($AI379,Ref!$A$1:$A$9,0))*$P379*0.0001),)</f>
        <v>28</v>
      </c>
      <c r="AA379" s="217">
        <f>ROUND(AG379+(INDEX(Ref!F$1:F$9,MATCH($AI379,Ref!$A$1:$A$9,0))*$P379*0.0001),)</f>
        <v>60</v>
      </c>
      <c r="AB379" s="217">
        <f>ROUND(AH379+(INDEX(Ref!G$1:G$9,MATCH($AI379,Ref!$A$1:$A$9,0))*$P379*0.0001),)</f>
        <v>53</v>
      </c>
      <c r="AC379" s="137">
        <v>19</v>
      </c>
      <c r="AD379" s="137">
        <v>36</v>
      </c>
      <c r="AE379" s="137">
        <v>42</v>
      </c>
      <c r="AF379" s="137">
        <v>21</v>
      </c>
      <c r="AG379" s="137">
        <v>46</v>
      </c>
      <c r="AH379" s="137">
        <v>40</v>
      </c>
      <c r="AI379" s="208">
        <v>5</v>
      </c>
      <c r="AJ379" s="172">
        <v>3000</v>
      </c>
      <c r="AK379" s="172">
        <v>30452</v>
      </c>
      <c r="AL379" s="172">
        <v>2000</v>
      </c>
      <c r="AM379" s="172">
        <v>30455</v>
      </c>
      <c r="AN379" s="172">
        <v>0</v>
      </c>
      <c r="AO379" s="172">
        <f t="shared" si="46"/>
        <v>34452</v>
      </c>
      <c r="AP379" s="172">
        <v>0</v>
      </c>
      <c r="AQ379" s="172">
        <f t="shared" si="47"/>
        <v>34455</v>
      </c>
      <c r="AR379" s="172">
        <v>1</v>
      </c>
      <c r="AS379" s="172">
        <v>0</v>
      </c>
      <c r="AT379" s="199">
        <v>78076</v>
      </c>
      <c r="AU379" s="195" t="s">
        <v>297</v>
      </c>
    </row>
    <row r="380" spans="1:47" x14ac:dyDescent="0.2">
      <c r="A380" s="173">
        <v>55076</v>
      </c>
      <c r="B380" s="174" t="s">
        <v>295</v>
      </c>
      <c r="C380" s="172">
        <v>86076</v>
      </c>
      <c r="D380" s="172">
        <v>150076</v>
      </c>
      <c r="E380" s="206" t="s">
        <v>296</v>
      </c>
      <c r="F380" s="207">
        <v>5</v>
      </c>
      <c r="G380" s="172">
        <v>13000</v>
      </c>
      <c r="H380" s="172">
        <v>9000</v>
      </c>
      <c r="I380" s="172">
        <v>10000</v>
      </c>
      <c r="J380" s="172">
        <v>4</v>
      </c>
      <c r="K380" s="190">
        <f>IF($J380=1,INDEX('큐펫&amp;몹 정리(최신)'!P:P,MATCH($E380,'큐펫&amp;몹 정리(최신)'!$B:$B,0))*20,IF($J380=2,INDEX('큐펫&amp;몹 정리(최신)'!P:P,MATCH($E380,'큐펫&amp;몹 정리(최신)'!$B:$B,0))*25,IF($J380=3,INDEX('큐펫&amp;몹 정리(최신)'!P:P,MATCH($E380,'큐펫&amp;몹 정리(최신)'!$B:$B,0))*30,IF($J380=4,INDEX('큐펫&amp;몹 정리(최신)'!P:P,MATCH($E380,'큐펫&amp;몹 정리(최신)'!$B:$B,0))*35,INDEX('큐펫&amp;몹 정리(최신)'!P:P,MATCH($E380,'큐펫&amp;몹 정리(최신)'!$B:$B,0))*40))))</f>
        <v>1400</v>
      </c>
      <c r="L380" s="190">
        <f>IF($J380=1,INDEX('큐펫&amp;몹 정리(최신)'!Q:Q,MATCH($E380,'큐펫&amp;몹 정리(최신)'!$B:$B,0))*20,IF($J380=2,INDEX('큐펫&amp;몹 정리(최신)'!Q:Q,MATCH($E380,'큐펫&amp;몹 정리(최신)'!$B:$B,0))*25,IF($J380=3,INDEX('큐펫&amp;몹 정리(최신)'!Q:Q,MATCH($E380,'큐펫&amp;몹 정리(최신)'!$B:$B,0))*30,IF($J380=4,INDEX('큐펫&amp;몹 정리(최신)'!Q:Q,MATCH($E380,'큐펫&amp;몹 정리(최신)'!$B:$B,0))*35,INDEX('큐펫&amp;몹 정리(최신)'!Q:Q,MATCH($E380,'큐펫&amp;몹 정리(최신)'!$B:$B,0))*40))))</f>
        <v>595</v>
      </c>
      <c r="M380" s="190">
        <f>IF($J380=1,INDEX('큐펫&amp;몹 정리(최신)'!R:R,MATCH($E380,'큐펫&amp;몹 정리(최신)'!$B:$B,0))*20,IF($J380=2,INDEX('큐펫&amp;몹 정리(최신)'!R:R,MATCH($E380,'큐펫&amp;몹 정리(최신)'!$B:$B,0))*25,IF($J380=3,INDEX('큐펫&amp;몹 정리(최신)'!R:R,MATCH($E380,'큐펫&amp;몹 정리(최신)'!$B:$B,0))*30,IF($J380=4,INDEX('큐펫&amp;몹 정리(최신)'!R:R,MATCH($E380,'큐펫&amp;몹 정리(최신)'!$B:$B,0))*35,INDEX('큐펫&amp;몹 정리(최신)'!R:R,MATCH($E380,'큐펫&amp;몹 정리(최신)'!$B:$B,0))*40))))</f>
        <v>140</v>
      </c>
      <c r="N380" s="190">
        <f>IF($J380=1,INDEX('큐펫&amp;몹 정리(최신)'!S:S,MATCH($E380,'큐펫&amp;몹 정리(최신)'!$B:$B,0))*20,IF($J380=2,INDEX('큐펫&amp;몹 정리(최신)'!S:S,MATCH($E380,'큐펫&amp;몹 정리(최신)'!$B:$B,0))*25,IF($J380=3,INDEX('큐펫&amp;몹 정리(최신)'!S:S,MATCH($E380,'큐펫&amp;몹 정리(최신)'!$B:$B,0))*30,IF($J380=4,INDEX('큐펫&amp;몹 정리(최신)'!S:S,MATCH($E380,'큐펫&amp;몹 정리(최신)'!$B:$B,0))*35,INDEX('큐펫&amp;몹 정리(최신)'!S:S,MATCH($E380,'큐펫&amp;몹 정리(최신)'!$B:$B,0))*40))))</f>
        <v>595</v>
      </c>
      <c r="O380" s="190">
        <f>IF($J380=1,INDEX('큐펫&amp;몹 정리(최신)'!T:T,MATCH($E380,'큐펫&amp;몹 정리(최신)'!$B:$B,0))*20,IF($J380=2,INDEX('큐펫&amp;몹 정리(최신)'!T:T,MATCH($E380,'큐펫&amp;몹 정리(최신)'!$B:$B,0))*25,IF($J380=3,INDEX('큐펫&amp;몹 정리(최신)'!T:T,MATCH($E380,'큐펫&amp;몹 정리(최신)'!$B:$B,0))*30,IF($J380=4,INDEX('큐펫&amp;몹 정리(최신)'!T:T,MATCH($E380,'큐펫&amp;몹 정리(최신)'!$B:$B,0))*35,INDEX('큐펫&amp;몹 정리(최신)'!T:T,MATCH($E380,'큐펫&amp;몹 정리(최신)'!$B:$B,0))*40))))</f>
        <v>770</v>
      </c>
      <c r="P380" s="217">
        <v>80</v>
      </c>
      <c r="Q380" s="217">
        <f t="shared" si="40"/>
        <v>179480</v>
      </c>
      <c r="R380" s="217">
        <f t="shared" si="41"/>
        <v>5849</v>
      </c>
      <c r="S380" s="217">
        <f t="shared" si="42"/>
        <v>29354</v>
      </c>
      <c r="T380" s="217">
        <f t="shared" si="43"/>
        <v>1750</v>
      </c>
      <c r="U380" s="217">
        <f t="shared" si="44"/>
        <v>39877</v>
      </c>
      <c r="V380" s="217">
        <f t="shared" si="45"/>
        <v>25829</v>
      </c>
      <c r="W380" s="217">
        <f>ROUND(AC380+(INDEX(Ref!B$1:B$9,MATCH($AI380,Ref!$A$1:$A$9,0))*P380*0.0001),)</f>
        <v>31</v>
      </c>
      <c r="X380" s="217">
        <f>ROUND(AD380+(INDEX(Ref!C$1:C$9,MATCH($AI380,Ref!$A$1:$A$9,0))*$P380*0.0001),)</f>
        <v>54</v>
      </c>
      <c r="Y380" s="217">
        <f>ROUND(AE380+(INDEX(Ref!D$1:D$9,MATCH($AI380,Ref!$A$1:$A$9,0))*$P380*0.0001),)</f>
        <v>54</v>
      </c>
      <c r="Z380" s="217">
        <f>ROUND(AF380+(INDEX(Ref!E$1:E$9,MATCH($AI380,Ref!$A$1:$A$9,0))*$P380*0.0001),)</f>
        <v>34</v>
      </c>
      <c r="AA380" s="217">
        <f>ROUND(AG380+(INDEX(Ref!F$1:F$9,MATCH($AI380,Ref!$A$1:$A$9,0))*$P380*0.0001),)</f>
        <v>70</v>
      </c>
      <c r="AB380" s="217">
        <f>ROUND(AH380+(INDEX(Ref!G$1:G$9,MATCH($AI380,Ref!$A$1:$A$9,0))*$P380*0.0001),)</f>
        <v>61</v>
      </c>
      <c r="AC380" s="137">
        <v>22</v>
      </c>
      <c r="AD380" s="137">
        <v>39</v>
      </c>
      <c r="AE380" s="137">
        <v>44</v>
      </c>
      <c r="AF380" s="137">
        <v>24</v>
      </c>
      <c r="AG380" s="137">
        <v>51</v>
      </c>
      <c r="AH380" s="137">
        <v>44</v>
      </c>
      <c r="AI380" s="208">
        <v>5</v>
      </c>
      <c r="AJ380" s="172">
        <v>3000</v>
      </c>
      <c r="AK380" s="172">
        <v>30453</v>
      </c>
      <c r="AL380" s="172">
        <v>2000</v>
      </c>
      <c r="AM380" s="172">
        <v>30455</v>
      </c>
      <c r="AN380" s="172">
        <v>0</v>
      </c>
      <c r="AO380" s="172">
        <f t="shared" si="46"/>
        <v>34453</v>
      </c>
      <c r="AP380" s="172">
        <v>0</v>
      </c>
      <c r="AQ380" s="172">
        <f t="shared" si="47"/>
        <v>34455</v>
      </c>
      <c r="AR380" s="172">
        <v>1</v>
      </c>
      <c r="AS380" s="172">
        <v>0</v>
      </c>
      <c r="AT380" s="199">
        <v>78076</v>
      </c>
      <c r="AU380" s="195" t="s">
        <v>297</v>
      </c>
    </row>
    <row r="381" spans="1:47" x14ac:dyDescent="0.2">
      <c r="A381" s="173">
        <v>55076</v>
      </c>
      <c r="B381" s="174" t="s">
        <v>295</v>
      </c>
      <c r="C381" s="172">
        <v>86076</v>
      </c>
      <c r="D381" s="172">
        <v>150076</v>
      </c>
      <c r="E381" s="206" t="s">
        <v>296</v>
      </c>
      <c r="F381" s="207">
        <v>5</v>
      </c>
      <c r="G381" s="172">
        <v>13000</v>
      </c>
      <c r="H381" s="172">
        <v>9000</v>
      </c>
      <c r="I381" s="172">
        <v>10000</v>
      </c>
      <c r="J381" s="172">
        <v>5</v>
      </c>
      <c r="K381" s="190">
        <f>IF($J381=1,INDEX('큐펫&amp;몹 정리(최신)'!P:P,MATCH($E381,'큐펫&amp;몹 정리(최신)'!$B:$B,0))*20,IF($J381=2,INDEX('큐펫&amp;몹 정리(최신)'!P:P,MATCH($E381,'큐펫&amp;몹 정리(최신)'!$B:$B,0))*25,IF($J381=3,INDEX('큐펫&amp;몹 정리(최신)'!P:P,MATCH($E381,'큐펫&amp;몹 정리(최신)'!$B:$B,0))*30,IF($J381=4,INDEX('큐펫&amp;몹 정리(최신)'!P:P,MATCH($E381,'큐펫&amp;몹 정리(최신)'!$B:$B,0))*35,INDEX('큐펫&amp;몹 정리(최신)'!P:P,MATCH($E381,'큐펫&amp;몹 정리(최신)'!$B:$B,0))*40))))</f>
        <v>1600</v>
      </c>
      <c r="L381" s="190">
        <f>IF($J381=1,INDEX('큐펫&amp;몹 정리(최신)'!Q:Q,MATCH($E381,'큐펫&amp;몹 정리(최신)'!$B:$B,0))*20,IF($J381=2,INDEX('큐펫&amp;몹 정리(최신)'!Q:Q,MATCH($E381,'큐펫&amp;몹 정리(최신)'!$B:$B,0))*25,IF($J381=3,INDEX('큐펫&amp;몹 정리(최신)'!Q:Q,MATCH($E381,'큐펫&amp;몹 정리(최신)'!$B:$B,0))*30,IF($J381=4,INDEX('큐펫&amp;몹 정리(최신)'!Q:Q,MATCH($E381,'큐펫&amp;몹 정리(최신)'!$B:$B,0))*35,INDEX('큐펫&amp;몹 정리(최신)'!Q:Q,MATCH($E381,'큐펫&amp;몹 정리(최신)'!$B:$B,0))*40))))</f>
        <v>680</v>
      </c>
      <c r="M381" s="190">
        <f>IF($J381=1,INDEX('큐펫&amp;몹 정리(최신)'!R:R,MATCH($E381,'큐펫&amp;몹 정리(최신)'!$B:$B,0))*20,IF($J381=2,INDEX('큐펫&amp;몹 정리(최신)'!R:R,MATCH($E381,'큐펫&amp;몹 정리(최신)'!$B:$B,0))*25,IF($J381=3,INDEX('큐펫&amp;몹 정리(최신)'!R:R,MATCH($E381,'큐펫&amp;몹 정리(최신)'!$B:$B,0))*30,IF($J381=4,INDEX('큐펫&amp;몹 정리(최신)'!R:R,MATCH($E381,'큐펫&amp;몹 정리(최신)'!$B:$B,0))*35,INDEX('큐펫&amp;몹 정리(최신)'!R:R,MATCH($E381,'큐펫&amp;몹 정리(최신)'!$B:$B,0))*40))))</f>
        <v>160</v>
      </c>
      <c r="N381" s="190">
        <f>IF($J381=1,INDEX('큐펫&amp;몹 정리(최신)'!S:S,MATCH($E381,'큐펫&amp;몹 정리(최신)'!$B:$B,0))*20,IF($J381=2,INDEX('큐펫&amp;몹 정리(최신)'!S:S,MATCH($E381,'큐펫&amp;몹 정리(최신)'!$B:$B,0))*25,IF($J381=3,INDEX('큐펫&amp;몹 정리(최신)'!S:S,MATCH($E381,'큐펫&amp;몹 정리(최신)'!$B:$B,0))*30,IF($J381=4,INDEX('큐펫&amp;몹 정리(최신)'!S:S,MATCH($E381,'큐펫&amp;몹 정리(최신)'!$B:$B,0))*35,INDEX('큐펫&amp;몹 정리(최신)'!S:S,MATCH($E381,'큐펫&amp;몹 정리(최신)'!$B:$B,0))*40))))</f>
        <v>680</v>
      </c>
      <c r="O381" s="190">
        <f>IF($J381=1,INDEX('큐펫&amp;몹 정리(최신)'!T:T,MATCH($E381,'큐펫&amp;몹 정리(최신)'!$B:$B,0))*20,IF($J381=2,INDEX('큐펫&amp;몹 정리(최신)'!T:T,MATCH($E381,'큐펫&amp;몹 정리(최신)'!$B:$B,0))*25,IF($J381=3,INDEX('큐펫&amp;몹 정리(최신)'!T:T,MATCH($E381,'큐펫&amp;몹 정리(최신)'!$B:$B,0))*30,IF($J381=4,INDEX('큐펫&amp;몹 정리(최신)'!T:T,MATCH($E381,'큐펫&amp;몹 정리(최신)'!$B:$B,0))*35,INDEX('큐펫&amp;몹 정리(최신)'!T:T,MATCH($E381,'큐펫&amp;몹 정리(최신)'!$B:$B,0))*40))))</f>
        <v>880</v>
      </c>
      <c r="P381" s="217">
        <v>100</v>
      </c>
      <c r="Q381" s="217">
        <f t="shared" si="40"/>
        <v>264000</v>
      </c>
      <c r="R381" s="217">
        <f t="shared" si="41"/>
        <v>8483</v>
      </c>
      <c r="S381" s="217">
        <f t="shared" si="42"/>
        <v>43752</v>
      </c>
      <c r="T381" s="217">
        <f t="shared" si="43"/>
        <v>2463</v>
      </c>
      <c r="U381" s="217">
        <f t="shared" si="44"/>
        <v>54414</v>
      </c>
      <c r="V381" s="217">
        <f t="shared" si="45"/>
        <v>35238</v>
      </c>
      <c r="W381" s="217">
        <f>ROUND(AC381+(INDEX(Ref!B$1:B$9,MATCH($AI381,Ref!$A$1:$A$9,0))*P381*0.0001),)</f>
        <v>35</v>
      </c>
      <c r="X381" s="217">
        <f>ROUND(AD381+(INDEX(Ref!C$1:C$9,MATCH($AI381,Ref!$A$1:$A$9,0))*$P381*0.0001),)</f>
        <v>62</v>
      </c>
      <c r="Y381" s="217">
        <f>ROUND(AE381+(INDEX(Ref!D$1:D$9,MATCH($AI381,Ref!$A$1:$A$9,0))*$P381*0.0001),)</f>
        <v>60</v>
      </c>
      <c r="Z381" s="217">
        <f>ROUND(AF381+(INDEX(Ref!E$1:E$9,MATCH($AI381,Ref!$A$1:$A$9,0))*$P381*0.0001),)</f>
        <v>38</v>
      </c>
      <c r="AA381" s="217">
        <f>ROUND(AG381+(INDEX(Ref!F$1:F$9,MATCH($AI381,Ref!$A$1:$A$9,0))*$P381*0.0001),)</f>
        <v>80</v>
      </c>
      <c r="AB381" s="217">
        <f>ROUND(AH381+(INDEX(Ref!G$1:G$9,MATCH($AI381,Ref!$A$1:$A$9,0))*$P381*0.0001),)</f>
        <v>69</v>
      </c>
      <c r="AC381" s="137">
        <v>24</v>
      </c>
      <c r="AD381" s="137">
        <v>43</v>
      </c>
      <c r="AE381" s="137">
        <v>47</v>
      </c>
      <c r="AF381" s="137">
        <v>26</v>
      </c>
      <c r="AG381" s="137">
        <v>56</v>
      </c>
      <c r="AH381" s="137">
        <v>48</v>
      </c>
      <c r="AI381" s="208">
        <v>5</v>
      </c>
      <c r="AJ381" s="172">
        <v>3000</v>
      </c>
      <c r="AK381" s="172">
        <v>30453</v>
      </c>
      <c r="AL381" s="172">
        <v>2000</v>
      </c>
      <c r="AM381" s="172">
        <v>30456</v>
      </c>
      <c r="AN381" s="172">
        <v>0</v>
      </c>
      <c r="AO381" s="172">
        <f t="shared" si="46"/>
        <v>34453</v>
      </c>
      <c r="AP381" s="172">
        <v>0</v>
      </c>
      <c r="AQ381" s="172">
        <f t="shared" si="47"/>
        <v>34456</v>
      </c>
      <c r="AR381" s="172">
        <v>1</v>
      </c>
      <c r="AS381" s="172">
        <v>0</v>
      </c>
      <c r="AT381" s="199">
        <v>78076</v>
      </c>
      <c r="AU381" s="195" t="s">
        <v>297</v>
      </c>
    </row>
    <row r="382" spans="1:47" x14ac:dyDescent="0.2">
      <c r="A382" s="173">
        <v>55077</v>
      </c>
      <c r="B382" s="179" t="s">
        <v>1042</v>
      </c>
      <c r="C382" s="172">
        <v>86077</v>
      </c>
      <c r="D382" s="172">
        <v>150077</v>
      </c>
      <c r="E382" s="206" t="s">
        <v>998</v>
      </c>
      <c r="F382" s="207">
        <v>9</v>
      </c>
      <c r="G382" s="172">
        <v>8500</v>
      </c>
      <c r="H382" s="172">
        <v>8500</v>
      </c>
      <c r="I382" s="172">
        <v>10000</v>
      </c>
      <c r="J382" s="172">
        <v>1</v>
      </c>
      <c r="K382" s="190">
        <f>IF($J382=1,INDEX('큐펫&amp;몹 정리(최신)'!P:P,MATCH($E382,'큐펫&amp;몹 정리(최신)'!$B:$B,0))*20,IF($J382=2,INDEX('큐펫&amp;몹 정리(최신)'!P:P,MATCH($E382,'큐펫&amp;몹 정리(최신)'!$B:$B,0))*25,IF($J382=3,INDEX('큐펫&amp;몹 정리(최신)'!P:P,MATCH($E382,'큐펫&amp;몹 정리(최신)'!$B:$B,0))*30,IF($J382=4,INDEX('큐펫&amp;몹 정리(최신)'!P:P,MATCH($E382,'큐펫&amp;몹 정리(최신)'!$B:$B,0))*35,INDEX('큐펫&amp;몹 정리(최신)'!P:P,MATCH($E382,'큐펫&amp;몹 정리(최신)'!$B:$B,0))*40))))</f>
        <v>760</v>
      </c>
      <c r="L382" s="190">
        <f>IF($J382=1,INDEX('큐펫&amp;몹 정리(최신)'!Q:Q,MATCH($E382,'큐펫&amp;몹 정리(최신)'!$B:$B,0))*20,IF($J382=2,INDEX('큐펫&amp;몹 정리(최신)'!Q:Q,MATCH($E382,'큐펫&amp;몹 정리(최신)'!$B:$B,0))*25,IF($J382=3,INDEX('큐펫&amp;몹 정리(최신)'!Q:Q,MATCH($E382,'큐펫&amp;몹 정리(최신)'!$B:$B,0))*30,IF($J382=4,INDEX('큐펫&amp;몹 정리(최신)'!Q:Q,MATCH($E382,'큐펫&amp;몹 정리(최신)'!$B:$B,0))*35,INDEX('큐펫&amp;몹 정리(최신)'!Q:Q,MATCH($E382,'큐펫&amp;몹 정리(최신)'!$B:$B,0))*40))))</f>
        <v>80</v>
      </c>
      <c r="M382" s="190">
        <f>IF($J382=1,INDEX('큐펫&amp;몹 정리(최신)'!R:R,MATCH($E382,'큐펫&amp;몹 정리(최신)'!$B:$B,0))*20,IF($J382=2,INDEX('큐펫&amp;몹 정리(최신)'!R:R,MATCH($E382,'큐펫&amp;몹 정리(최신)'!$B:$B,0))*25,IF($J382=3,INDEX('큐펫&amp;몹 정리(최신)'!R:R,MATCH($E382,'큐펫&amp;몹 정리(최신)'!$B:$B,0))*30,IF($J382=4,INDEX('큐펫&amp;몹 정리(최신)'!R:R,MATCH($E382,'큐펫&amp;몹 정리(최신)'!$B:$B,0))*35,INDEX('큐펫&amp;몹 정리(최신)'!R:R,MATCH($E382,'큐펫&amp;몹 정리(최신)'!$B:$B,0))*40))))</f>
        <v>420</v>
      </c>
      <c r="N382" s="190">
        <f>IF($J382=1,INDEX('큐펫&amp;몹 정리(최신)'!S:S,MATCH($E382,'큐펫&amp;몹 정리(최신)'!$B:$B,0))*20,IF($J382=2,INDEX('큐펫&amp;몹 정리(최신)'!S:S,MATCH($E382,'큐펫&amp;몹 정리(최신)'!$B:$B,0))*25,IF($J382=3,INDEX('큐펫&amp;몹 정리(최신)'!S:S,MATCH($E382,'큐펫&amp;몹 정리(최신)'!$B:$B,0))*30,IF($J382=4,INDEX('큐펫&amp;몹 정리(최신)'!S:S,MATCH($E382,'큐펫&amp;몹 정리(최신)'!$B:$B,0))*35,INDEX('큐펫&amp;몹 정리(최신)'!S:S,MATCH($E382,'큐펫&amp;몹 정리(최신)'!$B:$B,0))*40))))</f>
        <v>340</v>
      </c>
      <c r="O382" s="190">
        <f>IF($J382=1,INDEX('큐펫&amp;몹 정리(최신)'!T:T,MATCH($E382,'큐펫&amp;몹 정리(최신)'!$B:$B,0))*20,IF($J382=2,INDEX('큐펫&amp;몹 정리(최신)'!T:T,MATCH($E382,'큐펫&amp;몹 정리(최신)'!$B:$B,0))*25,IF($J382=3,INDEX('큐펫&amp;몹 정리(최신)'!T:T,MATCH($E382,'큐펫&amp;몹 정리(최신)'!$B:$B,0))*30,IF($J382=4,INDEX('큐펫&amp;몹 정리(최신)'!T:T,MATCH($E382,'큐펫&amp;몹 정리(최신)'!$B:$B,0))*35,INDEX('큐펫&amp;몹 정리(최신)'!T:T,MATCH($E382,'큐펫&amp;몹 정리(최신)'!$B:$B,0))*40))))</f>
        <v>400</v>
      </c>
      <c r="P382" s="217">
        <v>20</v>
      </c>
      <c r="Q382" s="217">
        <f t="shared" si="40"/>
        <v>25536</v>
      </c>
      <c r="R382" s="217">
        <f t="shared" si="41"/>
        <v>418</v>
      </c>
      <c r="S382" s="217">
        <f t="shared" si="42"/>
        <v>704</v>
      </c>
      <c r="T382" s="217">
        <f t="shared" si="43"/>
        <v>4944</v>
      </c>
      <c r="U382" s="217">
        <f t="shared" si="44"/>
        <v>10717</v>
      </c>
      <c r="V382" s="217">
        <f t="shared" si="45"/>
        <v>6334</v>
      </c>
      <c r="W382" s="217">
        <f>ROUND(AC382+(INDEX(Ref!B$1:B$9,MATCH($AI382,Ref!$A$1:$A$9,0))*P382*0.0001),)</f>
        <v>21</v>
      </c>
      <c r="X382" s="217">
        <f>ROUND(AD382+(INDEX(Ref!C$1:C$9,MATCH($AI382,Ref!$A$1:$A$9,0))*$P382*0.0001),)</f>
        <v>26</v>
      </c>
      <c r="Y382" s="217">
        <f>ROUND(AE382+(INDEX(Ref!D$1:D$9,MATCH($AI382,Ref!$A$1:$A$9,0))*$P382*0.0001),)</f>
        <v>43</v>
      </c>
      <c r="Z382" s="217">
        <f>ROUND(AF382+(INDEX(Ref!E$1:E$9,MATCH($AI382,Ref!$A$1:$A$9,0))*$P382*0.0001),)</f>
        <v>34</v>
      </c>
      <c r="AA382" s="217">
        <f>ROUND(AG382+(INDEX(Ref!F$1:F$9,MATCH($AI382,Ref!$A$1:$A$9,0))*$P382*0.0001),)</f>
        <v>28</v>
      </c>
      <c r="AB382" s="217">
        <f>ROUND(AH382+(INDEX(Ref!G$1:G$9,MATCH($AI382,Ref!$A$1:$A$9,0))*$P382*0.0001),)</f>
        <v>32</v>
      </c>
      <c r="AC382" s="137">
        <v>18</v>
      </c>
      <c r="AD382" s="137">
        <v>23</v>
      </c>
      <c r="AE382" s="137">
        <v>40</v>
      </c>
      <c r="AF382" s="137">
        <v>30</v>
      </c>
      <c r="AG382" s="137">
        <v>25</v>
      </c>
      <c r="AH382" s="137">
        <v>28</v>
      </c>
      <c r="AI382" s="208">
        <v>8</v>
      </c>
      <c r="AJ382" s="172">
        <v>3000</v>
      </c>
      <c r="AK382" s="172">
        <v>30457</v>
      </c>
      <c r="AL382" s="172">
        <v>2000</v>
      </c>
      <c r="AM382" s="172">
        <v>30460</v>
      </c>
      <c r="AN382" s="172">
        <v>0</v>
      </c>
      <c r="AO382" s="172">
        <f t="shared" si="46"/>
        <v>34457</v>
      </c>
      <c r="AP382" s="172">
        <v>0</v>
      </c>
      <c r="AQ382" s="172">
        <f t="shared" si="47"/>
        <v>34460</v>
      </c>
      <c r="AR382" s="172">
        <v>1</v>
      </c>
      <c r="AS382" s="172">
        <v>0</v>
      </c>
      <c r="AT382" s="199">
        <v>78077</v>
      </c>
      <c r="AU382" s="195" t="s">
        <v>298</v>
      </c>
    </row>
    <row r="383" spans="1:47" x14ac:dyDescent="0.2">
      <c r="A383" s="173">
        <v>55077</v>
      </c>
      <c r="B383" s="179" t="s">
        <v>1042</v>
      </c>
      <c r="C383" s="172">
        <v>86077</v>
      </c>
      <c r="D383" s="172">
        <v>150077</v>
      </c>
      <c r="E383" s="206" t="s">
        <v>998</v>
      </c>
      <c r="F383" s="207">
        <v>9</v>
      </c>
      <c r="G383" s="172">
        <v>8500</v>
      </c>
      <c r="H383" s="172">
        <v>8500</v>
      </c>
      <c r="I383" s="172">
        <v>10000</v>
      </c>
      <c r="J383" s="172">
        <v>2</v>
      </c>
      <c r="K383" s="190">
        <f>IF($J383=1,INDEX('큐펫&amp;몹 정리(최신)'!P:P,MATCH($E383,'큐펫&amp;몹 정리(최신)'!$B:$B,0))*20,IF($J383=2,INDEX('큐펫&amp;몹 정리(최신)'!P:P,MATCH($E383,'큐펫&amp;몹 정리(최신)'!$B:$B,0))*25,IF($J383=3,INDEX('큐펫&amp;몹 정리(최신)'!P:P,MATCH($E383,'큐펫&amp;몹 정리(최신)'!$B:$B,0))*30,IF($J383=4,INDEX('큐펫&amp;몹 정리(최신)'!P:P,MATCH($E383,'큐펫&amp;몹 정리(최신)'!$B:$B,0))*35,INDEX('큐펫&amp;몹 정리(최신)'!P:P,MATCH($E383,'큐펫&amp;몹 정리(최신)'!$B:$B,0))*40))))</f>
        <v>950</v>
      </c>
      <c r="L383" s="190">
        <f>IF($J383=1,INDEX('큐펫&amp;몹 정리(최신)'!Q:Q,MATCH($E383,'큐펫&amp;몹 정리(최신)'!$B:$B,0))*20,IF($J383=2,INDEX('큐펫&amp;몹 정리(최신)'!Q:Q,MATCH($E383,'큐펫&amp;몹 정리(최신)'!$B:$B,0))*25,IF($J383=3,INDEX('큐펫&amp;몹 정리(최신)'!Q:Q,MATCH($E383,'큐펫&amp;몹 정리(최신)'!$B:$B,0))*30,IF($J383=4,INDEX('큐펫&amp;몹 정리(최신)'!Q:Q,MATCH($E383,'큐펫&amp;몹 정리(최신)'!$B:$B,0))*35,INDEX('큐펫&amp;몹 정리(최신)'!Q:Q,MATCH($E383,'큐펫&amp;몹 정리(최신)'!$B:$B,0))*40))))</f>
        <v>100</v>
      </c>
      <c r="M383" s="190">
        <f>IF($J383=1,INDEX('큐펫&amp;몹 정리(최신)'!R:R,MATCH($E383,'큐펫&amp;몹 정리(최신)'!$B:$B,0))*20,IF($J383=2,INDEX('큐펫&amp;몹 정리(최신)'!R:R,MATCH($E383,'큐펫&amp;몹 정리(최신)'!$B:$B,0))*25,IF($J383=3,INDEX('큐펫&amp;몹 정리(최신)'!R:R,MATCH($E383,'큐펫&amp;몹 정리(최신)'!$B:$B,0))*30,IF($J383=4,INDEX('큐펫&amp;몹 정리(최신)'!R:R,MATCH($E383,'큐펫&amp;몹 정리(최신)'!$B:$B,0))*35,INDEX('큐펫&amp;몹 정리(최신)'!R:R,MATCH($E383,'큐펫&amp;몹 정리(최신)'!$B:$B,0))*40))))</f>
        <v>525</v>
      </c>
      <c r="N383" s="190">
        <f>IF($J383=1,INDEX('큐펫&amp;몹 정리(최신)'!S:S,MATCH($E383,'큐펫&amp;몹 정리(최신)'!$B:$B,0))*20,IF($J383=2,INDEX('큐펫&amp;몹 정리(최신)'!S:S,MATCH($E383,'큐펫&amp;몹 정리(최신)'!$B:$B,0))*25,IF($J383=3,INDEX('큐펫&amp;몹 정리(최신)'!S:S,MATCH($E383,'큐펫&amp;몹 정리(최신)'!$B:$B,0))*30,IF($J383=4,INDEX('큐펫&amp;몹 정리(최신)'!S:S,MATCH($E383,'큐펫&amp;몹 정리(최신)'!$B:$B,0))*35,INDEX('큐펫&amp;몹 정리(최신)'!S:S,MATCH($E383,'큐펫&amp;몹 정리(최신)'!$B:$B,0))*40))))</f>
        <v>425</v>
      </c>
      <c r="O383" s="190">
        <f>IF($J383=1,INDEX('큐펫&amp;몹 정리(최신)'!T:T,MATCH($E383,'큐펫&amp;몹 정리(최신)'!$B:$B,0))*20,IF($J383=2,INDEX('큐펫&amp;몹 정리(최신)'!T:T,MATCH($E383,'큐펫&amp;몹 정리(최신)'!$B:$B,0))*25,IF($J383=3,INDEX('큐펫&amp;몹 정리(최신)'!T:T,MATCH($E383,'큐펫&amp;몹 정리(최신)'!$B:$B,0))*30,IF($J383=4,INDEX('큐펫&amp;몹 정리(최신)'!T:T,MATCH($E383,'큐펫&amp;몹 정리(최신)'!$B:$B,0))*35,INDEX('큐펫&amp;몹 정리(최신)'!T:T,MATCH($E383,'큐펫&amp;몹 정리(최신)'!$B:$B,0))*40))))</f>
        <v>500</v>
      </c>
      <c r="P383" s="217">
        <v>40</v>
      </c>
      <c r="Q383" s="217">
        <f t="shared" si="40"/>
        <v>61320</v>
      </c>
      <c r="R383" s="217">
        <f t="shared" si="41"/>
        <v>764</v>
      </c>
      <c r="S383" s="217">
        <f t="shared" si="42"/>
        <v>1329</v>
      </c>
      <c r="T383" s="217">
        <f t="shared" si="43"/>
        <v>9379</v>
      </c>
      <c r="U383" s="217">
        <f t="shared" si="44"/>
        <v>18921</v>
      </c>
      <c r="V383" s="217">
        <f t="shared" si="45"/>
        <v>11167</v>
      </c>
      <c r="W383" s="217">
        <f>ROUND(AC383+(INDEX(Ref!B$1:B$9,MATCH($AI383,Ref!$A$1:$A$9,0))*P383*0.0001),)</f>
        <v>26</v>
      </c>
      <c r="X383" s="217">
        <f>ROUND(AD383+(INDEX(Ref!C$1:C$9,MATCH($AI383,Ref!$A$1:$A$9,0))*$P383*0.0001),)</f>
        <v>32</v>
      </c>
      <c r="Y383" s="217">
        <f>ROUND(AE383+(INDEX(Ref!D$1:D$9,MATCH($AI383,Ref!$A$1:$A$9,0))*$P383*0.0001),)</f>
        <v>49</v>
      </c>
      <c r="Z383" s="217">
        <f>ROUND(AF383+(INDEX(Ref!E$1:E$9,MATCH($AI383,Ref!$A$1:$A$9,0))*$P383*0.0001),)</f>
        <v>42</v>
      </c>
      <c r="AA383" s="217">
        <f>ROUND(AG383+(INDEX(Ref!F$1:F$9,MATCH($AI383,Ref!$A$1:$A$9,0))*$P383*0.0001),)</f>
        <v>35</v>
      </c>
      <c r="AB383" s="217">
        <f>ROUND(AH383+(INDEX(Ref!G$1:G$9,MATCH($AI383,Ref!$A$1:$A$9,0))*$P383*0.0001),)</f>
        <v>40</v>
      </c>
      <c r="AC383" s="137">
        <v>21</v>
      </c>
      <c r="AD383" s="137">
        <v>26</v>
      </c>
      <c r="AE383" s="137">
        <v>43</v>
      </c>
      <c r="AF383" s="137">
        <v>34</v>
      </c>
      <c r="AG383" s="137">
        <v>28</v>
      </c>
      <c r="AH383" s="137">
        <v>32</v>
      </c>
      <c r="AI383" s="208">
        <v>8</v>
      </c>
      <c r="AJ383" s="172">
        <v>3000</v>
      </c>
      <c r="AK383" s="172">
        <v>30458</v>
      </c>
      <c r="AL383" s="172">
        <v>2000</v>
      </c>
      <c r="AM383" s="172">
        <v>30460</v>
      </c>
      <c r="AN383" s="172">
        <v>0</v>
      </c>
      <c r="AO383" s="172">
        <f t="shared" si="46"/>
        <v>34458</v>
      </c>
      <c r="AP383" s="172">
        <v>0</v>
      </c>
      <c r="AQ383" s="172">
        <f t="shared" si="47"/>
        <v>34460</v>
      </c>
      <c r="AR383" s="172">
        <v>1</v>
      </c>
      <c r="AS383" s="172">
        <v>0</v>
      </c>
      <c r="AT383" s="199">
        <v>78077</v>
      </c>
      <c r="AU383" s="195" t="s">
        <v>298</v>
      </c>
    </row>
    <row r="384" spans="1:47" x14ac:dyDescent="0.2">
      <c r="A384" s="173">
        <v>55077</v>
      </c>
      <c r="B384" s="179" t="s">
        <v>1042</v>
      </c>
      <c r="C384" s="172">
        <v>86077</v>
      </c>
      <c r="D384" s="172">
        <v>150077</v>
      </c>
      <c r="E384" s="206" t="s">
        <v>998</v>
      </c>
      <c r="F384" s="207">
        <v>9</v>
      </c>
      <c r="G384" s="172">
        <v>8500</v>
      </c>
      <c r="H384" s="172">
        <v>8500</v>
      </c>
      <c r="I384" s="172">
        <v>10000</v>
      </c>
      <c r="J384" s="172">
        <v>3</v>
      </c>
      <c r="K384" s="190">
        <f>IF($J384=1,INDEX('큐펫&amp;몹 정리(최신)'!P:P,MATCH($E384,'큐펫&amp;몹 정리(최신)'!$B:$B,0))*20,IF($J384=2,INDEX('큐펫&amp;몹 정리(최신)'!P:P,MATCH($E384,'큐펫&amp;몹 정리(최신)'!$B:$B,0))*25,IF($J384=3,INDEX('큐펫&amp;몹 정리(최신)'!P:P,MATCH($E384,'큐펫&amp;몹 정리(최신)'!$B:$B,0))*30,IF($J384=4,INDEX('큐펫&amp;몹 정리(최신)'!P:P,MATCH($E384,'큐펫&amp;몹 정리(최신)'!$B:$B,0))*35,INDEX('큐펫&amp;몹 정리(최신)'!P:P,MATCH($E384,'큐펫&amp;몹 정리(최신)'!$B:$B,0))*40))))</f>
        <v>1140</v>
      </c>
      <c r="L384" s="190">
        <f>IF($J384=1,INDEX('큐펫&amp;몹 정리(최신)'!Q:Q,MATCH($E384,'큐펫&amp;몹 정리(최신)'!$B:$B,0))*20,IF($J384=2,INDEX('큐펫&amp;몹 정리(최신)'!Q:Q,MATCH($E384,'큐펫&amp;몹 정리(최신)'!$B:$B,0))*25,IF($J384=3,INDEX('큐펫&amp;몹 정리(최신)'!Q:Q,MATCH($E384,'큐펫&amp;몹 정리(최신)'!$B:$B,0))*30,IF($J384=4,INDEX('큐펫&amp;몹 정리(최신)'!Q:Q,MATCH($E384,'큐펫&amp;몹 정리(최신)'!$B:$B,0))*35,INDEX('큐펫&amp;몹 정리(최신)'!Q:Q,MATCH($E384,'큐펫&amp;몹 정리(최신)'!$B:$B,0))*40))))</f>
        <v>120</v>
      </c>
      <c r="M384" s="190">
        <f>IF($J384=1,INDEX('큐펫&amp;몹 정리(최신)'!R:R,MATCH($E384,'큐펫&amp;몹 정리(최신)'!$B:$B,0))*20,IF($J384=2,INDEX('큐펫&amp;몹 정리(최신)'!R:R,MATCH($E384,'큐펫&amp;몹 정리(최신)'!$B:$B,0))*25,IF($J384=3,INDEX('큐펫&amp;몹 정리(최신)'!R:R,MATCH($E384,'큐펫&amp;몹 정리(최신)'!$B:$B,0))*30,IF($J384=4,INDEX('큐펫&amp;몹 정리(최신)'!R:R,MATCH($E384,'큐펫&amp;몹 정리(최신)'!$B:$B,0))*35,INDEX('큐펫&amp;몹 정리(최신)'!R:R,MATCH($E384,'큐펫&amp;몹 정리(최신)'!$B:$B,0))*40))))</f>
        <v>630</v>
      </c>
      <c r="N384" s="190">
        <f>IF($J384=1,INDEX('큐펫&amp;몹 정리(최신)'!S:S,MATCH($E384,'큐펫&amp;몹 정리(최신)'!$B:$B,0))*20,IF($J384=2,INDEX('큐펫&amp;몹 정리(최신)'!S:S,MATCH($E384,'큐펫&amp;몹 정리(최신)'!$B:$B,0))*25,IF($J384=3,INDEX('큐펫&amp;몹 정리(최신)'!S:S,MATCH($E384,'큐펫&amp;몹 정리(최신)'!$B:$B,0))*30,IF($J384=4,INDEX('큐펫&amp;몹 정리(최신)'!S:S,MATCH($E384,'큐펫&amp;몹 정리(최신)'!$B:$B,0))*35,INDEX('큐펫&amp;몹 정리(최신)'!S:S,MATCH($E384,'큐펫&amp;몹 정리(최신)'!$B:$B,0))*40))))</f>
        <v>510</v>
      </c>
      <c r="O384" s="190">
        <f>IF($J384=1,INDEX('큐펫&amp;몹 정리(최신)'!T:T,MATCH($E384,'큐펫&amp;몹 정리(최신)'!$B:$B,0))*20,IF($J384=2,INDEX('큐펫&amp;몹 정리(최신)'!T:T,MATCH($E384,'큐펫&amp;몹 정리(최신)'!$B:$B,0))*25,IF($J384=3,INDEX('큐펫&amp;몹 정리(최신)'!T:T,MATCH($E384,'큐펫&amp;몹 정리(최신)'!$B:$B,0))*30,IF($J384=4,INDEX('큐펫&amp;몹 정리(최신)'!T:T,MATCH($E384,'큐펫&amp;몹 정리(최신)'!$B:$B,0))*35,INDEX('큐펫&amp;몹 정리(최신)'!T:T,MATCH($E384,'큐펫&amp;몹 정리(최신)'!$B:$B,0))*40))))</f>
        <v>600</v>
      </c>
      <c r="P384" s="217">
        <v>60</v>
      </c>
      <c r="Q384" s="217">
        <f t="shared" si="40"/>
        <v>111036</v>
      </c>
      <c r="R384" s="217">
        <f t="shared" si="41"/>
        <v>1265</v>
      </c>
      <c r="S384" s="217">
        <f t="shared" si="42"/>
        <v>2247</v>
      </c>
      <c r="T384" s="217">
        <f t="shared" si="43"/>
        <v>15897</v>
      </c>
      <c r="U384" s="217">
        <f t="shared" si="44"/>
        <v>29081</v>
      </c>
      <c r="V384" s="217">
        <f t="shared" si="45"/>
        <v>17150</v>
      </c>
      <c r="W384" s="217">
        <f>ROUND(AC384+(INDEX(Ref!B$1:B$9,MATCH($AI384,Ref!$A$1:$A$9,0))*P384*0.0001),)</f>
        <v>31</v>
      </c>
      <c r="X384" s="217">
        <f>ROUND(AD384+(INDEX(Ref!C$1:C$9,MATCH($AI384,Ref!$A$1:$A$9,0))*$P384*0.0001),)</f>
        <v>40</v>
      </c>
      <c r="Y384" s="217">
        <f>ROUND(AE384+(INDEX(Ref!D$1:D$9,MATCH($AI384,Ref!$A$1:$A$9,0))*$P384*0.0001),)</f>
        <v>54</v>
      </c>
      <c r="Z384" s="217">
        <f>ROUND(AF384+(INDEX(Ref!E$1:E$9,MATCH($AI384,Ref!$A$1:$A$9,0))*$P384*0.0001),)</f>
        <v>50</v>
      </c>
      <c r="AA384" s="217">
        <f>ROUND(AG384+(INDEX(Ref!F$1:F$9,MATCH($AI384,Ref!$A$1:$A$9,0))*$P384*0.0001),)</f>
        <v>42</v>
      </c>
      <c r="AB384" s="217">
        <f>ROUND(AH384+(INDEX(Ref!G$1:G$9,MATCH($AI384,Ref!$A$1:$A$9,0))*$P384*0.0001),)</f>
        <v>47</v>
      </c>
      <c r="AC384" s="137">
        <v>23</v>
      </c>
      <c r="AD384" s="137">
        <v>30</v>
      </c>
      <c r="AE384" s="137">
        <v>45</v>
      </c>
      <c r="AF384" s="137">
        <v>38</v>
      </c>
      <c r="AG384" s="137">
        <v>32</v>
      </c>
      <c r="AH384" s="137">
        <v>36</v>
      </c>
      <c r="AI384" s="208">
        <v>8</v>
      </c>
      <c r="AJ384" s="172">
        <v>3000</v>
      </c>
      <c r="AK384" s="172">
        <v>30458</v>
      </c>
      <c r="AL384" s="172">
        <v>2000</v>
      </c>
      <c r="AM384" s="172">
        <v>30461</v>
      </c>
      <c r="AN384" s="172">
        <v>0</v>
      </c>
      <c r="AO384" s="172">
        <f t="shared" si="46"/>
        <v>34458</v>
      </c>
      <c r="AP384" s="172">
        <v>0</v>
      </c>
      <c r="AQ384" s="172">
        <f t="shared" si="47"/>
        <v>34461</v>
      </c>
      <c r="AR384" s="172">
        <v>1</v>
      </c>
      <c r="AS384" s="172">
        <v>0</v>
      </c>
      <c r="AT384" s="199">
        <v>78077</v>
      </c>
      <c r="AU384" s="195" t="s">
        <v>298</v>
      </c>
    </row>
    <row r="385" spans="1:47" x14ac:dyDescent="0.2">
      <c r="A385" s="173">
        <v>55077</v>
      </c>
      <c r="B385" s="179" t="s">
        <v>1042</v>
      </c>
      <c r="C385" s="172">
        <v>86077</v>
      </c>
      <c r="D385" s="172">
        <v>150077</v>
      </c>
      <c r="E385" s="206" t="s">
        <v>998</v>
      </c>
      <c r="F385" s="207">
        <v>9</v>
      </c>
      <c r="G385" s="172">
        <v>8500</v>
      </c>
      <c r="H385" s="172">
        <v>8500</v>
      </c>
      <c r="I385" s="172">
        <v>10000</v>
      </c>
      <c r="J385" s="172">
        <v>4</v>
      </c>
      <c r="K385" s="190">
        <f>IF($J385=1,INDEX('큐펫&amp;몹 정리(최신)'!P:P,MATCH($E385,'큐펫&amp;몹 정리(최신)'!$B:$B,0))*20,IF($J385=2,INDEX('큐펫&amp;몹 정리(최신)'!P:P,MATCH($E385,'큐펫&amp;몹 정리(최신)'!$B:$B,0))*25,IF($J385=3,INDEX('큐펫&amp;몹 정리(최신)'!P:P,MATCH($E385,'큐펫&amp;몹 정리(최신)'!$B:$B,0))*30,IF($J385=4,INDEX('큐펫&amp;몹 정리(최신)'!P:P,MATCH($E385,'큐펫&amp;몹 정리(최신)'!$B:$B,0))*35,INDEX('큐펫&amp;몹 정리(최신)'!P:P,MATCH($E385,'큐펫&amp;몹 정리(최신)'!$B:$B,0))*40))))</f>
        <v>1330</v>
      </c>
      <c r="L385" s="190">
        <f>IF($J385=1,INDEX('큐펫&amp;몹 정리(최신)'!Q:Q,MATCH($E385,'큐펫&amp;몹 정리(최신)'!$B:$B,0))*20,IF($J385=2,INDEX('큐펫&amp;몹 정리(최신)'!Q:Q,MATCH($E385,'큐펫&amp;몹 정리(최신)'!$B:$B,0))*25,IF($J385=3,INDEX('큐펫&amp;몹 정리(최신)'!Q:Q,MATCH($E385,'큐펫&amp;몹 정리(최신)'!$B:$B,0))*30,IF($J385=4,INDEX('큐펫&amp;몹 정리(최신)'!Q:Q,MATCH($E385,'큐펫&amp;몹 정리(최신)'!$B:$B,0))*35,INDEX('큐펫&amp;몹 정리(최신)'!Q:Q,MATCH($E385,'큐펫&amp;몹 정리(최신)'!$B:$B,0))*40))))</f>
        <v>140</v>
      </c>
      <c r="M385" s="190">
        <f>IF($J385=1,INDEX('큐펫&amp;몹 정리(최신)'!R:R,MATCH($E385,'큐펫&amp;몹 정리(최신)'!$B:$B,0))*20,IF($J385=2,INDEX('큐펫&amp;몹 정리(최신)'!R:R,MATCH($E385,'큐펫&amp;몹 정리(최신)'!$B:$B,0))*25,IF($J385=3,INDEX('큐펫&amp;몹 정리(최신)'!R:R,MATCH($E385,'큐펫&amp;몹 정리(최신)'!$B:$B,0))*30,IF($J385=4,INDEX('큐펫&amp;몹 정리(최신)'!R:R,MATCH($E385,'큐펫&amp;몹 정리(최신)'!$B:$B,0))*35,INDEX('큐펫&amp;몹 정리(최신)'!R:R,MATCH($E385,'큐펫&amp;몹 정리(최신)'!$B:$B,0))*40))))</f>
        <v>735</v>
      </c>
      <c r="N385" s="190">
        <f>IF($J385=1,INDEX('큐펫&amp;몹 정리(최신)'!S:S,MATCH($E385,'큐펫&amp;몹 정리(최신)'!$B:$B,0))*20,IF($J385=2,INDEX('큐펫&amp;몹 정리(최신)'!S:S,MATCH($E385,'큐펫&amp;몹 정리(최신)'!$B:$B,0))*25,IF($J385=3,INDEX('큐펫&amp;몹 정리(최신)'!S:S,MATCH($E385,'큐펫&amp;몹 정리(최신)'!$B:$B,0))*30,IF($J385=4,INDEX('큐펫&amp;몹 정리(최신)'!S:S,MATCH($E385,'큐펫&amp;몹 정리(최신)'!$B:$B,0))*35,INDEX('큐펫&amp;몹 정리(최신)'!S:S,MATCH($E385,'큐펫&amp;몹 정리(최신)'!$B:$B,0))*40))))</f>
        <v>595</v>
      </c>
      <c r="O385" s="190">
        <f>IF($J385=1,INDEX('큐펫&amp;몹 정리(최신)'!T:T,MATCH($E385,'큐펫&amp;몹 정리(최신)'!$B:$B,0))*20,IF($J385=2,INDEX('큐펫&amp;몹 정리(최신)'!T:T,MATCH($E385,'큐펫&amp;몹 정리(최신)'!$B:$B,0))*25,IF($J385=3,INDEX('큐펫&amp;몹 정리(최신)'!T:T,MATCH($E385,'큐펫&amp;몹 정리(최신)'!$B:$B,0))*30,IF($J385=4,INDEX('큐펫&amp;몹 정리(최신)'!T:T,MATCH($E385,'큐펫&amp;몹 정리(최신)'!$B:$B,0))*35,INDEX('큐펫&amp;몹 정리(최신)'!T:T,MATCH($E385,'큐펫&amp;몹 정리(최신)'!$B:$B,0))*40))))</f>
        <v>700</v>
      </c>
      <c r="P385" s="217">
        <v>80</v>
      </c>
      <c r="Q385" s="217">
        <f t="shared" si="40"/>
        <v>177904</v>
      </c>
      <c r="R385" s="217">
        <f t="shared" si="41"/>
        <v>1949</v>
      </c>
      <c r="S385" s="217">
        <f t="shared" si="42"/>
        <v>3519</v>
      </c>
      <c r="T385" s="217">
        <f t="shared" si="43"/>
        <v>24901</v>
      </c>
      <c r="U385" s="217">
        <f t="shared" si="44"/>
        <v>41960</v>
      </c>
      <c r="V385" s="217">
        <f t="shared" si="45"/>
        <v>24733</v>
      </c>
      <c r="W385" s="217">
        <f>ROUND(AC385+(INDEX(Ref!B$1:B$9,MATCH($AI385,Ref!$A$1:$A$9,0))*P385*0.0001),)</f>
        <v>36</v>
      </c>
      <c r="X385" s="217">
        <f>ROUND(AD385+(INDEX(Ref!C$1:C$9,MATCH($AI385,Ref!$A$1:$A$9,0))*$P385*0.0001),)</f>
        <v>46</v>
      </c>
      <c r="Y385" s="217">
        <f>ROUND(AE385+(INDEX(Ref!D$1:D$9,MATCH($AI385,Ref!$A$1:$A$9,0))*$P385*0.0001),)</f>
        <v>61</v>
      </c>
      <c r="Z385" s="217">
        <f>ROUND(AF385+(INDEX(Ref!E$1:E$9,MATCH($AI385,Ref!$A$1:$A$9,0))*$P385*0.0001),)</f>
        <v>58</v>
      </c>
      <c r="AA385" s="217">
        <f>ROUND(AG385+(INDEX(Ref!F$1:F$9,MATCH($AI385,Ref!$A$1:$A$9,0))*$P385*0.0001),)</f>
        <v>49</v>
      </c>
      <c r="AB385" s="217">
        <f>ROUND(AH385+(INDEX(Ref!G$1:G$9,MATCH($AI385,Ref!$A$1:$A$9,0))*$P385*0.0001),)</f>
        <v>54</v>
      </c>
      <c r="AC385" s="137">
        <v>26</v>
      </c>
      <c r="AD385" s="137">
        <v>33</v>
      </c>
      <c r="AE385" s="137">
        <v>49</v>
      </c>
      <c r="AF385" s="137">
        <v>42</v>
      </c>
      <c r="AG385" s="137">
        <v>35</v>
      </c>
      <c r="AH385" s="137">
        <v>39</v>
      </c>
      <c r="AI385" s="208">
        <v>8</v>
      </c>
      <c r="AJ385" s="172">
        <v>3000</v>
      </c>
      <c r="AK385" s="172">
        <v>30459</v>
      </c>
      <c r="AL385" s="172">
        <v>2000</v>
      </c>
      <c r="AM385" s="172">
        <v>30461</v>
      </c>
      <c r="AN385" s="172">
        <v>0</v>
      </c>
      <c r="AO385" s="172">
        <f t="shared" si="46"/>
        <v>34459</v>
      </c>
      <c r="AP385" s="172">
        <v>0</v>
      </c>
      <c r="AQ385" s="172">
        <f t="shared" si="47"/>
        <v>34461</v>
      </c>
      <c r="AR385" s="172">
        <v>1</v>
      </c>
      <c r="AS385" s="172">
        <v>0</v>
      </c>
      <c r="AT385" s="199">
        <v>78077</v>
      </c>
      <c r="AU385" s="195" t="s">
        <v>298</v>
      </c>
    </row>
    <row r="386" spans="1:47" x14ac:dyDescent="0.2">
      <c r="A386" s="173">
        <v>55077</v>
      </c>
      <c r="B386" s="179" t="s">
        <v>1042</v>
      </c>
      <c r="C386" s="172">
        <v>86077</v>
      </c>
      <c r="D386" s="172">
        <v>150077</v>
      </c>
      <c r="E386" s="206" t="s">
        <v>998</v>
      </c>
      <c r="F386" s="207">
        <v>9</v>
      </c>
      <c r="G386" s="172">
        <v>8500</v>
      </c>
      <c r="H386" s="172">
        <v>8500</v>
      </c>
      <c r="I386" s="172">
        <v>10000</v>
      </c>
      <c r="J386" s="172">
        <v>5</v>
      </c>
      <c r="K386" s="190">
        <f>IF($J386=1,INDEX('큐펫&amp;몹 정리(최신)'!P:P,MATCH($E386,'큐펫&amp;몹 정리(최신)'!$B:$B,0))*20,IF($J386=2,INDEX('큐펫&amp;몹 정리(최신)'!P:P,MATCH($E386,'큐펫&amp;몹 정리(최신)'!$B:$B,0))*25,IF($J386=3,INDEX('큐펫&amp;몹 정리(최신)'!P:P,MATCH($E386,'큐펫&amp;몹 정리(최신)'!$B:$B,0))*30,IF($J386=4,INDEX('큐펫&amp;몹 정리(최신)'!P:P,MATCH($E386,'큐펫&amp;몹 정리(최신)'!$B:$B,0))*35,INDEX('큐펫&amp;몹 정리(최신)'!P:P,MATCH($E386,'큐펫&amp;몹 정리(최신)'!$B:$B,0))*40))))</f>
        <v>1520</v>
      </c>
      <c r="L386" s="190">
        <f>IF($J386=1,INDEX('큐펫&amp;몹 정리(최신)'!Q:Q,MATCH($E386,'큐펫&amp;몹 정리(최신)'!$B:$B,0))*20,IF($J386=2,INDEX('큐펫&amp;몹 정리(최신)'!Q:Q,MATCH($E386,'큐펫&amp;몹 정리(최신)'!$B:$B,0))*25,IF($J386=3,INDEX('큐펫&amp;몹 정리(최신)'!Q:Q,MATCH($E386,'큐펫&amp;몹 정리(최신)'!$B:$B,0))*30,IF($J386=4,INDEX('큐펫&amp;몹 정리(최신)'!Q:Q,MATCH($E386,'큐펫&amp;몹 정리(최신)'!$B:$B,0))*35,INDEX('큐펫&amp;몹 정리(최신)'!Q:Q,MATCH($E386,'큐펫&amp;몹 정리(최신)'!$B:$B,0))*40))))</f>
        <v>160</v>
      </c>
      <c r="M386" s="190">
        <f>IF($J386=1,INDEX('큐펫&amp;몹 정리(최신)'!R:R,MATCH($E386,'큐펫&amp;몹 정리(최신)'!$B:$B,0))*20,IF($J386=2,INDEX('큐펫&amp;몹 정리(최신)'!R:R,MATCH($E386,'큐펫&amp;몹 정리(최신)'!$B:$B,0))*25,IF($J386=3,INDEX('큐펫&amp;몹 정리(최신)'!R:R,MATCH($E386,'큐펫&amp;몹 정리(최신)'!$B:$B,0))*30,IF($J386=4,INDEX('큐펫&amp;몹 정리(최신)'!R:R,MATCH($E386,'큐펫&amp;몹 정리(최신)'!$B:$B,0))*35,INDEX('큐펫&amp;몹 정리(최신)'!R:R,MATCH($E386,'큐펫&amp;몹 정리(최신)'!$B:$B,0))*40))))</f>
        <v>840</v>
      </c>
      <c r="N386" s="190">
        <f>IF($J386=1,INDEX('큐펫&amp;몹 정리(최신)'!S:S,MATCH($E386,'큐펫&amp;몹 정리(최신)'!$B:$B,0))*20,IF($J386=2,INDEX('큐펫&amp;몹 정리(최신)'!S:S,MATCH($E386,'큐펫&amp;몹 정리(최신)'!$B:$B,0))*25,IF($J386=3,INDEX('큐펫&amp;몹 정리(최신)'!S:S,MATCH($E386,'큐펫&amp;몹 정리(최신)'!$B:$B,0))*30,IF($J386=4,INDEX('큐펫&amp;몹 정리(최신)'!S:S,MATCH($E386,'큐펫&amp;몹 정리(최신)'!$B:$B,0))*35,INDEX('큐펫&amp;몹 정리(최신)'!S:S,MATCH($E386,'큐펫&amp;몹 정리(최신)'!$B:$B,0))*40))))</f>
        <v>680</v>
      </c>
      <c r="O386" s="190">
        <f>IF($J386=1,INDEX('큐펫&amp;몹 정리(최신)'!T:T,MATCH($E386,'큐펫&amp;몹 정리(최신)'!$B:$B,0))*20,IF($J386=2,INDEX('큐펫&amp;몹 정리(최신)'!T:T,MATCH($E386,'큐펫&amp;몹 정리(최신)'!$B:$B,0))*25,IF($J386=3,INDEX('큐펫&amp;몹 정리(최신)'!T:T,MATCH($E386,'큐펫&amp;몹 정리(최신)'!$B:$B,0))*30,IF($J386=4,INDEX('큐펫&amp;몹 정리(최신)'!T:T,MATCH($E386,'큐펫&amp;몹 정리(최신)'!$B:$B,0))*35,INDEX('큐펫&amp;몹 정리(최신)'!T:T,MATCH($E386,'큐펫&amp;몹 정리(최신)'!$B:$B,0))*40))))</f>
        <v>800</v>
      </c>
      <c r="P386" s="217">
        <v>100</v>
      </c>
      <c r="Q386" s="217">
        <f t="shared" si="40"/>
        <v>259920</v>
      </c>
      <c r="R386" s="217">
        <f t="shared" si="41"/>
        <v>2982</v>
      </c>
      <c r="S386" s="217">
        <f t="shared" si="42"/>
        <v>5202</v>
      </c>
      <c r="T386" s="217">
        <f t="shared" si="43"/>
        <v>36794</v>
      </c>
      <c r="U386" s="217">
        <f t="shared" si="44"/>
        <v>56455</v>
      </c>
      <c r="V386" s="217">
        <f t="shared" si="45"/>
        <v>33266</v>
      </c>
      <c r="W386" s="217">
        <f>ROUND(AC386+(INDEX(Ref!B$1:B$9,MATCH($AI386,Ref!$A$1:$A$9,0))*P386*0.0001),)</f>
        <v>42</v>
      </c>
      <c r="X386" s="217">
        <f>ROUND(AD386+(INDEX(Ref!C$1:C$9,MATCH($AI386,Ref!$A$1:$A$9,0))*$P386*0.0001),)</f>
        <v>52</v>
      </c>
      <c r="Y386" s="217">
        <f>ROUND(AE386+(INDEX(Ref!D$1:D$9,MATCH($AI386,Ref!$A$1:$A$9,0))*$P386*0.0001),)</f>
        <v>66</v>
      </c>
      <c r="Z386" s="217">
        <f>ROUND(AF386+(INDEX(Ref!E$1:E$9,MATCH($AI386,Ref!$A$1:$A$9,0))*$P386*0.0001),)</f>
        <v>66</v>
      </c>
      <c r="AA386" s="217">
        <f>ROUND(AG386+(INDEX(Ref!F$1:F$9,MATCH($AI386,Ref!$A$1:$A$9,0))*$P386*0.0001),)</f>
        <v>56</v>
      </c>
      <c r="AB386" s="217">
        <f>ROUND(AH386+(INDEX(Ref!G$1:G$9,MATCH($AI386,Ref!$A$1:$A$9,0))*$P386*0.0001),)</f>
        <v>62</v>
      </c>
      <c r="AC386" s="137">
        <v>29</v>
      </c>
      <c r="AD386" s="137">
        <v>36</v>
      </c>
      <c r="AE386" s="137">
        <v>51</v>
      </c>
      <c r="AF386" s="137">
        <v>46</v>
      </c>
      <c r="AG386" s="137">
        <v>39</v>
      </c>
      <c r="AH386" s="137">
        <v>43</v>
      </c>
      <c r="AI386" s="208">
        <v>8</v>
      </c>
      <c r="AJ386" s="172">
        <v>3000</v>
      </c>
      <c r="AK386" s="172">
        <v>30459</v>
      </c>
      <c r="AL386" s="172">
        <v>2000</v>
      </c>
      <c r="AM386" s="172">
        <v>30462</v>
      </c>
      <c r="AN386" s="172">
        <v>0</v>
      </c>
      <c r="AO386" s="172">
        <f t="shared" si="46"/>
        <v>34459</v>
      </c>
      <c r="AP386" s="172">
        <v>0</v>
      </c>
      <c r="AQ386" s="172">
        <f t="shared" si="47"/>
        <v>34462</v>
      </c>
      <c r="AR386" s="172">
        <v>1</v>
      </c>
      <c r="AS386" s="172">
        <v>0</v>
      </c>
      <c r="AT386" s="199">
        <v>78077</v>
      </c>
      <c r="AU386" s="195" t="s">
        <v>298</v>
      </c>
    </row>
    <row r="387" spans="1:47" x14ac:dyDescent="0.2">
      <c r="A387" s="173">
        <v>55078</v>
      </c>
      <c r="B387" s="180" t="s">
        <v>1043</v>
      </c>
      <c r="C387" s="172">
        <v>86078</v>
      </c>
      <c r="D387" s="172">
        <v>150078</v>
      </c>
      <c r="E387" s="206" t="s">
        <v>999</v>
      </c>
      <c r="F387" s="207">
        <v>10</v>
      </c>
      <c r="G387" s="172">
        <v>13000</v>
      </c>
      <c r="H387" s="172">
        <v>9000</v>
      </c>
      <c r="I387" s="172">
        <v>10000</v>
      </c>
      <c r="J387" s="172">
        <v>1</v>
      </c>
      <c r="K387" s="190">
        <f>IF($J387=1,INDEX('큐펫&amp;몹 정리(최신)'!P:P,MATCH($E387,'큐펫&amp;몹 정리(최신)'!$B:$B,0))*20,IF($J387=2,INDEX('큐펫&amp;몹 정리(최신)'!P:P,MATCH($E387,'큐펫&amp;몹 정리(최신)'!$B:$B,0))*25,IF($J387=3,INDEX('큐펫&amp;몹 정리(최신)'!P:P,MATCH($E387,'큐펫&amp;몹 정리(최신)'!$B:$B,0))*30,IF($J387=4,INDEX('큐펫&amp;몹 정리(최신)'!P:P,MATCH($E387,'큐펫&amp;몹 정리(최신)'!$B:$B,0))*35,INDEX('큐펫&amp;몹 정리(최신)'!P:P,MATCH($E387,'큐펫&amp;몹 정리(최신)'!$B:$B,0))*40))))</f>
        <v>960</v>
      </c>
      <c r="L387" s="190">
        <f>IF($J387=1,INDEX('큐펫&amp;몹 정리(최신)'!Q:Q,MATCH($E387,'큐펫&amp;몹 정리(최신)'!$B:$B,0))*20,IF($J387=2,INDEX('큐펫&amp;몹 정리(최신)'!Q:Q,MATCH($E387,'큐펫&amp;몹 정리(최신)'!$B:$B,0))*25,IF($J387=3,INDEX('큐펫&amp;몹 정리(최신)'!Q:Q,MATCH($E387,'큐펫&amp;몹 정리(최신)'!$B:$B,0))*30,IF($J387=4,INDEX('큐펫&amp;몹 정리(최신)'!Q:Q,MATCH($E387,'큐펫&amp;몹 정리(최신)'!$B:$B,0))*35,INDEX('큐펫&amp;몹 정리(최신)'!Q:Q,MATCH($E387,'큐펫&amp;몹 정리(최신)'!$B:$B,0))*40))))</f>
        <v>80</v>
      </c>
      <c r="M387" s="190">
        <f>IF($J387=1,INDEX('큐펫&amp;몹 정리(최신)'!R:R,MATCH($E387,'큐펫&amp;몹 정리(최신)'!$B:$B,0))*20,IF($J387=2,INDEX('큐펫&amp;몹 정리(최신)'!R:R,MATCH($E387,'큐펫&amp;몹 정리(최신)'!$B:$B,0))*25,IF($J387=3,INDEX('큐펫&amp;몹 정리(최신)'!R:R,MATCH($E387,'큐펫&amp;몹 정리(최신)'!$B:$B,0))*30,IF($J387=4,INDEX('큐펫&amp;몹 정리(최신)'!R:R,MATCH($E387,'큐펫&amp;몹 정리(최신)'!$B:$B,0))*35,INDEX('큐펫&amp;몹 정리(최신)'!R:R,MATCH($E387,'큐펫&amp;몹 정리(최신)'!$B:$B,0))*40))))</f>
        <v>100</v>
      </c>
      <c r="N387" s="190">
        <f>IF($J387=1,INDEX('큐펫&amp;몹 정리(최신)'!S:S,MATCH($E387,'큐펫&amp;몹 정리(최신)'!$B:$B,0))*20,IF($J387=2,INDEX('큐펫&amp;몹 정리(최신)'!S:S,MATCH($E387,'큐펫&amp;몹 정리(최신)'!$B:$B,0))*25,IF($J387=3,INDEX('큐펫&amp;몹 정리(최신)'!S:S,MATCH($E387,'큐펫&amp;몹 정리(최신)'!$B:$B,0))*30,IF($J387=4,INDEX('큐펫&amp;몹 정리(최신)'!S:S,MATCH($E387,'큐펫&amp;몹 정리(최신)'!$B:$B,0))*35,INDEX('큐펫&amp;몹 정리(최신)'!S:S,MATCH($E387,'큐펫&amp;몹 정리(최신)'!$B:$B,0))*40))))</f>
        <v>400</v>
      </c>
      <c r="O387" s="190">
        <f>IF($J387=1,INDEX('큐펫&amp;몹 정리(최신)'!T:T,MATCH($E387,'큐펫&amp;몹 정리(최신)'!$B:$B,0))*20,IF($J387=2,INDEX('큐펫&amp;몹 정리(최신)'!T:T,MATCH($E387,'큐펫&amp;몹 정리(최신)'!$B:$B,0))*25,IF($J387=3,INDEX('큐펫&amp;몹 정리(최신)'!T:T,MATCH($E387,'큐펫&amp;몹 정리(최신)'!$B:$B,0))*30,IF($J387=4,INDEX('큐펫&amp;몹 정리(최신)'!T:T,MATCH($E387,'큐펫&amp;몹 정리(최신)'!$B:$B,0))*35,INDEX('큐펫&amp;몹 정리(최신)'!T:T,MATCH($E387,'큐펫&amp;몹 정리(최신)'!$B:$B,0))*40))))</f>
        <v>460</v>
      </c>
      <c r="P387" s="217">
        <v>20</v>
      </c>
      <c r="Q387" s="217">
        <f t="shared" ref="Q387:Q450" si="48">ROUNDDOWN((100*QUOTIENT(K387,20))+((P387*K387)*(1+(Y387/100))),)</f>
        <v>31488</v>
      </c>
      <c r="R387" s="217">
        <f t="shared" ref="R387:R450" si="49">ROUNDDOWN((((W387*W387)*L387)/100)+(W387*2)+(AA387/4)+(AB387/5)+(P387/2),)</f>
        <v>287</v>
      </c>
      <c r="S387" s="217">
        <f t="shared" ref="S387:S450" si="50">ROUNDDOWN((((AA387*AA387)*L387)/100)+(AA387*2)+(W387/4)+(AB387/5)+(P387/2),)</f>
        <v>348</v>
      </c>
      <c r="T387" s="217">
        <f t="shared" ref="T387:T450" si="51">ROUNDDOWN((((((Z387*Z387)*M387)/100+(Z387*2))+(AB387/4))+(AA387/8))+(P387/2),)</f>
        <v>1784</v>
      </c>
      <c r="U387" s="217">
        <f t="shared" ref="U387:U450" si="52">ROUNDDOWN(((Y387+P387)*N387)/2,)+ROUNDDOWN(W387/4,)+ROUNDDOWN(X387/10,)</f>
        <v>11807</v>
      </c>
      <c r="V387" s="217">
        <f t="shared" ref="V387:V450" si="53">ROUNDDOWN(((Y387+P387)*O387)/4,)+Z387</f>
        <v>6826</v>
      </c>
      <c r="W387" s="217">
        <f>ROUND(AC387+(INDEX(Ref!B$1:B$9,MATCH($AI387,Ref!$A$1:$A$9,0))*P387*0.0001),)</f>
        <v>17</v>
      </c>
      <c r="X387" s="217">
        <f>ROUND(AD387+(INDEX(Ref!C$1:C$9,MATCH($AI387,Ref!$A$1:$A$9,0))*$P387*0.0001),)</f>
        <v>32</v>
      </c>
      <c r="Y387" s="217">
        <f>ROUND(AE387+(INDEX(Ref!D$1:D$9,MATCH($AI387,Ref!$A$1:$A$9,0))*$P387*0.0001),)</f>
        <v>39</v>
      </c>
      <c r="Z387" s="217">
        <f>ROUND(AF387+(INDEX(Ref!E$1:E$9,MATCH($AI387,Ref!$A$1:$A$9,0))*$P387*0.0001),)</f>
        <v>41</v>
      </c>
      <c r="AA387" s="217">
        <f>ROUND(AG387+(INDEX(Ref!F$1:F$9,MATCH($AI387,Ref!$A$1:$A$9,0))*$P387*0.0001),)</f>
        <v>19</v>
      </c>
      <c r="AB387" s="217">
        <f>ROUND(AH387+(INDEX(Ref!G$1:G$9,MATCH($AI387,Ref!$A$1:$A$9,0))*$P387*0.0001),)</f>
        <v>36</v>
      </c>
      <c r="AC387" s="137">
        <v>15</v>
      </c>
      <c r="AD387" s="137">
        <v>28</v>
      </c>
      <c r="AE387" s="137">
        <v>36</v>
      </c>
      <c r="AF387" s="137">
        <v>36</v>
      </c>
      <c r="AG387" s="137">
        <v>17</v>
      </c>
      <c r="AH387" s="137">
        <v>32</v>
      </c>
      <c r="AI387" s="208">
        <v>6</v>
      </c>
      <c r="AJ387" s="172">
        <v>3000</v>
      </c>
      <c r="AK387" s="172">
        <v>30463</v>
      </c>
      <c r="AL387" s="172">
        <v>2000</v>
      </c>
      <c r="AM387" s="172">
        <v>30466</v>
      </c>
      <c r="AN387" s="172">
        <v>0</v>
      </c>
      <c r="AO387" s="172">
        <f t="shared" si="46"/>
        <v>34463</v>
      </c>
      <c r="AP387" s="172">
        <v>0</v>
      </c>
      <c r="AQ387" s="172">
        <f t="shared" si="47"/>
        <v>34466</v>
      </c>
      <c r="AR387" s="172">
        <v>1</v>
      </c>
      <c r="AS387" s="172">
        <v>0</v>
      </c>
      <c r="AT387" s="199">
        <v>78078</v>
      </c>
      <c r="AU387" s="195" t="s">
        <v>299</v>
      </c>
    </row>
    <row r="388" spans="1:47" x14ac:dyDescent="0.2">
      <c r="A388" s="173">
        <v>55078</v>
      </c>
      <c r="B388" s="180" t="s">
        <v>1043</v>
      </c>
      <c r="C388" s="172">
        <v>86078</v>
      </c>
      <c r="D388" s="172">
        <v>150078</v>
      </c>
      <c r="E388" s="206" t="s">
        <v>999</v>
      </c>
      <c r="F388" s="207">
        <v>10</v>
      </c>
      <c r="G388" s="172">
        <v>13000</v>
      </c>
      <c r="H388" s="172">
        <v>9000</v>
      </c>
      <c r="I388" s="172">
        <v>10000</v>
      </c>
      <c r="J388" s="172">
        <v>2</v>
      </c>
      <c r="K388" s="190">
        <f>IF($J388=1,INDEX('큐펫&amp;몹 정리(최신)'!P:P,MATCH($E388,'큐펫&amp;몹 정리(최신)'!$B:$B,0))*20,IF($J388=2,INDEX('큐펫&amp;몹 정리(최신)'!P:P,MATCH($E388,'큐펫&amp;몹 정리(최신)'!$B:$B,0))*25,IF($J388=3,INDEX('큐펫&amp;몹 정리(최신)'!P:P,MATCH($E388,'큐펫&amp;몹 정리(최신)'!$B:$B,0))*30,IF($J388=4,INDEX('큐펫&amp;몹 정리(최신)'!P:P,MATCH($E388,'큐펫&amp;몹 정리(최신)'!$B:$B,0))*35,INDEX('큐펫&amp;몹 정리(최신)'!P:P,MATCH($E388,'큐펫&amp;몹 정리(최신)'!$B:$B,0))*40))))</f>
        <v>1200</v>
      </c>
      <c r="L388" s="190">
        <f>IF($J388=1,INDEX('큐펫&amp;몹 정리(최신)'!Q:Q,MATCH($E388,'큐펫&amp;몹 정리(최신)'!$B:$B,0))*20,IF($J388=2,INDEX('큐펫&amp;몹 정리(최신)'!Q:Q,MATCH($E388,'큐펫&amp;몹 정리(최신)'!$B:$B,0))*25,IF($J388=3,INDEX('큐펫&amp;몹 정리(최신)'!Q:Q,MATCH($E388,'큐펫&amp;몹 정리(최신)'!$B:$B,0))*30,IF($J388=4,INDEX('큐펫&amp;몹 정리(최신)'!Q:Q,MATCH($E388,'큐펫&amp;몹 정리(최신)'!$B:$B,0))*35,INDEX('큐펫&amp;몹 정리(최신)'!Q:Q,MATCH($E388,'큐펫&amp;몹 정리(최신)'!$B:$B,0))*40))))</f>
        <v>100</v>
      </c>
      <c r="M388" s="190">
        <f>IF($J388=1,INDEX('큐펫&amp;몹 정리(최신)'!R:R,MATCH($E388,'큐펫&amp;몹 정리(최신)'!$B:$B,0))*20,IF($J388=2,INDEX('큐펫&amp;몹 정리(최신)'!R:R,MATCH($E388,'큐펫&amp;몹 정리(최신)'!$B:$B,0))*25,IF($J388=3,INDEX('큐펫&amp;몹 정리(최신)'!R:R,MATCH($E388,'큐펫&amp;몹 정리(최신)'!$B:$B,0))*30,IF($J388=4,INDEX('큐펫&amp;몹 정리(최신)'!R:R,MATCH($E388,'큐펫&amp;몹 정리(최신)'!$B:$B,0))*35,INDEX('큐펫&amp;몹 정리(최신)'!R:R,MATCH($E388,'큐펫&amp;몹 정리(최신)'!$B:$B,0))*40))))</f>
        <v>125</v>
      </c>
      <c r="N388" s="190">
        <f>IF($J388=1,INDEX('큐펫&amp;몹 정리(최신)'!S:S,MATCH($E388,'큐펫&amp;몹 정리(최신)'!$B:$B,0))*20,IF($J388=2,INDEX('큐펫&amp;몹 정리(최신)'!S:S,MATCH($E388,'큐펫&amp;몹 정리(최신)'!$B:$B,0))*25,IF($J388=3,INDEX('큐펫&amp;몹 정리(최신)'!S:S,MATCH($E388,'큐펫&amp;몹 정리(최신)'!$B:$B,0))*30,IF($J388=4,INDEX('큐펫&amp;몹 정리(최신)'!S:S,MATCH($E388,'큐펫&amp;몹 정리(최신)'!$B:$B,0))*35,INDEX('큐펫&amp;몹 정리(최신)'!S:S,MATCH($E388,'큐펫&amp;몹 정리(최신)'!$B:$B,0))*40))))</f>
        <v>500</v>
      </c>
      <c r="O388" s="190">
        <f>IF($J388=1,INDEX('큐펫&amp;몹 정리(최신)'!T:T,MATCH($E388,'큐펫&amp;몹 정리(최신)'!$B:$B,0))*20,IF($J388=2,INDEX('큐펫&amp;몹 정리(최신)'!T:T,MATCH($E388,'큐펫&amp;몹 정리(최신)'!$B:$B,0))*25,IF($J388=3,INDEX('큐펫&amp;몹 정리(최신)'!T:T,MATCH($E388,'큐펫&amp;몹 정리(최신)'!$B:$B,0))*30,IF($J388=4,INDEX('큐펫&amp;몹 정리(최신)'!T:T,MATCH($E388,'큐펫&amp;몹 정리(최신)'!$B:$B,0))*35,INDEX('큐펫&amp;몹 정리(최신)'!T:T,MATCH($E388,'큐펫&amp;몹 정리(최신)'!$B:$B,0))*40))))</f>
        <v>575</v>
      </c>
      <c r="P388" s="217">
        <v>40</v>
      </c>
      <c r="Q388" s="217">
        <f t="shared" si="48"/>
        <v>75120</v>
      </c>
      <c r="R388" s="217">
        <f t="shared" si="49"/>
        <v>517</v>
      </c>
      <c r="S388" s="217">
        <f t="shared" si="50"/>
        <v>658</v>
      </c>
      <c r="T388" s="217">
        <f t="shared" si="51"/>
        <v>3387</v>
      </c>
      <c r="U388" s="217">
        <f t="shared" si="52"/>
        <v>21009</v>
      </c>
      <c r="V388" s="217">
        <f t="shared" si="53"/>
        <v>12126</v>
      </c>
      <c r="W388" s="217">
        <f>ROUND(AC388+(INDEX(Ref!B$1:B$9,MATCH($AI388,Ref!$A$1:$A$9,0))*P388*0.0001),)</f>
        <v>21</v>
      </c>
      <c r="X388" s="217">
        <f>ROUND(AD388+(INDEX(Ref!C$1:C$9,MATCH($AI388,Ref!$A$1:$A$9,0))*$P388*0.0001),)</f>
        <v>40</v>
      </c>
      <c r="Y388" s="217">
        <f>ROUND(AE388+(INDEX(Ref!D$1:D$9,MATCH($AI388,Ref!$A$1:$A$9,0))*$P388*0.0001),)</f>
        <v>44</v>
      </c>
      <c r="Z388" s="217">
        <f>ROUND(AF388+(INDEX(Ref!E$1:E$9,MATCH($AI388,Ref!$A$1:$A$9,0))*$P388*0.0001),)</f>
        <v>51</v>
      </c>
      <c r="AA388" s="217">
        <f>ROUND(AG388+(INDEX(Ref!F$1:F$9,MATCH($AI388,Ref!$A$1:$A$9,0))*$P388*0.0001),)</f>
        <v>24</v>
      </c>
      <c r="AB388" s="217">
        <f>ROUND(AH388+(INDEX(Ref!G$1:G$9,MATCH($AI388,Ref!$A$1:$A$9,0))*$P388*0.0001),)</f>
        <v>44</v>
      </c>
      <c r="AC388" s="137">
        <v>17</v>
      </c>
      <c r="AD388" s="137">
        <v>32</v>
      </c>
      <c r="AE388" s="137">
        <v>39</v>
      </c>
      <c r="AF388" s="137">
        <v>41</v>
      </c>
      <c r="AG388" s="137">
        <v>19</v>
      </c>
      <c r="AH388" s="137">
        <v>36</v>
      </c>
      <c r="AI388" s="208">
        <v>6</v>
      </c>
      <c r="AJ388" s="172">
        <v>3000</v>
      </c>
      <c r="AK388" s="172">
        <v>30464</v>
      </c>
      <c r="AL388" s="172">
        <v>2000</v>
      </c>
      <c r="AM388" s="172">
        <v>30466</v>
      </c>
      <c r="AN388" s="172">
        <v>0</v>
      </c>
      <c r="AO388" s="172">
        <f t="shared" si="46"/>
        <v>34464</v>
      </c>
      <c r="AP388" s="172">
        <v>0</v>
      </c>
      <c r="AQ388" s="172">
        <f t="shared" si="47"/>
        <v>34466</v>
      </c>
      <c r="AR388" s="172">
        <v>1</v>
      </c>
      <c r="AS388" s="172">
        <v>0</v>
      </c>
      <c r="AT388" s="199">
        <v>78078</v>
      </c>
      <c r="AU388" s="195" t="s">
        <v>299</v>
      </c>
    </row>
    <row r="389" spans="1:47" x14ac:dyDescent="0.2">
      <c r="A389" s="173">
        <v>55078</v>
      </c>
      <c r="B389" s="180" t="s">
        <v>1043</v>
      </c>
      <c r="C389" s="172">
        <v>86078</v>
      </c>
      <c r="D389" s="172">
        <v>150078</v>
      </c>
      <c r="E389" s="206" t="s">
        <v>999</v>
      </c>
      <c r="F389" s="207">
        <v>10</v>
      </c>
      <c r="G389" s="172">
        <v>13000</v>
      </c>
      <c r="H389" s="172">
        <v>9000</v>
      </c>
      <c r="I389" s="172">
        <v>10000</v>
      </c>
      <c r="J389" s="172">
        <v>3</v>
      </c>
      <c r="K389" s="190">
        <f>IF($J389=1,INDEX('큐펫&amp;몹 정리(최신)'!P:P,MATCH($E389,'큐펫&amp;몹 정리(최신)'!$B:$B,0))*20,IF($J389=2,INDEX('큐펫&amp;몹 정리(최신)'!P:P,MATCH($E389,'큐펫&amp;몹 정리(최신)'!$B:$B,0))*25,IF($J389=3,INDEX('큐펫&amp;몹 정리(최신)'!P:P,MATCH($E389,'큐펫&amp;몹 정리(최신)'!$B:$B,0))*30,IF($J389=4,INDEX('큐펫&amp;몹 정리(최신)'!P:P,MATCH($E389,'큐펫&amp;몹 정리(최신)'!$B:$B,0))*35,INDEX('큐펫&amp;몹 정리(최신)'!P:P,MATCH($E389,'큐펫&amp;몹 정리(최신)'!$B:$B,0))*40))))</f>
        <v>1440</v>
      </c>
      <c r="L389" s="190">
        <f>IF($J389=1,INDEX('큐펫&amp;몹 정리(최신)'!Q:Q,MATCH($E389,'큐펫&amp;몹 정리(최신)'!$B:$B,0))*20,IF($J389=2,INDEX('큐펫&amp;몹 정리(최신)'!Q:Q,MATCH($E389,'큐펫&amp;몹 정리(최신)'!$B:$B,0))*25,IF($J389=3,INDEX('큐펫&amp;몹 정리(최신)'!Q:Q,MATCH($E389,'큐펫&amp;몹 정리(최신)'!$B:$B,0))*30,IF($J389=4,INDEX('큐펫&amp;몹 정리(최신)'!Q:Q,MATCH($E389,'큐펫&amp;몹 정리(최신)'!$B:$B,0))*35,INDEX('큐펫&amp;몹 정리(최신)'!Q:Q,MATCH($E389,'큐펫&amp;몹 정리(최신)'!$B:$B,0))*40))))</f>
        <v>120</v>
      </c>
      <c r="M389" s="190">
        <f>IF($J389=1,INDEX('큐펫&amp;몹 정리(최신)'!R:R,MATCH($E389,'큐펫&amp;몹 정리(최신)'!$B:$B,0))*20,IF($J389=2,INDEX('큐펫&amp;몹 정리(최신)'!R:R,MATCH($E389,'큐펫&amp;몹 정리(최신)'!$B:$B,0))*25,IF($J389=3,INDEX('큐펫&amp;몹 정리(최신)'!R:R,MATCH($E389,'큐펫&amp;몹 정리(최신)'!$B:$B,0))*30,IF($J389=4,INDEX('큐펫&amp;몹 정리(최신)'!R:R,MATCH($E389,'큐펫&amp;몹 정리(최신)'!$B:$B,0))*35,INDEX('큐펫&amp;몹 정리(최신)'!R:R,MATCH($E389,'큐펫&amp;몹 정리(최신)'!$B:$B,0))*40))))</f>
        <v>150</v>
      </c>
      <c r="N389" s="190">
        <f>IF($J389=1,INDEX('큐펫&amp;몹 정리(최신)'!S:S,MATCH($E389,'큐펫&amp;몹 정리(최신)'!$B:$B,0))*20,IF($J389=2,INDEX('큐펫&amp;몹 정리(최신)'!S:S,MATCH($E389,'큐펫&amp;몹 정리(최신)'!$B:$B,0))*25,IF($J389=3,INDEX('큐펫&amp;몹 정리(최신)'!S:S,MATCH($E389,'큐펫&amp;몹 정리(최신)'!$B:$B,0))*30,IF($J389=4,INDEX('큐펫&amp;몹 정리(최신)'!S:S,MATCH($E389,'큐펫&amp;몹 정리(최신)'!$B:$B,0))*35,INDEX('큐펫&amp;몹 정리(최신)'!S:S,MATCH($E389,'큐펫&amp;몹 정리(최신)'!$B:$B,0))*40))))</f>
        <v>600</v>
      </c>
      <c r="O389" s="190">
        <f>IF($J389=1,INDEX('큐펫&amp;몹 정리(최신)'!T:T,MATCH($E389,'큐펫&amp;몹 정리(최신)'!$B:$B,0))*20,IF($J389=2,INDEX('큐펫&amp;몹 정리(최신)'!T:T,MATCH($E389,'큐펫&amp;몹 정리(최신)'!$B:$B,0))*25,IF($J389=3,INDEX('큐펫&amp;몹 정리(최신)'!T:T,MATCH($E389,'큐펫&amp;몹 정리(최신)'!$B:$B,0))*30,IF($J389=4,INDEX('큐펫&amp;몹 정리(최신)'!T:T,MATCH($E389,'큐펫&amp;몹 정리(최신)'!$B:$B,0))*35,INDEX('큐펫&amp;몹 정리(최신)'!T:T,MATCH($E389,'큐펫&amp;몹 정리(최신)'!$B:$B,0))*40))))</f>
        <v>690</v>
      </c>
      <c r="P389" s="217">
        <v>60</v>
      </c>
      <c r="Q389" s="217">
        <f t="shared" si="48"/>
        <v>136800</v>
      </c>
      <c r="R389" s="217">
        <f t="shared" si="49"/>
        <v>910</v>
      </c>
      <c r="S389" s="217">
        <f t="shared" si="50"/>
        <v>1043</v>
      </c>
      <c r="T389" s="217">
        <f t="shared" si="51"/>
        <v>5566</v>
      </c>
      <c r="U389" s="217">
        <f t="shared" si="52"/>
        <v>33010</v>
      </c>
      <c r="V389" s="217">
        <f t="shared" si="53"/>
        <v>19035</v>
      </c>
      <c r="W389" s="217">
        <f>ROUND(AC389+(INDEX(Ref!B$1:B$9,MATCH($AI389,Ref!$A$1:$A$9,0))*P389*0.0001),)</f>
        <v>26</v>
      </c>
      <c r="X389" s="217">
        <f>ROUND(AD389+(INDEX(Ref!C$1:C$9,MATCH($AI389,Ref!$A$1:$A$9,0))*$P389*0.0001),)</f>
        <v>47</v>
      </c>
      <c r="Y389" s="217">
        <f>ROUND(AE389+(INDEX(Ref!D$1:D$9,MATCH($AI389,Ref!$A$1:$A$9,0))*$P389*0.0001),)</f>
        <v>50</v>
      </c>
      <c r="Z389" s="217">
        <f>ROUND(AF389+(INDEX(Ref!E$1:E$9,MATCH($AI389,Ref!$A$1:$A$9,0))*$P389*0.0001),)</f>
        <v>60</v>
      </c>
      <c r="AA389" s="217">
        <f>ROUND(AG389+(INDEX(Ref!F$1:F$9,MATCH($AI389,Ref!$A$1:$A$9,0))*$P389*0.0001),)</f>
        <v>28</v>
      </c>
      <c r="AB389" s="217">
        <f>ROUND(AH389+(INDEX(Ref!G$1:G$9,MATCH($AI389,Ref!$A$1:$A$9,0))*$P389*0.0001),)</f>
        <v>53</v>
      </c>
      <c r="AC389" s="137">
        <v>19</v>
      </c>
      <c r="AD389" s="137">
        <v>36</v>
      </c>
      <c r="AE389" s="137">
        <v>42</v>
      </c>
      <c r="AF389" s="137">
        <v>46</v>
      </c>
      <c r="AG389" s="137">
        <v>21</v>
      </c>
      <c r="AH389" s="137">
        <v>40</v>
      </c>
      <c r="AI389" s="208">
        <v>6</v>
      </c>
      <c r="AJ389" s="172">
        <v>3000</v>
      </c>
      <c r="AK389" s="172">
        <v>30464</v>
      </c>
      <c r="AL389" s="172">
        <v>2000</v>
      </c>
      <c r="AM389" s="172">
        <v>30467</v>
      </c>
      <c r="AN389" s="172">
        <v>0</v>
      </c>
      <c r="AO389" s="172">
        <f t="shared" si="46"/>
        <v>34464</v>
      </c>
      <c r="AP389" s="172">
        <v>0</v>
      </c>
      <c r="AQ389" s="172">
        <f t="shared" si="47"/>
        <v>34467</v>
      </c>
      <c r="AR389" s="172">
        <v>1</v>
      </c>
      <c r="AS389" s="172">
        <v>0</v>
      </c>
      <c r="AT389" s="199">
        <v>78078</v>
      </c>
      <c r="AU389" s="195" t="s">
        <v>299</v>
      </c>
    </row>
    <row r="390" spans="1:47" x14ac:dyDescent="0.2">
      <c r="A390" s="173">
        <v>55078</v>
      </c>
      <c r="B390" s="180" t="s">
        <v>1043</v>
      </c>
      <c r="C390" s="172">
        <v>86078</v>
      </c>
      <c r="D390" s="172">
        <v>150078</v>
      </c>
      <c r="E390" s="206" t="s">
        <v>999</v>
      </c>
      <c r="F390" s="207">
        <v>10</v>
      </c>
      <c r="G390" s="172">
        <v>13000</v>
      </c>
      <c r="H390" s="172">
        <v>9000</v>
      </c>
      <c r="I390" s="172">
        <v>10000</v>
      </c>
      <c r="J390" s="172">
        <v>4</v>
      </c>
      <c r="K390" s="190">
        <f>IF($J390=1,INDEX('큐펫&amp;몹 정리(최신)'!P:P,MATCH($E390,'큐펫&amp;몹 정리(최신)'!$B:$B,0))*20,IF($J390=2,INDEX('큐펫&amp;몹 정리(최신)'!P:P,MATCH($E390,'큐펫&amp;몹 정리(최신)'!$B:$B,0))*25,IF($J390=3,INDEX('큐펫&amp;몹 정리(최신)'!P:P,MATCH($E390,'큐펫&amp;몹 정리(최신)'!$B:$B,0))*30,IF($J390=4,INDEX('큐펫&amp;몹 정리(최신)'!P:P,MATCH($E390,'큐펫&amp;몹 정리(최신)'!$B:$B,0))*35,INDEX('큐펫&amp;몹 정리(최신)'!P:P,MATCH($E390,'큐펫&amp;몹 정리(최신)'!$B:$B,0))*40))))</f>
        <v>1680</v>
      </c>
      <c r="L390" s="190">
        <f>IF($J390=1,INDEX('큐펫&amp;몹 정리(최신)'!Q:Q,MATCH($E390,'큐펫&amp;몹 정리(최신)'!$B:$B,0))*20,IF($J390=2,INDEX('큐펫&amp;몹 정리(최신)'!Q:Q,MATCH($E390,'큐펫&amp;몹 정리(최신)'!$B:$B,0))*25,IF($J390=3,INDEX('큐펫&amp;몹 정리(최신)'!Q:Q,MATCH($E390,'큐펫&amp;몹 정리(최신)'!$B:$B,0))*30,IF($J390=4,INDEX('큐펫&amp;몹 정리(최신)'!Q:Q,MATCH($E390,'큐펫&amp;몹 정리(최신)'!$B:$B,0))*35,INDEX('큐펫&amp;몹 정리(최신)'!Q:Q,MATCH($E390,'큐펫&amp;몹 정리(최신)'!$B:$B,0))*40))))</f>
        <v>140</v>
      </c>
      <c r="M390" s="190">
        <f>IF($J390=1,INDEX('큐펫&amp;몹 정리(최신)'!R:R,MATCH($E390,'큐펫&amp;몹 정리(최신)'!$B:$B,0))*20,IF($J390=2,INDEX('큐펫&amp;몹 정리(최신)'!R:R,MATCH($E390,'큐펫&amp;몹 정리(최신)'!$B:$B,0))*25,IF($J390=3,INDEX('큐펫&amp;몹 정리(최신)'!R:R,MATCH($E390,'큐펫&amp;몹 정리(최신)'!$B:$B,0))*30,IF($J390=4,INDEX('큐펫&amp;몹 정리(최신)'!R:R,MATCH($E390,'큐펫&amp;몹 정리(최신)'!$B:$B,0))*35,INDEX('큐펫&amp;몹 정리(최신)'!R:R,MATCH($E390,'큐펫&amp;몹 정리(최신)'!$B:$B,0))*40))))</f>
        <v>175</v>
      </c>
      <c r="N390" s="190">
        <f>IF($J390=1,INDEX('큐펫&amp;몹 정리(최신)'!S:S,MATCH($E390,'큐펫&amp;몹 정리(최신)'!$B:$B,0))*20,IF($J390=2,INDEX('큐펫&amp;몹 정리(최신)'!S:S,MATCH($E390,'큐펫&amp;몹 정리(최신)'!$B:$B,0))*25,IF($J390=3,INDEX('큐펫&amp;몹 정리(최신)'!S:S,MATCH($E390,'큐펫&amp;몹 정리(최신)'!$B:$B,0))*30,IF($J390=4,INDEX('큐펫&amp;몹 정리(최신)'!S:S,MATCH($E390,'큐펫&amp;몹 정리(최신)'!$B:$B,0))*35,INDEX('큐펫&amp;몹 정리(최신)'!S:S,MATCH($E390,'큐펫&amp;몹 정리(최신)'!$B:$B,0))*40))))</f>
        <v>700</v>
      </c>
      <c r="O390" s="190">
        <f>IF($J390=1,INDEX('큐펫&amp;몹 정리(최신)'!T:T,MATCH($E390,'큐펫&amp;몹 정리(최신)'!$B:$B,0))*20,IF($J390=2,INDEX('큐펫&amp;몹 정리(최신)'!T:T,MATCH($E390,'큐펫&amp;몹 정리(최신)'!$B:$B,0))*25,IF($J390=3,INDEX('큐펫&amp;몹 정리(최신)'!T:T,MATCH($E390,'큐펫&amp;몹 정리(최신)'!$B:$B,0))*30,IF($J390=4,INDEX('큐펫&amp;몹 정리(최신)'!T:T,MATCH($E390,'큐펫&amp;몹 정리(최신)'!$B:$B,0))*35,INDEX('큐펫&amp;몹 정리(최신)'!T:T,MATCH($E390,'큐펫&amp;몹 정리(최신)'!$B:$B,0))*40))))</f>
        <v>805</v>
      </c>
      <c r="P390" s="217">
        <v>80</v>
      </c>
      <c r="Q390" s="217">
        <f t="shared" si="48"/>
        <v>215376</v>
      </c>
      <c r="R390" s="217">
        <f t="shared" si="49"/>
        <v>1468</v>
      </c>
      <c r="S390" s="217">
        <f t="shared" si="50"/>
        <v>1746</v>
      </c>
      <c r="T390" s="217">
        <f t="shared" si="51"/>
        <v>8774</v>
      </c>
      <c r="U390" s="217">
        <f t="shared" si="52"/>
        <v>46912</v>
      </c>
      <c r="V390" s="217">
        <f t="shared" si="53"/>
        <v>27037</v>
      </c>
      <c r="W390" s="217">
        <f>ROUND(AC390+(INDEX(Ref!B$1:B$9,MATCH($AI390,Ref!$A$1:$A$9,0))*P390*0.0001),)</f>
        <v>31</v>
      </c>
      <c r="X390" s="217">
        <f>ROUND(AD390+(INDEX(Ref!C$1:C$9,MATCH($AI390,Ref!$A$1:$A$9,0))*$P390*0.0001),)</f>
        <v>54</v>
      </c>
      <c r="Y390" s="217">
        <f>ROUND(AE390+(INDEX(Ref!D$1:D$9,MATCH($AI390,Ref!$A$1:$A$9,0))*$P390*0.0001),)</f>
        <v>54</v>
      </c>
      <c r="Z390" s="217">
        <f>ROUND(AF390+(INDEX(Ref!E$1:E$9,MATCH($AI390,Ref!$A$1:$A$9,0))*$P390*0.0001),)</f>
        <v>70</v>
      </c>
      <c r="AA390" s="217">
        <f>ROUND(AG390+(INDEX(Ref!F$1:F$9,MATCH($AI390,Ref!$A$1:$A$9,0))*$P390*0.0001),)</f>
        <v>34</v>
      </c>
      <c r="AB390" s="217">
        <f>ROUND(AH390+(INDEX(Ref!G$1:G$9,MATCH($AI390,Ref!$A$1:$A$9,0))*$P390*0.0001),)</f>
        <v>61</v>
      </c>
      <c r="AC390" s="137">
        <v>22</v>
      </c>
      <c r="AD390" s="137">
        <v>39</v>
      </c>
      <c r="AE390" s="137">
        <v>44</v>
      </c>
      <c r="AF390" s="137">
        <v>51</v>
      </c>
      <c r="AG390" s="137">
        <v>24</v>
      </c>
      <c r="AH390" s="137">
        <v>44</v>
      </c>
      <c r="AI390" s="208">
        <v>6</v>
      </c>
      <c r="AJ390" s="172">
        <v>3000</v>
      </c>
      <c r="AK390" s="172">
        <v>30465</v>
      </c>
      <c r="AL390" s="172">
        <v>2000</v>
      </c>
      <c r="AM390" s="172">
        <v>30467</v>
      </c>
      <c r="AN390" s="172">
        <v>0</v>
      </c>
      <c r="AO390" s="172">
        <f t="shared" si="46"/>
        <v>34465</v>
      </c>
      <c r="AP390" s="172">
        <v>0</v>
      </c>
      <c r="AQ390" s="172">
        <f t="shared" si="47"/>
        <v>34467</v>
      </c>
      <c r="AR390" s="172">
        <v>1</v>
      </c>
      <c r="AS390" s="172">
        <v>0</v>
      </c>
      <c r="AT390" s="199">
        <v>78078</v>
      </c>
      <c r="AU390" s="195" t="s">
        <v>299</v>
      </c>
    </row>
    <row r="391" spans="1:47" x14ac:dyDescent="0.2">
      <c r="A391" s="173">
        <v>55078</v>
      </c>
      <c r="B391" s="180" t="s">
        <v>1043</v>
      </c>
      <c r="C391" s="172">
        <v>86078</v>
      </c>
      <c r="D391" s="172">
        <v>150078</v>
      </c>
      <c r="E391" s="206" t="s">
        <v>999</v>
      </c>
      <c r="F391" s="207">
        <v>10</v>
      </c>
      <c r="G391" s="172">
        <v>13000</v>
      </c>
      <c r="H391" s="172">
        <v>9000</v>
      </c>
      <c r="I391" s="172">
        <v>10000</v>
      </c>
      <c r="J391" s="172">
        <v>5</v>
      </c>
      <c r="K391" s="190">
        <f>IF($J391=1,INDEX('큐펫&amp;몹 정리(최신)'!P:P,MATCH($E391,'큐펫&amp;몹 정리(최신)'!$B:$B,0))*20,IF($J391=2,INDEX('큐펫&amp;몹 정리(최신)'!P:P,MATCH($E391,'큐펫&amp;몹 정리(최신)'!$B:$B,0))*25,IF($J391=3,INDEX('큐펫&amp;몹 정리(최신)'!P:P,MATCH($E391,'큐펫&amp;몹 정리(최신)'!$B:$B,0))*30,IF($J391=4,INDEX('큐펫&amp;몹 정리(최신)'!P:P,MATCH($E391,'큐펫&amp;몹 정리(최신)'!$B:$B,0))*35,INDEX('큐펫&amp;몹 정리(최신)'!P:P,MATCH($E391,'큐펫&amp;몹 정리(최신)'!$B:$B,0))*40))))</f>
        <v>1920</v>
      </c>
      <c r="L391" s="190">
        <f>IF($J391=1,INDEX('큐펫&amp;몹 정리(최신)'!Q:Q,MATCH($E391,'큐펫&amp;몹 정리(최신)'!$B:$B,0))*20,IF($J391=2,INDEX('큐펫&amp;몹 정리(최신)'!Q:Q,MATCH($E391,'큐펫&amp;몹 정리(최신)'!$B:$B,0))*25,IF($J391=3,INDEX('큐펫&amp;몹 정리(최신)'!Q:Q,MATCH($E391,'큐펫&amp;몹 정리(최신)'!$B:$B,0))*30,IF($J391=4,INDEX('큐펫&amp;몹 정리(최신)'!Q:Q,MATCH($E391,'큐펫&amp;몹 정리(최신)'!$B:$B,0))*35,INDEX('큐펫&amp;몹 정리(최신)'!Q:Q,MATCH($E391,'큐펫&amp;몹 정리(최신)'!$B:$B,0))*40))))</f>
        <v>160</v>
      </c>
      <c r="M391" s="190">
        <f>IF($J391=1,INDEX('큐펫&amp;몹 정리(최신)'!R:R,MATCH($E391,'큐펫&amp;몹 정리(최신)'!$B:$B,0))*20,IF($J391=2,INDEX('큐펫&amp;몹 정리(최신)'!R:R,MATCH($E391,'큐펫&amp;몹 정리(최신)'!$B:$B,0))*25,IF($J391=3,INDEX('큐펫&amp;몹 정리(최신)'!R:R,MATCH($E391,'큐펫&amp;몹 정리(최신)'!$B:$B,0))*30,IF($J391=4,INDEX('큐펫&amp;몹 정리(최신)'!R:R,MATCH($E391,'큐펫&amp;몹 정리(최신)'!$B:$B,0))*35,INDEX('큐펫&amp;몹 정리(최신)'!R:R,MATCH($E391,'큐펫&amp;몹 정리(최신)'!$B:$B,0))*40))))</f>
        <v>200</v>
      </c>
      <c r="N391" s="190">
        <f>IF($J391=1,INDEX('큐펫&amp;몹 정리(최신)'!S:S,MATCH($E391,'큐펫&amp;몹 정리(최신)'!$B:$B,0))*20,IF($J391=2,INDEX('큐펫&amp;몹 정리(최신)'!S:S,MATCH($E391,'큐펫&amp;몹 정리(최신)'!$B:$B,0))*25,IF($J391=3,INDEX('큐펫&amp;몹 정리(최신)'!S:S,MATCH($E391,'큐펫&amp;몹 정리(최신)'!$B:$B,0))*30,IF($J391=4,INDEX('큐펫&amp;몹 정리(최신)'!S:S,MATCH($E391,'큐펫&amp;몹 정리(최신)'!$B:$B,0))*35,INDEX('큐펫&amp;몹 정리(최신)'!S:S,MATCH($E391,'큐펫&amp;몹 정리(최신)'!$B:$B,0))*40))))</f>
        <v>800</v>
      </c>
      <c r="O391" s="190">
        <f>IF($J391=1,INDEX('큐펫&amp;몹 정리(최신)'!T:T,MATCH($E391,'큐펫&amp;몹 정리(최신)'!$B:$B,0))*20,IF($J391=2,INDEX('큐펫&amp;몹 정리(최신)'!T:T,MATCH($E391,'큐펫&amp;몹 정리(최신)'!$B:$B,0))*25,IF($J391=3,INDEX('큐펫&amp;몹 정리(최신)'!T:T,MATCH($E391,'큐펫&amp;몹 정리(최신)'!$B:$B,0))*30,IF($J391=4,INDEX('큐펫&amp;몹 정리(최신)'!T:T,MATCH($E391,'큐펫&amp;몹 정리(최신)'!$B:$B,0))*35,INDEX('큐펫&amp;몹 정리(최신)'!T:T,MATCH($E391,'큐펫&amp;몹 정리(최신)'!$B:$B,0))*40))))</f>
        <v>920</v>
      </c>
      <c r="P391" s="217">
        <v>100</v>
      </c>
      <c r="Q391" s="217">
        <f t="shared" si="48"/>
        <v>316800</v>
      </c>
      <c r="R391" s="217">
        <f t="shared" si="49"/>
        <v>2103</v>
      </c>
      <c r="S391" s="217">
        <f t="shared" si="50"/>
        <v>2458</v>
      </c>
      <c r="T391" s="217">
        <f t="shared" si="51"/>
        <v>13032</v>
      </c>
      <c r="U391" s="217">
        <f t="shared" si="52"/>
        <v>64014</v>
      </c>
      <c r="V391" s="217">
        <f t="shared" si="53"/>
        <v>36880</v>
      </c>
      <c r="W391" s="217">
        <f>ROUND(AC391+(INDEX(Ref!B$1:B$9,MATCH($AI391,Ref!$A$1:$A$9,0))*P391*0.0001),)</f>
        <v>35</v>
      </c>
      <c r="X391" s="217">
        <f>ROUND(AD391+(INDEX(Ref!C$1:C$9,MATCH($AI391,Ref!$A$1:$A$9,0))*$P391*0.0001),)</f>
        <v>62</v>
      </c>
      <c r="Y391" s="217">
        <f>ROUND(AE391+(INDEX(Ref!D$1:D$9,MATCH($AI391,Ref!$A$1:$A$9,0))*$P391*0.0001),)</f>
        <v>60</v>
      </c>
      <c r="Z391" s="217">
        <f>ROUND(AF391+(INDEX(Ref!E$1:E$9,MATCH($AI391,Ref!$A$1:$A$9,0))*$P391*0.0001),)</f>
        <v>80</v>
      </c>
      <c r="AA391" s="217">
        <f>ROUND(AG391+(INDEX(Ref!F$1:F$9,MATCH($AI391,Ref!$A$1:$A$9,0))*$P391*0.0001),)</f>
        <v>38</v>
      </c>
      <c r="AB391" s="217">
        <f>ROUND(AH391+(INDEX(Ref!G$1:G$9,MATCH($AI391,Ref!$A$1:$A$9,0))*$P391*0.0001),)</f>
        <v>69</v>
      </c>
      <c r="AC391" s="137">
        <v>24</v>
      </c>
      <c r="AD391" s="137">
        <v>43</v>
      </c>
      <c r="AE391" s="137">
        <v>47</v>
      </c>
      <c r="AF391" s="137">
        <v>56</v>
      </c>
      <c r="AG391" s="137">
        <v>26</v>
      </c>
      <c r="AH391" s="137">
        <v>48</v>
      </c>
      <c r="AI391" s="208">
        <v>6</v>
      </c>
      <c r="AJ391" s="172">
        <v>3000</v>
      </c>
      <c r="AK391" s="172">
        <v>30465</v>
      </c>
      <c r="AL391" s="172">
        <v>2000</v>
      </c>
      <c r="AM391" s="172">
        <v>30468</v>
      </c>
      <c r="AN391" s="172">
        <v>0</v>
      </c>
      <c r="AO391" s="172">
        <f t="shared" si="46"/>
        <v>34465</v>
      </c>
      <c r="AP391" s="172">
        <v>0</v>
      </c>
      <c r="AQ391" s="172">
        <f t="shared" si="47"/>
        <v>34468</v>
      </c>
      <c r="AR391" s="172">
        <v>1</v>
      </c>
      <c r="AS391" s="172">
        <v>0</v>
      </c>
      <c r="AT391" s="199">
        <v>78078</v>
      </c>
      <c r="AU391" s="195" t="s">
        <v>299</v>
      </c>
    </row>
    <row r="392" spans="1:47" x14ac:dyDescent="0.2">
      <c r="A392" s="173">
        <v>55079</v>
      </c>
      <c r="B392" s="180" t="s">
        <v>1043</v>
      </c>
      <c r="C392" s="172">
        <v>86079</v>
      </c>
      <c r="D392" s="172">
        <v>150079</v>
      </c>
      <c r="E392" s="206" t="s">
        <v>1089</v>
      </c>
      <c r="F392" s="207">
        <v>10</v>
      </c>
      <c r="G392" s="172">
        <v>13000</v>
      </c>
      <c r="H392" s="172">
        <v>9000</v>
      </c>
      <c r="I392" s="172">
        <v>10000</v>
      </c>
      <c r="J392" s="172">
        <v>1</v>
      </c>
      <c r="K392" s="190">
        <f>IF($J392=1,INDEX('큐펫&amp;몹 정리(최신)'!P:P,MATCH($E392,'큐펫&amp;몹 정리(최신)'!$B:$B,0))*20,IF($J392=2,INDEX('큐펫&amp;몹 정리(최신)'!P:P,MATCH($E392,'큐펫&amp;몹 정리(최신)'!$B:$B,0))*25,IF($J392=3,INDEX('큐펫&amp;몹 정리(최신)'!P:P,MATCH($E392,'큐펫&amp;몹 정리(최신)'!$B:$B,0))*30,IF($J392=4,INDEX('큐펫&amp;몹 정리(최신)'!P:P,MATCH($E392,'큐펫&amp;몹 정리(최신)'!$B:$B,0))*35,INDEX('큐펫&amp;몹 정리(최신)'!P:P,MATCH($E392,'큐펫&amp;몹 정리(최신)'!$B:$B,0))*40))))</f>
        <v>960</v>
      </c>
      <c r="L392" s="190">
        <f>IF($J392=1,INDEX('큐펫&amp;몹 정리(최신)'!Q:Q,MATCH($E392,'큐펫&amp;몹 정리(최신)'!$B:$B,0))*20,IF($J392=2,INDEX('큐펫&amp;몹 정리(최신)'!Q:Q,MATCH($E392,'큐펫&amp;몹 정리(최신)'!$B:$B,0))*25,IF($J392=3,INDEX('큐펫&amp;몹 정리(최신)'!Q:Q,MATCH($E392,'큐펫&amp;몹 정리(최신)'!$B:$B,0))*30,IF($J392=4,INDEX('큐펫&amp;몹 정리(최신)'!Q:Q,MATCH($E392,'큐펫&amp;몹 정리(최신)'!$B:$B,0))*35,INDEX('큐펫&amp;몹 정리(최신)'!Q:Q,MATCH($E392,'큐펫&amp;몹 정리(최신)'!$B:$B,0))*40))))</f>
        <v>100</v>
      </c>
      <c r="M392" s="190">
        <f>IF($J392=1,INDEX('큐펫&amp;몹 정리(최신)'!R:R,MATCH($E392,'큐펫&amp;몹 정리(최신)'!$B:$B,0))*20,IF($J392=2,INDEX('큐펫&amp;몹 정리(최신)'!R:R,MATCH($E392,'큐펫&amp;몹 정리(최신)'!$B:$B,0))*25,IF($J392=3,INDEX('큐펫&amp;몹 정리(최신)'!R:R,MATCH($E392,'큐펫&amp;몹 정리(최신)'!$B:$B,0))*30,IF($J392=4,INDEX('큐펫&amp;몹 정리(최신)'!R:R,MATCH($E392,'큐펫&amp;몹 정리(최신)'!$B:$B,0))*35,INDEX('큐펫&amp;몹 정리(최신)'!R:R,MATCH($E392,'큐펫&amp;몹 정리(최신)'!$B:$B,0))*40))))</f>
        <v>80</v>
      </c>
      <c r="N392" s="190">
        <f>IF($J392=1,INDEX('큐펫&amp;몹 정리(최신)'!S:S,MATCH($E392,'큐펫&amp;몹 정리(최신)'!$B:$B,0))*20,IF($J392=2,INDEX('큐펫&amp;몹 정리(최신)'!S:S,MATCH($E392,'큐펫&amp;몹 정리(최신)'!$B:$B,0))*25,IF($J392=3,INDEX('큐펫&amp;몹 정리(최신)'!S:S,MATCH($E392,'큐펫&amp;몹 정리(최신)'!$B:$B,0))*30,IF($J392=4,INDEX('큐펫&amp;몹 정리(최신)'!S:S,MATCH($E392,'큐펫&amp;몹 정리(최신)'!$B:$B,0))*35,INDEX('큐펫&amp;몹 정리(최신)'!S:S,MATCH($E392,'큐펫&amp;몹 정리(최신)'!$B:$B,0))*40))))</f>
        <v>460</v>
      </c>
      <c r="O392" s="190">
        <f>IF($J392=1,INDEX('큐펫&amp;몹 정리(최신)'!T:T,MATCH($E392,'큐펫&amp;몹 정리(최신)'!$B:$B,0))*20,IF($J392=2,INDEX('큐펫&amp;몹 정리(최신)'!T:T,MATCH($E392,'큐펫&amp;몹 정리(최신)'!$B:$B,0))*25,IF($J392=3,INDEX('큐펫&amp;몹 정리(최신)'!T:T,MATCH($E392,'큐펫&amp;몹 정리(최신)'!$B:$B,0))*30,IF($J392=4,INDEX('큐펫&amp;몹 정리(최신)'!T:T,MATCH($E392,'큐펫&amp;몹 정리(최신)'!$B:$B,0))*35,INDEX('큐펫&amp;몹 정리(최신)'!T:T,MATCH($E392,'큐펫&amp;몹 정리(최신)'!$B:$B,0))*40))))</f>
        <v>400</v>
      </c>
      <c r="P392" s="217">
        <v>20</v>
      </c>
      <c r="Q392" s="217">
        <f t="shared" si="48"/>
        <v>31488</v>
      </c>
      <c r="R392" s="217">
        <f t="shared" si="49"/>
        <v>350</v>
      </c>
      <c r="S392" s="217">
        <f t="shared" si="50"/>
        <v>1784</v>
      </c>
      <c r="T392" s="217">
        <f t="shared" si="51"/>
        <v>350</v>
      </c>
      <c r="U392" s="217">
        <f t="shared" si="52"/>
        <v>13577</v>
      </c>
      <c r="V392" s="217">
        <f t="shared" si="53"/>
        <v>5919</v>
      </c>
      <c r="W392" s="217">
        <f>ROUND(AC392+(INDEX(Ref!B$1:B$9,MATCH($AI392,Ref!$A$1:$A$9,0))*P392*0.0001),)</f>
        <v>17</v>
      </c>
      <c r="X392" s="217">
        <f>ROUND(AD392+(INDEX(Ref!C$1:C$9,MATCH($AI392,Ref!$A$1:$A$9,0))*$P392*0.0001),)</f>
        <v>32</v>
      </c>
      <c r="Y392" s="217">
        <f>ROUND(AE392+(INDEX(Ref!D$1:D$9,MATCH($AI392,Ref!$A$1:$A$9,0))*$P392*0.0001),)</f>
        <v>39</v>
      </c>
      <c r="Z392" s="217">
        <f>ROUND(AF392+(INDEX(Ref!E$1:E$9,MATCH($AI392,Ref!$A$1:$A$9,0))*$P392*0.0001),)</f>
        <v>19</v>
      </c>
      <c r="AA392" s="217">
        <f>ROUND(AG392+(INDEX(Ref!F$1:F$9,MATCH($AI392,Ref!$A$1:$A$9,0))*$P392*0.0001),)</f>
        <v>41</v>
      </c>
      <c r="AB392" s="217">
        <f>ROUND(AH392+(INDEX(Ref!G$1:G$9,MATCH($AI392,Ref!$A$1:$A$9,0))*$P392*0.0001),)</f>
        <v>36</v>
      </c>
      <c r="AC392" s="137">
        <v>15</v>
      </c>
      <c r="AD392" s="137">
        <v>28</v>
      </c>
      <c r="AE392" s="137">
        <v>36</v>
      </c>
      <c r="AF392" s="137">
        <v>17</v>
      </c>
      <c r="AG392" s="137">
        <v>36</v>
      </c>
      <c r="AH392" s="137">
        <v>32</v>
      </c>
      <c r="AI392" s="208">
        <v>5</v>
      </c>
      <c r="AJ392" s="172">
        <v>3000</v>
      </c>
      <c r="AK392" s="172">
        <v>30469</v>
      </c>
      <c r="AL392" s="172">
        <v>2000</v>
      </c>
      <c r="AM392" s="172">
        <v>30472</v>
      </c>
      <c r="AN392" s="172">
        <v>0</v>
      </c>
      <c r="AO392" s="172">
        <f t="shared" si="46"/>
        <v>34469</v>
      </c>
      <c r="AP392" s="172">
        <v>0</v>
      </c>
      <c r="AQ392" s="172">
        <f t="shared" si="47"/>
        <v>34472</v>
      </c>
      <c r="AR392" s="172">
        <v>1</v>
      </c>
      <c r="AS392" s="172">
        <v>0</v>
      </c>
      <c r="AT392" s="199">
        <v>78079</v>
      </c>
      <c r="AU392" s="195" t="s">
        <v>300</v>
      </c>
    </row>
    <row r="393" spans="1:47" x14ac:dyDescent="0.2">
      <c r="A393" s="173">
        <v>55079</v>
      </c>
      <c r="B393" s="180" t="s">
        <v>1043</v>
      </c>
      <c r="C393" s="172">
        <v>86079</v>
      </c>
      <c r="D393" s="172">
        <v>150079</v>
      </c>
      <c r="E393" s="206" t="s">
        <v>1089</v>
      </c>
      <c r="F393" s="207">
        <v>10</v>
      </c>
      <c r="G393" s="172">
        <v>13000</v>
      </c>
      <c r="H393" s="172">
        <v>9000</v>
      </c>
      <c r="I393" s="172">
        <v>10000</v>
      </c>
      <c r="J393" s="172">
        <v>2</v>
      </c>
      <c r="K393" s="190">
        <f>IF($J393=1,INDEX('큐펫&amp;몹 정리(최신)'!P:P,MATCH($E393,'큐펫&amp;몹 정리(최신)'!$B:$B,0))*20,IF($J393=2,INDEX('큐펫&amp;몹 정리(최신)'!P:P,MATCH($E393,'큐펫&amp;몹 정리(최신)'!$B:$B,0))*25,IF($J393=3,INDEX('큐펫&amp;몹 정리(최신)'!P:P,MATCH($E393,'큐펫&amp;몹 정리(최신)'!$B:$B,0))*30,IF($J393=4,INDEX('큐펫&amp;몹 정리(최신)'!P:P,MATCH($E393,'큐펫&amp;몹 정리(최신)'!$B:$B,0))*35,INDEX('큐펫&amp;몹 정리(최신)'!P:P,MATCH($E393,'큐펫&amp;몹 정리(최신)'!$B:$B,0))*40))))</f>
        <v>1200</v>
      </c>
      <c r="L393" s="190">
        <f>IF($J393=1,INDEX('큐펫&amp;몹 정리(최신)'!Q:Q,MATCH($E393,'큐펫&amp;몹 정리(최신)'!$B:$B,0))*20,IF($J393=2,INDEX('큐펫&amp;몹 정리(최신)'!Q:Q,MATCH($E393,'큐펫&amp;몹 정리(최신)'!$B:$B,0))*25,IF($J393=3,INDEX('큐펫&amp;몹 정리(최신)'!Q:Q,MATCH($E393,'큐펫&amp;몹 정리(최신)'!$B:$B,0))*30,IF($J393=4,INDEX('큐펫&amp;몹 정리(최신)'!Q:Q,MATCH($E393,'큐펫&amp;몹 정리(최신)'!$B:$B,0))*35,INDEX('큐펫&amp;몹 정리(최신)'!Q:Q,MATCH($E393,'큐펫&amp;몹 정리(최신)'!$B:$B,0))*40))))</f>
        <v>125</v>
      </c>
      <c r="M393" s="190">
        <f>IF($J393=1,INDEX('큐펫&amp;몹 정리(최신)'!R:R,MATCH($E393,'큐펫&amp;몹 정리(최신)'!$B:$B,0))*20,IF($J393=2,INDEX('큐펫&amp;몹 정리(최신)'!R:R,MATCH($E393,'큐펫&amp;몹 정리(최신)'!$B:$B,0))*25,IF($J393=3,INDEX('큐펫&amp;몹 정리(최신)'!R:R,MATCH($E393,'큐펫&amp;몹 정리(최신)'!$B:$B,0))*30,IF($J393=4,INDEX('큐펫&amp;몹 정리(최신)'!R:R,MATCH($E393,'큐펫&amp;몹 정리(최신)'!$B:$B,0))*35,INDEX('큐펫&amp;몹 정리(최신)'!R:R,MATCH($E393,'큐펫&amp;몹 정리(최신)'!$B:$B,0))*40))))</f>
        <v>100</v>
      </c>
      <c r="N393" s="190">
        <f>IF($J393=1,INDEX('큐펫&amp;몹 정리(최신)'!S:S,MATCH($E393,'큐펫&amp;몹 정리(최신)'!$B:$B,0))*20,IF($J393=2,INDEX('큐펫&amp;몹 정리(최신)'!S:S,MATCH($E393,'큐펫&amp;몹 정리(최신)'!$B:$B,0))*25,IF($J393=3,INDEX('큐펫&amp;몹 정리(최신)'!S:S,MATCH($E393,'큐펫&amp;몹 정리(최신)'!$B:$B,0))*30,IF($J393=4,INDEX('큐펫&amp;몹 정리(최신)'!S:S,MATCH($E393,'큐펫&amp;몹 정리(최신)'!$B:$B,0))*35,INDEX('큐펫&amp;몹 정리(최신)'!S:S,MATCH($E393,'큐펫&amp;몹 정리(최신)'!$B:$B,0))*40))))</f>
        <v>575</v>
      </c>
      <c r="O393" s="190">
        <f>IF($J393=1,INDEX('큐펫&amp;몹 정리(최신)'!T:T,MATCH($E393,'큐펫&amp;몹 정리(최신)'!$B:$B,0))*20,IF($J393=2,INDEX('큐펫&amp;몹 정리(최신)'!T:T,MATCH($E393,'큐펫&amp;몹 정리(최신)'!$B:$B,0))*25,IF($J393=3,INDEX('큐펫&amp;몹 정리(최신)'!T:T,MATCH($E393,'큐펫&amp;몹 정리(최신)'!$B:$B,0))*30,IF($J393=4,INDEX('큐펫&amp;몹 정리(최신)'!T:T,MATCH($E393,'큐펫&amp;몹 정리(최신)'!$B:$B,0))*35,INDEX('큐펫&amp;몹 정리(최신)'!T:T,MATCH($E393,'큐펫&amp;몹 정리(최신)'!$B:$B,0))*40))))</f>
        <v>500</v>
      </c>
      <c r="P393" s="217">
        <v>40</v>
      </c>
      <c r="Q393" s="217">
        <f t="shared" si="48"/>
        <v>75120</v>
      </c>
      <c r="R393" s="217">
        <f t="shared" si="49"/>
        <v>634</v>
      </c>
      <c r="S393" s="217">
        <f t="shared" si="50"/>
        <v>3387</v>
      </c>
      <c r="T393" s="217">
        <f t="shared" si="51"/>
        <v>661</v>
      </c>
      <c r="U393" s="217">
        <f t="shared" si="52"/>
        <v>24159</v>
      </c>
      <c r="V393" s="217">
        <f t="shared" si="53"/>
        <v>10524</v>
      </c>
      <c r="W393" s="217">
        <f>ROUND(AC393+(INDEX(Ref!B$1:B$9,MATCH($AI393,Ref!$A$1:$A$9,0))*P393*0.0001),)</f>
        <v>21</v>
      </c>
      <c r="X393" s="217">
        <f>ROUND(AD393+(INDEX(Ref!C$1:C$9,MATCH($AI393,Ref!$A$1:$A$9,0))*$P393*0.0001),)</f>
        <v>40</v>
      </c>
      <c r="Y393" s="217">
        <f>ROUND(AE393+(INDEX(Ref!D$1:D$9,MATCH($AI393,Ref!$A$1:$A$9,0))*$P393*0.0001),)</f>
        <v>44</v>
      </c>
      <c r="Z393" s="217">
        <f>ROUND(AF393+(INDEX(Ref!E$1:E$9,MATCH($AI393,Ref!$A$1:$A$9,0))*$P393*0.0001),)</f>
        <v>24</v>
      </c>
      <c r="AA393" s="217">
        <f>ROUND(AG393+(INDEX(Ref!F$1:F$9,MATCH($AI393,Ref!$A$1:$A$9,0))*$P393*0.0001),)</f>
        <v>51</v>
      </c>
      <c r="AB393" s="217">
        <f>ROUND(AH393+(INDEX(Ref!G$1:G$9,MATCH($AI393,Ref!$A$1:$A$9,0))*$P393*0.0001),)</f>
        <v>44</v>
      </c>
      <c r="AC393" s="137">
        <v>17</v>
      </c>
      <c r="AD393" s="137">
        <v>32</v>
      </c>
      <c r="AE393" s="137">
        <v>39</v>
      </c>
      <c r="AF393" s="137">
        <v>19</v>
      </c>
      <c r="AG393" s="137">
        <v>41</v>
      </c>
      <c r="AH393" s="137">
        <v>36</v>
      </c>
      <c r="AI393" s="208">
        <v>5</v>
      </c>
      <c r="AJ393" s="172">
        <v>3000</v>
      </c>
      <c r="AK393" s="172">
        <v>30470</v>
      </c>
      <c r="AL393" s="172">
        <v>2000</v>
      </c>
      <c r="AM393" s="172">
        <v>30472</v>
      </c>
      <c r="AN393" s="172">
        <v>0</v>
      </c>
      <c r="AO393" s="172">
        <f t="shared" si="46"/>
        <v>34470</v>
      </c>
      <c r="AP393" s="172">
        <v>0</v>
      </c>
      <c r="AQ393" s="172">
        <f t="shared" si="47"/>
        <v>34472</v>
      </c>
      <c r="AR393" s="172">
        <v>1</v>
      </c>
      <c r="AS393" s="172">
        <v>0</v>
      </c>
      <c r="AT393" s="199">
        <v>78079</v>
      </c>
      <c r="AU393" s="195" t="s">
        <v>300</v>
      </c>
    </row>
    <row r="394" spans="1:47" x14ac:dyDescent="0.2">
      <c r="A394" s="173">
        <v>55079</v>
      </c>
      <c r="B394" s="180" t="s">
        <v>1043</v>
      </c>
      <c r="C394" s="172">
        <v>86079</v>
      </c>
      <c r="D394" s="172">
        <v>150079</v>
      </c>
      <c r="E394" s="206" t="s">
        <v>1089</v>
      </c>
      <c r="F394" s="207">
        <v>10</v>
      </c>
      <c r="G394" s="172">
        <v>13000</v>
      </c>
      <c r="H394" s="172">
        <v>9000</v>
      </c>
      <c r="I394" s="172">
        <v>10000</v>
      </c>
      <c r="J394" s="172">
        <v>3</v>
      </c>
      <c r="K394" s="190">
        <f>IF($J394=1,INDEX('큐펫&amp;몹 정리(최신)'!P:P,MATCH($E394,'큐펫&amp;몹 정리(최신)'!$B:$B,0))*20,IF($J394=2,INDEX('큐펫&amp;몹 정리(최신)'!P:P,MATCH($E394,'큐펫&amp;몹 정리(최신)'!$B:$B,0))*25,IF($J394=3,INDEX('큐펫&amp;몹 정리(최신)'!P:P,MATCH($E394,'큐펫&amp;몹 정리(최신)'!$B:$B,0))*30,IF($J394=4,INDEX('큐펫&amp;몹 정리(최신)'!P:P,MATCH($E394,'큐펫&amp;몹 정리(최신)'!$B:$B,0))*35,INDEX('큐펫&amp;몹 정리(최신)'!P:P,MATCH($E394,'큐펫&amp;몹 정리(최신)'!$B:$B,0))*40))))</f>
        <v>1440</v>
      </c>
      <c r="L394" s="190">
        <f>IF($J394=1,INDEX('큐펫&amp;몹 정리(최신)'!Q:Q,MATCH($E394,'큐펫&amp;몹 정리(최신)'!$B:$B,0))*20,IF($J394=2,INDEX('큐펫&amp;몹 정리(최신)'!Q:Q,MATCH($E394,'큐펫&amp;몹 정리(최신)'!$B:$B,0))*25,IF($J394=3,INDEX('큐펫&amp;몹 정리(최신)'!Q:Q,MATCH($E394,'큐펫&amp;몹 정리(최신)'!$B:$B,0))*30,IF($J394=4,INDEX('큐펫&amp;몹 정리(최신)'!Q:Q,MATCH($E394,'큐펫&amp;몹 정리(최신)'!$B:$B,0))*35,INDEX('큐펫&amp;몹 정리(최신)'!Q:Q,MATCH($E394,'큐펫&amp;몹 정리(최신)'!$B:$B,0))*40))))</f>
        <v>150</v>
      </c>
      <c r="M394" s="190">
        <f>IF($J394=1,INDEX('큐펫&amp;몹 정리(최신)'!R:R,MATCH($E394,'큐펫&amp;몹 정리(최신)'!$B:$B,0))*20,IF($J394=2,INDEX('큐펫&amp;몹 정리(최신)'!R:R,MATCH($E394,'큐펫&amp;몹 정리(최신)'!$B:$B,0))*25,IF($J394=3,INDEX('큐펫&amp;몹 정리(최신)'!R:R,MATCH($E394,'큐펫&amp;몹 정리(최신)'!$B:$B,0))*30,IF($J394=4,INDEX('큐펫&amp;몹 정리(최신)'!R:R,MATCH($E394,'큐펫&amp;몹 정리(최신)'!$B:$B,0))*35,INDEX('큐펫&amp;몹 정리(최신)'!R:R,MATCH($E394,'큐펫&amp;몹 정리(최신)'!$B:$B,0))*40))))</f>
        <v>120</v>
      </c>
      <c r="N394" s="190">
        <f>IF($J394=1,INDEX('큐펫&amp;몹 정리(최신)'!S:S,MATCH($E394,'큐펫&amp;몹 정리(최신)'!$B:$B,0))*20,IF($J394=2,INDEX('큐펫&amp;몹 정리(최신)'!S:S,MATCH($E394,'큐펫&amp;몹 정리(최신)'!$B:$B,0))*25,IF($J394=3,INDEX('큐펫&amp;몹 정리(최신)'!S:S,MATCH($E394,'큐펫&amp;몹 정리(최신)'!$B:$B,0))*30,IF($J394=4,INDEX('큐펫&amp;몹 정리(최신)'!S:S,MATCH($E394,'큐펫&amp;몹 정리(최신)'!$B:$B,0))*35,INDEX('큐펫&amp;몹 정리(최신)'!S:S,MATCH($E394,'큐펫&amp;몹 정리(최신)'!$B:$B,0))*40))))</f>
        <v>690</v>
      </c>
      <c r="O394" s="190">
        <f>IF($J394=1,INDEX('큐펫&amp;몹 정리(최신)'!T:T,MATCH($E394,'큐펫&amp;몹 정리(최신)'!$B:$B,0))*20,IF($J394=2,INDEX('큐펫&amp;몹 정리(최신)'!T:T,MATCH($E394,'큐펫&amp;몹 정리(최신)'!$B:$B,0))*25,IF($J394=3,INDEX('큐펫&amp;몹 정리(최신)'!T:T,MATCH($E394,'큐펫&amp;몹 정리(최신)'!$B:$B,0))*30,IF($J394=4,INDEX('큐펫&amp;몹 정리(최신)'!T:T,MATCH($E394,'큐펫&amp;몹 정리(최신)'!$B:$B,0))*35,INDEX('큐펫&amp;몹 정리(최신)'!T:T,MATCH($E394,'큐펫&amp;몹 정리(최신)'!$B:$B,0))*40))))</f>
        <v>600</v>
      </c>
      <c r="P394" s="217">
        <v>60</v>
      </c>
      <c r="Q394" s="217">
        <f t="shared" si="48"/>
        <v>136800</v>
      </c>
      <c r="R394" s="217">
        <f t="shared" si="49"/>
        <v>1121</v>
      </c>
      <c r="S394" s="217">
        <f t="shared" si="50"/>
        <v>5567</v>
      </c>
      <c r="T394" s="217">
        <f t="shared" si="51"/>
        <v>1047</v>
      </c>
      <c r="U394" s="217">
        <f t="shared" si="52"/>
        <v>37960</v>
      </c>
      <c r="V394" s="217">
        <f t="shared" si="53"/>
        <v>16528</v>
      </c>
      <c r="W394" s="217">
        <f>ROUND(AC394+(INDEX(Ref!B$1:B$9,MATCH($AI394,Ref!$A$1:$A$9,0))*P394*0.0001),)</f>
        <v>26</v>
      </c>
      <c r="X394" s="217">
        <f>ROUND(AD394+(INDEX(Ref!C$1:C$9,MATCH($AI394,Ref!$A$1:$A$9,0))*$P394*0.0001),)</f>
        <v>47</v>
      </c>
      <c r="Y394" s="217">
        <f>ROUND(AE394+(INDEX(Ref!D$1:D$9,MATCH($AI394,Ref!$A$1:$A$9,0))*$P394*0.0001),)</f>
        <v>50</v>
      </c>
      <c r="Z394" s="217">
        <f>ROUND(AF394+(INDEX(Ref!E$1:E$9,MATCH($AI394,Ref!$A$1:$A$9,0))*$P394*0.0001),)</f>
        <v>28</v>
      </c>
      <c r="AA394" s="217">
        <f>ROUND(AG394+(INDEX(Ref!F$1:F$9,MATCH($AI394,Ref!$A$1:$A$9,0))*$P394*0.0001),)</f>
        <v>60</v>
      </c>
      <c r="AB394" s="217">
        <f>ROUND(AH394+(INDEX(Ref!G$1:G$9,MATCH($AI394,Ref!$A$1:$A$9,0))*$P394*0.0001),)</f>
        <v>53</v>
      </c>
      <c r="AC394" s="137">
        <v>19</v>
      </c>
      <c r="AD394" s="137">
        <v>36</v>
      </c>
      <c r="AE394" s="137">
        <v>42</v>
      </c>
      <c r="AF394" s="137">
        <v>21</v>
      </c>
      <c r="AG394" s="137">
        <v>46</v>
      </c>
      <c r="AH394" s="137">
        <v>40</v>
      </c>
      <c r="AI394" s="208">
        <v>5</v>
      </c>
      <c r="AJ394" s="172">
        <v>3000</v>
      </c>
      <c r="AK394" s="172">
        <v>30470</v>
      </c>
      <c r="AL394" s="172">
        <v>2000</v>
      </c>
      <c r="AM394" s="172">
        <v>30473</v>
      </c>
      <c r="AN394" s="172">
        <v>0</v>
      </c>
      <c r="AO394" s="172">
        <f t="shared" si="46"/>
        <v>34470</v>
      </c>
      <c r="AP394" s="172">
        <v>0</v>
      </c>
      <c r="AQ394" s="172">
        <f t="shared" si="47"/>
        <v>34473</v>
      </c>
      <c r="AR394" s="172">
        <v>1</v>
      </c>
      <c r="AS394" s="172">
        <v>0</v>
      </c>
      <c r="AT394" s="199">
        <v>78079</v>
      </c>
      <c r="AU394" s="195" t="s">
        <v>300</v>
      </c>
    </row>
    <row r="395" spans="1:47" x14ac:dyDescent="0.2">
      <c r="A395" s="173">
        <v>55079</v>
      </c>
      <c r="B395" s="180" t="s">
        <v>1043</v>
      </c>
      <c r="C395" s="172">
        <v>86079</v>
      </c>
      <c r="D395" s="172">
        <v>150079</v>
      </c>
      <c r="E395" s="206" t="s">
        <v>1089</v>
      </c>
      <c r="F395" s="207">
        <v>10</v>
      </c>
      <c r="G395" s="172">
        <v>13000</v>
      </c>
      <c r="H395" s="172">
        <v>9000</v>
      </c>
      <c r="I395" s="172">
        <v>10000</v>
      </c>
      <c r="J395" s="172">
        <v>4</v>
      </c>
      <c r="K395" s="190">
        <f>IF($J395=1,INDEX('큐펫&amp;몹 정리(최신)'!P:P,MATCH($E395,'큐펫&amp;몹 정리(최신)'!$B:$B,0))*20,IF($J395=2,INDEX('큐펫&amp;몹 정리(최신)'!P:P,MATCH($E395,'큐펫&amp;몹 정리(최신)'!$B:$B,0))*25,IF($J395=3,INDEX('큐펫&amp;몹 정리(최신)'!P:P,MATCH($E395,'큐펫&amp;몹 정리(최신)'!$B:$B,0))*30,IF($J395=4,INDEX('큐펫&amp;몹 정리(최신)'!P:P,MATCH($E395,'큐펫&amp;몹 정리(최신)'!$B:$B,0))*35,INDEX('큐펫&amp;몹 정리(최신)'!P:P,MATCH($E395,'큐펫&amp;몹 정리(최신)'!$B:$B,0))*40))))</f>
        <v>1680</v>
      </c>
      <c r="L395" s="190">
        <f>IF($J395=1,INDEX('큐펫&amp;몹 정리(최신)'!Q:Q,MATCH($E395,'큐펫&amp;몹 정리(최신)'!$B:$B,0))*20,IF($J395=2,INDEX('큐펫&amp;몹 정리(최신)'!Q:Q,MATCH($E395,'큐펫&amp;몹 정리(최신)'!$B:$B,0))*25,IF($J395=3,INDEX('큐펫&amp;몹 정리(최신)'!Q:Q,MATCH($E395,'큐펫&amp;몹 정리(최신)'!$B:$B,0))*30,IF($J395=4,INDEX('큐펫&amp;몹 정리(최신)'!Q:Q,MATCH($E395,'큐펫&amp;몹 정리(최신)'!$B:$B,0))*35,INDEX('큐펫&amp;몹 정리(최신)'!Q:Q,MATCH($E395,'큐펫&amp;몹 정리(최신)'!$B:$B,0))*40))))</f>
        <v>175</v>
      </c>
      <c r="M395" s="190">
        <f>IF($J395=1,INDEX('큐펫&amp;몹 정리(최신)'!R:R,MATCH($E395,'큐펫&amp;몹 정리(최신)'!$B:$B,0))*20,IF($J395=2,INDEX('큐펫&amp;몹 정리(최신)'!R:R,MATCH($E395,'큐펫&amp;몹 정리(최신)'!$B:$B,0))*25,IF($J395=3,INDEX('큐펫&amp;몹 정리(최신)'!R:R,MATCH($E395,'큐펫&amp;몹 정리(최신)'!$B:$B,0))*30,IF($J395=4,INDEX('큐펫&amp;몹 정리(최신)'!R:R,MATCH($E395,'큐펫&amp;몹 정리(최신)'!$B:$B,0))*35,INDEX('큐펫&amp;몹 정리(최신)'!R:R,MATCH($E395,'큐펫&amp;몹 정리(최신)'!$B:$B,0))*40))))</f>
        <v>140</v>
      </c>
      <c r="N395" s="190">
        <f>IF($J395=1,INDEX('큐펫&amp;몹 정리(최신)'!S:S,MATCH($E395,'큐펫&amp;몹 정리(최신)'!$B:$B,0))*20,IF($J395=2,INDEX('큐펫&amp;몹 정리(최신)'!S:S,MATCH($E395,'큐펫&amp;몹 정리(최신)'!$B:$B,0))*25,IF($J395=3,INDEX('큐펫&amp;몹 정리(최신)'!S:S,MATCH($E395,'큐펫&amp;몹 정리(최신)'!$B:$B,0))*30,IF($J395=4,INDEX('큐펫&amp;몹 정리(최신)'!S:S,MATCH($E395,'큐펫&amp;몹 정리(최신)'!$B:$B,0))*35,INDEX('큐펫&amp;몹 정리(최신)'!S:S,MATCH($E395,'큐펫&amp;몹 정리(최신)'!$B:$B,0))*40))))</f>
        <v>805</v>
      </c>
      <c r="O395" s="190">
        <f>IF($J395=1,INDEX('큐펫&amp;몹 정리(최신)'!T:T,MATCH($E395,'큐펫&amp;몹 정리(최신)'!$B:$B,0))*20,IF($J395=2,INDEX('큐펫&amp;몹 정리(최신)'!T:T,MATCH($E395,'큐펫&amp;몹 정리(최신)'!$B:$B,0))*25,IF($J395=3,INDEX('큐펫&amp;몹 정리(최신)'!T:T,MATCH($E395,'큐펫&amp;몹 정리(최신)'!$B:$B,0))*30,IF($J395=4,INDEX('큐펫&amp;몹 정리(최신)'!T:T,MATCH($E395,'큐펫&amp;몹 정리(최신)'!$B:$B,0))*35,INDEX('큐펫&amp;몹 정리(최신)'!T:T,MATCH($E395,'큐펫&amp;몹 정리(최신)'!$B:$B,0))*40))))</f>
        <v>700</v>
      </c>
      <c r="P395" s="217">
        <v>80</v>
      </c>
      <c r="Q395" s="217">
        <f t="shared" si="48"/>
        <v>215376</v>
      </c>
      <c r="R395" s="217">
        <f t="shared" si="49"/>
        <v>1813</v>
      </c>
      <c r="S395" s="217">
        <f t="shared" si="50"/>
        <v>8774</v>
      </c>
      <c r="T395" s="217">
        <f t="shared" si="51"/>
        <v>1750</v>
      </c>
      <c r="U395" s="217">
        <f t="shared" si="52"/>
        <v>53947</v>
      </c>
      <c r="V395" s="217">
        <f t="shared" si="53"/>
        <v>23484</v>
      </c>
      <c r="W395" s="217">
        <f>ROUND(AC395+(INDEX(Ref!B$1:B$9,MATCH($AI395,Ref!$A$1:$A$9,0))*P395*0.0001),)</f>
        <v>31</v>
      </c>
      <c r="X395" s="217">
        <f>ROUND(AD395+(INDEX(Ref!C$1:C$9,MATCH($AI395,Ref!$A$1:$A$9,0))*$P395*0.0001),)</f>
        <v>54</v>
      </c>
      <c r="Y395" s="217">
        <f>ROUND(AE395+(INDEX(Ref!D$1:D$9,MATCH($AI395,Ref!$A$1:$A$9,0))*$P395*0.0001),)</f>
        <v>54</v>
      </c>
      <c r="Z395" s="217">
        <f>ROUND(AF395+(INDEX(Ref!E$1:E$9,MATCH($AI395,Ref!$A$1:$A$9,0))*$P395*0.0001),)</f>
        <v>34</v>
      </c>
      <c r="AA395" s="217">
        <f>ROUND(AG395+(INDEX(Ref!F$1:F$9,MATCH($AI395,Ref!$A$1:$A$9,0))*$P395*0.0001),)</f>
        <v>70</v>
      </c>
      <c r="AB395" s="217">
        <f>ROUND(AH395+(INDEX(Ref!G$1:G$9,MATCH($AI395,Ref!$A$1:$A$9,0))*$P395*0.0001),)</f>
        <v>61</v>
      </c>
      <c r="AC395" s="137">
        <v>22</v>
      </c>
      <c r="AD395" s="137">
        <v>39</v>
      </c>
      <c r="AE395" s="137">
        <v>44</v>
      </c>
      <c r="AF395" s="137">
        <v>24</v>
      </c>
      <c r="AG395" s="137">
        <v>51</v>
      </c>
      <c r="AH395" s="137">
        <v>44</v>
      </c>
      <c r="AI395" s="208">
        <v>5</v>
      </c>
      <c r="AJ395" s="172">
        <v>3000</v>
      </c>
      <c r="AK395" s="172">
        <v>30471</v>
      </c>
      <c r="AL395" s="172">
        <v>2000</v>
      </c>
      <c r="AM395" s="172">
        <v>30473</v>
      </c>
      <c r="AN395" s="172">
        <v>0</v>
      </c>
      <c r="AO395" s="172">
        <f t="shared" si="46"/>
        <v>34471</v>
      </c>
      <c r="AP395" s="172">
        <v>0</v>
      </c>
      <c r="AQ395" s="172">
        <f t="shared" si="47"/>
        <v>34473</v>
      </c>
      <c r="AR395" s="172">
        <v>1</v>
      </c>
      <c r="AS395" s="172">
        <v>0</v>
      </c>
      <c r="AT395" s="199">
        <v>78079</v>
      </c>
      <c r="AU395" s="195" t="s">
        <v>300</v>
      </c>
    </row>
    <row r="396" spans="1:47" x14ac:dyDescent="0.2">
      <c r="A396" s="173">
        <v>55079</v>
      </c>
      <c r="B396" s="180" t="s">
        <v>1043</v>
      </c>
      <c r="C396" s="172">
        <v>86079</v>
      </c>
      <c r="D396" s="172">
        <v>150079</v>
      </c>
      <c r="E396" s="206" t="s">
        <v>1089</v>
      </c>
      <c r="F396" s="207">
        <v>10</v>
      </c>
      <c r="G396" s="172">
        <v>13000</v>
      </c>
      <c r="H396" s="172">
        <v>9000</v>
      </c>
      <c r="I396" s="172">
        <v>10000</v>
      </c>
      <c r="J396" s="172">
        <v>5</v>
      </c>
      <c r="K396" s="190">
        <f>IF($J396=1,INDEX('큐펫&amp;몹 정리(최신)'!P:P,MATCH($E396,'큐펫&amp;몹 정리(최신)'!$B:$B,0))*20,IF($J396=2,INDEX('큐펫&amp;몹 정리(최신)'!P:P,MATCH($E396,'큐펫&amp;몹 정리(최신)'!$B:$B,0))*25,IF($J396=3,INDEX('큐펫&amp;몹 정리(최신)'!P:P,MATCH($E396,'큐펫&amp;몹 정리(최신)'!$B:$B,0))*30,IF($J396=4,INDEX('큐펫&amp;몹 정리(최신)'!P:P,MATCH($E396,'큐펫&amp;몹 정리(최신)'!$B:$B,0))*35,INDEX('큐펫&amp;몹 정리(최신)'!P:P,MATCH($E396,'큐펫&amp;몹 정리(최신)'!$B:$B,0))*40))))</f>
        <v>1920</v>
      </c>
      <c r="L396" s="190">
        <f>IF($J396=1,INDEX('큐펫&amp;몹 정리(최신)'!Q:Q,MATCH($E396,'큐펫&amp;몹 정리(최신)'!$B:$B,0))*20,IF($J396=2,INDEX('큐펫&amp;몹 정리(최신)'!Q:Q,MATCH($E396,'큐펫&amp;몹 정리(최신)'!$B:$B,0))*25,IF($J396=3,INDEX('큐펫&amp;몹 정리(최신)'!Q:Q,MATCH($E396,'큐펫&amp;몹 정리(최신)'!$B:$B,0))*30,IF($J396=4,INDEX('큐펫&amp;몹 정리(최신)'!Q:Q,MATCH($E396,'큐펫&amp;몹 정리(최신)'!$B:$B,0))*35,INDEX('큐펫&amp;몹 정리(최신)'!Q:Q,MATCH($E396,'큐펫&amp;몹 정리(최신)'!$B:$B,0))*40))))</f>
        <v>200</v>
      </c>
      <c r="M396" s="190">
        <f>IF($J396=1,INDEX('큐펫&amp;몹 정리(최신)'!R:R,MATCH($E396,'큐펫&amp;몹 정리(최신)'!$B:$B,0))*20,IF($J396=2,INDEX('큐펫&amp;몹 정리(최신)'!R:R,MATCH($E396,'큐펫&amp;몹 정리(최신)'!$B:$B,0))*25,IF($J396=3,INDEX('큐펫&amp;몹 정리(최신)'!R:R,MATCH($E396,'큐펫&amp;몹 정리(최신)'!$B:$B,0))*30,IF($J396=4,INDEX('큐펫&amp;몹 정리(최신)'!R:R,MATCH($E396,'큐펫&amp;몹 정리(최신)'!$B:$B,0))*35,INDEX('큐펫&amp;몹 정리(최신)'!R:R,MATCH($E396,'큐펫&amp;몹 정리(최신)'!$B:$B,0))*40))))</f>
        <v>160</v>
      </c>
      <c r="N396" s="190">
        <f>IF($J396=1,INDEX('큐펫&amp;몹 정리(최신)'!S:S,MATCH($E396,'큐펫&amp;몹 정리(최신)'!$B:$B,0))*20,IF($J396=2,INDEX('큐펫&amp;몹 정리(최신)'!S:S,MATCH($E396,'큐펫&amp;몹 정리(최신)'!$B:$B,0))*25,IF($J396=3,INDEX('큐펫&amp;몹 정리(최신)'!S:S,MATCH($E396,'큐펫&amp;몹 정리(최신)'!$B:$B,0))*30,IF($J396=4,INDEX('큐펫&amp;몹 정리(최신)'!S:S,MATCH($E396,'큐펫&amp;몹 정리(최신)'!$B:$B,0))*35,INDEX('큐펫&amp;몹 정리(최신)'!S:S,MATCH($E396,'큐펫&amp;몹 정리(최신)'!$B:$B,0))*40))))</f>
        <v>920</v>
      </c>
      <c r="O396" s="190">
        <f>IF($J396=1,INDEX('큐펫&amp;몹 정리(최신)'!T:T,MATCH($E396,'큐펫&amp;몹 정리(최신)'!$B:$B,0))*20,IF($J396=2,INDEX('큐펫&amp;몹 정리(최신)'!T:T,MATCH($E396,'큐펫&amp;몹 정리(최신)'!$B:$B,0))*25,IF($J396=3,INDEX('큐펫&amp;몹 정리(최신)'!T:T,MATCH($E396,'큐펫&amp;몹 정리(최신)'!$B:$B,0))*30,IF($J396=4,INDEX('큐펫&amp;몹 정리(최신)'!T:T,MATCH($E396,'큐펫&amp;몹 정리(최신)'!$B:$B,0))*35,INDEX('큐펫&amp;몹 정리(최신)'!T:T,MATCH($E396,'큐펫&amp;몹 정리(최신)'!$B:$B,0))*40))))</f>
        <v>800</v>
      </c>
      <c r="P396" s="217">
        <v>100</v>
      </c>
      <c r="Q396" s="217">
        <f t="shared" si="48"/>
        <v>316800</v>
      </c>
      <c r="R396" s="217">
        <f t="shared" si="49"/>
        <v>2603</v>
      </c>
      <c r="S396" s="217">
        <f t="shared" si="50"/>
        <v>13032</v>
      </c>
      <c r="T396" s="217">
        <f t="shared" si="51"/>
        <v>2463</v>
      </c>
      <c r="U396" s="217">
        <f t="shared" si="52"/>
        <v>73614</v>
      </c>
      <c r="V396" s="217">
        <f t="shared" si="53"/>
        <v>32038</v>
      </c>
      <c r="W396" s="217">
        <f>ROUND(AC396+(INDEX(Ref!B$1:B$9,MATCH($AI396,Ref!$A$1:$A$9,0))*P396*0.0001),)</f>
        <v>35</v>
      </c>
      <c r="X396" s="217">
        <f>ROUND(AD396+(INDEX(Ref!C$1:C$9,MATCH($AI396,Ref!$A$1:$A$9,0))*$P396*0.0001),)</f>
        <v>62</v>
      </c>
      <c r="Y396" s="217">
        <f>ROUND(AE396+(INDEX(Ref!D$1:D$9,MATCH($AI396,Ref!$A$1:$A$9,0))*$P396*0.0001),)</f>
        <v>60</v>
      </c>
      <c r="Z396" s="217">
        <f>ROUND(AF396+(INDEX(Ref!E$1:E$9,MATCH($AI396,Ref!$A$1:$A$9,0))*$P396*0.0001),)</f>
        <v>38</v>
      </c>
      <c r="AA396" s="217">
        <f>ROUND(AG396+(INDEX(Ref!F$1:F$9,MATCH($AI396,Ref!$A$1:$A$9,0))*$P396*0.0001),)</f>
        <v>80</v>
      </c>
      <c r="AB396" s="217">
        <f>ROUND(AH396+(INDEX(Ref!G$1:G$9,MATCH($AI396,Ref!$A$1:$A$9,0))*$P396*0.0001),)</f>
        <v>69</v>
      </c>
      <c r="AC396" s="137">
        <v>24</v>
      </c>
      <c r="AD396" s="137">
        <v>43</v>
      </c>
      <c r="AE396" s="137">
        <v>47</v>
      </c>
      <c r="AF396" s="137">
        <v>26</v>
      </c>
      <c r="AG396" s="137">
        <v>56</v>
      </c>
      <c r="AH396" s="137">
        <v>48</v>
      </c>
      <c r="AI396" s="208">
        <v>5</v>
      </c>
      <c r="AJ396" s="172">
        <v>3000</v>
      </c>
      <c r="AK396" s="172">
        <v>30471</v>
      </c>
      <c r="AL396" s="172">
        <v>2000</v>
      </c>
      <c r="AM396" s="172">
        <v>30474</v>
      </c>
      <c r="AN396" s="172">
        <v>0</v>
      </c>
      <c r="AO396" s="172">
        <f t="shared" si="46"/>
        <v>34471</v>
      </c>
      <c r="AP396" s="172">
        <v>0</v>
      </c>
      <c r="AQ396" s="172">
        <f t="shared" si="47"/>
        <v>34474</v>
      </c>
      <c r="AR396" s="172">
        <v>1</v>
      </c>
      <c r="AS396" s="172">
        <v>0</v>
      </c>
      <c r="AT396" s="199">
        <v>78079</v>
      </c>
      <c r="AU396" s="195" t="s">
        <v>300</v>
      </c>
    </row>
    <row r="397" spans="1:47" x14ac:dyDescent="0.2">
      <c r="A397" s="173">
        <v>55080</v>
      </c>
      <c r="B397" s="181" t="s">
        <v>1044</v>
      </c>
      <c r="C397" s="172">
        <v>86080</v>
      </c>
      <c r="D397" s="172">
        <v>150080</v>
      </c>
      <c r="E397" s="206" t="s">
        <v>301</v>
      </c>
      <c r="F397" s="207">
        <v>10</v>
      </c>
      <c r="G397" s="173">
        <v>11500</v>
      </c>
      <c r="H397" s="173">
        <v>9500</v>
      </c>
      <c r="I397" s="172">
        <v>10000</v>
      </c>
      <c r="J397" s="172">
        <v>1</v>
      </c>
      <c r="K397" s="190">
        <f>IF($J397=1,INDEX('큐펫&amp;몹 정리(최신)'!P:P,MATCH($E397,'큐펫&amp;몹 정리(최신)'!$B:$B,0))*20,IF($J397=2,INDEX('큐펫&amp;몹 정리(최신)'!P:P,MATCH($E397,'큐펫&amp;몹 정리(최신)'!$B:$B,0))*25,IF($J397=3,INDEX('큐펫&amp;몹 정리(최신)'!P:P,MATCH($E397,'큐펫&amp;몹 정리(최신)'!$B:$B,0))*30,IF($J397=4,INDEX('큐펫&amp;몹 정리(최신)'!P:P,MATCH($E397,'큐펫&amp;몹 정리(최신)'!$B:$B,0))*35,INDEX('큐펫&amp;몹 정리(최신)'!P:P,MATCH($E397,'큐펫&amp;몹 정리(최신)'!$B:$B,0))*40))))</f>
        <v>800</v>
      </c>
      <c r="L397" s="190">
        <f>IF($J397=1,INDEX('큐펫&amp;몹 정리(최신)'!Q:Q,MATCH($E397,'큐펫&amp;몹 정리(최신)'!$B:$B,0))*20,IF($J397=2,INDEX('큐펫&amp;몹 정리(최신)'!Q:Q,MATCH($E397,'큐펫&amp;몹 정리(최신)'!$B:$B,0))*25,IF($J397=3,INDEX('큐펫&amp;몹 정리(최신)'!Q:Q,MATCH($E397,'큐펫&amp;몹 정리(최신)'!$B:$B,0))*30,IF($J397=4,INDEX('큐펫&amp;몹 정리(최신)'!Q:Q,MATCH($E397,'큐펫&amp;몹 정리(최신)'!$B:$B,0))*35,INDEX('큐펫&amp;몹 정리(최신)'!Q:Q,MATCH($E397,'큐펫&amp;몹 정리(최신)'!$B:$B,0))*40))))</f>
        <v>440</v>
      </c>
      <c r="M397" s="190">
        <f>IF($J397=1,INDEX('큐펫&amp;몹 정리(최신)'!R:R,MATCH($E397,'큐펫&amp;몹 정리(최신)'!$B:$B,0))*20,IF($J397=2,INDEX('큐펫&amp;몹 정리(최신)'!R:R,MATCH($E397,'큐펫&amp;몹 정리(최신)'!$B:$B,0))*25,IF($J397=3,INDEX('큐펫&amp;몹 정리(최신)'!R:R,MATCH($E397,'큐펫&amp;몹 정리(최신)'!$B:$B,0))*30,IF($J397=4,INDEX('큐펫&amp;몹 정리(최신)'!R:R,MATCH($E397,'큐펫&amp;몹 정리(최신)'!$B:$B,0))*35,INDEX('큐펫&amp;몹 정리(최신)'!R:R,MATCH($E397,'큐펫&amp;몹 정리(최신)'!$B:$B,0))*40))))</f>
        <v>100</v>
      </c>
      <c r="N397" s="190">
        <f>IF($J397=1,INDEX('큐펫&amp;몹 정리(최신)'!S:S,MATCH($E397,'큐펫&amp;몹 정리(최신)'!$B:$B,0))*20,IF($J397=2,INDEX('큐펫&amp;몹 정리(최신)'!S:S,MATCH($E397,'큐펫&amp;몹 정리(최신)'!$B:$B,0))*25,IF($J397=3,INDEX('큐펫&amp;몹 정리(최신)'!S:S,MATCH($E397,'큐펫&amp;몹 정리(최신)'!$B:$B,0))*30,IF($J397=4,INDEX('큐펫&amp;몹 정리(최신)'!S:S,MATCH($E397,'큐펫&amp;몹 정리(최신)'!$B:$B,0))*35,INDEX('큐펫&amp;몹 정리(최신)'!S:S,MATCH($E397,'큐펫&amp;몹 정리(최신)'!$B:$B,0))*40))))</f>
        <v>420</v>
      </c>
      <c r="O397" s="190">
        <f>IF($J397=1,INDEX('큐펫&amp;몹 정리(최신)'!T:T,MATCH($E397,'큐펫&amp;몹 정리(최신)'!$B:$B,0))*20,IF($J397=2,INDEX('큐펫&amp;몹 정리(최신)'!T:T,MATCH($E397,'큐펫&amp;몹 정리(최신)'!$B:$B,0))*25,IF($J397=3,INDEX('큐펫&amp;몹 정리(최신)'!T:T,MATCH($E397,'큐펫&amp;몹 정리(최신)'!$B:$B,0))*30,IF($J397=4,INDEX('큐펫&amp;몹 정리(최신)'!T:T,MATCH($E397,'큐펫&amp;몹 정리(최신)'!$B:$B,0))*35,INDEX('큐펫&amp;몹 정리(최신)'!T:T,MATCH($E397,'큐펫&amp;몹 정리(최신)'!$B:$B,0))*40))))</f>
        <v>240</v>
      </c>
      <c r="P397" s="217">
        <v>20</v>
      </c>
      <c r="Q397" s="217">
        <f t="shared" si="48"/>
        <v>28320</v>
      </c>
      <c r="R397" s="217">
        <f t="shared" si="49"/>
        <v>8241</v>
      </c>
      <c r="S397" s="217">
        <f t="shared" si="50"/>
        <v>2398</v>
      </c>
      <c r="T397" s="217">
        <f t="shared" si="51"/>
        <v>417</v>
      </c>
      <c r="U397" s="217">
        <f t="shared" si="52"/>
        <v>15132</v>
      </c>
      <c r="V397" s="217">
        <f t="shared" si="53"/>
        <v>4339</v>
      </c>
      <c r="W397" s="217">
        <f>ROUND(AC397+(INDEX(Ref!B$1:B$9,MATCH($AI397,Ref!$A$1:$A$9,0))*P397*0.0001),)</f>
        <v>43</v>
      </c>
      <c r="X397" s="217">
        <f>ROUND(AD397+(INDEX(Ref!C$1:C$9,MATCH($AI397,Ref!$A$1:$A$9,0))*$P397*0.0001),)</f>
        <v>26</v>
      </c>
      <c r="Y397" s="217">
        <f>ROUND(AE397+(INDEX(Ref!D$1:D$9,MATCH($AI397,Ref!$A$1:$A$9,0))*$P397*0.0001),)</f>
        <v>52</v>
      </c>
      <c r="Z397" s="217">
        <f>ROUND(AF397+(INDEX(Ref!E$1:E$9,MATCH($AI397,Ref!$A$1:$A$9,0))*$P397*0.0001),)</f>
        <v>19</v>
      </c>
      <c r="AA397" s="217">
        <f>ROUND(AG397+(INDEX(Ref!F$1:F$9,MATCH($AI397,Ref!$A$1:$A$9,0))*$P397*0.0001),)</f>
        <v>23</v>
      </c>
      <c r="AB397" s="217">
        <f>ROUND(AH397+(INDEX(Ref!G$1:G$9,MATCH($AI397,Ref!$A$1:$A$9,0))*$P397*0.0001),)</f>
        <v>21</v>
      </c>
      <c r="AC397" s="137">
        <v>38</v>
      </c>
      <c r="AD397" s="137">
        <v>23</v>
      </c>
      <c r="AE397" s="137">
        <v>48</v>
      </c>
      <c r="AF397" s="137">
        <v>17</v>
      </c>
      <c r="AG397" s="137">
        <v>20</v>
      </c>
      <c r="AH397" s="137">
        <v>18</v>
      </c>
      <c r="AI397" s="208">
        <v>1</v>
      </c>
      <c r="AJ397" s="172">
        <v>3000</v>
      </c>
      <c r="AK397" s="172">
        <v>30475</v>
      </c>
      <c r="AL397" s="172">
        <v>2000</v>
      </c>
      <c r="AM397" s="172">
        <v>30478</v>
      </c>
      <c r="AN397" s="172">
        <v>0</v>
      </c>
      <c r="AO397" s="172">
        <f t="shared" ref="AO397:AO460" si="54">AK397+4000</f>
        <v>34475</v>
      </c>
      <c r="AP397" s="172">
        <v>0</v>
      </c>
      <c r="AQ397" s="172">
        <f t="shared" ref="AQ397:AQ460" si="55">AM397+4000</f>
        <v>34478</v>
      </c>
      <c r="AR397" s="172">
        <v>1</v>
      </c>
      <c r="AS397" s="172">
        <v>0</v>
      </c>
      <c r="AT397" s="199">
        <v>78080</v>
      </c>
      <c r="AU397" s="195" t="s">
        <v>302</v>
      </c>
    </row>
    <row r="398" spans="1:47" x14ac:dyDescent="0.2">
      <c r="A398" s="173">
        <v>55080</v>
      </c>
      <c r="B398" s="181" t="s">
        <v>1044</v>
      </c>
      <c r="C398" s="172">
        <v>86080</v>
      </c>
      <c r="D398" s="172">
        <v>150080</v>
      </c>
      <c r="E398" s="206" t="s">
        <v>301</v>
      </c>
      <c r="F398" s="207">
        <v>10</v>
      </c>
      <c r="G398" s="173">
        <v>11500</v>
      </c>
      <c r="H398" s="173">
        <v>9500</v>
      </c>
      <c r="I398" s="172">
        <v>10000</v>
      </c>
      <c r="J398" s="172">
        <v>2</v>
      </c>
      <c r="K398" s="190">
        <f>IF($J398=1,INDEX('큐펫&amp;몹 정리(최신)'!P:P,MATCH($E398,'큐펫&amp;몹 정리(최신)'!$B:$B,0))*20,IF($J398=2,INDEX('큐펫&amp;몹 정리(최신)'!P:P,MATCH($E398,'큐펫&amp;몹 정리(최신)'!$B:$B,0))*25,IF($J398=3,INDEX('큐펫&amp;몹 정리(최신)'!P:P,MATCH($E398,'큐펫&amp;몹 정리(최신)'!$B:$B,0))*30,IF($J398=4,INDEX('큐펫&amp;몹 정리(최신)'!P:P,MATCH($E398,'큐펫&amp;몹 정리(최신)'!$B:$B,0))*35,INDEX('큐펫&amp;몹 정리(최신)'!P:P,MATCH($E398,'큐펫&amp;몹 정리(최신)'!$B:$B,0))*40))))</f>
        <v>1000</v>
      </c>
      <c r="L398" s="190">
        <f>IF($J398=1,INDEX('큐펫&amp;몹 정리(최신)'!Q:Q,MATCH($E398,'큐펫&amp;몹 정리(최신)'!$B:$B,0))*20,IF($J398=2,INDEX('큐펫&amp;몹 정리(최신)'!Q:Q,MATCH($E398,'큐펫&amp;몹 정리(최신)'!$B:$B,0))*25,IF($J398=3,INDEX('큐펫&amp;몹 정리(최신)'!Q:Q,MATCH($E398,'큐펫&amp;몹 정리(최신)'!$B:$B,0))*30,IF($J398=4,INDEX('큐펫&amp;몹 정리(최신)'!Q:Q,MATCH($E398,'큐펫&amp;몹 정리(최신)'!$B:$B,0))*35,INDEX('큐펫&amp;몹 정리(최신)'!Q:Q,MATCH($E398,'큐펫&amp;몹 정리(최신)'!$B:$B,0))*40))))</f>
        <v>550</v>
      </c>
      <c r="M398" s="190">
        <f>IF($J398=1,INDEX('큐펫&amp;몹 정리(최신)'!R:R,MATCH($E398,'큐펫&amp;몹 정리(최신)'!$B:$B,0))*20,IF($J398=2,INDEX('큐펫&amp;몹 정리(최신)'!R:R,MATCH($E398,'큐펫&amp;몹 정리(최신)'!$B:$B,0))*25,IF($J398=3,INDEX('큐펫&amp;몹 정리(최신)'!R:R,MATCH($E398,'큐펫&amp;몹 정리(최신)'!$B:$B,0))*30,IF($J398=4,INDEX('큐펫&amp;몹 정리(최신)'!R:R,MATCH($E398,'큐펫&amp;몹 정리(최신)'!$B:$B,0))*35,INDEX('큐펫&amp;몹 정리(최신)'!R:R,MATCH($E398,'큐펫&amp;몹 정리(최신)'!$B:$B,0))*40))))</f>
        <v>125</v>
      </c>
      <c r="N398" s="190">
        <f>IF($J398=1,INDEX('큐펫&amp;몹 정리(최신)'!S:S,MATCH($E398,'큐펫&amp;몹 정리(최신)'!$B:$B,0))*20,IF($J398=2,INDEX('큐펫&amp;몹 정리(최신)'!S:S,MATCH($E398,'큐펫&amp;몹 정리(최신)'!$B:$B,0))*25,IF($J398=3,INDEX('큐펫&amp;몹 정리(최신)'!S:S,MATCH($E398,'큐펫&amp;몹 정리(최신)'!$B:$B,0))*30,IF($J398=4,INDEX('큐펫&amp;몹 정리(최신)'!S:S,MATCH($E398,'큐펫&amp;몹 정리(최신)'!$B:$B,0))*35,INDEX('큐펫&amp;몹 정리(최신)'!S:S,MATCH($E398,'큐펫&amp;몹 정리(최신)'!$B:$B,0))*40))))</f>
        <v>525</v>
      </c>
      <c r="O398" s="190">
        <f>IF($J398=1,INDEX('큐펫&amp;몹 정리(최신)'!T:T,MATCH($E398,'큐펫&amp;몹 정리(최신)'!$B:$B,0))*20,IF($J398=2,INDEX('큐펫&amp;몹 정리(최신)'!T:T,MATCH($E398,'큐펫&amp;몹 정리(최신)'!$B:$B,0))*25,IF($J398=3,INDEX('큐펫&amp;몹 정리(최신)'!T:T,MATCH($E398,'큐펫&amp;몹 정리(최신)'!$B:$B,0))*30,IF($J398=4,INDEX('큐펫&amp;몹 정리(최신)'!T:T,MATCH($E398,'큐펫&amp;몹 정리(최신)'!$B:$B,0))*35,INDEX('큐펫&amp;몹 정리(최신)'!T:T,MATCH($E398,'큐펫&amp;몹 정리(최신)'!$B:$B,0))*40))))</f>
        <v>300</v>
      </c>
      <c r="P398" s="217">
        <v>40</v>
      </c>
      <c r="Q398" s="217">
        <f t="shared" si="48"/>
        <v>69000</v>
      </c>
      <c r="R398" s="217">
        <f t="shared" si="49"/>
        <v>15587</v>
      </c>
      <c r="S398" s="217">
        <f t="shared" si="50"/>
        <v>4721</v>
      </c>
      <c r="T398" s="217">
        <f t="shared" si="51"/>
        <v>798</v>
      </c>
      <c r="U398" s="217">
        <f t="shared" si="52"/>
        <v>26266</v>
      </c>
      <c r="V398" s="217">
        <f t="shared" si="53"/>
        <v>7524</v>
      </c>
      <c r="W398" s="217">
        <f>ROUND(AC398+(INDEX(Ref!B$1:B$9,MATCH($AI398,Ref!$A$1:$A$9,0))*P398*0.0001),)</f>
        <v>53</v>
      </c>
      <c r="X398" s="217">
        <f>ROUND(AD398+(INDEX(Ref!C$1:C$9,MATCH($AI398,Ref!$A$1:$A$9,0))*$P398*0.0001),)</f>
        <v>32</v>
      </c>
      <c r="Y398" s="217">
        <f>ROUND(AE398+(INDEX(Ref!D$1:D$9,MATCH($AI398,Ref!$A$1:$A$9,0))*$P398*0.0001),)</f>
        <v>60</v>
      </c>
      <c r="Z398" s="217">
        <f>ROUND(AF398+(INDEX(Ref!E$1:E$9,MATCH($AI398,Ref!$A$1:$A$9,0))*$P398*0.0001),)</f>
        <v>24</v>
      </c>
      <c r="AA398" s="217">
        <f>ROUND(AG398+(INDEX(Ref!F$1:F$9,MATCH($AI398,Ref!$A$1:$A$9,0))*$P398*0.0001),)</f>
        <v>29</v>
      </c>
      <c r="AB398" s="217">
        <f>ROUND(AH398+(INDEX(Ref!G$1:G$9,MATCH($AI398,Ref!$A$1:$A$9,0))*$P398*0.0001),)</f>
        <v>26</v>
      </c>
      <c r="AC398" s="137">
        <v>43</v>
      </c>
      <c r="AD398" s="137">
        <v>26</v>
      </c>
      <c r="AE398" s="137">
        <v>52</v>
      </c>
      <c r="AF398" s="137">
        <v>19</v>
      </c>
      <c r="AG398" s="137">
        <v>23</v>
      </c>
      <c r="AH398" s="137">
        <v>21</v>
      </c>
      <c r="AI398" s="208">
        <v>1</v>
      </c>
      <c r="AJ398" s="172">
        <v>3000</v>
      </c>
      <c r="AK398" s="172">
        <v>30476</v>
      </c>
      <c r="AL398" s="172">
        <v>2000</v>
      </c>
      <c r="AM398" s="172">
        <v>30478</v>
      </c>
      <c r="AN398" s="172">
        <v>0</v>
      </c>
      <c r="AO398" s="172">
        <f t="shared" si="54"/>
        <v>34476</v>
      </c>
      <c r="AP398" s="172">
        <v>0</v>
      </c>
      <c r="AQ398" s="172">
        <f t="shared" si="55"/>
        <v>34478</v>
      </c>
      <c r="AR398" s="172">
        <v>1</v>
      </c>
      <c r="AS398" s="172">
        <v>0</v>
      </c>
      <c r="AT398" s="199">
        <v>78080</v>
      </c>
      <c r="AU398" s="195" t="s">
        <v>302</v>
      </c>
    </row>
    <row r="399" spans="1:47" x14ac:dyDescent="0.2">
      <c r="A399" s="173">
        <v>55080</v>
      </c>
      <c r="B399" s="181" t="s">
        <v>1044</v>
      </c>
      <c r="C399" s="172">
        <v>86080</v>
      </c>
      <c r="D399" s="172">
        <v>150080</v>
      </c>
      <c r="E399" s="206" t="s">
        <v>301</v>
      </c>
      <c r="F399" s="207">
        <v>10</v>
      </c>
      <c r="G399" s="173">
        <v>11500</v>
      </c>
      <c r="H399" s="173">
        <v>9500</v>
      </c>
      <c r="I399" s="172">
        <v>10000</v>
      </c>
      <c r="J399" s="172">
        <v>3</v>
      </c>
      <c r="K399" s="190">
        <f>IF($J399=1,INDEX('큐펫&amp;몹 정리(최신)'!P:P,MATCH($E399,'큐펫&amp;몹 정리(최신)'!$B:$B,0))*20,IF($J399=2,INDEX('큐펫&amp;몹 정리(최신)'!P:P,MATCH($E399,'큐펫&amp;몹 정리(최신)'!$B:$B,0))*25,IF($J399=3,INDEX('큐펫&amp;몹 정리(최신)'!P:P,MATCH($E399,'큐펫&amp;몹 정리(최신)'!$B:$B,0))*30,IF($J399=4,INDEX('큐펫&amp;몹 정리(최신)'!P:P,MATCH($E399,'큐펫&amp;몹 정리(최신)'!$B:$B,0))*35,INDEX('큐펫&amp;몹 정리(최신)'!P:P,MATCH($E399,'큐펫&amp;몹 정리(최신)'!$B:$B,0))*40))))</f>
        <v>1200</v>
      </c>
      <c r="L399" s="190">
        <f>IF($J399=1,INDEX('큐펫&amp;몹 정리(최신)'!Q:Q,MATCH($E399,'큐펫&amp;몹 정리(최신)'!$B:$B,0))*20,IF($J399=2,INDEX('큐펫&amp;몹 정리(최신)'!Q:Q,MATCH($E399,'큐펫&amp;몹 정리(최신)'!$B:$B,0))*25,IF($J399=3,INDEX('큐펫&amp;몹 정리(최신)'!Q:Q,MATCH($E399,'큐펫&amp;몹 정리(최신)'!$B:$B,0))*30,IF($J399=4,INDEX('큐펫&amp;몹 정리(최신)'!Q:Q,MATCH($E399,'큐펫&amp;몹 정리(최신)'!$B:$B,0))*35,INDEX('큐펫&amp;몹 정리(최신)'!Q:Q,MATCH($E399,'큐펫&amp;몹 정리(최신)'!$B:$B,0))*40))))</f>
        <v>660</v>
      </c>
      <c r="M399" s="190">
        <f>IF($J399=1,INDEX('큐펫&amp;몹 정리(최신)'!R:R,MATCH($E399,'큐펫&amp;몹 정리(최신)'!$B:$B,0))*20,IF($J399=2,INDEX('큐펫&amp;몹 정리(최신)'!R:R,MATCH($E399,'큐펫&amp;몹 정리(최신)'!$B:$B,0))*25,IF($J399=3,INDEX('큐펫&amp;몹 정리(최신)'!R:R,MATCH($E399,'큐펫&amp;몹 정리(최신)'!$B:$B,0))*30,IF($J399=4,INDEX('큐펫&amp;몹 정리(최신)'!R:R,MATCH($E399,'큐펫&amp;몹 정리(최신)'!$B:$B,0))*35,INDEX('큐펫&amp;몹 정리(최신)'!R:R,MATCH($E399,'큐펫&amp;몹 정리(최신)'!$B:$B,0))*40))))</f>
        <v>150</v>
      </c>
      <c r="N399" s="190">
        <f>IF($J399=1,INDEX('큐펫&amp;몹 정리(최신)'!S:S,MATCH($E399,'큐펫&amp;몹 정리(최신)'!$B:$B,0))*20,IF($J399=2,INDEX('큐펫&amp;몹 정리(최신)'!S:S,MATCH($E399,'큐펫&amp;몹 정리(최신)'!$B:$B,0))*25,IF($J399=3,INDEX('큐펫&amp;몹 정리(최신)'!S:S,MATCH($E399,'큐펫&amp;몹 정리(최신)'!$B:$B,0))*30,IF($J399=4,INDEX('큐펫&amp;몹 정리(최신)'!S:S,MATCH($E399,'큐펫&amp;몹 정리(최신)'!$B:$B,0))*35,INDEX('큐펫&amp;몹 정리(최신)'!S:S,MATCH($E399,'큐펫&amp;몹 정리(최신)'!$B:$B,0))*40))))</f>
        <v>630</v>
      </c>
      <c r="O399" s="190">
        <f>IF($J399=1,INDEX('큐펫&amp;몹 정리(최신)'!T:T,MATCH($E399,'큐펫&amp;몹 정리(최신)'!$B:$B,0))*20,IF($J399=2,INDEX('큐펫&amp;몹 정리(최신)'!T:T,MATCH($E399,'큐펫&amp;몹 정리(최신)'!$B:$B,0))*25,IF($J399=3,INDEX('큐펫&amp;몹 정리(최신)'!T:T,MATCH($E399,'큐펫&amp;몹 정리(최신)'!$B:$B,0))*30,IF($J399=4,INDEX('큐펫&amp;몹 정리(최신)'!T:T,MATCH($E399,'큐펫&amp;몹 정리(최신)'!$B:$B,0))*35,INDEX('큐펫&amp;몹 정리(최신)'!T:T,MATCH($E399,'큐펫&amp;몹 정리(최신)'!$B:$B,0))*40))))</f>
        <v>360</v>
      </c>
      <c r="P399" s="217">
        <v>60</v>
      </c>
      <c r="Q399" s="217">
        <f t="shared" si="48"/>
        <v>126960</v>
      </c>
      <c r="R399" s="217">
        <f t="shared" si="49"/>
        <v>26366</v>
      </c>
      <c r="S399" s="217">
        <f t="shared" si="50"/>
        <v>7749</v>
      </c>
      <c r="T399" s="217">
        <f t="shared" si="51"/>
        <v>1274</v>
      </c>
      <c r="U399" s="217">
        <f t="shared" si="52"/>
        <v>40339</v>
      </c>
      <c r="V399" s="217">
        <f t="shared" si="53"/>
        <v>11548</v>
      </c>
      <c r="W399" s="217">
        <f>ROUND(AC399+(INDEX(Ref!B$1:B$9,MATCH($AI399,Ref!$A$1:$A$9,0))*P399*0.0001),)</f>
        <v>63</v>
      </c>
      <c r="X399" s="217">
        <f>ROUND(AD399+(INDEX(Ref!C$1:C$9,MATCH($AI399,Ref!$A$1:$A$9,0))*$P399*0.0001),)</f>
        <v>40</v>
      </c>
      <c r="Y399" s="217">
        <f>ROUND(AE399+(INDEX(Ref!D$1:D$9,MATCH($AI399,Ref!$A$1:$A$9,0))*$P399*0.0001),)</f>
        <v>68</v>
      </c>
      <c r="Z399" s="217">
        <f>ROUND(AF399+(INDEX(Ref!E$1:E$9,MATCH($AI399,Ref!$A$1:$A$9,0))*$P399*0.0001),)</f>
        <v>28</v>
      </c>
      <c r="AA399" s="217">
        <f>ROUND(AG399+(INDEX(Ref!F$1:F$9,MATCH($AI399,Ref!$A$1:$A$9,0))*$P399*0.0001),)</f>
        <v>34</v>
      </c>
      <c r="AB399" s="217">
        <f>ROUND(AH399+(INDEX(Ref!G$1:G$9,MATCH($AI399,Ref!$A$1:$A$9,0))*$P399*0.0001),)</f>
        <v>31</v>
      </c>
      <c r="AC399" s="137">
        <v>48.000000000000007</v>
      </c>
      <c r="AD399" s="137">
        <v>30</v>
      </c>
      <c r="AE399" s="137">
        <v>56</v>
      </c>
      <c r="AF399" s="137">
        <v>21</v>
      </c>
      <c r="AG399" s="137">
        <v>26</v>
      </c>
      <c r="AH399" s="137">
        <v>23</v>
      </c>
      <c r="AI399" s="208">
        <v>1</v>
      </c>
      <c r="AJ399" s="172">
        <v>3000</v>
      </c>
      <c r="AK399" s="172">
        <v>30476</v>
      </c>
      <c r="AL399" s="172">
        <v>2000</v>
      </c>
      <c r="AM399" s="172">
        <v>30479</v>
      </c>
      <c r="AN399" s="172">
        <v>0</v>
      </c>
      <c r="AO399" s="172">
        <f t="shared" si="54"/>
        <v>34476</v>
      </c>
      <c r="AP399" s="172">
        <v>0</v>
      </c>
      <c r="AQ399" s="172">
        <f t="shared" si="55"/>
        <v>34479</v>
      </c>
      <c r="AR399" s="172">
        <v>1</v>
      </c>
      <c r="AS399" s="172">
        <v>0</v>
      </c>
      <c r="AT399" s="199">
        <v>78080</v>
      </c>
      <c r="AU399" s="195" t="s">
        <v>302</v>
      </c>
    </row>
    <row r="400" spans="1:47" x14ac:dyDescent="0.2">
      <c r="A400" s="173">
        <v>55080</v>
      </c>
      <c r="B400" s="181" t="s">
        <v>1044</v>
      </c>
      <c r="C400" s="172">
        <v>86080</v>
      </c>
      <c r="D400" s="172">
        <v>150080</v>
      </c>
      <c r="E400" s="206" t="s">
        <v>301</v>
      </c>
      <c r="F400" s="207">
        <v>10</v>
      </c>
      <c r="G400" s="173">
        <v>11500</v>
      </c>
      <c r="H400" s="173">
        <v>9500</v>
      </c>
      <c r="I400" s="172">
        <v>10000</v>
      </c>
      <c r="J400" s="172">
        <v>4</v>
      </c>
      <c r="K400" s="190">
        <f>IF($J400=1,INDEX('큐펫&amp;몹 정리(최신)'!P:P,MATCH($E400,'큐펫&amp;몹 정리(최신)'!$B:$B,0))*20,IF($J400=2,INDEX('큐펫&amp;몹 정리(최신)'!P:P,MATCH($E400,'큐펫&amp;몹 정리(최신)'!$B:$B,0))*25,IF($J400=3,INDEX('큐펫&amp;몹 정리(최신)'!P:P,MATCH($E400,'큐펫&amp;몹 정리(최신)'!$B:$B,0))*30,IF($J400=4,INDEX('큐펫&amp;몹 정리(최신)'!P:P,MATCH($E400,'큐펫&amp;몹 정리(최신)'!$B:$B,0))*35,INDEX('큐펫&amp;몹 정리(최신)'!P:P,MATCH($E400,'큐펫&amp;몹 정리(최신)'!$B:$B,0))*40))))</f>
        <v>1400</v>
      </c>
      <c r="L400" s="190">
        <f>IF($J400=1,INDEX('큐펫&amp;몹 정리(최신)'!Q:Q,MATCH($E400,'큐펫&amp;몹 정리(최신)'!$B:$B,0))*20,IF($J400=2,INDEX('큐펫&amp;몹 정리(최신)'!Q:Q,MATCH($E400,'큐펫&amp;몹 정리(최신)'!$B:$B,0))*25,IF($J400=3,INDEX('큐펫&amp;몹 정리(최신)'!Q:Q,MATCH($E400,'큐펫&amp;몹 정리(최신)'!$B:$B,0))*30,IF($J400=4,INDEX('큐펫&amp;몹 정리(최신)'!Q:Q,MATCH($E400,'큐펫&amp;몹 정리(최신)'!$B:$B,0))*35,INDEX('큐펫&amp;몹 정리(최신)'!Q:Q,MATCH($E400,'큐펫&amp;몹 정리(최신)'!$B:$B,0))*40))))</f>
        <v>770</v>
      </c>
      <c r="M400" s="190">
        <f>IF($J400=1,INDEX('큐펫&amp;몹 정리(최신)'!R:R,MATCH($E400,'큐펫&amp;몹 정리(최신)'!$B:$B,0))*20,IF($J400=2,INDEX('큐펫&amp;몹 정리(최신)'!R:R,MATCH($E400,'큐펫&amp;몹 정리(최신)'!$B:$B,0))*25,IF($J400=3,INDEX('큐펫&amp;몹 정리(최신)'!R:R,MATCH($E400,'큐펫&amp;몹 정리(최신)'!$B:$B,0))*30,IF($J400=4,INDEX('큐펫&amp;몹 정리(최신)'!R:R,MATCH($E400,'큐펫&amp;몹 정리(최신)'!$B:$B,0))*35,INDEX('큐펫&amp;몹 정리(최신)'!R:R,MATCH($E400,'큐펫&amp;몹 정리(최신)'!$B:$B,0))*40))))</f>
        <v>175</v>
      </c>
      <c r="N400" s="190">
        <f>IF($J400=1,INDEX('큐펫&amp;몹 정리(최신)'!S:S,MATCH($E400,'큐펫&amp;몹 정리(최신)'!$B:$B,0))*20,IF($J400=2,INDEX('큐펫&amp;몹 정리(최신)'!S:S,MATCH($E400,'큐펫&amp;몹 정리(최신)'!$B:$B,0))*25,IF($J400=3,INDEX('큐펫&amp;몹 정리(최신)'!S:S,MATCH($E400,'큐펫&amp;몹 정리(최신)'!$B:$B,0))*30,IF($J400=4,INDEX('큐펫&amp;몹 정리(최신)'!S:S,MATCH($E400,'큐펫&amp;몹 정리(최신)'!$B:$B,0))*35,INDEX('큐펫&amp;몹 정리(최신)'!S:S,MATCH($E400,'큐펫&amp;몹 정리(최신)'!$B:$B,0))*40))))</f>
        <v>735</v>
      </c>
      <c r="O400" s="190">
        <f>IF($J400=1,INDEX('큐펫&amp;몹 정리(최신)'!T:T,MATCH($E400,'큐펫&amp;몹 정리(최신)'!$B:$B,0))*20,IF($J400=2,INDEX('큐펫&amp;몹 정리(최신)'!T:T,MATCH($E400,'큐펫&amp;몹 정리(최신)'!$B:$B,0))*25,IF($J400=3,INDEX('큐펫&amp;몹 정리(최신)'!T:T,MATCH($E400,'큐펫&amp;몹 정리(최신)'!$B:$B,0))*30,IF($J400=4,INDEX('큐펫&amp;몹 정리(최신)'!T:T,MATCH($E400,'큐펫&amp;몹 정리(최신)'!$B:$B,0))*35,INDEX('큐펫&amp;몹 정리(최신)'!T:T,MATCH($E400,'큐펫&amp;몹 정리(최신)'!$B:$B,0))*40))))</f>
        <v>420</v>
      </c>
      <c r="P400" s="217">
        <v>80</v>
      </c>
      <c r="Q400" s="217">
        <f t="shared" si="48"/>
        <v>204120</v>
      </c>
      <c r="R400" s="217">
        <f t="shared" si="49"/>
        <v>41236</v>
      </c>
      <c r="S400" s="217">
        <f t="shared" si="50"/>
        <v>11855</v>
      </c>
      <c r="T400" s="217">
        <f t="shared" si="51"/>
        <v>2144</v>
      </c>
      <c r="U400" s="217">
        <f t="shared" si="52"/>
        <v>57352</v>
      </c>
      <c r="V400" s="217">
        <f t="shared" si="53"/>
        <v>16414</v>
      </c>
      <c r="W400" s="217">
        <f>ROUND(AC400+(INDEX(Ref!B$1:B$9,MATCH($AI400,Ref!$A$1:$A$9,0))*P400*0.0001),)</f>
        <v>73</v>
      </c>
      <c r="X400" s="217">
        <f>ROUND(AD400+(INDEX(Ref!C$1:C$9,MATCH($AI400,Ref!$A$1:$A$9,0))*$P400*0.0001),)</f>
        <v>46</v>
      </c>
      <c r="Y400" s="217">
        <f>ROUND(AE400+(INDEX(Ref!D$1:D$9,MATCH($AI400,Ref!$A$1:$A$9,0))*$P400*0.0001),)</f>
        <v>76</v>
      </c>
      <c r="Z400" s="217">
        <f>ROUND(AF400+(INDEX(Ref!E$1:E$9,MATCH($AI400,Ref!$A$1:$A$9,0))*$P400*0.0001),)</f>
        <v>34</v>
      </c>
      <c r="AA400" s="217">
        <f>ROUND(AG400+(INDEX(Ref!F$1:F$9,MATCH($AI400,Ref!$A$1:$A$9,0))*$P400*0.0001),)</f>
        <v>39</v>
      </c>
      <c r="AB400" s="217">
        <f>ROUND(AH400+(INDEX(Ref!G$1:G$9,MATCH($AI400,Ref!$A$1:$A$9,0))*$P400*0.0001),)</f>
        <v>36</v>
      </c>
      <c r="AC400" s="137">
        <v>53</v>
      </c>
      <c r="AD400" s="137">
        <v>33</v>
      </c>
      <c r="AE400" s="137">
        <v>60</v>
      </c>
      <c r="AF400" s="137">
        <v>24</v>
      </c>
      <c r="AG400" s="137">
        <v>28</v>
      </c>
      <c r="AH400" s="137">
        <v>26</v>
      </c>
      <c r="AI400" s="208">
        <v>1</v>
      </c>
      <c r="AJ400" s="172">
        <v>3000</v>
      </c>
      <c r="AK400" s="172">
        <v>30477</v>
      </c>
      <c r="AL400" s="172">
        <v>2000</v>
      </c>
      <c r="AM400" s="172">
        <v>30479</v>
      </c>
      <c r="AN400" s="172">
        <v>0</v>
      </c>
      <c r="AO400" s="172">
        <f t="shared" si="54"/>
        <v>34477</v>
      </c>
      <c r="AP400" s="172">
        <v>0</v>
      </c>
      <c r="AQ400" s="172">
        <f t="shared" si="55"/>
        <v>34479</v>
      </c>
      <c r="AR400" s="172">
        <v>1</v>
      </c>
      <c r="AS400" s="172">
        <v>0</v>
      </c>
      <c r="AT400" s="199">
        <v>78080</v>
      </c>
      <c r="AU400" s="195" t="s">
        <v>302</v>
      </c>
    </row>
    <row r="401" spans="1:47" x14ac:dyDescent="0.2">
      <c r="A401" s="173">
        <v>55080</v>
      </c>
      <c r="B401" s="181" t="s">
        <v>1044</v>
      </c>
      <c r="C401" s="172">
        <v>86080</v>
      </c>
      <c r="D401" s="172">
        <v>150080</v>
      </c>
      <c r="E401" s="206" t="s">
        <v>301</v>
      </c>
      <c r="F401" s="207">
        <v>10</v>
      </c>
      <c r="G401" s="173">
        <v>11500</v>
      </c>
      <c r="H401" s="173">
        <v>9500</v>
      </c>
      <c r="I401" s="172">
        <v>10000</v>
      </c>
      <c r="J401" s="172">
        <v>5</v>
      </c>
      <c r="K401" s="190">
        <f>IF($J401=1,INDEX('큐펫&amp;몹 정리(최신)'!P:P,MATCH($E401,'큐펫&amp;몹 정리(최신)'!$B:$B,0))*20,IF($J401=2,INDEX('큐펫&amp;몹 정리(최신)'!P:P,MATCH($E401,'큐펫&amp;몹 정리(최신)'!$B:$B,0))*25,IF($J401=3,INDEX('큐펫&amp;몹 정리(최신)'!P:P,MATCH($E401,'큐펫&amp;몹 정리(최신)'!$B:$B,0))*30,IF($J401=4,INDEX('큐펫&amp;몹 정리(최신)'!P:P,MATCH($E401,'큐펫&amp;몹 정리(최신)'!$B:$B,0))*35,INDEX('큐펫&amp;몹 정리(최신)'!P:P,MATCH($E401,'큐펫&amp;몹 정리(최신)'!$B:$B,0))*40))))</f>
        <v>1600</v>
      </c>
      <c r="L401" s="190">
        <f>IF($J401=1,INDEX('큐펫&amp;몹 정리(최신)'!Q:Q,MATCH($E401,'큐펫&amp;몹 정리(최신)'!$B:$B,0))*20,IF($J401=2,INDEX('큐펫&amp;몹 정리(최신)'!Q:Q,MATCH($E401,'큐펫&amp;몹 정리(최신)'!$B:$B,0))*25,IF($J401=3,INDEX('큐펫&amp;몹 정리(최신)'!Q:Q,MATCH($E401,'큐펫&amp;몹 정리(최신)'!$B:$B,0))*30,IF($J401=4,INDEX('큐펫&amp;몹 정리(최신)'!Q:Q,MATCH($E401,'큐펫&amp;몹 정리(최신)'!$B:$B,0))*35,INDEX('큐펫&amp;몹 정리(최신)'!Q:Q,MATCH($E401,'큐펫&amp;몹 정리(최신)'!$B:$B,0))*40))))</f>
        <v>880</v>
      </c>
      <c r="M401" s="190">
        <f>IF($J401=1,INDEX('큐펫&amp;몹 정리(최신)'!R:R,MATCH($E401,'큐펫&amp;몹 정리(최신)'!$B:$B,0))*20,IF($J401=2,INDEX('큐펫&amp;몹 정리(최신)'!R:R,MATCH($E401,'큐펫&amp;몹 정리(최신)'!$B:$B,0))*25,IF($J401=3,INDEX('큐펫&amp;몹 정리(최신)'!R:R,MATCH($E401,'큐펫&amp;몹 정리(최신)'!$B:$B,0))*30,IF($J401=4,INDEX('큐펫&amp;몹 정리(최신)'!R:R,MATCH($E401,'큐펫&amp;몹 정리(최신)'!$B:$B,0))*35,INDEX('큐펫&amp;몹 정리(최신)'!R:R,MATCH($E401,'큐펫&amp;몹 정리(최신)'!$B:$B,0))*40))))</f>
        <v>200</v>
      </c>
      <c r="N401" s="190">
        <f>IF($J401=1,INDEX('큐펫&amp;몹 정리(최신)'!S:S,MATCH($E401,'큐펫&amp;몹 정리(최신)'!$B:$B,0))*20,IF($J401=2,INDEX('큐펫&amp;몹 정리(최신)'!S:S,MATCH($E401,'큐펫&amp;몹 정리(최신)'!$B:$B,0))*25,IF($J401=3,INDEX('큐펫&amp;몹 정리(최신)'!S:S,MATCH($E401,'큐펫&amp;몹 정리(최신)'!$B:$B,0))*30,IF($J401=4,INDEX('큐펫&amp;몹 정리(최신)'!S:S,MATCH($E401,'큐펫&amp;몹 정리(최신)'!$B:$B,0))*35,INDEX('큐펫&amp;몹 정리(최신)'!S:S,MATCH($E401,'큐펫&amp;몹 정리(최신)'!$B:$B,0))*40))))</f>
        <v>840</v>
      </c>
      <c r="O401" s="190">
        <f>IF($J401=1,INDEX('큐펫&amp;몹 정리(최신)'!T:T,MATCH($E401,'큐펫&amp;몹 정리(최신)'!$B:$B,0))*20,IF($J401=2,INDEX('큐펫&amp;몹 정리(최신)'!T:T,MATCH($E401,'큐펫&amp;몹 정리(최신)'!$B:$B,0))*25,IF($J401=3,INDEX('큐펫&amp;몹 정리(최신)'!T:T,MATCH($E401,'큐펫&amp;몹 정리(최신)'!$B:$B,0))*30,IF($J401=4,INDEX('큐펫&amp;몹 정리(최신)'!T:T,MATCH($E401,'큐펫&amp;몹 정리(최신)'!$B:$B,0))*35,INDEX('큐펫&amp;몹 정리(최신)'!T:T,MATCH($E401,'큐펫&amp;몹 정리(최신)'!$B:$B,0))*40))))</f>
        <v>480</v>
      </c>
      <c r="P401" s="217">
        <v>100</v>
      </c>
      <c r="Q401" s="217">
        <f t="shared" si="48"/>
        <v>302400</v>
      </c>
      <c r="R401" s="217">
        <f t="shared" si="49"/>
        <v>60858</v>
      </c>
      <c r="S401" s="217">
        <f t="shared" si="50"/>
        <v>17989</v>
      </c>
      <c r="T401" s="217">
        <f t="shared" si="51"/>
        <v>3030</v>
      </c>
      <c r="U401" s="217">
        <f t="shared" si="52"/>
        <v>77305</v>
      </c>
      <c r="V401" s="217">
        <f t="shared" si="53"/>
        <v>22118</v>
      </c>
      <c r="W401" s="217">
        <f>ROUND(AC401+(INDEX(Ref!B$1:B$9,MATCH($AI401,Ref!$A$1:$A$9,0))*P401*0.0001),)</f>
        <v>83</v>
      </c>
      <c r="X401" s="217">
        <f>ROUND(AD401+(INDEX(Ref!C$1:C$9,MATCH($AI401,Ref!$A$1:$A$9,0))*$P401*0.0001),)</f>
        <v>52</v>
      </c>
      <c r="Y401" s="217">
        <f>ROUND(AE401+(INDEX(Ref!D$1:D$9,MATCH($AI401,Ref!$A$1:$A$9,0))*$P401*0.0001),)</f>
        <v>84</v>
      </c>
      <c r="Z401" s="217">
        <f>ROUND(AF401+(INDEX(Ref!E$1:E$9,MATCH($AI401,Ref!$A$1:$A$9,0))*$P401*0.0001),)</f>
        <v>38</v>
      </c>
      <c r="AA401" s="217">
        <f>ROUND(AG401+(INDEX(Ref!F$1:F$9,MATCH($AI401,Ref!$A$1:$A$9,0))*$P401*0.0001),)</f>
        <v>45</v>
      </c>
      <c r="AB401" s="217">
        <f>ROUND(AH401+(INDEX(Ref!G$1:G$9,MATCH($AI401,Ref!$A$1:$A$9,0))*$P401*0.0001),)</f>
        <v>42</v>
      </c>
      <c r="AC401" s="137">
        <v>58.000000000000007</v>
      </c>
      <c r="AD401" s="137">
        <v>36</v>
      </c>
      <c r="AE401" s="137">
        <v>64</v>
      </c>
      <c r="AF401" s="137">
        <v>26</v>
      </c>
      <c r="AG401" s="137">
        <v>31</v>
      </c>
      <c r="AH401" s="137">
        <v>29</v>
      </c>
      <c r="AI401" s="208">
        <v>1</v>
      </c>
      <c r="AJ401" s="172">
        <v>3000</v>
      </c>
      <c r="AK401" s="172">
        <v>30477</v>
      </c>
      <c r="AL401" s="172">
        <v>2000</v>
      </c>
      <c r="AM401" s="172">
        <v>30480</v>
      </c>
      <c r="AN401" s="172">
        <v>0</v>
      </c>
      <c r="AO401" s="172">
        <f t="shared" si="54"/>
        <v>34477</v>
      </c>
      <c r="AP401" s="172">
        <v>0</v>
      </c>
      <c r="AQ401" s="172">
        <f t="shared" si="55"/>
        <v>34480</v>
      </c>
      <c r="AR401" s="172">
        <v>1</v>
      </c>
      <c r="AS401" s="172">
        <v>0</v>
      </c>
      <c r="AT401" s="199">
        <v>78080</v>
      </c>
      <c r="AU401" s="195" t="s">
        <v>302</v>
      </c>
    </row>
    <row r="402" spans="1:47" x14ac:dyDescent="0.2">
      <c r="A402" s="173">
        <v>55081</v>
      </c>
      <c r="B402" s="174" t="s">
        <v>303</v>
      </c>
      <c r="C402" s="172">
        <v>86081</v>
      </c>
      <c r="D402" s="172">
        <v>150081</v>
      </c>
      <c r="E402" s="206" t="s">
        <v>304</v>
      </c>
      <c r="F402" s="207">
        <v>3</v>
      </c>
      <c r="G402" s="172">
        <v>10000</v>
      </c>
      <c r="H402" s="172">
        <v>10000</v>
      </c>
      <c r="I402" s="172">
        <v>10000</v>
      </c>
      <c r="J402" s="172">
        <v>1</v>
      </c>
      <c r="K402" s="190">
        <f>IF($J402=1,INDEX('큐펫&amp;몹 정리(최신)'!P:P,MATCH($E402,'큐펫&amp;몹 정리(최신)'!$B:$B,0))*20,IF($J402=2,INDEX('큐펫&amp;몹 정리(최신)'!P:P,MATCH($E402,'큐펫&amp;몹 정리(최신)'!$B:$B,0))*25,IF($J402=3,INDEX('큐펫&amp;몹 정리(최신)'!P:P,MATCH($E402,'큐펫&amp;몹 정리(최신)'!$B:$B,0))*30,IF($J402=4,INDEX('큐펫&amp;몹 정리(최신)'!P:P,MATCH($E402,'큐펫&amp;몹 정리(최신)'!$B:$B,0))*35,INDEX('큐펫&amp;몹 정리(최신)'!P:P,MATCH($E402,'큐펫&amp;몹 정리(최신)'!$B:$B,0))*40))))</f>
        <v>800</v>
      </c>
      <c r="L402" s="190">
        <f>IF($J402=1,INDEX('큐펫&amp;몹 정리(최신)'!Q:Q,MATCH($E402,'큐펫&amp;몹 정리(최신)'!$B:$B,0))*20,IF($J402=2,INDEX('큐펫&amp;몹 정리(최신)'!Q:Q,MATCH($E402,'큐펫&amp;몹 정리(최신)'!$B:$B,0))*25,IF($J402=3,INDEX('큐펫&amp;몹 정리(최신)'!Q:Q,MATCH($E402,'큐펫&amp;몹 정리(최신)'!$B:$B,0))*30,IF($J402=4,INDEX('큐펫&amp;몹 정리(최신)'!Q:Q,MATCH($E402,'큐펫&amp;몹 정리(최신)'!$B:$B,0))*35,INDEX('큐펫&amp;몹 정리(최신)'!Q:Q,MATCH($E402,'큐펫&amp;몹 정리(최신)'!$B:$B,0))*40))))</f>
        <v>440</v>
      </c>
      <c r="M402" s="190">
        <f>IF($J402=1,INDEX('큐펫&amp;몹 정리(최신)'!R:R,MATCH($E402,'큐펫&amp;몹 정리(최신)'!$B:$B,0))*20,IF($J402=2,INDEX('큐펫&amp;몹 정리(최신)'!R:R,MATCH($E402,'큐펫&amp;몹 정리(최신)'!$B:$B,0))*25,IF($J402=3,INDEX('큐펫&amp;몹 정리(최신)'!R:R,MATCH($E402,'큐펫&amp;몹 정리(최신)'!$B:$B,0))*30,IF($J402=4,INDEX('큐펫&amp;몹 정리(최신)'!R:R,MATCH($E402,'큐펫&amp;몹 정리(최신)'!$B:$B,0))*35,INDEX('큐펫&amp;몹 정리(최신)'!R:R,MATCH($E402,'큐펫&amp;몹 정리(최신)'!$B:$B,0))*40))))</f>
        <v>100</v>
      </c>
      <c r="N402" s="190">
        <f>IF($J402=1,INDEX('큐펫&amp;몹 정리(최신)'!S:S,MATCH($E402,'큐펫&amp;몹 정리(최신)'!$B:$B,0))*20,IF($J402=2,INDEX('큐펫&amp;몹 정리(최신)'!S:S,MATCH($E402,'큐펫&amp;몹 정리(최신)'!$B:$B,0))*25,IF($J402=3,INDEX('큐펫&amp;몹 정리(최신)'!S:S,MATCH($E402,'큐펫&amp;몹 정리(최신)'!$B:$B,0))*30,IF($J402=4,INDEX('큐펫&amp;몹 정리(최신)'!S:S,MATCH($E402,'큐펫&amp;몹 정리(최신)'!$B:$B,0))*35,INDEX('큐펫&amp;몹 정리(최신)'!S:S,MATCH($E402,'큐펫&amp;몹 정리(최신)'!$B:$B,0))*40))))</f>
        <v>420</v>
      </c>
      <c r="O402" s="190">
        <f>IF($J402=1,INDEX('큐펫&amp;몹 정리(최신)'!T:T,MATCH($E402,'큐펫&amp;몹 정리(최신)'!$B:$B,0))*20,IF($J402=2,INDEX('큐펫&amp;몹 정리(최신)'!T:T,MATCH($E402,'큐펫&amp;몹 정리(최신)'!$B:$B,0))*25,IF($J402=3,INDEX('큐펫&amp;몹 정리(최신)'!T:T,MATCH($E402,'큐펫&amp;몹 정리(최신)'!$B:$B,0))*30,IF($J402=4,INDEX('큐펫&amp;몹 정리(최신)'!T:T,MATCH($E402,'큐펫&amp;몹 정리(최신)'!$B:$B,0))*35,INDEX('큐펫&amp;몹 정리(최신)'!T:T,MATCH($E402,'큐펫&amp;몹 정리(최신)'!$B:$B,0))*40))))</f>
        <v>240</v>
      </c>
      <c r="P402" s="217">
        <v>20</v>
      </c>
      <c r="Q402" s="217">
        <f t="shared" si="48"/>
        <v>29440</v>
      </c>
      <c r="R402" s="217">
        <f t="shared" si="49"/>
        <v>4590</v>
      </c>
      <c r="S402" s="217">
        <f t="shared" si="50"/>
        <v>3527</v>
      </c>
      <c r="T402" s="217">
        <f t="shared" si="51"/>
        <v>693</v>
      </c>
      <c r="U402" s="217">
        <f t="shared" si="52"/>
        <v>16600</v>
      </c>
      <c r="V402" s="217">
        <f t="shared" si="53"/>
        <v>4765</v>
      </c>
      <c r="W402" s="217">
        <f>ROUND(AC402+(INDEX(Ref!B$1:B$9,MATCH($AI402,Ref!$A$1:$A$9,0))*P402*0.0001),)</f>
        <v>32</v>
      </c>
      <c r="X402" s="217">
        <f>ROUND(AD402+(INDEX(Ref!C$1:C$9,MATCH($AI402,Ref!$A$1:$A$9,0))*$P402*0.0001),)</f>
        <v>21</v>
      </c>
      <c r="Y402" s="217">
        <f>ROUND(AE402+(INDEX(Ref!D$1:D$9,MATCH($AI402,Ref!$A$1:$A$9,0))*$P402*0.0001),)</f>
        <v>59</v>
      </c>
      <c r="Z402" s="217">
        <f>ROUND(AF402+(INDEX(Ref!E$1:E$9,MATCH($AI402,Ref!$A$1:$A$9,0))*$P402*0.0001),)</f>
        <v>25</v>
      </c>
      <c r="AA402" s="217">
        <f>ROUND(AG402+(INDEX(Ref!F$1:F$9,MATCH($AI402,Ref!$A$1:$A$9,0))*$P402*0.0001),)</f>
        <v>28</v>
      </c>
      <c r="AB402" s="217">
        <f>ROUND(AH402+(INDEX(Ref!G$1:G$9,MATCH($AI402,Ref!$A$1:$A$9,0))*$P402*0.0001),)</f>
        <v>19</v>
      </c>
      <c r="AC402" s="137">
        <v>28</v>
      </c>
      <c r="AD402" s="137">
        <v>18</v>
      </c>
      <c r="AE402" s="137">
        <v>54</v>
      </c>
      <c r="AF402" s="137">
        <v>22</v>
      </c>
      <c r="AG402" s="137">
        <v>25</v>
      </c>
      <c r="AH402" s="137">
        <v>17</v>
      </c>
      <c r="AI402" s="208">
        <v>3</v>
      </c>
      <c r="AJ402" s="172">
        <v>3000</v>
      </c>
      <c r="AK402" s="172">
        <v>30481</v>
      </c>
      <c r="AL402" s="172">
        <v>2000</v>
      </c>
      <c r="AM402" s="172">
        <v>30484</v>
      </c>
      <c r="AN402" s="172">
        <v>0</v>
      </c>
      <c r="AO402" s="172">
        <f t="shared" si="54"/>
        <v>34481</v>
      </c>
      <c r="AP402" s="172">
        <v>0</v>
      </c>
      <c r="AQ402" s="172">
        <f t="shared" si="55"/>
        <v>34484</v>
      </c>
      <c r="AR402" s="172">
        <v>1</v>
      </c>
      <c r="AS402" s="172">
        <v>0</v>
      </c>
      <c r="AT402" s="199">
        <v>78081</v>
      </c>
      <c r="AU402" s="195" t="s">
        <v>305</v>
      </c>
    </row>
    <row r="403" spans="1:47" x14ac:dyDescent="0.2">
      <c r="A403" s="173">
        <v>55081</v>
      </c>
      <c r="B403" s="174" t="s">
        <v>303</v>
      </c>
      <c r="C403" s="172">
        <v>86081</v>
      </c>
      <c r="D403" s="172">
        <v>150081</v>
      </c>
      <c r="E403" s="206" t="s">
        <v>304</v>
      </c>
      <c r="F403" s="207">
        <v>3</v>
      </c>
      <c r="G403" s="172">
        <v>10000</v>
      </c>
      <c r="H403" s="172">
        <v>10000</v>
      </c>
      <c r="I403" s="172">
        <v>10000</v>
      </c>
      <c r="J403" s="172">
        <v>2</v>
      </c>
      <c r="K403" s="190">
        <f>IF($J403=1,INDEX('큐펫&amp;몹 정리(최신)'!P:P,MATCH($E403,'큐펫&amp;몹 정리(최신)'!$B:$B,0))*20,IF($J403=2,INDEX('큐펫&amp;몹 정리(최신)'!P:P,MATCH($E403,'큐펫&amp;몹 정리(최신)'!$B:$B,0))*25,IF($J403=3,INDEX('큐펫&amp;몹 정리(최신)'!P:P,MATCH($E403,'큐펫&amp;몹 정리(최신)'!$B:$B,0))*30,IF($J403=4,INDEX('큐펫&amp;몹 정리(최신)'!P:P,MATCH($E403,'큐펫&amp;몹 정리(최신)'!$B:$B,0))*35,INDEX('큐펫&amp;몹 정리(최신)'!P:P,MATCH($E403,'큐펫&amp;몹 정리(최신)'!$B:$B,0))*40))))</f>
        <v>1000</v>
      </c>
      <c r="L403" s="190">
        <f>IF($J403=1,INDEX('큐펫&amp;몹 정리(최신)'!Q:Q,MATCH($E403,'큐펫&amp;몹 정리(최신)'!$B:$B,0))*20,IF($J403=2,INDEX('큐펫&amp;몹 정리(최신)'!Q:Q,MATCH($E403,'큐펫&amp;몹 정리(최신)'!$B:$B,0))*25,IF($J403=3,INDEX('큐펫&amp;몹 정리(최신)'!Q:Q,MATCH($E403,'큐펫&amp;몹 정리(최신)'!$B:$B,0))*30,IF($J403=4,INDEX('큐펫&amp;몹 정리(최신)'!Q:Q,MATCH($E403,'큐펫&amp;몹 정리(최신)'!$B:$B,0))*35,INDEX('큐펫&amp;몹 정리(최신)'!Q:Q,MATCH($E403,'큐펫&amp;몹 정리(최신)'!$B:$B,0))*40))))</f>
        <v>550</v>
      </c>
      <c r="M403" s="190">
        <f>IF($J403=1,INDEX('큐펫&amp;몹 정리(최신)'!R:R,MATCH($E403,'큐펫&amp;몹 정리(최신)'!$B:$B,0))*20,IF($J403=2,INDEX('큐펫&amp;몹 정리(최신)'!R:R,MATCH($E403,'큐펫&amp;몹 정리(최신)'!$B:$B,0))*25,IF($J403=3,INDEX('큐펫&amp;몹 정리(최신)'!R:R,MATCH($E403,'큐펫&amp;몹 정리(최신)'!$B:$B,0))*30,IF($J403=4,INDEX('큐펫&amp;몹 정리(최신)'!R:R,MATCH($E403,'큐펫&amp;몹 정리(최신)'!$B:$B,0))*35,INDEX('큐펫&amp;몹 정리(최신)'!R:R,MATCH($E403,'큐펫&amp;몹 정리(최신)'!$B:$B,0))*40))))</f>
        <v>125</v>
      </c>
      <c r="N403" s="190">
        <f>IF($J403=1,INDEX('큐펫&amp;몹 정리(최신)'!S:S,MATCH($E403,'큐펫&amp;몹 정리(최신)'!$B:$B,0))*20,IF($J403=2,INDEX('큐펫&amp;몹 정리(최신)'!S:S,MATCH($E403,'큐펫&amp;몹 정리(최신)'!$B:$B,0))*25,IF($J403=3,INDEX('큐펫&amp;몹 정리(최신)'!S:S,MATCH($E403,'큐펫&amp;몹 정리(최신)'!$B:$B,0))*30,IF($J403=4,INDEX('큐펫&amp;몹 정리(최신)'!S:S,MATCH($E403,'큐펫&amp;몹 정리(최신)'!$B:$B,0))*35,INDEX('큐펫&amp;몹 정리(최신)'!S:S,MATCH($E403,'큐펫&amp;몹 정리(최신)'!$B:$B,0))*40))))</f>
        <v>525</v>
      </c>
      <c r="O403" s="190">
        <f>IF($J403=1,INDEX('큐펫&amp;몹 정리(최신)'!T:T,MATCH($E403,'큐펫&amp;몹 정리(최신)'!$B:$B,0))*20,IF($J403=2,INDEX('큐펫&amp;몹 정리(최신)'!T:T,MATCH($E403,'큐펫&amp;몹 정리(최신)'!$B:$B,0))*25,IF($J403=3,INDEX('큐펫&amp;몹 정리(최신)'!T:T,MATCH($E403,'큐펫&amp;몹 정리(최신)'!$B:$B,0))*30,IF($J403=4,INDEX('큐펫&amp;몹 정리(최신)'!T:T,MATCH($E403,'큐펫&amp;몹 정리(최신)'!$B:$B,0))*35,INDEX('큐펫&amp;몹 정리(최신)'!T:T,MATCH($E403,'큐펫&amp;몹 정리(최신)'!$B:$B,0))*40))))</f>
        <v>300</v>
      </c>
      <c r="P403" s="217">
        <v>40</v>
      </c>
      <c r="Q403" s="217">
        <f t="shared" si="48"/>
        <v>72600</v>
      </c>
      <c r="R403" s="217">
        <f t="shared" si="49"/>
        <v>8913</v>
      </c>
      <c r="S403" s="217">
        <f t="shared" si="50"/>
        <v>6842</v>
      </c>
      <c r="T403" s="217">
        <f t="shared" si="51"/>
        <v>1293</v>
      </c>
      <c r="U403" s="217">
        <f t="shared" si="52"/>
        <v>28624</v>
      </c>
      <c r="V403" s="217">
        <f t="shared" si="53"/>
        <v>8206</v>
      </c>
      <c r="W403" s="217">
        <f>ROUND(AC403+(INDEX(Ref!B$1:B$9,MATCH($AI403,Ref!$A$1:$A$9,0))*P403*0.0001),)</f>
        <v>40</v>
      </c>
      <c r="X403" s="217">
        <f>ROUND(AD403+(INDEX(Ref!C$1:C$9,MATCH($AI403,Ref!$A$1:$A$9,0))*$P403*0.0001),)</f>
        <v>26</v>
      </c>
      <c r="Y403" s="217">
        <f>ROUND(AE403+(INDEX(Ref!D$1:D$9,MATCH($AI403,Ref!$A$1:$A$9,0))*$P403*0.0001),)</f>
        <v>69</v>
      </c>
      <c r="Z403" s="217">
        <f>ROUND(AF403+(INDEX(Ref!E$1:E$9,MATCH($AI403,Ref!$A$1:$A$9,0))*$P403*0.0001),)</f>
        <v>31</v>
      </c>
      <c r="AA403" s="217">
        <f>ROUND(AG403+(INDEX(Ref!F$1:F$9,MATCH($AI403,Ref!$A$1:$A$9,0))*$P403*0.0001),)</f>
        <v>35</v>
      </c>
      <c r="AB403" s="217">
        <f>ROUND(AH403+(INDEX(Ref!G$1:G$9,MATCH($AI403,Ref!$A$1:$A$9,0))*$P403*0.0001),)</f>
        <v>24</v>
      </c>
      <c r="AC403" s="137">
        <v>32</v>
      </c>
      <c r="AD403" s="137">
        <v>21</v>
      </c>
      <c r="AE403" s="137">
        <v>59</v>
      </c>
      <c r="AF403" s="137">
        <v>25</v>
      </c>
      <c r="AG403" s="137">
        <v>28</v>
      </c>
      <c r="AH403" s="137">
        <v>19</v>
      </c>
      <c r="AI403" s="208">
        <v>3</v>
      </c>
      <c r="AJ403" s="172">
        <v>3000</v>
      </c>
      <c r="AK403" s="172">
        <v>30482</v>
      </c>
      <c r="AL403" s="172">
        <v>2000</v>
      </c>
      <c r="AM403" s="172">
        <v>30484</v>
      </c>
      <c r="AN403" s="172">
        <v>0</v>
      </c>
      <c r="AO403" s="172">
        <f t="shared" si="54"/>
        <v>34482</v>
      </c>
      <c r="AP403" s="172">
        <v>0</v>
      </c>
      <c r="AQ403" s="172">
        <f t="shared" si="55"/>
        <v>34484</v>
      </c>
      <c r="AR403" s="172">
        <v>1</v>
      </c>
      <c r="AS403" s="172">
        <v>0</v>
      </c>
      <c r="AT403" s="199">
        <v>78081</v>
      </c>
      <c r="AU403" s="195" t="s">
        <v>305</v>
      </c>
    </row>
    <row r="404" spans="1:47" x14ac:dyDescent="0.2">
      <c r="A404" s="173">
        <v>55081</v>
      </c>
      <c r="B404" s="174" t="s">
        <v>303</v>
      </c>
      <c r="C404" s="172">
        <v>86081</v>
      </c>
      <c r="D404" s="172">
        <v>150081</v>
      </c>
      <c r="E404" s="206" t="s">
        <v>304</v>
      </c>
      <c r="F404" s="207">
        <v>3</v>
      </c>
      <c r="G404" s="172">
        <v>10000</v>
      </c>
      <c r="H404" s="172">
        <v>10000</v>
      </c>
      <c r="I404" s="172">
        <v>10000</v>
      </c>
      <c r="J404" s="172">
        <v>3</v>
      </c>
      <c r="K404" s="190">
        <f>IF($J404=1,INDEX('큐펫&amp;몹 정리(최신)'!P:P,MATCH($E404,'큐펫&amp;몹 정리(최신)'!$B:$B,0))*20,IF($J404=2,INDEX('큐펫&amp;몹 정리(최신)'!P:P,MATCH($E404,'큐펫&amp;몹 정리(최신)'!$B:$B,0))*25,IF($J404=3,INDEX('큐펫&amp;몹 정리(최신)'!P:P,MATCH($E404,'큐펫&amp;몹 정리(최신)'!$B:$B,0))*30,IF($J404=4,INDEX('큐펫&amp;몹 정리(최신)'!P:P,MATCH($E404,'큐펫&amp;몹 정리(최신)'!$B:$B,0))*35,INDEX('큐펫&amp;몹 정리(최신)'!P:P,MATCH($E404,'큐펫&amp;몹 정리(최신)'!$B:$B,0))*40))))</f>
        <v>1200</v>
      </c>
      <c r="L404" s="190">
        <f>IF($J404=1,INDEX('큐펫&amp;몹 정리(최신)'!Q:Q,MATCH($E404,'큐펫&amp;몹 정리(최신)'!$B:$B,0))*20,IF($J404=2,INDEX('큐펫&amp;몹 정리(최신)'!Q:Q,MATCH($E404,'큐펫&amp;몹 정리(최신)'!$B:$B,0))*25,IF($J404=3,INDEX('큐펫&amp;몹 정리(최신)'!Q:Q,MATCH($E404,'큐펫&amp;몹 정리(최신)'!$B:$B,0))*30,IF($J404=4,INDEX('큐펫&amp;몹 정리(최신)'!Q:Q,MATCH($E404,'큐펫&amp;몹 정리(최신)'!$B:$B,0))*35,INDEX('큐펫&amp;몹 정리(최신)'!Q:Q,MATCH($E404,'큐펫&amp;몹 정리(최신)'!$B:$B,0))*40))))</f>
        <v>660</v>
      </c>
      <c r="M404" s="190">
        <f>IF($J404=1,INDEX('큐펫&amp;몹 정리(최신)'!R:R,MATCH($E404,'큐펫&amp;몹 정리(최신)'!$B:$B,0))*20,IF($J404=2,INDEX('큐펫&amp;몹 정리(최신)'!R:R,MATCH($E404,'큐펫&amp;몹 정리(최신)'!$B:$B,0))*25,IF($J404=3,INDEX('큐펫&amp;몹 정리(최신)'!R:R,MATCH($E404,'큐펫&amp;몹 정리(최신)'!$B:$B,0))*30,IF($J404=4,INDEX('큐펫&amp;몹 정리(최신)'!R:R,MATCH($E404,'큐펫&amp;몹 정리(최신)'!$B:$B,0))*35,INDEX('큐펫&amp;몹 정리(최신)'!R:R,MATCH($E404,'큐펫&amp;몹 정리(최신)'!$B:$B,0))*40))))</f>
        <v>150</v>
      </c>
      <c r="N404" s="190">
        <f>IF($J404=1,INDEX('큐펫&amp;몹 정리(최신)'!S:S,MATCH($E404,'큐펫&amp;몹 정리(최신)'!$B:$B,0))*20,IF($J404=2,INDEX('큐펫&amp;몹 정리(최신)'!S:S,MATCH($E404,'큐펫&amp;몹 정리(최신)'!$B:$B,0))*25,IF($J404=3,INDEX('큐펫&amp;몹 정리(최신)'!S:S,MATCH($E404,'큐펫&amp;몹 정리(최신)'!$B:$B,0))*30,IF($J404=4,INDEX('큐펫&amp;몹 정리(최신)'!S:S,MATCH($E404,'큐펫&amp;몹 정리(최신)'!$B:$B,0))*35,INDEX('큐펫&amp;몹 정리(최신)'!S:S,MATCH($E404,'큐펫&amp;몹 정리(최신)'!$B:$B,0))*40))))</f>
        <v>630</v>
      </c>
      <c r="O404" s="190">
        <f>IF($J404=1,INDEX('큐펫&amp;몹 정리(최신)'!T:T,MATCH($E404,'큐펫&amp;몹 정리(최신)'!$B:$B,0))*20,IF($J404=2,INDEX('큐펫&amp;몹 정리(최신)'!T:T,MATCH($E404,'큐펫&amp;몹 정리(최신)'!$B:$B,0))*25,IF($J404=3,INDEX('큐펫&amp;몹 정리(최신)'!T:T,MATCH($E404,'큐펫&amp;몹 정리(최신)'!$B:$B,0))*30,IF($J404=4,INDEX('큐펫&amp;몹 정리(최신)'!T:T,MATCH($E404,'큐펫&amp;몹 정리(최신)'!$B:$B,0))*35,INDEX('큐펫&amp;몹 정리(최신)'!T:T,MATCH($E404,'큐펫&amp;몹 정리(최신)'!$B:$B,0))*40))))</f>
        <v>360</v>
      </c>
      <c r="P404" s="217">
        <v>60</v>
      </c>
      <c r="Q404" s="217">
        <f t="shared" si="48"/>
        <v>134160</v>
      </c>
      <c r="R404" s="217">
        <f t="shared" si="49"/>
        <v>14719</v>
      </c>
      <c r="S404" s="217">
        <f t="shared" si="50"/>
        <v>11773</v>
      </c>
      <c r="T404" s="217">
        <f t="shared" si="51"/>
        <v>2169</v>
      </c>
      <c r="U404" s="217">
        <f t="shared" si="52"/>
        <v>43484</v>
      </c>
      <c r="V404" s="217">
        <f t="shared" si="53"/>
        <v>12457</v>
      </c>
      <c r="W404" s="217">
        <f>ROUND(AC404+(INDEX(Ref!B$1:B$9,MATCH($AI404,Ref!$A$1:$A$9,0))*P404*0.0001),)</f>
        <v>47</v>
      </c>
      <c r="X404" s="217">
        <f>ROUND(AD404+(INDEX(Ref!C$1:C$9,MATCH($AI404,Ref!$A$1:$A$9,0))*$P404*0.0001),)</f>
        <v>31</v>
      </c>
      <c r="Y404" s="217">
        <f>ROUND(AE404+(INDEX(Ref!D$1:D$9,MATCH($AI404,Ref!$A$1:$A$9,0))*$P404*0.0001),)</f>
        <v>78</v>
      </c>
      <c r="Z404" s="217">
        <f>ROUND(AF404+(INDEX(Ref!E$1:E$9,MATCH($AI404,Ref!$A$1:$A$9,0))*$P404*0.0001),)</f>
        <v>37</v>
      </c>
      <c r="AA404" s="217">
        <f>ROUND(AG404+(INDEX(Ref!F$1:F$9,MATCH($AI404,Ref!$A$1:$A$9,0))*$P404*0.0001),)</f>
        <v>42</v>
      </c>
      <c r="AB404" s="217">
        <f>ROUND(AH404+(INDEX(Ref!G$1:G$9,MATCH($AI404,Ref!$A$1:$A$9,0))*$P404*0.0001),)</f>
        <v>28</v>
      </c>
      <c r="AC404" s="137">
        <v>36</v>
      </c>
      <c r="AD404" s="137">
        <v>23</v>
      </c>
      <c r="AE404" s="137">
        <v>64</v>
      </c>
      <c r="AF404" s="137">
        <v>28</v>
      </c>
      <c r="AG404" s="137">
        <v>32</v>
      </c>
      <c r="AH404" s="137">
        <v>21</v>
      </c>
      <c r="AI404" s="208">
        <v>3</v>
      </c>
      <c r="AJ404" s="172">
        <v>3000</v>
      </c>
      <c r="AK404" s="172">
        <v>30482</v>
      </c>
      <c r="AL404" s="172">
        <v>2000</v>
      </c>
      <c r="AM404" s="172">
        <v>30485</v>
      </c>
      <c r="AN404" s="172">
        <v>0</v>
      </c>
      <c r="AO404" s="172">
        <f t="shared" si="54"/>
        <v>34482</v>
      </c>
      <c r="AP404" s="172">
        <v>0</v>
      </c>
      <c r="AQ404" s="172">
        <f t="shared" si="55"/>
        <v>34485</v>
      </c>
      <c r="AR404" s="172">
        <v>1</v>
      </c>
      <c r="AS404" s="172">
        <v>0</v>
      </c>
      <c r="AT404" s="199">
        <v>78081</v>
      </c>
      <c r="AU404" s="195" t="s">
        <v>305</v>
      </c>
    </row>
    <row r="405" spans="1:47" x14ac:dyDescent="0.2">
      <c r="A405" s="173">
        <v>55081</v>
      </c>
      <c r="B405" s="174" t="s">
        <v>303</v>
      </c>
      <c r="C405" s="172">
        <v>86081</v>
      </c>
      <c r="D405" s="172">
        <v>150081</v>
      </c>
      <c r="E405" s="206" t="s">
        <v>304</v>
      </c>
      <c r="F405" s="207">
        <v>3</v>
      </c>
      <c r="G405" s="172">
        <v>10000</v>
      </c>
      <c r="H405" s="172">
        <v>10000</v>
      </c>
      <c r="I405" s="172">
        <v>10000</v>
      </c>
      <c r="J405" s="172">
        <v>4</v>
      </c>
      <c r="K405" s="190">
        <f>IF($J405=1,INDEX('큐펫&amp;몹 정리(최신)'!P:P,MATCH($E405,'큐펫&amp;몹 정리(최신)'!$B:$B,0))*20,IF($J405=2,INDEX('큐펫&amp;몹 정리(최신)'!P:P,MATCH($E405,'큐펫&amp;몹 정리(최신)'!$B:$B,0))*25,IF($J405=3,INDEX('큐펫&amp;몹 정리(최신)'!P:P,MATCH($E405,'큐펫&amp;몹 정리(최신)'!$B:$B,0))*30,IF($J405=4,INDEX('큐펫&amp;몹 정리(최신)'!P:P,MATCH($E405,'큐펫&amp;몹 정리(최신)'!$B:$B,0))*35,INDEX('큐펫&amp;몹 정리(최신)'!P:P,MATCH($E405,'큐펫&amp;몹 정리(최신)'!$B:$B,0))*40))))</f>
        <v>1400</v>
      </c>
      <c r="L405" s="190">
        <f>IF($J405=1,INDEX('큐펫&amp;몹 정리(최신)'!Q:Q,MATCH($E405,'큐펫&amp;몹 정리(최신)'!$B:$B,0))*20,IF($J405=2,INDEX('큐펫&amp;몹 정리(최신)'!Q:Q,MATCH($E405,'큐펫&amp;몹 정리(최신)'!$B:$B,0))*25,IF($J405=3,INDEX('큐펫&amp;몹 정리(최신)'!Q:Q,MATCH($E405,'큐펫&amp;몹 정리(최신)'!$B:$B,0))*30,IF($J405=4,INDEX('큐펫&amp;몹 정리(최신)'!Q:Q,MATCH($E405,'큐펫&amp;몹 정리(최신)'!$B:$B,0))*35,INDEX('큐펫&amp;몹 정리(최신)'!Q:Q,MATCH($E405,'큐펫&amp;몹 정리(최신)'!$B:$B,0))*40))))</f>
        <v>770</v>
      </c>
      <c r="M405" s="190">
        <f>IF($J405=1,INDEX('큐펫&amp;몹 정리(최신)'!R:R,MATCH($E405,'큐펫&amp;몹 정리(최신)'!$B:$B,0))*20,IF($J405=2,INDEX('큐펫&amp;몹 정리(최신)'!R:R,MATCH($E405,'큐펫&amp;몹 정리(최신)'!$B:$B,0))*25,IF($J405=3,INDEX('큐펫&amp;몹 정리(최신)'!R:R,MATCH($E405,'큐펫&amp;몹 정리(최신)'!$B:$B,0))*30,IF($J405=4,INDEX('큐펫&amp;몹 정리(최신)'!R:R,MATCH($E405,'큐펫&amp;몹 정리(최신)'!$B:$B,0))*35,INDEX('큐펫&amp;몹 정리(최신)'!R:R,MATCH($E405,'큐펫&amp;몹 정리(최신)'!$B:$B,0))*40))))</f>
        <v>175</v>
      </c>
      <c r="N405" s="190">
        <f>IF($J405=1,INDEX('큐펫&amp;몹 정리(최신)'!S:S,MATCH($E405,'큐펫&amp;몹 정리(최신)'!$B:$B,0))*20,IF($J405=2,INDEX('큐펫&amp;몹 정리(최신)'!S:S,MATCH($E405,'큐펫&amp;몹 정리(최신)'!$B:$B,0))*25,IF($J405=3,INDEX('큐펫&amp;몹 정리(최신)'!S:S,MATCH($E405,'큐펫&amp;몹 정리(최신)'!$B:$B,0))*30,IF($J405=4,INDEX('큐펫&amp;몹 정리(최신)'!S:S,MATCH($E405,'큐펫&amp;몹 정리(최신)'!$B:$B,0))*35,INDEX('큐펫&amp;몹 정리(최신)'!S:S,MATCH($E405,'큐펫&amp;몹 정리(최신)'!$B:$B,0))*40))))</f>
        <v>735</v>
      </c>
      <c r="O405" s="190">
        <f>IF($J405=1,INDEX('큐펫&amp;몹 정리(최신)'!T:T,MATCH($E405,'큐펫&amp;몹 정리(최신)'!$B:$B,0))*20,IF($J405=2,INDEX('큐펫&amp;몹 정리(최신)'!T:T,MATCH($E405,'큐펫&amp;몹 정리(최신)'!$B:$B,0))*25,IF($J405=3,INDEX('큐펫&amp;몹 정리(최신)'!T:T,MATCH($E405,'큐펫&amp;몹 정리(최신)'!$B:$B,0))*30,IF($J405=4,INDEX('큐펫&amp;몹 정리(최신)'!T:T,MATCH($E405,'큐펫&amp;몹 정리(최신)'!$B:$B,0))*35,INDEX('큐펫&amp;몹 정리(최신)'!T:T,MATCH($E405,'큐펫&amp;몹 정리(최신)'!$B:$B,0))*40))))</f>
        <v>420</v>
      </c>
      <c r="P405" s="217">
        <v>80</v>
      </c>
      <c r="Q405" s="217">
        <f t="shared" si="48"/>
        <v>217560</v>
      </c>
      <c r="R405" s="217">
        <f t="shared" si="49"/>
        <v>22620</v>
      </c>
      <c r="S405" s="217">
        <f t="shared" si="50"/>
        <v>18646</v>
      </c>
      <c r="T405" s="217">
        <f t="shared" si="51"/>
        <v>3376</v>
      </c>
      <c r="U405" s="217">
        <f t="shared" si="52"/>
        <v>61756</v>
      </c>
      <c r="V405" s="217">
        <f t="shared" si="53"/>
        <v>17683</v>
      </c>
      <c r="W405" s="217">
        <f>ROUND(AC405+(INDEX(Ref!B$1:B$9,MATCH($AI405,Ref!$A$1:$A$9,0))*P405*0.0001),)</f>
        <v>54</v>
      </c>
      <c r="X405" s="217">
        <f>ROUND(AD405+(INDEX(Ref!C$1:C$9,MATCH($AI405,Ref!$A$1:$A$9,0))*$P405*0.0001),)</f>
        <v>36</v>
      </c>
      <c r="Y405" s="217">
        <f>ROUND(AE405+(INDEX(Ref!D$1:D$9,MATCH($AI405,Ref!$A$1:$A$9,0))*$P405*0.0001),)</f>
        <v>88</v>
      </c>
      <c r="Z405" s="217">
        <f>ROUND(AF405+(INDEX(Ref!E$1:E$9,MATCH($AI405,Ref!$A$1:$A$9,0))*$P405*0.0001),)</f>
        <v>43</v>
      </c>
      <c r="AA405" s="217">
        <f>ROUND(AG405+(INDEX(Ref!F$1:F$9,MATCH($AI405,Ref!$A$1:$A$9,0))*$P405*0.0001),)</f>
        <v>49</v>
      </c>
      <c r="AB405" s="217">
        <f>ROUND(AH405+(INDEX(Ref!G$1:G$9,MATCH($AI405,Ref!$A$1:$A$9,0))*$P405*0.0001),)</f>
        <v>34</v>
      </c>
      <c r="AC405" s="137">
        <v>39</v>
      </c>
      <c r="AD405" s="137">
        <v>26</v>
      </c>
      <c r="AE405" s="137">
        <v>69</v>
      </c>
      <c r="AF405" s="137">
        <v>31</v>
      </c>
      <c r="AG405" s="137">
        <v>35</v>
      </c>
      <c r="AH405" s="137">
        <v>24</v>
      </c>
      <c r="AI405" s="208">
        <v>3</v>
      </c>
      <c r="AJ405" s="172">
        <v>3000</v>
      </c>
      <c r="AK405" s="172">
        <v>30483</v>
      </c>
      <c r="AL405" s="172">
        <v>2000</v>
      </c>
      <c r="AM405" s="172">
        <v>30485</v>
      </c>
      <c r="AN405" s="172">
        <v>0</v>
      </c>
      <c r="AO405" s="172">
        <f t="shared" si="54"/>
        <v>34483</v>
      </c>
      <c r="AP405" s="172">
        <v>0</v>
      </c>
      <c r="AQ405" s="172">
        <f t="shared" si="55"/>
        <v>34485</v>
      </c>
      <c r="AR405" s="172">
        <v>1</v>
      </c>
      <c r="AS405" s="172">
        <v>0</v>
      </c>
      <c r="AT405" s="199">
        <v>78081</v>
      </c>
      <c r="AU405" s="195" t="s">
        <v>305</v>
      </c>
    </row>
    <row r="406" spans="1:47" x14ac:dyDescent="0.2">
      <c r="A406" s="173">
        <v>55081</v>
      </c>
      <c r="B406" s="174" t="s">
        <v>303</v>
      </c>
      <c r="C406" s="172">
        <v>86081</v>
      </c>
      <c r="D406" s="172">
        <v>150081</v>
      </c>
      <c r="E406" s="206" t="s">
        <v>304</v>
      </c>
      <c r="F406" s="207">
        <v>3</v>
      </c>
      <c r="G406" s="172">
        <v>10000</v>
      </c>
      <c r="H406" s="172">
        <v>10000</v>
      </c>
      <c r="I406" s="172">
        <v>10000</v>
      </c>
      <c r="J406" s="172">
        <v>5</v>
      </c>
      <c r="K406" s="190">
        <f>IF($J406=1,INDEX('큐펫&amp;몹 정리(최신)'!P:P,MATCH($E406,'큐펫&amp;몹 정리(최신)'!$B:$B,0))*20,IF($J406=2,INDEX('큐펫&amp;몹 정리(최신)'!P:P,MATCH($E406,'큐펫&amp;몹 정리(최신)'!$B:$B,0))*25,IF($J406=3,INDEX('큐펫&amp;몹 정리(최신)'!P:P,MATCH($E406,'큐펫&amp;몹 정리(최신)'!$B:$B,0))*30,IF($J406=4,INDEX('큐펫&amp;몹 정리(최신)'!P:P,MATCH($E406,'큐펫&amp;몹 정리(최신)'!$B:$B,0))*35,INDEX('큐펫&amp;몹 정리(최신)'!P:P,MATCH($E406,'큐펫&amp;몹 정리(최신)'!$B:$B,0))*40))))</f>
        <v>1600</v>
      </c>
      <c r="L406" s="190">
        <f>IF($J406=1,INDEX('큐펫&amp;몹 정리(최신)'!Q:Q,MATCH($E406,'큐펫&amp;몹 정리(최신)'!$B:$B,0))*20,IF($J406=2,INDEX('큐펫&amp;몹 정리(최신)'!Q:Q,MATCH($E406,'큐펫&amp;몹 정리(최신)'!$B:$B,0))*25,IF($J406=3,INDEX('큐펫&amp;몹 정리(최신)'!Q:Q,MATCH($E406,'큐펫&amp;몹 정리(최신)'!$B:$B,0))*30,IF($J406=4,INDEX('큐펫&amp;몹 정리(최신)'!Q:Q,MATCH($E406,'큐펫&amp;몹 정리(최신)'!$B:$B,0))*35,INDEX('큐펫&amp;몹 정리(최신)'!Q:Q,MATCH($E406,'큐펫&amp;몹 정리(최신)'!$B:$B,0))*40))))</f>
        <v>880</v>
      </c>
      <c r="M406" s="190">
        <f>IF($J406=1,INDEX('큐펫&amp;몹 정리(최신)'!R:R,MATCH($E406,'큐펫&amp;몹 정리(최신)'!$B:$B,0))*20,IF($J406=2,INDEX('큐펫&amp;몹 정리(최신)'!R:R,MATCH($E406,'큐펫&amp;몹 정리(최신)'!$B:$B,0))*25,IF($J406=3,INDEX('큐펫&amp;몹 정리(최신)'!R:R,MATCH($E406,'큐펫&amp;몹 정리(최신)'!$B:$B,0))*30,IF($J406=4,INDEX('큐펫&amp;몹 정리(최신)'!R:R,MATCH($E406,'큐펫&amp;몹 정리(최신)'!$B:$B,0))*35,INDEX('큐펫&amp;몹 정리(최신)'!R:R,MATCH($E406,'큐펫&amp;몹 정리(최신)'!$B:$B,0))*40))))</f>
        <v>200</v>
      </c>
      <c r="N406" s="190">
        <f>IF($J406=1,INDEX('큐펫&amp;몹 정리(최신)'!S:S,MATCH($E406,'큐펫&amp;몹 정리(최신)'!$B:$B,0))*20,IF($J406=2,INDEX('큐펫&amp;몹 정리(최신)'!S:S,MATCH($E406,'큐펫&amp;몹 정리(최신)'!$B:$B,0))*25,IF($J406=3,INDEX('큐펫&amp;몹 정리(최신)'!S:S,MATCH($E406,'큐펫&amp;몹 정리(최신)'!$B:$B,0))*30,IF($J406=4,INDEX('큐펫&amp;몹 정리(최신)'!S:S,MATCH($E406,'큐펫&amp;몹 정리(최신)'!$B:$B,0))*35,INDEX('큐펫&amp;몹 정리(최신)'!S:S,MATCH($E406,'큐펫&amp;몹 정리(최신)'!$B:$B,0))*40))))</f>
        <v>840</v>
      </c>
      <c r="O406" s="190">
        <f>IF($J406=1,INDEX('큐펫&amp;몹 정리(최신)'!T:T,MATCH($E406,'큐펫&amp;몹 정리(최신)'!$B:$B,0))*20,IF($J406=2,INDEX('큐펫&amp;몹 정리(최신)'!T:T,MATCH($E406,'큐펫&amp;몹 정리(최신)'!$B:$B,0))*25,IF($J406=3,INDEX('큐펫&amp;몹 정리(최신)'!T:T,MATCH($E406,'큐펫&amp;몹 정리(최신)'!$B:$B,0))*30,IF($J406=4,INDEX('큐펫&amp;몹 정리(최신)'!T:T,MATCH($E406,'큐펫&amp;몹 정리(최신)'!$B:$B,0))*35,INDEX('큐펫&amp;몹 정리(최신)'!T:T,MATCH($E406,'큐펫&amp;몹 정리(최신)'!$B:$B,0))*40))))</f>
        <v>480</v>
      </c>
      <c r="P406" s="217">
        <v>100</v>
      </c>
      <c r="Q406" s="217">
        <f t="shared" si="48"/>
        <v>324800</v>
      </c>
      <c r="R406" s="217">
        <f t="shared" si="49"/>
        <v>34022</v>
      </c>
      <c r="S406" s="217">
        <f t="shared" si="50"/>
        <v>26803</v>
      </c>
      <c r="T406" s="217">
        <f t="shared" si="51"/>
        <v>4966</v>
      </c>
      <c r="U406" s="217">
        <f t="shared" si="52"/>
        <v>83179</v>
      </c>
      <c r="V406" s="217">
        <f t="shared" si="53"/>
        <v>23809</v>
      </c>
      <c r="W406" s="217">
        <f>ROUND(AC406+(INDEX(Ref!B$1:B$9,MATCH($AI406,Ref!$A$1:$A$9,0))*P406*0.0001),)</f>
        <v>62</v>
      </c>
      <c r="X406" s="217">
        <f>ROUND(AD406+(INDEX(Ref!C$1:C$9,MATCH($AI406,Ref!$A$1:$A$9,0))*$P406*0.0001),)</f>
        <v>42</v>
      </c>
      <c r="Y406" s="217">
        <f>ROUND(AE406+(INDEX(Ref!D$1:D$9,MATCH($AI406,Ref!$A$1:$A$9,0))*$P406*0.0001),)</f>
        <v>98</v>
      </c>
      <c r="Z406" s="217">
        <f>ROUND(AF406+(INDEX(Ref!E$1:E$9,MATCH($AI406,Ref!$A$1:$A$9,0))*$P406*0.0001),)</f>
        <v>49</v>
      </c>
      <c r="AA406" s="217">
        <f>ROUND(AG406+(INDEX(Ref!F$1:F$9,MATCH($AI406,Ref!$A$1:$A$9,0))*$P406*0.0001),)</f>
        <v>55</v>
      </c>
      <c r="AB406" s="217">
        <f>ROUND(AH406+(INDEX(Ref!G$1:G$9,MATCH($AI406,Ref!$A$1:$A$9,0))*$P406*0.0001),)</f>
        <v>38</v>
      </c>
      <c r="AC406" s="137">
        <v>43</v>
      </c>
      <c r="AD406" s="137">
        <v>29</v>
      </c>
      <c r="AE406" s="137">
        <v>74</v>
      </c>
      <c r="AF406" s="137">
        <v>34</v>
      </c>
      <c r="AG406" s="137">
        <v>38</v>
      </c>
      <c r="AH406" s="137">
        <v>26</v>
      </c>
      <c r="AI406" s="208">
        <v>3</v>
      </c>
      <c r="AJ406" s="172">
        <v>3000</v>
      </c>
      <c r="AK406" s="172">
        <v>30483</v>
      </c>
      <c r="AL406" s="172">
        <v>2000</v>
      </c>
      <c r="AM406" s="172">
        <v>30486</v>
      </c>
      <c r="AN406" s="172">
        <v>0</v>
      </c>
      <c r="AO406" s="172">
        <f t="shared" si="54"/>
        <v>34483</v>
      </c>
      <c r="AP406" s="172">
        <v>0</v>
      </c>
      <c r="AQ406" s="172">
        <f t="shared" si="55"/>
        <v>34486</v>
      </c>
      <c r="AR406" s="172">
        <v>1</v>
      </c>
      <c r="AS406" s="172">
        <v>0</v>
      </c>
      <c r="AT406" s="199">
        <v>78081</v>
      </c>
      <c r="AU406" s="195" t="s">
        <v>305</v>
      </c>
    </row>
    <row r="407" spans="1:47" x14ac:dyDescent="0.2">
      <c r="A407" s="173">
        <v>55082</v>
      </c>
      <c r="B407" s="174" t="s">
        <v>306</v>
      </c>
      <c r="C407" s="172">
        <v>86082</v>
      </c>
      <c r="D407" s="172">
        <v>150082</v>
      </c>
      <c r="E407" s="206" t="s">
        <v>307</v>
      </c>
      <c r="F407" s="207">
        <v>1</v>
      </c>
      <c r="G407" s="172">
        <v>13000</v>
      </c>
      <c r="H407" s="172">
        <v>9000</v>
      </c>
      <c r="I407" s="172">
        <v>10000</v>
      </c>
      <c r="J407" s="172">
        <v>1</v>
      </c>
      <c r="K407" s="190">
        <f>IF($J407=1,INDEX('큐펫&amp;몹 정리(최신)'!P:P,MATCH($E407,'큐펫&amp;몹 정리(최신)'!$B:$B,0))*20,IF($J407=2,INDEX('큐펫&amp;몹 정리(최신)'!P:P,MATCH($E407,'큐펫&amp;몹 정리(최신)'!$B:$B,0))*25,IF($J407=3,INDEX('큐펫&amp;몹 정리(최신)'!P:P,MATCH($E407,'큐펫&amp;몹 정리(최신)'!$B:$B,0))*30,IF($J407=4,INDEX('큐펫&amp;몹 정리(최신)'!P:P,MATCH($E407,'큐펫&amp;몹 정리(최신)'!$B:$B,0))*35,INDEX('큐펫&amp;몹 정리(최신)'!P:P,MATCH($E407,'큐펫&amp;몹 정리(최신)'!$B:$B,0))*40))))</f>
        <v>1000</v>
      </c>
      <c r="L407" s="190">
        <f>IF($J407=1,INDEX('큐펫&amp;몹 정리(최신)'!Q:Q,MATCH($E407,'큐펫&amp;몹 정리(최신)'!$B:$B,0))*20,IF($J407=2,INDEX('큐펫&amp;몹 정리(최신)'!Q:Q,MATCH($E407,'큐펫&amp;몹 정리(최신)'!$B:$B,0))*25,IF($J407=3,INDEX('큐펫&amp;몹 정리(최신)'!Q:Q,MATCH($E407,'큐펫&amp;몹 정리(최신)'!$B:$B,0))*30,IF($J407=4,INDEX('큐펫&amp;몹 정리(최신)'!Q:Q,MATCH($E407,'큐펫&amp;몹 정리(최신)'!$B:$B,0))*35,INDEX('큐펫&amp;몹 정리(최신)'!Q:Q,MATCH($E407,'큐펫&amp;몹 정리(최신)'!$B:$B,0))*40))))</f>
        <v>100</v>
      </c>
      <c r="M407" s="190">
        <f>IF($J407=1,INDEX('큐펫&amp;몹 정리(최신)'!R:R,MATCH($E407,'큐펫&amp;몹 정리(최신)'!$B:$B,0))*20,IF($J407=2,INDEX('큐펫&amp;몹 정리(최신)'!R:R,MATCH($E407,'큐펫&amp;몹 정리(최신)'!$B:$B,0))*25,IF($J407=3,INDEX('큐펫&amp;몹 정리(최신)'!R:R,MATCH($E407,'큐펫&amp;몹 정리(최신)'!$B:$B,0))*30,IF($J407=4,INDEX('큐펫&amp;몹 정리(최신)'!R:R,MATCH($E407,'큐펫&amp;몹 정리(최신)'!$B:$B,0))*35,INDEX('큐펫&amp;몹 정리(최신)'!R:R,MATCH($E407,'큐펫&amp;몹 정리(최신)'!$B:$B,0))*40))))</f>
        <v>80</v>
      </c>
      <c r="N407" s="190">
        <f>IF($J407=1,INDEX('큐펫&amp;몹 정리(최신)'!S:S,MATCH($E407,'큐펫&amp;몹 정리(최신)'!$B:$B,0))*20,IF($J407=2,INDEX('큐펫&amp;몹 정리(최신)'!S:S,MATCH($E407,'큐펫&amp;몹 정리(최신)'!$B:$B,0))*25,IF($J407=3,INDEX('큐펫&amp;몹 정리(최신)'!S:S,MATCH($E407,'큐펫&amp;몹 정리(최신)'!$B:$B,0))*30,IF($J407=4,INDEX('큐펫&amp;몹 정리(최신)'!S:S,MATCH($E407,'큐펫&amp;몹 정리(최신)'!$B:$B,0))*35,INDEX('큐펫&amp;몹 정리(최신)'!S:S,MATCH($E407,'큐펫&amp;몹 정리(최신)'!$B:$B,0))*40))))</f>
        <v>360</v>
      </c>
      <c r="O407" s="190">
        <f>IF($J407=1,INDEX('큐펫&amp;몹 정리(최신)'!T:T,MATCH($E407,'큐펫&amp;몹 정리(최신)'!$B:$B,0))*20,IF($J407=2,INDEX('큐펫&amp;몹 정리(최신)'!T:T,MATCH($E407,'큐펫&amp;몹 정리(최신)'!$B:$B,0))*25,IF($J407=3,INDEX('큐펫&amp;몹 정리(최신)'!T:T,MATCH($E407,'큐펫&amp;몹 정리(최신)'!$B:$B,0))*30,IF($J407=4,INDEX('큐펫&amp;몹 정리(최신)'!T:T,MATCH($E407,'큐펫&amp;몹 정리(최신)'!$B:$B,0))*35,INDEX('큐펫&amp;몹 정리(최신)'!T:T,MATCH($E407,'큐펫&amp;몹 정리(최신)'!$B:$B,0))*40))))</f>
        <v>460</v>
      </c>
      <c r="P407" s="217">
        <v>20</v>
      </c>
      <c r="Q407" s="217">
        <f t="shared" si="48"/>
        <v>32800</v>
      </c>
      <c r="R407" s="217">
        <f t="shared" si="49"/>
        <v>350</v>
      </c>
      <c r="S407" s="217">
        <f t="shared" si="50"/>
        <v>1784</v>
      </c>
      <c r="T407" s="217">
        <f t="shared" si="51"/>
        <v>350</v>
      </c>
      <c r="U407" s="217">
        <f t="shared" si="52"/>
        <v>10627</v>
      </c>
      <c r="V407" s="217">
        <f t="shared" si="53"/>
        <v>6804</v>
      </c>
      <c r="W407" s="217">
        <f>ROUND(AC407+(INDEX(Ref!B$1:B$9,MATCH($AI407,Ref!$A$1:$A$9,0))*P407*0.0001),)</f>
        <v>17</v>
      </c>
      <c r="X407" s="217">
        <f>ROUND(AD407+(INDEX(Ref!C$1:C$9,MATCH($AI407,Ref!$A$1:$A$9,0))*$P407*0.0001),)</f>
        <v>32</v>
      </c>
      <c r="Y407" s="217">
        <f>ROUND(AE407+(INDEX(Ref!D$1:D$9,MATCH($AI407,Ref!$A$1:$A$9,0))*$P407*0.0001),)</f>
        <v>39</v>
      </c>
      <c r="Z407" s="217">
        <f>ROUND(AF407+(INDEX(Ref!E$1:E$9,MATCH($AI407,Ref!$A$1:$A$9,0))*$P407*0.0001),)</f>
        <v>19</v>
      </c>
      <c r="AA407" s="217">
        <f>ROUND(AG407+(INDEX(Ref!F$1:F$9,MATCH($AI407,Ref!$A$1:$A$9,0))*$P407*0.0001),)</f>
        <v>41</v>
      </c>
      <c r="AB407" s="217">
        <f>ROUND(AH407+(INDEX(Ref!G$1:G$9,MATCH($AI407,Ref!$A$1:$A$9,0))*$P407*0.0001),)</f>
        <v>36</v>
      </c>
      <c r="AC407" s="137">
        <v>15</v>
      </c>
      <c r="AD407" s="137">
        <v>28</v>
      </c>
      <c r="AE407" s="137">
        <v>36</v>
      </c>
      <c r="AF407" s="137">
        <v>17</v>
      </c>
      <c r="AG407" s="137">
        <v>36</v>
      </c>
      <c r="AH407" s="137">
        <v>32</v>
      </c>
      <c r="AI407" s="208">
        <v>5</v>
      </c>
      <c r="AJ407" s="172">
        <v>3000</v>
      </c>
      <c r="AK407" s="172">
        <v>30487</v>
      </c>
      <c r="AL407" s="172">
        <v>2000</v>
      </c>
      <c r="AM407" s="172">
        <v>30490</v>
      </c>
      <c r="AN407" s="172">
        <v>0</v>
      </c>
      <c r="AO407" s="172">
        <f t="shared" si="54"/>
        <v>34487</v>
      </c>
      <c r="AP407" s="172">
        <v>0</v>
      </c>
      <c r="AQ407" s="172">
        <f t="shared" si="55"/>
        <v>34490</v>
      </c>
      <c r="AR407" s="172">
        <v>1</v>
      </c>
      <c r="AS407" s="172">
        <v>0</v>
      </c>
      <c r="AT407" s="199">
        <v>78082</v>
      </c>
      <c r="AU407" s="195" t="s">
        <v>308</v>
      </c>
    </row>
    <row r="408" spans="1:47" x14ac:dyDescent="0.2">
      <c r="A408" s="173">
        <v>55082</v>
      </c>
      <c r="B408" s="174" t="s">
        <v>306</v>
      </c>
      <c r="C408" s="172">
        <v>86082</v>
      </c>
      <c r="D408" s="172">
        <v>150082</v>
      </c>
      <c r="E408" s="206" t="s">
        <v>307</v>
      </c>
      <c r="F408" s="207">
        <v>1</v>
      </c>
      <c r="G408" s="172">
        <v>13000</v>
      </c>
      <c r="H408" s="172">
        <v>9000</v>
      </c>
      <c r="I408" s="172">
        <v>10000</v>
      </c>
      <c r="J408" s="172">
        <v>2</v>
      </c>
      <c r="K408" s="190">
        <f>IF($J408=1,INDEX('큐펫&amp;몹 정리(최신)'!P:P,MATCH($E408,'큐펫&amp;몹 정리(최신)'!$B:$B,0))*20,IF($J408=2,INDEX('큐펫&amp;몹 정리(최신)'!P:P,MATCH($E408,'큐펫&amp;몹 정리(최신)'!$B:$B,0))*25,IF($J408=3,INDEX('큐펫&amp;몹 정리(최신)'!P:P,MATCH($E408,'큐펫&amp;몹 정리(최신)'!$B:$B,0))*30,IF($J408=4,INDEX('큐펫&amp;몹 정리(최신)'!P:P,MATCH($E408,'큐펫&amp;몹 정리(최신)'!$B:$B,0))*35,INDEX('큐펫&amp;몹 정리(최신)'!P:P,MATCH($E408,'큐펫&amp;몹 정리(최신)'!$B:$B,0))*40))))</f>
        <v>1250</v>
      </c>
      <c r="L408" s="190">
        <f>IF($J408=1,INDEX('큐펫&amp;몹 정리(최신)'!Q:Q,MATCH($E408,'큐펫&amp;몹 정리(최신)'!$B:$B,0))*20,IF($J408=2,INDEX('큐펫&amp;몹 정리(최신)'!Q:Q,MATCH($E408,'큐펫&amp;몹 정리(최신)'!$B:$B,0))*25,IF($J408=3,INDEX('큐펫&amp;몹 정리(최신)'!Q:Q,MATCH($E408,'큐펫&amp;몹 정리(최신)'!$B:$B,0))*30,IF($J408=4,INDEX('큐펫&amp;몹 정리(최신)'!Q:Q,MATCH($E408,'큐펫&amp;몹 정리(최신)'!$B:$B,0))*35,INDEX('큐펫&amp;몹 정리(최신)'!Q:Q,MATCH($E408,'큐펫&amp;몹 정리(최신)'!$B:$B,0))*40))))</f>
        <v>125</v>
      </c>
      <c r="M408" s="190">
        <f>IF($J408=1,INDEX('큐펫&amp;몹 정리(최신)'!R:R,MATCH($E408,'큐펫&amp;몹 정리(최신)'!$B:$B,0))*20,IF($J408=2,INDEX('큐펫&amp;몹 정리(최신)'!R:R,MATCH($E408,'큐펫&amp;몹 정리(최신)'!$B:$B,0))*25,IF($J408=3,INDEX('큐펫&amp;몹 정리(최신)'!R:R,MATCH($E408,'큐펫&amp;몹 정리(최신)'!$B:$B,0))*30,IF($J408=4,INDEX('큐펫&amp;몹 정리(최신)'!R:R,MATCH($E408,'큐펫&amp;몹 정리(최신)'!$B:$B,0))*35,INDEX('큐펫&amp;몹 정리(최신)'!R:R,MATCH($E408,'큐펫&amp;몹 정리(최신)'!$B:$B,0))*40))))</f>
        <v>100</v>
      </c>
      <c r="N408" s="190">
        <f>IF($J408=1,INDEX('큐펫&amp;몹 정리(최신)'!S:S,MATCH($E408,'큐펫&amp;몹 정리(최신)'!$B:$B,0))*20,IF($J408=2,INDEX('큐펫&amp;몹 정리(최신)'!S:S,MATCH($E408,'큐펫&amp;몹 정리(최신)'!$B:$B,0))*25,IF($J408=3,INDEX('큐펫&amp;몹 정리(최신)'!S:S,MATCH($E408,'큐펫&amp;몹 정리(최신)'!$B:$B,0))*30,IF($J408=4,INDEX('큐펫&amp;몹 정리(최신)'!S:S,MATCH($E408,'큐펫&amp;몹 정리(최신)'!$B:$B,0))*35,INDEX('큐펫&amp;몹 정리(최신)'!S:S,MATCH($E408,'큐펫&amp;몹 정리(최신)'!$B:$B,0))*40))))</f>
        <v>450</v>
      </c>
      <c r="O408" s="190">
        <f>IF($J408=1,INDEX('큐펫&amp;몹 정리(최신)'!T:T,MATCH($E408,'큐펫&amp;몹 정리(최신)'!$B:$B,0))*20,IF($J408=2,INDEX('큐펫&amp;몹 정리(최신)'!T:T,MATCH($E408,'큐펫&amp;몹 정리(최신)'!$B:$B,0))*25,IF($J408=3,INDEX('큐펫&amp;몹 정리(최신)'!T:T,MATCH($E408,'큐펫&amp;몹 정리(최신)'!$B:$B,0))*30,IF($J408=4,INDEX('큐펫&amp;몹 정리(최신)'!T:T,MATCH($E408,'큐펫&amp;몹 정리(최신)'!$B:$B,0))*35,INDEX('큐펫&amp;몹 정리(최신)'!T:T,MATCH($E408,'큐펫&amp;몹 정리(최신)'!$B:$B,0))*40))))</f>
        <v>575</v>
      </c>
      <c r="P408" s="217">
        <v>40</v>
      </c>
      <c r="Q408" s="217">
        <f t="shared" si="48"/>
        <v>78200</v>
      </c>
      <c r="R408" s="217">
        <f t="shared" si="49"/>
        <v>634</v>
      </c>
      <c r="S408" s="217">
        <f t="shared" si="50"/>
        <v>3387</v>
      </c>
      <c r="T408" s="217">
        <f t="shared" si="51"/>
        <v>661</v>
      </c>
      <c r="U408" s="217">
        <f t="shared" si="52"/>
        <v>18909</v>
      </c>
      <c r="V408" s="217">
        <f t="shared" si="53"/>
        <v>12099</v>
      </c>
      <c r="W408" s="217">
        <f>ROUND(AC408+(INDEX(Ref!B$1:B$9,MATCH($AI408,Ref!$A$1:$A$9,0))*P408*0.0001),)</f>
        <v>21</v>
      </c>
      <c r="X408" s="217">
        <f>ROUND(AD408+(INDEX(Ref!C$1:C$9,MATCH($AI408,Ref!$A$1:$A$9,0))*$P408*0.0001),)</f>
        <v>40</v>
      </c>
      <c r="Y408" s="217">
        <f>ROUND(AE408+(INDEX(Ref!D$1:D$9,MATCH($AI408,Ref!$A$1:$A$9,0))*$P408*0.0001),)</f>
        <v>44</v>
      </c>
      <c r="Z408" s="217">
        <f>ROUND(AF408+(INDEX(Ref!E$1:E$9,MATCH($AI408,Ref!$A$1:$A$9,0))*$P408*0.0001),)</f>
        <v>24</v>
      </c>
      <c r="AA408" s="217">
        <f>ROUND(AG408+(INDEX(Ref!F$1:F$9,MATCH($AI408,Ref!$A$1:$A$9,0))*$P408*0.0001),)</f>
        <v>51</v>
      </c>
      <c r="AB408" s="217">
        <f>ROUND(AH408+(INDEX(Ref!G$1:G$9,MATCH($AI408,Ref!$A$1:$A$9,0))*$P408*0.0001),)</f>
        <v>44</v>
      </c>
      <c r="AC408" s="137">
        <v>17</v>
      </c>
      <c r="AD408" s="137">
        <v>32</v>
      </c>
      <c r="AE408" s="137">
        <v>39</v>
      </c>
      <c r="AF408" s="137">
        <v>19</v>
      </c>
      <c r="AG408" s="137">
        <v>41</v>
      </c>
      <c r="AH408" s="137">
        <v>36</v>
      </c>
      <c r="AI408" s="208">
        <v>5</v>
      </c>
      <c r="AJ408" s="172">
        <v>3000</v>
      </c>
      <c r="AK408" s="172">
        <v>30488</v>
      </c>
      <c r="AL408" s="172">
        <v>2000</v>
      </c>
      <c r="AM408" s="172">
        <v>30490</v>
      </c>
      <c r="AN408" s="172">
        <v>0</v>
      </c>
      <c r="AO408" s="172">
        <f t="shared" si="54"/>
        <v>34488</v>
      </c>
      <c r="AP408" s="172">
        <v>0</v>
      </c>
      <c r="AQ408" s="172">
        <f t="shared" si="55"/>
        <v>34490</v>
      </c>
      <c r="AR408" s="172">
        <v>1</v>
      </c>
      <c r="AS408" s="172">
        <v>0</v>
      </c>
      <c r="AT408" s="199">
        <v>78082</v>
      </c>
      <c r="AU408" s="195" t="s">
        <v>308</v>
      </c>
    </row>
    <row r="409" spans="1:47" x14ac:dyDescent="0.2">
      <c r="A409" s="173">
        <v>55082</v>
      </c>
      <c r="B409" s="174" t="s">
        <v>306</v>
      </c>
      <c r="C409" s="172">
        <v>86082</v>
      </c>
      <c r="D409" s="172">
        <v>150082</v>
      </c>
      <c r="E409" s="206" t="s">
        <v>307</v>
      </c>
      <c r="F409" s="207">
        <v>1</v>
      </c>
      <c r="G409" s="172">
        <v>13000</v>
      </c>
      <c r="H409" s="172">
        <v>9000</v>
      </c>
      <c r="I409" s="172">
        <v>10000</v>
      </c>
      <c r="J409" s="172">
        <v>3</v>
      </c>
      <c r="K409" s="190">
        <f>IF($J409=1,INDEX('큐펫&amp;몹 정리(최신)'!P:P,MATCH($E409,'큐펫&amp;몹 정리(최신)'!$B:$B,0))*20,IF($J409=2,INDEX('큐펫&amp;몹 정리(최신)'!P:P,MATCH($E409,'큐펫&amp;몹 정리(최신)'!$B:$B,0))*25,IF($J409=3,INDEX('큐펫&amp;몹 정리(최신)'!P:P,MATCH($E409,'큐펫&amp;몹 정리(최신)'!$B:$B,0))*30,IF($J409=4,INDEX('큐펫&amp;몹 정리(최신)'!P:P,MATCH($E409,'큐펫&amp;몹 정리(최신)'!$B:$B,0))*35,INDEX('큐펫&amp;몹 정리(최신)'!P:P,MATCH($E409,'큐펫&amp;몹 정리(최신)'!$B:$B,0))*40))))</f>
        <v>1500</v>
      </c>
      <c r="L409" s="190">
        <f>IF($J409=1,INDEX('큐펫&amp;몹 정리(최신)'!Q:Q,MATCH($E409,'큐펫&amp;몹 정리(최신)'!$B:$B,0))*20,IF($J409=2,INDEX('큐펫&amp;몹 정리(최신)'!Q:Q,MATCH($E409,'큐펫&amp;몹 정리(최신)'!$B:$B,0))*25,IF($J409=3,INDEX('큐펫&amp;몹 정리(최신)'!Q:Q,MATCH($E409,'큐펫&amp;몹 정리(최신)'!$B:$B,0))*30,IF($J409=4,INDEX('큐펫&amp;몹 정리(최신)'!Q:Q,MATCH($E409,'큐펫&amp;몹 정리(최신)'!$B:$B,0))*35,INDEX('큐펫&amp;몹 정리(최신)'!Q:Q,MATCH($E409,'큐펫&amp;몹 정리(최신)'!$B:$B,0))*40))))</f>
        <v>150</v>
      </c>
      <c r="M409" s="190">
        <f>IF($J409=1,INDEX('큐펫&amp;몹 정리(최신)'!R:R,MATCH($E409,'큐펫&amp;몹 정리(최신)'!$B:$B,0))*20,IF($J409=2,INDEX('큐펫&amp;몹 정리(최신)'!R:R,MATCH($E409,'큐펫&amp;몹 정리(최신)'!$B:$B,0))*25,IF($J409=3,INDEX('큐펫&amp;몹 정리(최신)'!R:R,MATCH($E409,'큐펫&amp;몹 정리(최신)'!$B:$B,0))*30,IF($J409=4,INDEX('큐펫&amp;몹 정리(최신)'!R:R,MATCH($E409,'큐펫&amp;몹 정리(최신)'!$B:$B,0))*35,INDEX('큐펫&amp;몹 정리(최신)'!R:R,MATCH($E409,'큐펫&amp;몹 정리(최신)'!$B:$B,0))*40))))</f>
        <v>120</v>
      </c>
      <c r="N409" s="190">
        <f>IF($J409=1,INDEX('큐펫&amp;몹 정리(최신)'!S:S,MATCH($E409,'큐펫&amp;몹 정리(최신)'!$B:$B,0))*20,IF($J409=2,INDEX('큐펫&amp;몹 정리(최신)'!S:S,MATCH($E409,'큐펫&amp;몹 정리(최신)'!$B:$B,0))*25,IF($J409=3,INDEX('큐펫&amp;몹 정리(최신)'!S:S,MATCH($E409,'큐펫&amp;몹 정리(최신)'!$B:$B,0))*30,IF($J409=4,INDEX('큐펫&amp;몹 정리(최신)'!S:S,MATCH($E409,'큐펫&amp;몹 정리(최신)'!$B:$B,0))*35,INDEX('큐펫&amp;몹 정리(최신)'!S:S,MATCH($E409,'큐펫&amp;몹 정리(최신)'!$B:$B,0))*40))))</f>
        <v>540</v>
      </c>
      <c r="O409" s="190">
        <f>IF($J409=1,INDEX('큐펫&amp;몹 정리(최신)'!T:T,MATCH($E409,'큐펫&amp;몹 정리(최신)'!$B:$B,0))*20,IF($J409=2,INDEX('큐펫&amp;몹 정리(최신)'!T:T,MATCH($E409,'큐펫&amp;몹 정리(최신)'!$B:$B,0))*25,IF($J409=3,INDEX('큐펫&amp;몹 정리(최신)'!T:T,MATCH($E409,'큐펫&amp;몹 정리(최신)'!$B:$B,0))*30,IF($J409=4,INDEX('큐펫&amp;몹 정리(최신)'!T:T,MATCH($E409,'큐펫&amp;몹 정리(최신)'!$B:$B,0))*35,INDEX('큐펫&amp;몹 정리(최신)'!T:T,MATCH($E409,'큐펫&amp;몹 정리(최신)'!$B:$B,0))*40))))</f>
        <v>690</v>
      </c>
      <c r="P409" s="217">
        <v>60</v>
      </c>
      <c r="Q409" s="217">
        <f t="shared" si="48"/>
        <v>142500</v>
      </c>
      <c r="R409" s="217">
        <f t="shared" si="49"/>
        <v>1121</v>
      </c>
      <c r="S409" s="217">
        <f t="shared" si="50"/>
        <v>5567</v>
      </c>
      <c r="T409" s="217">
        <f t="shared" si="51"/>
        <v>1047</v>
      </c>
      <c r="U409" s="217">
        <f t="shared" si="52"/>
        <v>29710</v>
      </c>
      <c r="V409" s="217">
        <f t="shared" si="53"/>
        <v>19003</v>
      </c>
      <c r="W409" s="217">
        <f>ROUND(AC409+(INDEX(Ref!B$1:B$9,MATCH($AI409,Ref!$A$1:$A$9,0))*P409*0.0001),)</f>
        <v>26</v>
      </c>
      <c r="X409" s="217">
        <f>ROUND(AD409+(INDEX(Ref!C$1:C$9,MATCH($AI409,Ref!$A$1:$A$9,0))*$P409*0.0001),)</f>
        <v>47</v>
      </c>
      <c r="Y409" s="217">
        <f>ROUND(AE409+(INDEX(Ref!D$1:D$9,MATCH($AI409,Ref!$A$1:$A$9,0))*$P409*0.0001),)</f>
        <v>50</v>
      </c>
      <c r="Z409" s="217">
        <f>ROUND(AF409+(INDEX(Ref!E$1:E$9,MATCH($AI409,Ref!$A$1:$A$9,0))*$P409*0.0001),)</f>
        <v>28</v>
      </c>
      <c r="AA409" s="217">
        <f>ROUND(AG409+(INDEX(Ref!F$1:F$9,MATCH($AI409,Ref!$A$1:$A$9,0))*$P409*0.0001),)</f>
        <v>60</v>
      </c>
      <c r="AB409" s="217">
        <f>ROUND(AH409+(INDEX(Ref!G$1:G$9,MATCH($AI409,Ref!$A$1:$A$9,0))*$P409*0.0001),)</f>
        <v>53</v>
      </c>
      <c r="AC409" s="137">
        <v>19</v>
      </c>
      <c r="AD409" s="137">
        <v>36</v>
      </c>
      <c r="AE409" s="137">
        <v>42</v>
      </c>
      <c r="AF409" s="137">
        <v>21</v>
      </c>
      <c r="AG409" s="137">
        <v>46</v>
      </c>
      <c r="AH409" s="137">
        <v>40</v>
      </c>
      <c r="AI409" s="208">
        <v>5</v>
      </c>
      <c r="AJ409" s="172">
        <v>3000</v>
      </c>
      <c r="AK409" s="172">
        <v>30488</v>
      </c>
      <c r="AL409" s="172">
        <v>2000</v>
      </c>
      <c r="AM409" s="172">
        <v>30491</v>
      </c>
      <c r="AN409" s="172">
        <v>0</v>
      </c>
      <c r="AO409" s="172">
        <f t="shared" si="54"/>
        <v>34488</v>
      </c>
      <c r="AP409" s="172">
        <v>0</v>
      </c>
      <c r="AQ409" s="172">
        <f t="shared" si="55"/>
        <v>34491</v>
      </c>
      <c r="AR409" s="172">
        <v>1</v>
      </c>
      <c r="AS409" s="172">
        <v>0</v>
      </c>
      <c r="AT409" s="199">
        <v>78082</v>
      </c>
      <c r="AU409" s="195" t="s">
        <v>308</v>
      </c>
    </row>
    <row r="410" spans="1:47" x14ac:dyDescent="0.2">
      <c r="A410" s="173">
        <v>55082</v>
      </c>
      <c r="B410" s="174" t="s">
        <v>306</v>
      </c>
      <c r="C410" s="172">
        <v>86082</v>
      </c>
      <c r="D410" s="172">
        <v>150082</v>
      </c>
      <c r="E410" s="206" t="s">
        <v>307</v>
      </c>
      <c r="F410" s="207">
        <v>1</v>
      </c>
      <c r="G410" s="172">
        <v>13000</v>
      </c>
      <c r="H410" s="172">
        <v>9000</v>
      </c>
      <c r="I410" s="172">
        <v>10000</v>
      </c>
      <c r="J410" s="172">
        <v>4</v>
      </c>
      <c r="K410" s="190">
        <f>IF($J410=1,INDEX('큐펫&amp;몹 정리(최신)'!P:P,MATCH($E410,'큐펫&amp;몹 정리(최신)'!$B:$B,0))*20,IF($J410=2,INDEX('큐펫&amp;몹 정리(최신)'!P:P,MATCH($E410,'큐펫&amp;몹 정리(최신)'!$B:$B,0))*25,IF($J410=3,INDEX('큐펫&amp;몹 정리(최신)'!P:P,MATCH($E410,'큐펫&amp;몹 정리(최신)'!$B:$B,0))*30,IF($J410=4,INDEX('큐펫&amp;몹 정리(최신)'!P:P,MATCH($E410,'큐펫&amp;몹 정리(최신)'!$B:$B,0))*35,INDEX('큐펫&amp;몹 정리(최신)'!P:P,MATCH($E410,'큐펫&amp;몹 정리(최신)'!$B:$B,0))*40))))</f>
        <v>1750</v>
      </c>
      <c r="L410" s="190">
        <f>IF($J410=1,INDEX('큐펫&amp;몹 정리(최신)'!Q:Q,MATCH($E410,'큐펫&amp;몹 정리(최신)'!$B:$B,0))*20,IF($J410=2,INDEX('큐펫&amp;몹 정리(최신)'!Q:Q,MATCH($E410,'큐펫&amp;몹 정리(최신)'!$B:$B,0))*25,IF($J410=3,INDEX('큐펫&amp;몹 정리(최신)'!Q:Q,MATCH($E410,'큐펫&amp;몹 정리(최신)'!$B:$B,0))*30,IF($J410=4,INDEX('큐펫&amp;몹 정리(최신)'!Q:Q,MATCH($E410,'큐펫&amp;몹 정리(최신)'!$B:$B,0))*35,INDEX('큐펫&amp;몹 정리(최신)'!Q:Q,MATCH($E410,'큐펫&amp;몹 정리(최신)'!$B:$B,0))*40))))</f>
        <v>175</v>
      </c>
      <c r="M410" s="190">
        <f>IF($J410=1,INDEX('큐펫&amp;몹 정리(최신)'!R:R,MATCH($E410,'큐펫&amp;몹 정리(최신)'!$B:$B,0))*20,IF($J410=2,INDEX('큐펫&amp;몹 정리(최신)'!R:R,MATCH($E410,'큐펫&amp;몹 정리(최신)'!$B:$B,0))*25,IF($J410=3,INDEX('큐펫&amp;몹 정리(최신)'!R:R,MATCH($E410,'큐펫&amp;몹 정리(최신)'!$B:$B,0))*30,IF($J410=4,INDEX('큐펫&amp;몹 정리(최신)'!R:R,MATCH($E410,'큐펫&amp;몹 정리(최신)'!$B:$B,0))*35,INDEX('큐펫&amp;몹 정리(최신)'!R:R,MATCH($E410,'큐펫&amp;몹 정리(최신)'!$B:$B,0))*40))))</f>
        <v>140</v>
      </c>
      <c r="N410" s="190">
        <f>IF($J410=1,INDEX('큐펫&amp;몹 정리(최신)'!S:S,MATCH($E410,'큐펫&amp;몹 정리(최신)'!$B:$B,0))*20,IF($J410=2,INDEX('큐펫&amp;몹 정리(최신)'!S:S,MATCH($E410,'큐펫&amp;몹 정리(최신)'!$B:$B,0))*25,IF($J410=3,INDEX('큐펫&amp;몹 정리(최신)'!S:S,MATCH($E410,'큐펫&amp;몹 정리(최신)'!$B:$B,0))*30,IF($J410=4,INDEX('큐펫&amp;몹 정리(최신)'!S:S,MATCH($E410,'큐펫&amp;몹 정리(최신)'!$B:$B,0))*35,INDEX('큐펫&amp;몹 정리(최신)'!S:S,MATCH($E410,'큐펫&amp;몹 정리(최신)'!$B:$B,0))*40))))</f>
        <v>630</v>
      </c>
      <c r="O410" s="190">
        <f>IF($J410=1,INDEX('큐펫&amp;몹 정리(최신)'!T:T,MATCH($E410,'큐펫&amp;몹 정리(최신)'!$B:$B,0))*20,IF($J410=2,INDEX('큐펫&amp;몹 정리(최신)'!T:T,MATCH($E410,'큐펫&amp;몹 정리(최신)'!$B:$B,0))*25,IF($J410=3,INDEX('큐펫&amp;몹 정리(최신)'!T:T,MATCH($E410,'큐펫&amp;몹 정리(최신)'!$B:$B,0))*30,IF($J410=4,INDEX('큐펫&amp;몹 정리(최신)'!T:T,MATCH($E410,'큐펫&amp;몹 정리(최신)'!$B:$B,0))*35,INDEX('큐펫&amp;몹 정리(최신)'!T:T,MATCH($E410,'큐펫&amp;몹 정리(최신)'!$B:$B,0))*40))))</f>
        <v>805</v>
      </c>
      <c r="P410" s="217">
        <v>80</v>
      </c>
      <c r="Q410" s="217">
        <f t="shared" si="48"/>
        <v>224300</v>
      </c>
      <c r="R410" s="217">
        <f t="shared" si="49"/>
        <v>1813</v>
      </c>
      <c r="S410" s="217">
        <f t="shared" si="50"/>
        <v>8774</v>
      </c>
      <c r="T410" s="217">
        <f t="shared" si="51"/>
        <v>1750</v>
      </c>
      <c r="U410" s="217">
        <f t="shared" si="52"/>
        <v>42222</v>
      </c>
      <c r="V410" s="217">
        <f t="shared" si="53"/>
        <v>27001</v>
      </c>
      <c r="W410" s="217">
        <f>ROUND(AC410+(INDEX(Ref!B$1:B$9,MATCH($AI410,Ref!$A$1:$A$9,0))*P410*0.0001),)</f>
        <v>31</v>
      </c>
      <c r="X410" s="217">
        <f>ROUND(AD410+(INDEX(Ref!C$1:C$9,MATCH($AI410,Ref!$A$1:$A$9,0))*$P410*0.0001),)</f>
        <v>54</v>
      </c>
      <c r="Y410" s="217">
        <f>ROUND(AE410+(INDEX(Ref!D$1:D$9,MATCH($AI410,Ref!$A$1:$A$9,0))*$P410*0.0001),)</f>
        <v>54</v>
      </c>
      <c r="Z410" s="217">
        <f>ROUND(AF410+(INDEX(Ref!E$1:E$9,MATCH($AI410,Ref!$A$1:$A$9,0))*$P410*0.0001),)</f>
        <v>34</v>
      </c>
      <c r="AA410" s="217">
        <f>ROUND(AG410+(INDEX(Ref!F$1:F$9,MATCH($AI410,Ref!$A$1:$A$9,0))*$P410*0.0001),)</f>
        <v>70</v>
      </c>
      <c r="AB410" s="217">
        <f>ROUND(AH410+(INDEX(Ref!G$1:G$9,MATCH($AI410,Ref!$A$1:$A$9,0))*$P410*0.0001),)</f>
        <v>61</v>
      </c>
      <c r="AC410" s="137">
        <v>22</v>
      </c>
      <c r="AD410" s="137">
        <v>39</v>
      </c>
      <c r="AE410" s="137">
        <v>44</v>
      </c>
      <c r="AF410" s="137">
        <v>24</v>
      </c>
      <c r="AG410" s="137">
        <v>51</v>
      </c>
      <c r="AH410" s="137">
        <v>44</v>
      </c>
      <c r="AI410" s="208">
        <v>5</v>
      </c>
      <c r="AJ410" s="172">
        <v>3000</v>
      </c>
      <c r="AK410" s="172">
        <v>30489</v>
      </c>
      <c r="AL410" s="172">
        <v>2000</v>
      </c>
      <c r="AM410" s="172">
        <v>30491</v>
      </c>
      <c r="AN410" s="172">
        <v>0</v>
      </c>
      <c r="AO410" s="172">
        <f t="shared" si="54"/>
        <v>34489</v>
      </c>
      <c r="AP410" s="172">
        <v>0</v>
      </c>
      <c r="AQ410" s="172">
        <f t="shared" si="55"/>
        <v>34491</v>
      </c>
      <c r="AR410" s="172">
        <v>1</v>
      </c>
      <c r="AS410" s="172">
        <v>0</v>
      </c>
      <c r="AT410" s="199">
        <v>78082</v>
      </c>
      <c r="AU410" s="195" t="s">
        <v>308</v>
      </c>
    </row>
    <row r="411" spans="1:47" x14ac:dyDescent="0.2">
      <c r="A411" s="173">
        <v>55082</v>
      </c>
      <c r="B411" s="174" t="s">
        <v>306</v>
      </c>
      <c r="C411" s="172">
        <v>86082</v>
      </c>
      <c r="D411" s="172">
        <v>150082</v>
      </c>
      <c r="E411" s="206" t="s">
        <v>307</v>
      </c>
      <c r="F411" s="207">
        <v>1</v>
      </c>
      <c r="G411" s="172">
        <v>13000</v>
      </c>
      <c r="H411" s="172">
        <v>9000</v>
      </c>
      <c r="I411" s="172">
        <v>10000</v>
      </c>
      <c r="J411" s="172">
        <v>5</v>
      </c>
      <c r="K411" s="190">
        <f>IF($J411=1,INDEX('큐펫&amp;몹 정리(최신)'!P:P,MATCH($E411,'큐펫&amp;몹 정리(최신)'!$B:$B,0))*20,IF($J411=2,INDEX('큐펫&amp;몹 정리(최신)'!P:P,MATCH($E411,'큐펫&amp;몹 정리(최신)'!$B:$B,0))*25,IF($J411=3,INDEX('큐펫&amp;몹 정리(최신)'!P:P,MATCH($E411,'큐펫&amp;몹 정리(최신)'!$B:$B,0))*30,IF($J411=4,INDEX('큐펫&amp;몹 정리(최신)'!P:P,MATCH($E411,'큐펫&amp;몹 정리(최신)'!$B:$B,0))*35,INDEX('큐펫&amp;몹 정리(최신)'!P:P,MATCH($E411,'큐펫&amp;몹 정리(최신)'!$B:$B,0))*40))))</f>
        <v>2000</v>
      </c>
      <c r="L411" s="190">
        <f>IF($J411=1,INDEX('큐펫&amp;몹 정리(최신)'!Q:Q,MATCH($E411,'큐펫&amp;몹 정리(최신)'!$B:$B,0))*20,IF($J411=2,INDEX('큐펫&amp;몹 정리(최신)'!Q:Q,MATCH($E411,'큐펫&amp;몹 정리(최신)'!$B:$B,0))*25,IF($J411=3,INDEX('큐펫&amp;몹 정리(최신)'!Q:Q,MATCH($E411,'큐펫&amp;몹 정리(최신)'!$B:$B,0))*30,IF($J411=4,INDEX('큐펫&amp;몹 정리(최신)'!Q:Q,MATCH($E411,'큐펫&amp;몹 정리(최신)'!$B:$B,0))*35,INDEX('큐펫&amp;몹 정리(최신)'!Q:Q,MATCH($E411,'큐펫&amp;몹 정리(최신)'!$B:$B,0))*40))))</f>
        <v>200</v>
      </c>
      <c r="M411" s="190">
        <f>IF($J411=1,INDEX('큐펫&amp;몹 정리(최신)'!R:R,MATCH($E411,'큐펫&amp;몹 정리(최신)'!$B:$B,0))*20,IF($J411=2,INDEX('큐펫&amp;몹 정리(최신)'!R:R,MATCH($E411,'큐펫&amp;몹 정리(최신)'!$B:$B,0))*25,IF($J411=3,INDEX('큐펫&amp;몹 정리(최신)'!R:R,MATCH($E411,'큐펫&amp;몹 정리(최신)'!$B:$B,0))*30,IF($J411=4,INDEX('큐펫&amp;몹 정리(최신)'!R:R,MATCH($E411,'큐펫&amp;몹 정리(최신)'!$B:$B,0))*35,INDEX('큐펫&amp;몹 정리(최신)'!R:R,MATCH($E411,'큐펫&amp;몹 정리(최신)'!$B:$B,0))*40))))</f>
        <v>160</v>
      </c>
      <c r="N411" s="190">
        <f>IF($J411=1,INDEX('큐펫&amp;몹 정리(최신)'!S:S,MATCH($E411,'큐펫&amp;몹 정리(최신)'!$B:$B,0))*20,IF($J411=2,INDEX('큐펫&amp;몹 정리(최신)'!S:S,MATCH($E411,'큐펫&amp;몹 정리(최신)'!$B:$B,0))*25,IF($J411=3,INDEX('큐펫&amp;몹 정리(최신)'!S:S,MATCH($E411,'큐펫&amp;몹 정리(최신)'!$B:$B,0))*30,IF($J411=4,INDEX('큐펫&amp;몹 정리(최신)'!S:S,MATCH($E411,'큐펫&amp;몹 정리(최신)'!$B:$B,0))*35,INDEX('큐펫&amp;몹 정리(최신)'!S:S,MATCH($E411,'큐펫&amp;몹 정리(최신)'!$B:$B,0))*40))))</f>
        <v>720</v>
      </c>
      <c r="O411" s="190">
        <f>IF($J411=1,INDEX('큐펫&amp;몹 정리(최신)'!T:T,MATCH($E411,'큐펫&amp;몹 정리(최신)'!$B:$B,0))*20,IF($J411=2,INDEX('큐펫&amp;몹 정리(최신)'!T:T,MATCH($E411,'큐펫&amp;몹 정리(최신)'!$B:$B,0))*25,IF($J411=3,INDEX('큐펫&amp;몹 정리(최신)'!T:T,MATCH($E411,'큐펫&amp;몹 정리(최신)'!$B:$B,0))*30,IF($J411=4,INDEX('큐펫&amp;몹 정리(최신)'!T:T,MATCH($E411,'큐펫&amp;몹 정리(최신)'!$B:$B,0))*35,INDEX('큐펫&amp;몹 정리(최신)'!T:T,MATCH($E411,'큐펫&amp;몹 정리(최신)'!$B:$B,0))*40))))</f>
        <v>920</v>
      </c>
      <c r="P411" s="217">
        <v>100</v>
      </c>
      <c r="Q411" s="217">
        <f t="shared" si="48"/>
        <v>330000</v>
      </c>
      <c r="R411" s="217">
        <f t="shared" si="49"/>
        <v>2603</v>
      </c>
      <c r="S411" s="217">
        <f t="shared" si="50"/>
        <v>13032</v>
      </c>
      <c r="T411" s="217">
        <f t="shared" si="51"/>
        <v>2463</v>
      </c>
      <c r="U411" s="217">
        <f t="shared" si="52"/>
        <v>57614</v>
      </c>
      <c r="V411" s="217">
        <f t="shared" si="53"/>
        <v>36838</v>
      </c>
      <c r="W411" s="217">
        <f>ROUND(AC411+(INDEX(Ref!B$1:B$9,MATCH($AI411,Ref!$A$1:$A$9,0))*P411*0.0001),)</f>
        <v>35</v>
      </c>
      <c r="X411" s="217">
        <f>ROUND(AD411+(INDEX(Ref!C$1:C$9,MATCH($AI411,Ref!$A$1:$A$9,0))*$P411*0.0001),)</f>
        <v>62</v>
      </c>
      <c r="Y411" s="217">
        <f>ROUND(AE411+(INDEX(Ref!D$1:D$9,MATCH($AI411,Ref!$A$1:$A$9,0))*$P411*0.0001),)</f>
        <v>60</v>
      </c>
      <c r="Z411" s="217">
        <f>ROUND(AF411+(INDEX(Ref!E$1:E$9,MATCH($AI411,Ref!$A$1:$A$9,0))*$P411*0.0001),)</f>
        <v>38</v>
      </c>
      <c r="AA411" s="217">
        <f>ROUND(AG411+(INDEX(Ref!F$1:F$9,MATCH($AI411,Ref!$A$1:$A$9,0))*$P411*0.0001),)</f>
        <v>80</v>
      </c>
      <c r="AB411" s="217">
        <f>ROUND(AH411+(INDEX(Ref!G$1:G$9,MATCH($AI411,Ref!$A$1:$A$9,0))*$P411*0.0001),)</f>
        <v>69</v>
      </c>
      <c r="AC411" s="137">
        <v>24</v>
      </c>
      <c r="AD411" s="137">
        <v>43</v>
      </c>
      <c r="AE411" s="137">
        <v>47</v>
      </c>
      <c r="AF411" s="137">
        <v>26</v>
      </c>
      <c r="AG411" s="137">
        <v>56</v>
      </c>
      <c r="AH411" s="137">
        <v>48</v>
      </c>
      <c r="AI411" s="208">
        <v>5</v>
      </c>
      <c r="AJ411" s="172">
        <v>3000</v>
      </c>
      <c r="AK411" s="172">
        <v>30489</v>
      </c>
      <c r="AL411" s="172">
        <v>2000</v>
      </c>
      <c r="AM411" s="172">
        <v>30492</v>
      </c>
      <c r="AN411" s="172">
        <v>0</v>
      </c>
      <c r="AO411" s="172">
        <f t="shared" si="54"/>
        <v>34489</v>
      </c>
      <c r="AP411" s="172">
        <v>0</v>
      </c>
      <c r="AQ411" s="172">
        <f t="shared" si="55"/>
        <v>34492</v>
      </c>
      <c r="AR411" s="172">
        <v>1</v>
      </c>
      <c r="AS411" s="172">
        <v>0</v>
      </c>
      <c r="AT411" s="199">
        <v>78082</v>
      </c>
      <c r="AU411" s="195" t="s">
        <v>308</v>
      </c>
    </row>
    <row r="412" spans="1:47" x14ac:dyDescent="0.2">
      <c r="A412" s="173">
        <v>55083</v>
      </c>
      <c r="B412" s="174" t="s">
        <v>309</v>
      </c>
      <c r="C412" s="172">
        <v>86083</v>
      </c>
      <c r="D412" s="172">
        <v>150083</v>
      </c>
      <c r="E412" s="206" t="s">
        <v>310</v>
      </c>
      <c r="F412" s="207">
        <v>3</v>
      </c>
      <c r="G412" s="173">
        <v>11500</v>
      </c>
      <c r="H412" s="173">
        <v>9500</v>
      </c>
      <c r="I412" s="172">
        <v>10000</v>
      </c>
      <c r="J412" s="172">
        <v>1</v>
      </c>
      <c r="K412" s="190">
        <f>IF($J412=1,INDEX('큐펫&amp;몹 정리(최신)'!P:P,MATCH($E412,'큐펫&amp;몹 정리(최신)'!$B:$B,0))*20,IF($J412=2,INDEX('큐펫&amp;몹 정리(최신)'!P:P,MATCH($E412,'큐펫&amp;몹 정리(최신)'!$B:$B,0))*25,IF($J412=3,INDEX('큐펫&amp;몹 정리(최신)'!P:P,MATCH($E412,'큐펫&amp;몹 정리(최신)'!$B:$B,0))*30,IF($J412=4,INDEX('큐펫&amp;몹 정리(최신)'!P:P,MATCH($E412,'큐펫&amp;몹 정리(최신)'!$B:$B,0))*35,INDEX('큐펫&amp;몹 정리(최신)'!P:P,MATCH($E412,'큐펫&amp;몹 정리(최신)'!$B:$B,0))*40))))</f>
        <v>800</v>
      </c>
      <c r="L412" s="190">
        <f>IF($J412=1,INDEX('큐펫&amp;몹 정리(최신)'!Q:Q,MATCH($E412,'큐펫&amp;몹 정리(최신)'!$B:$B,0))*20,IF($J412=2,INDEX('큐펫&amp;몹 정리(최신)'!Q:Q,MATCH($E412,'큐펫&amp;몹 정리(최신)'!$B:$B,0))*25,IF($J412=3,INDEX('큐펫&amp;몹 정리(최신)'!Q:Q,MATCH($E412,'큐펫&amp;몹 정리(최신)'!$B:$B,0))*30,IF($J412=4,INDEX('큐펫&amp;몹 정리(최신)'!Q:Q,MATCH($E412,'큐펫&amp;몹 정리(최신)'!$B:$B,0))*35,INDEX('큐펫&amp;몹 정리(최신)'!Q:Q,MATCH($E412,'큐펫&amp;몹 정리(최신)'!$B:$B,0))*40))))</f>
        <v>100</v>
      </c>
      <c r="M412" s="190">
        <f>IF($J412=1,INDEX('큐펫&amp;몹 정리(최신)'!R:R,MATCH($E412,'큐펫&amp;몹 정리(최신)'!$B:$B,0))*20,IF($J412=2,INDEX('큐펫&amp;몹 정리(최신)'!R:R,MATCH($E412,'큐펫&amp;몹 정리(최신)'!$B:$B,0))*25,IF($J412=3,INDEX('큐펫&amp;몹 정리(최신)'!R:R,MATCH($E412,'큐펫&amp;몹 정리(최신)'!$B:$B,0))*30,IF($J412=4,INDEX('큐펫&amp;몹 정리(최신)'!R:R,MATCH($E412,'큐펫&amp;몹 정리(최신)'!$B:$B,0))*35,INDEX('큐펫&amp;몹 정리(최신)'!R:R,MATCH($E412,'큐펫&amp;몹 정리(최신)'!$B:$B,0))*40))))</f>
        <v>440</v>
      </c>
      <c r="N412" s="190">
        <f>IF($J412=1,INDEX('큐펫&amp;몹 정리(최신)'!S:S,MATCH($E412,'큐펫&amp;몹 정리(최신)'!$B:$B,0))*20,IF($J412=2,INDEX('큐펫&amp;몹 정리(최신)'!S:S,MATCH($E412,'큐펫&amp;몹 정리(최신)'!$B:$B,0))*25,IF($J412=3,INDEX('큐펫&amp;몹 정리(최신)'!S:S,MATCH($E412,'큐펫&amp;몹 정리(최신)'!$B:$B,0))*30,IF($J412=4,INDEX('큐펫&amp;몹 정리(최신)'!S:S,MATCH($E412,'큐펫&amp;몹 정리(최신)'!$B:$B,0))*35,INDEX('큐펫&amp;몹 정리(최신)'!S:S,MATCH($E412,'큐펫&amp;몹 정리(최신)'!$B:$B,0))*40))))</f>
        <v>240</v>
      </c>
      <c r="O412" s="190">
        <f>IF($J412=1,INDEX('큐펫&amp;몹 정리(최신)'!T:T,MATCH($E412,'큐펫&amp;몹 정리(최신)'!$B:$B,0))*20,IF($J412=2,INDEX('큐펫&amp;몹 정리(최신)'!T:T,MATCH($E412,'큐펫&amp;몹 정리(최신)'!$B:$B,0))*25,IF($J412=3,INDEX('큐펫&amp;몹 정리(최신)'!T:T,MATCH($E412,'큐펫&amp;몹 정리(최신)'!$B:$B,0))*30,IF($J412=4,INDEX('큐펫&amp;몹 정리(최신)'!T:T,MATCH($E412,'큐펫&amp;몹 정리(최신)'!$B:$B,0))*35,INDEX('큐펫&amp;몹 정리(최신)'!T:T,MATCH($E412,'큐펫&amp;몹 정리(최신)'!$B:$B,0))*40))))</f>
        <v>420</v>
      </c>
      <c r="P412" s="217">
        <v>20</v>
      </c>
      <c r="Q412" s="217">
        <f t="shared" si="48"/>
        <v>28320</v>
      </c>
      <c r="R412" s="217">
        <f t="shared" si="49"/>
        <v>418</v>
      </c>
      <c r="S412" s="217">
        <f t="shared" si="50"/>
        <v>593</v>
      </c>
      <c r="T412" s="217">
        <f t="shared" si="51"/>
        <v>8239</v>
      </c>
      <c r="U412" s="217">
        <f t="shared" si="52"/>
        <v>8646</v>
      </c>
      <c r="V412" s="217">
        <f t="shared" si="53"/>
        <v>7603</v>
      </c>
      <c r="W412" s="217">
        <f>ROUND(AC412+(INDEX(Ref!B$1:B$9,MATCH($AI412,Ref!$A$1:$A$9,0))*P412*0.0001),)</f>
        <v>19</v>
      </c>
      <c r="X412" s="217">
        <f>ROUND(AD412+(INDEX(Ref!C$1:C$9,MATCH($AI412,Ref!$A$1:$A$9,0))*$P412*0.0001),)</f>
        <v>26</v>
      </c>
      <c r="Y412" s="217">
        <f>ROUND(AE412+(INDEX(Ref!D$1:D$9,MATCH($AI412,Ref!$A$1:$A$9,0))*$P412*0.0001),)</f>
        <v>52</v>
      </c>
      <c r="Z412" s="217">
        <f>ROUND(AF412+(INDEX(Ref!E$1:E$9,MATCH($AI412,Ref!$A$1:$A$9,0))*$P412*0.0001),)</f>
        <v>43</v>
      </c>
      <c r="AA412" s="217">
        <f>ROUND(AG412+(INDEX(Ref!F$1:F$9,MATCH($AI412,Ref!$A$1:$A$9,0))*$P412*0.0001),)</f>
        <v>23</v>
      </c>
      <c r="AB412" s="217">
        <f>ROUND(AH412+(INDEX(Ref!G$1:G$9,MATCH($AI412,Ref!$A$1:$A$9,0))*$P412*0.0001),)</f>
        <v>21</v>
      </c>
      <c r="AC412" s="137">
        <v>17</v>
      </c>
      <c r="AD412" s="137">
        <v>23</v>
      </c>
      <c r="AE412" s="137">
        <v>48</v>
      </c>
      <c r="AF412" s="137">
        <v>38</v>
      </c>
      <c r="AG412" s="137">
        <v>20</v>
      </c>
      <c r="AH412" s="137">
        <v>18</v>
      </c>
      <c r="AI412" s="208">
        <v>2</v>
      </c>
      <c r="AJ412" s="172">
        <v>3000</v>
      </c>
      <c r="AK412" s="172">
        <v>30493</v>
      </c>
      <c r="AL412" s="172">
        <v>2000</v>
      </c>
      <c r="AM412" s="172">
        <v>30496</v>
      </c>
      <c r="AN412" s="172">
        <v>0</v>
      </c>
      <c r="AO412" s="172">
        <f t="shared" si="54"/>
        <v>34493</v>
      </c>
      <c r="AP412" s="172">
        <v>0</v>
      </c>
      <c r="AQ412" s="172">
        <f t="shared" si="55"/>
        <v>34496</v>
      </c>
      <c r="AR412" s="172">
        <v>1</v>
      </c>
      <c r="AS412" s="172">
        <v>0</v>
      </c>
      <c r="AT412" s="199">
        <v>78083</v>
      </c>
      <c r="AU412" s="195" t="s">
        <v>311</v>
      </c>
    </row>
    <row r="413" spans="1:47" x14ac:dyDescent="0.2">
      <c r="A413" s="173">
        <v>55083</v>
      </c>
      <c r="B413" s="174" t="s">
        <v>309</v>
      </c>
      <c r="C413" s="172">
        <v>86083</v>
      </c>
      <c r="D413" s="172">
        <v>150083</v>
      </c>
      <c r="E413" s="206" t="s">
        <v>310</v>
      </c>
      <c r="F413" s="207">
        <v>3</v>
      </c>
      <c r="G413" s="173">
        <v>11500</v>
      </c>
      <c r="H413" s="173">
        <v>9500</v>
      </c>
      <c r="I413" s="172">
        <v>10000</v>
      </c>
      <c r="J413" s="172">
        <v>2</v>
      </c>
      <c r="K413" s="190">
        <f>IF($J413=1,INDEX('큐펫&amp;몹 정리(최신)'!P:P,MATCH($E413,'큐펫&amp;몹 정리(최신)'!$B:$B,0))*20,IF($J413=2,INDEX('큐펫&amp;몹 정리(최신)'!P:P,MATCH($E413,'큐펫&amp;몹 정리(최신)'!$B:$B,0))*25,IF($J413=3,INDEX('큐펫&amp;몹 정리(최신)'!P:P,MATCH($E413,'큐펫&amp;몹 정리(최신)'!$B:$B,0))*30,IF($J413=4,INDEX('큐펫&amp;몹 정리(최신)'!P:P,MATCH($E413,'큐펫&amp;몹 정리(최신)'!$B:$B,0))*35,INDEX('큐펫&amp;몹 정리(최신)'!P:P,MATCH($E413,'큐펫&amp;몹 정리(최신)'!$B:$B,0))*40))))</f>
        <v>1000</v>
      </c>
      <c r="L413" s="190">
        <f>IF($J413=1,INDEX('큐펫&amp;몹 정리(최신)'!Q:Q,MATCH($E413,'큐펫&amp;몹 정리(최신)'!$B:$B,0))*20,IF($J413=2,INDEX('큐펫&amp;몹 정리(최신)'!Q:Q,MATCH($E413,'큐펫&amp;몹 정리(최신)'!$B:$B,0))*25,IF($J413=3,INDEX('큐펫&amp;몹 정리(최신)'!Q:Q,MATCH($E413,'큐펫&amp;몹 정리(최신)'!$B:$B,0))*30,IF($J413=4,INDEX('큐펫&amp;몹 정리(최신)'!Q:Q,MATCH($E413,'큐펫&amp;몹 정리(최신)'!$B:$B,0))*35,INDEX('큐펫&amp;몹 정리(최신)'!Q:Q,MATCH($E413,'큐펫&amp;몹 정리(최신)'!$B:$B,0))*40))))</f>
        <v>125</v>
      </c>
      <c r="M413" s="190">
        <f>IF($J413=1,INDEX('큐펫&amp;몹 정리(최신)'!R:R,MATCH($E413,'큐펫&amp;몹 정리(최신)'!$B:$B,0))*20,IF($J413=2,INDEX('큐펫&amp;몹 정리(최신)'!R:R,MATCH($E413,'큐펫&amp;몹 정리(최신)'!$B:$B,0))*25,IF($J413=3,INDEX('큐펫&amp;몹 정리(최신)'!R:R,MATCH($E413,'큐펫&amp;몹 정리(최신)'!$B:$B,0))*30,IF($J413=4,INDEX('큐펫&amp;몹 정리(최신)'!R:R,MATCH($E413,'큐펫&amp;몹 정리(최신)'!$B:$B,0))*35,INDEX('큐펫&amp;몹 정리(최신)'!R:R,MATCH($E413,'큐펫&amp;몹 정리(최신)'!$B:$B,0))*40))))</f>
        <v>550</v>
      </c>
      <c r="N413" s="190">
        <f>IF($J413=1,INDEX('큐펫&amp;몹 정리(최신)'!S:S,MATCH($E413,'큐펫&amp;몹 정리(최신)'!$B:$B,0))*20,IF($J413=2,INDEX('큐펫&amp;몹 정리(최신)'!S:S,MATCH($E413,'큐펫&amp;몹 정리(최신)'!$B:$B,0))*25,IF($J413=3,INDEX('큐펫&amp;몹 정리(최신)'!S:S,MATCH($E413,'큐펫&amp;몹 정리(최신)'!$B:$B,0))*30,IF($J413=4,INDEX('큐펫&amp;몹 정리(최신)'!S:S,MATCH($E413,'큐펫&amp;몹 정리(최신)'!$B:$B,0))*35,INDEX('큐펫&amp;몹 정리(최신)'!S:S,MATCH($E413,'큐펫&amp;몹 정리(최신)'!$B:$B,0))*40))))</f>
        <v>300</v>
      </c>
      <c r="O413" s="190">
        <f>IF($J413=1,INDEX('큐펫&amp;몹 정리(최신)'!T:T,MATCH($E413,'큐펫&amp;몹 정리(최신)'!$B:$B,0))*20,IF($J413=2,INDEX('큐펫&amp;몹 정리(최신)'!T:T,MATCH($E413,'큐펫&amp;몹 정리(최신)'!$B:$B,0))*25,IF($J413=3,INDEX('큐펫&amp;몹 정리(최신)'!T:T,MATCH($E413,'큐펫&amp;몹 정리(최신)'!$B:$B,0))*30,IF($J413=4,INDEX('큐펫&amp;몹 정리(최신)'!T:T,MATCH($E413,'큐펫&amp;몹 정리(최신)'!$B:$B,0))*35,INDEX('큐펫&amp;몹 정리(최신)'!T:T,MATCH($E413,'큐펫&amp;몹 정리(최신)'!$B:$B,0))*40))))</f>
        <v>525</v>
      </c>
      <c r="P413" s="217">
        <v>40</v>
      </c>
      <c r="Q413" s="217">
        <f t="shared" si="48"/>
        <v>69000</v>
      </c>
      <c r="R413" s="217">
        <f t="shared" si="49"/>
        <v>800</v>
      </c>
      <c r="S413" s="217">
        <f t="shared" si="50"/>
        <v>1140</v>
      </c>
      <c r="T413" s="217">
        <f t="shared" si="51"/>
        <v>15585</v>
      </c>
      <c r="U413" s="217">
        <f t="shared" si="52"/>
        <v>15009</v>
      </c>
      <c r="V413" s="217">
        <f t="shared" si="53"/>
        <v>13178</v>
      </c>
      <c r="W413" s="217">
        <f>ROUND(AC413+(INDEX(Ref!B$1:B$9,MATCH($AI413,Ref!$A$1:$A$9,0))*P413*0.0001),)</f>
        <v>24</v>
      </c>
      <c r="X413" s="217">
        <f>ROUND(AD413+(INDEX(Ref!C$1:C$9,MATCH($AI413,Ref!$A$1:$A$9,0))*$P413*0.0001),)</f>
        <v>32</v>
      </c>
      <c r="Y413" s="217">
        <f>ROUND(AE413+(INDEX(Ref!D$1:D$9,MATCH($AI413,Ref!$A$1:$A$9,0))*$P413*0.0001),)</f>
        <v>60</v>
      </c>
      <c r="Z413" s="217">
        <f>ROUND(AF413+(INDEX(Ref!E$1:E$9,MATCH($AI413,Ref!$A$1:$A$9,0))*$P413*0.0001),)</f>
        <v>53</v>
      </c>
      <c r="AA413" s="217">
        <f>ROUND(AG413+(INDEX(Ref!F$1:F$9,MATCH($AI413,Ref!$A$1:$A$9,0))*$P413*0.0001),)</f>
        <v>29</v>
      </c>
      <c r="AB413" s="217">
        <f>ROUND(AH413+(INDEX(Ref!G$1:G$9,MATCH($AI413,Ref!$A$1:$A$9,0))*$P413*0.0001),)</f>
        <v>26</v>
      </c>
      <c r="AC413" s="137">
        <v>19</v>
      </c>
      <c r="AD413" s="137">
        <v>26</v>
      </c>
      <c r="AE413" s="137">
        <v>52</v>
      </c>
      <c r="AF413" s="137">
        <v>43</v>
      </c>
      <c r="AG413" s="137">
        <v>23</v>
      </c>
      <c r="AH413" s="137">
        <v>21</v>
      </c>
      <c r="AI413" s="208">
        <v>2</v>
      </c>
      <c r="AJ413" s="172">
        <v>3000</v>
      </c>
      <c r="AK413" s="172">
        <v>30494</v>
      </c>
      <c r="AL413" s="172">
        <v>2000</v>
      </c>
      <c r="AM413" s="172">
        <v>30496</v>
      </c>
      <c r="AN413" s="172">
        <v>0</v>
      </c>
      <c r="AO413" s="172">
        <f t="shared" si="54"/>
        <v>34494</v>
      </c>
      <c r="AP413" s="172">
        <v>0</v>
      </c>
      <c r="AQ413" s="172">
        <f t="shared" si="55"/>
        <v>34496</v>
      </c>
      <c r="AR413" s="172">
        <v>1</v>
      </c>
      <c r="AS413" s="172">
        <v>0</v>
      </c>
      <c r="AT413" s="199">
        <v>78083</v>
      </c>
      <c r="AU413" s="195" t="s">
        <v>311</v>
      </c>
    </row>
    <row r="414" spans="1:47" x14ac:dyDescent="0.2">
      <c r="A414" s="173">
        <v>55083</v>
      </c>
      <c r="B414" s="174" t="s">
        <v>309</v>
      </c>
      <c r="C414" s="172">
        <v>86083</v>
      </c>
      <c r="D414" s="172">
        <v>150083</v>
      </c>
      <c r="E414" s="206" t="s">
        <v>310</v>
      </c>
      <c r="F414" s="207">
        <v>3</v>
      </c>
      <c r="G414" s="173">
        <v>11500</v>
      </c>
      <c r="H414" s="173">
        <v>9500</v>
      </c>
      <c r="I414" s="172">
        <v>10000</v>
      </c>
      <c r="J414" s="172">
        <v>3</v>
      </c>
      <c r="K414" s="190">
        <f>IF($J414=1,INDEX('큐펫&amp;몹 정리(최신)'!P:P,MATCH($E414,'큐펫&amp;몹 정리(최신)'!$B:$B,0))*20,IF($J414=2,INDEX('큐펫&amp;몹 정리(최신)'!P:P,MATCH($E414,'큐펫&amp;몹 정리(최신)'!$B:$B,0))*25,IF($J414=3,INDEX('큐펫&amp;몹 정리(최신)'!P:P,MATCH($E414,'큐펫&amp;몹 정리(최신)'!$B:$B,0))*30,IF($J414=4,INDEX('큐펫&amp;몹 정리(최신)'!P:P,MATCH($E414,'큐펫&amp;몹 정리(최신)'!$B:$B,0))*35,INDEX('큐펫&amp;몹 정리(최신)'!P:P,MATCH($E414,'큐펫&amp;몹 정리(최신)'!$B:$B,0))*40))))</f>
        <v>1200</v>
      </c>
      <c r="L414" s="190">
        <f>IF($J414=1,INDEX('큐펫&amp;몹 정리(최신)'!Q:Q,MATCH($E414,'큐펫&amp;몹 정리(최신)'!$B:$B,0))*20,IF($J414=2,INDEX('큐펫&amp;몹 정리(최신)'!Q:Q,MATCH($E414,'큐펫&amp;몹 정리(최신)'!$B:$B,0))*25,IF($J414=3,INDEX('큐펫&amp;몹 정리(최신)'!Q:Q,MATCH($E414,'큐펫&amp;몹 정리(최신)'!$B:$B,0))*30,IF($J414=4,INDEX('큐펫&amp;몹 정리(최신)'!Q:Q,MATCH($E414,'큐펫&amp;몹 정리(최신)'!$B:$B,0))*35,INDEX('큐펫&amp;몹 정리(최신)'!Q:Q,MATCH($E414,'큐펫&amp;몹 정리(최신)'!$B:$B,0))*40))))</f>
        <v>150</v>
      </c>
      <c r="M414" s="190">
        <f>IF($J414=1,INDEX('큐펫&amp;몹 정리(최신)'!R:R,MATCH($E414,'큐펫&amp;몹 정리(최신)'!$B:$B,0))*20,IF($J414=2,INDEX('큐펫&amp;몹 정리(최신)'!R:R,MATCH($E414,'큐펫&amp;몹 정리(최신)'!$B:$B,0))*25,IF($J414=3,INDEX('큐펫&amp;몹 정리(최신)'!R:R,MATCH($E414,'큐펫&amp;몹 정리(최신)'!$B:$B,0))*30,IF($J414=4,INDEX('큐펫&amp;몹 정리(최신)'!R:R,MATCH($E414,'큐펫&amp;몹 정리(최신)'!$B:$B,0))*35,INDEX('큐펫&amp;몹 정리(최신)'!R:R,MATCH($E414,'큐펫&amp;몹 정리(최신)'!$B:$B,0))*40))))</f>
        <v>660</v>
      </c>
      <c r="N414" s="190">
        <f>IF($J414=1,INDEX('큐펫&amp;몹 정리(최신)'!S:S,MATCH($E414,'큐펫&amp;몹 정리(최신)'!$B:$B,0))*20,IF($J414=2,INDEX('큐펫&amp;몹 정리(최신)'!S:S,MATCH($E414,'큐펫&amp;몹 정리(최신)'!$B:$B,0))*25,IF($J414=3,INDEX('큐펫&amp;몹 정리(최신)'!S:S,MATCH($E414,'큐펫&amp;몹 정리(최신)'!$B:$B,0))*30,IF($J414=4,INDEX('큐펫&amp;몹 정리(최신)'!S:S,MATCH($E414,'큐펫&amp;몹 정리(최신)'!$B:$B,0))*35,INDEX('큐펫&amp;몹 정리(최신)'!S:S,MATCH($E414,'큐펫&amp;몹 정리(최신)'!$B:$B,0))*40))))</f>
        <v>360</v>
      </c>
      <c r="O414" s="190">
        <f>IF($J414=1,INDEX('큐펫&amp;몹 정리(최신)'!T:T,MATCH($E414,'큐펫&amp;몹 정리(최신)'!$B:$B,0))*20,IF($J414=2,INDEX('큐펫&amp;몹 정리(최신)'!T:T,MATCH($E414,'큐펫&amp;몹 정리(최신)'!$B:$B,0))*25,IF($J414=3,INDEX('큐펫&amp;몹 정리(최신)'!T:T,MATCH($E414,'큐펫&amp;몹 정리(최신)'!$B:$B,0))*30,IF($J414=4,INDEX('큐펫&amp;몹 정리(최신)'!T:T,MATCH($E414,'큐펫&amp;몹 정리(최신)'!$B:$B,0))*35,INDEX('큐펫&amp;몹 정리(최신)'!T:T,MATCH($E414,'큐펫&amp;몹 정리(최신)'!$B:$B,0))*40))))</f>
        <v>630</v>
      </c>
      <c r="P414" s="217">
        <v>60</v>
      </c>
      <c r="Q414" s="217">
        <f t="shared" si="48"/>
        <v>126960</v>
      </c>
      <c r="R414" s="217">
        <f t="shared" si="49"/>
        <v>1276</v>
      </c>
      <c r="S414" s="217">
        <f t="shared" si="50"/>
        <v>1845</v>
      </c>
      <c r="T414" s="217">
        <f t="shared" si="51"/>
        <v>26363</v>
      </c>
      <c r="U414" s="217">
        <f t="shared" si="52"/>
        <v>23051</v>
      </c>
      <c r="V414" s="217">
        <f t="shared" si="53"/>
        <v>20223</v>
      </c>
      <c r="W414" s="217">
        <f>ROUND(AC414+(INDEX(Ref!B$1:B$9,MATCH($AI414,Ref!$A$1:$A$9,0))*P414*0.0001),)</f>
        <v>28</v>
      </c>
      <c r="X414" s="217">
        <f>ROUND(AD414+(INDEX(Ref!C$1:C$9,MATCH($AI414,Ref!$A$1:$A$9,0))*$P414*0.0001),)</f>
        <v>40</v>
      </c>
      <c r="Y414" s="217">
        <f>ROUND(AE414+(INDEX(Ref!D$1:D$9,MATCH($AI414,Ref!$A$1:$A$9,0))*$P414*0.0001),)</f>
        <v>68</v>
      </c>
      <c r="Z414" s="217">
        <f>ROUND(AF414+(INDEX(Ref!E$1:E$9,MATCH($AI414,Ref!$A$1:$A$9,0))*$P414*0.0001),)</f>
        <v>63</v>
      </c>
      <c r="AA414" s="217">
        <f>ROUND(AG414+(INDEX(Ref!F$1:F$9,MATCH($AI414,Ref!$A$1:$A$9,0))*$P414*0.0001),)</f>
        <v>34</v>
      </c>
      <c r="AB414" s="217">
        <f>ROUND(AH414+(INDEX(Ref!G$1:G$9,MATCH($AI414,Ref!$A$1:$A$9,0))*$P414*0.0001),)</f>
        <v>31</v>
      </c>
      <c r="AC414" s="137">
        <v>21</v>
      </c>
      <c r="AD414" s="137">
        <v>30</v>
      </c>
      <c r="AE414" s="137">
        <v>56</v>
      </c>
      <c r="AF414" s="137">
        <v>48.000000000000007</v>
      </c>
      <c r="AG414" s="137">
        <v>26</v>
      </c>
      <c r="AH414" s="137">
        <v>23</v>
      </c>
      <c r="AI414" s="208">
        <v>2</v>
      </c>
      <c r="AJ414" s="172">
        <v>3000</v>
      </c>
      <c r="AK414" s="172">
        <v>30494</v>
      </c>
      <c r="AL414" s="172">
        <v>2000</v>
      </c>
      <c r="AM414" s="172">
        <v>30497</v>
      </c>
      <c r="AN414" s="172">
        <v>0</v>
      </c>
      <c r="AO414" s="172">
        <f t="shared" si="54"/>
        <v>34494</v>
      </c>
      <c r="AP414" s="172">
        <v>0</v>
      </c>
      <c r="AQ414" s="172">
        <f t="shared" si="55"/>
        <v>34497</v>
      </c>
      <c r="AR414" s="172">
        <v>1</v>
      </c>
      <c r="AS414" s="172">
        <v>0</v>
      </c>
      <c r="AT414" s="199">
        <v>78083</v>
      </c>
      <c r="AU414" s="195" t="s">
        <v>311</v>
      </c>
    </row>
    <row r="415" spans="1:47" x14ac:dyDescent="0.2">
      <c r="A415" s="173">
        <v>55083</v>
      </c>
      <c r="B415" s="174" t="s">
        <v>309</v>
      </c>
      <c r="C415" s="172">
        <v>86083</v>
      </c>
      <c r="D415" s="172">
        <v>150083</v>
      </c>
      <c r="E415" s="206" t="s">
        <v>310</v>
      </c>
      <c r="F415" s="207">
        <v>3</v>
      </c>
      <c r="G415" s="173">
        <v>11500</v>
      </c>
      <c r="H415" s="173">
        <v>9500</v>
      </c>
      <c r="I415" s="172">
        <v>10000</v>
      </c>
      <c r="J415" s="172">
        <v>4</v>
      </c>
      <c r="K415" s="190">
        <f>IF($J415=1,INDEX('큐펫&amp;몹 정리(최신)'!P:P,MATCH($E415,'큐펫&amp;몹 정리(최신)'!$B:$B,0))*20,IF($J415=2,INDEX('큐펫&amp;몹 정리(최신)'!P:P,MATCH($E415,'큐펫&amp;몹 정리(최신)'!$B:$B,0))*25,IF($J415=3,INDEX('큐펫&amp;몹 정리(최신)'!P:P,MATCH($E415,'큐펫&amp;몹 정리(최신)'!$B:$B,0))*30,IF($J415=4,INDEX('큐펫&amp;몹 정리(최신)'!P:P,MATCH($E415,'큐펫&amp;몹 정리(최신)'!$B:$B,0))*35,INDEX('큐펫&amp;몹 정리(최신)'!P:P,MATCH($E415,'큐펫&amp;몹 정리(최신)'!$B:$B,0))*40))))</f>
        <v>1400</v>
      </c>
      <c r="L415" s="190">
        <f>IF($J415=1,INDEX('큐펫&amp;몹 정리(최신)'!Q:Q,MATCH($E415,'큐펫&amp;몹 정리(최신)'!$B:$B,0))*20,IF($J415=2,INDEX('큐펫&amp;몹 정리(최신)'!Q:Q,MATCH($E415,'큐펫&amp;몹 정리(최신)'!$B:$B,0))*25,IF($J415=3,INDEX('큐펫&amp;몹 정리(최신)'!Q:Q,MATCH($E415,'큐펫&amp;몹 정리(최신)'!$B:$B,0))*30,IF($J415=4,INDEX('큐펫&amp;몹 정리(최신)'!Q:Q,MATCH($E415,'큐펫&amp;몹 정리(최신)'!$B:$B,0))*35,INDEX('큐펫&amp;몹 정리(최신)'!Q:Q,MATCH($E415,'큐펫&amp;몹 정리(최신)'!$B:$B,0))*40))))</f>
        <v>175</v>
      </c>
      <c r="M415" s="190">
        <f>IF($J415=1,INDEX('큐펫&amp;몹 정리(최신)'!R:R,MATCH($E415,'큐펫&amp;몹 정리(최신)'!$B:$B,0))*20,IF($J415=2,INDEX('큐펫&amp;몹 정리(최신)'!R:R,MATCH($E415,'큐펫&amp;몹 정리(최신)'!$B:$B,0))*25,IF($J415=3,INDEX('큐펫&amp;몹 정리(최신)'!R:R,MATCH($E415,'큐펫&amp;몹 정리(최신)'!$B:$B,0))*30,IF($J415=4,INDEX('큐펫&amp;몹 정리(최신)'!R:R,MATCH($E415,'큐펫&amp;몹 정리(최신)'!$B:$B,0))*35,INDEX('큐펫&amp;몹 정리(최신)'!R:R,MATCH($E415,'큐펫&amp;몹 정리(최신)'!$B:$B,0))*40))))</f>
        <v>770</v>
      </c>
      <c r="N415" s="190">
        <f>IF($J415=1,INDEX('큐펫&amp;몹 정리(최신)'!S:S,MATCH($E415,'큐펫&amp;몹 정리(최신)'!$B:$B,0))*20,IF($J415=2,INDEX('큐펫&amp;몹 정리(최신)'!S:S,MATCH($E415,'큐펫&amp;몹 정리(최신)'!$B:$B,0))*25,IF($J415=3,INDEX('큐펫&amp;몹 정리(최신)'!S:S,MATCH($E415,'큐펫&amp;몹 정리(최신)'!$B:$B,0))*30,IF($J415=4,INDEX('큐펫&amp;몹 정리(최신)'!S:S,MATCH($E415,'큐펫&amp;몹 정리(최신)'!$B:$B,0))*35,INDEX('큐펫&amp;몹 정리(최신)'!S:S,MATCH($E415,'큐펫&amp;몹 정리(최신)'!$B:$B,0))*40))))</f>
        <v>420</v>
      </c>
      <c r="O415" s="190">
        <f>IF($J415=1,INDEX('큐펫&amp;몹 정리(최신)'!T:T,MATCH($E415,'큐펫&amp;몹 정리(최신)'!$B:$B,0))*20,IF($J415=2,INDEX('큐펫&amp;몹 정리(최신)'!T:T,MATCH($E415,'큐펫&amp;몹 정리(최신)'!$B:$B,0))*25,IF($J415=3,INDEX('큐펫&amp;몹 정리(최신)'!T:T,MATCH($E415,'큐펫&amp;몹 정리(최신)'!$B:$B,0))*30,IF($J415=4,INDEX('큐펫&amp;몹 정리(최신)'!T:T,MATCH($E415,'큐펫&amp;몹 정리(최신)'!$B:$B,0))*35,INDEX('큐펫&amp;몹 정리(최신)'!T:T,MATCH($E415,'큐펫&amp;몹 정리(최신)'!$B:$B,0))*40))))</f>
        <v>735</v>
      </c>
      <c r="P415" s="217">
        <v>80</v>
      </c>
      <c r="Q415" s="217">
        <f t="shared" si="48"/>
        <v>204120</v>
      </c>
      <c r="R415" s="217">
        <f t="shared" si="49"/>
        <v>2147</v>
      </c>
      <c r="S415" s="217">
        <f t="shared" si="50"/>
        <v>2795</v>
      </c>
      <c r="T415" s="217">
        <f t="shared" si="51"/>
        <v>41233</v>
      </c>
      <c r="U415" s="217">
        <f t="shared" si="52"/>
        <v>32772</v>
      </c>
      <c r="V415" s="217">
        <f t="shared" si="53"/>
        <v>28738</v>
      </c>
      <c r="W415" s="217">
        <f>ROUND(AC415+(INDEX(Ref!B$1:B$9,MATCH($AI415,Ref!$A$1:$A$9,0))*P415*0.0001),)</f>
        <v>34</v>
      </c>
      <c r="X415" s="217">
        <f>ROUND(AD415+(INDEX(Ref!C$1:C$9,MATCH($AI415,Ref!$A$1:$A$9,0))*$P415*0.0001),)</f>
        <v>46</v>
      </c>
      <c r="Y415" s="217">
        <f>ROUND(AE415+(INDEX(Ref!D$1:D$9,MATCH($AI415,Ref!$A$1:$A$9,0))*$P415*0.0001),)</f>
        <v>76</v>
      </c>
      <c r="Z415" s="217">
        <f>ROUND(AF415+(INDEX(Ref!E$1:E$9,MATCH($AI415,Ref!$A$1:$A$9,0))*$P415*0.0001),)</f>
        <v>73</v>
      </c>
      <c r="AA415" s="217">
        <f>ROUND(AG415+(INDEX(Ref!F$1:F$9,MATCH($AI415,Ref!$A$1:$A$9,0))*$P415*0.0001),)</f>
        <v>39</v>
      </c>
      <c r="AB415" s="217">
        <f>ROUND(AH415+(INDEX(Ref!G$1:G$9,MATCH($AI415,Ref!$A$1:$A$9,0))*$P415*0.0001),)</f>
        <v>36</v>
      </c>
      <c r="AC415" s="137">
        <v>24</v>
      </c>
      <c r="AD415" s="137">
        <v>33</v>
      </c>
      <c r="AE415" s="137">
        <v>60</v>
      </c>
      <c r="AF415" s="137">
        <v>53</v>
      </c>
      <c r="AG415" s="137">
        <v>28</v>
      </c>
      <c r="AH415" s="137">
        <v>26</v>
      </c>
      <c r="AI415" s="208">
        <v>2</v>
      </c>
      <c r="AJ415" s="172">
        <v>3000</v>
      </c>
      <c r="AK415" s="172">
        <v>30495</v>
      </c>
      <c r="AL415" s="172">
        <v>2000</v>
      </c>
      <c r="AM415" s="172">
        <v>30497</v>
      </c>
      <c r="AN415" s="172">
        <v>0</v>
      </c>
      <c r="AO415" s="172">
        <f t="shared" si="54"/>
        <v>34495</v>
      </c>
      <c r="AP415" s="172">
        <v>0</v>
      </c>
      <c r="AQ415" s="172">
        <f t="shared" si="55"/>
        <v>34497</v>
      </c>
      <c r="AR415" s="172">
        <v>1</v>
      </c>
      <c r="AS415" s="172">
        <v>0</v>
      </c>
      <c r="AT415" s="199">
        <v>78083</v>
      </c>
      <c r="AU415" s="195" t="s">
        <v>311</v>
      </c>
    </row>
    <row r="416" spans="1:47" x14ac:dyDescent="0.2">
      <c r="A416" s="173">
        <v>55083</v>
      </c>
      <c r="B416" s="174" t="s">
        <v>309</v>
      </c>
      <c r="C416" s="172">
        <v>86083</v>
      </c>
      <c r="D416" s="172">
        <v>150083</v>
      </c>
      <c r="E416" s="206" t="s">
        <v>310</v>
      </c>
      <c r="F416" s="207">
        <v>3</v>
      </c>
      <c r="G416" s="173">
        <v>11500</v>
      </c>
      <c r="H416" s="173">
        <v>9500</v>
      </c>
      <c r="I416" s="172">
        <v>10000</v>
      </c>
      <c r="J416" s="172">
        <v>5</v>
      </c>
      <c r="K416" s="190">
        <f>IF($J416=1,INDEX('큐펫&amp;몹 정리(최신)'!P:P,MATCH($E416,'큐펫&amp;몹 정리(최신)'!$B:$B,0))*20,IF($J416=2,INDEX('큐펫&amp;몹 정리(최신)'!P:P,MATCH($E416,'큐펫&amp;몹 정리(최신)'!$B:$B,0))*25,IF($J416=3,INDEX('큐펫&amp;몹 정리(최신)'!P:P,MATCH($E416,'큐펫&amp;몹 정리(최신)'!$B:$B,0))*30,IF($J416=4,INDEX('큐펫&amp;몹 정리(최신)'!P:P,MATCH($E416,'큐펫&amp;몹 정리(최신)'!$B:$B,0))*35,INDEX('큐펫&amp;몹 정리(최신)'!P:P,MATCH($E416,'큐펫&amp;몹 정리(최신)'!$B:$B,0))*40))))</f>
        <v>1600</v>
      </c>
      <c r="L416" s="190">
        <f>IF($J416=1,INDEX('큐펫&amp;몹 정리(최신)'!Q:Q,MATCH($E416,'큐펫&amp;몹 정리(최신)'!$B:$B,0))*20,IF($J416=2,INDEX('큐펫&amp;몹 정리(최신)'!Q:Q,MATCH($E416,'큐펫&amp;몹 정리(최신)'!$B:$B,0))*25,IF($J416=3,INDEX('큐펫&amp;몹 정리(최신)'!Q:Q,MATCH($E416,'큐펫&amp;몹 정리(최신)'!$B:$B,0))*30,IF($J416=4,INDEX('큐펫&amp;몹 정리(최신)'!Q:Q,MATCH($E416,'큐펫&amp;몹 정리(최신)'!$B:$B,0))*35,INDEX('큐펫&amp;몹 정리(최신)'!Q:Q,MATCH($E416,'큐펫&amp;몹 정리(최신)'!$B:$B,0))*40))))</f>
        <v>200</v>
      </c>
      <c r="M416" s="190">
        <f>IF($J416=1,INDEX('큐펫&amp;몹 정리(최신)'!R:R,MATCH($E416,'큐펫&amp;몹 정리(최신)'!$B:$B,0))*20,IF($J416=2,INDEX('큐펫&amp;몹 정리(최신)'!R:R,MATCH($E416,'큐펫&amp;몹 정리(최신)'!$B:$B,0))*25,IF($J416=3,INDEX('큐펫&amp;몹 정리(최신)'!R:R,MATCH($E416,'큐펫&amp;몹 정리(최신)'!$B:$B,0))*30,IF($J416=4,INDEX('큐펫&amp;몹 정리(최신)'!R:R,MATCH($E416,'큐펫&amp;몹 정리(최신)'!$B:$B,0))*35,INDEX('큐펫&amp;몹 정리(최신)'!R:R,MATCH($E416,'큐펫&amp;몹 정리(최신)'!$B:$B,0))*40))))</f>
        <v>880</v>
      </c>
      <c r="N416" s="190">
        <f>IF($J416=1,INDEX('큐펫&amp;몹 정리(최신)'!S:S,MATCH($E416,'큐펫&amp;몹 정리(최신)'!$B:$B,0))*20,IF($J416=2,INDEX('큐펫&amp;몹 정리(최신)'!S:S,MATCH($E416,'큐펫&amp;몹 정리(최신)'!$B:$B,0))*25,IF($J416=3,INDEX('큐펫&amp;몹 정리(최신)'!S:S,MATCH($E416,'큐펫&amp;몹 정리(최신)'!$B:$B,0))*30,IF($J416=4,INDEX('큐펫&amp;몹 정리(최신)'!S:S,MATCH($E416,'큐펫&amp;몹 정리(최신)'!$B:$B,0))*35,INDEX('큐펫&amp;몹 정리(최신)'!S:S,MATCH($E416,'큐펫&amp;몹 정리(최신)'!$B:$B,0))*40))))</f>
        <v>480</v>
      </c>
      <c r="O416" s="190">
        <f>IF($J416=1,INDEX('큐펫&amp;몹 정리(최신)'!T:T,MATCH($E416,'큐펫&amp;몹 정리(최신)'!$B:$B,0))*20,IF($J416=2,INDEX('큐펫&amp;몹 정리(최신)'!T:T,MATCH($E416,'큐펫&amp;몹 정리(최신)'!$B:$B,0))*25,IF($J416=3,INDEX('큐펫&amp;몹 정리(최신)'!T:T,MATCH($E416,'큐펫&amp;몹 정리(최신)'!$B:$B,0))*30,IF($J416=4,INDEX('큐펫&amp;몹 정리(최신)'!T:T,MATCH($E416,'큐펫&amp;몹 정리(최신)'!$B:$B,0))*35,INDEX('큐펫&amp;몹 정리(최신)'!T:T,MATCH($E416,'큐펫&amp;몹 정리(최신)'!$B:$B,0))*40))))</f>
        <v>840</v>
      </c>
      <c r="P416" s="217">
        <v>100</v>
      </c>
      <c r="Q416" s="217">
        <f t="shared" si="48"/>
        <v>302400</v>
      </c>
      <c r="R416" s="217">
        <f t="shared" si="49"/>
        <v>3033</v>
      </c>
      <c r="S416" s="217">
        <f t="shared" si="50"/>
        <v>4207</v>
      </c>
      <c r="T416" s="217">
        <f t="shared" si="51"/>
        <v>60855</v>
      </c>
      <c r="U416" s="217">
        <f t="shared" si="52"/>
        <v>44174</v>
      </c>
      <c r="V416" s="217">
        <f t="shared" si="53"/>
        <v>38723</v>
      </c>
      <c r="W416" s="217">
        <f>ROUND(AC416+(INDEX(Ref!B$1:B$9,MATCH($AI416,Ref!$A$1:$A$9,0))*P416*0.0001),)</f>
        <v>38</v>
      </c>
      <c r="X416" s="217">
        <f>ROUND(AD416+(INDEX(Ref!C$1:C$9,MATCH($AI416,Ref!$A$1:$A$9,0))*$P416*0.0001),)</f>
        <v>52</v>
      </c>
      <c r="Y416" s="217">
        <f>ROUND(AE416+(INDEX(Ref!D$1:D$9,MATCH($AI416,Ref!$A$1:$A$9,0))*$P416*0.0001),)</f>
        <v>84</v>
      </c>
      <c r="Z416" s="217">
        <f>ROUND(AF416+(INDEX(Ref!E$1:E$9,MATCH($AI416,Ref!$A$1:$A$9,0))*$P416*0.0001),)</f>
        <v>83</v>
      </c>
      <c r="AA416" s="217">
        <f>ROUND(AG416+(INDEX(Ref!F$1:F$9,MATCH($AI416,Ref!$A$1:$A$9,0))*$P416*0.0001),)</f>
        <v>45</v>
      </c>
      <c r="AB416" s="217">
        <f>ROUND(AH416+(INDEX(Ref!G$1:G$9,MATCH($AI416,Ref!$A$1:$A$9,0))*$P416*0.0001),)</f>
        <v>42</v>
      </c>
      <c r="AC416" s="137">
        <v>26</v>
      </c>
      <c r="AD416" s="137">
        <v>36</v>
      </c>
      <c r="AE416" s="137">
        <v>64</v>
      </c>
      <c r="AF416" s="137">
        <v>58.000000000000007</v>
      </c>
      <c r="AG416" s="137">
        <v>31</v>
      </c>
      <c r="AH416" s="137">
        <v>29</v>
      </c>
      <c r="AI416" s="208">
        <v>2</v>
      </c>
      <c r="AJ416" s="172">
        <v>3000</v>
      </c>
      <c r="AK416" s="172">
        <v>30495</v>
      </c>
      <c r="AL416" s="172">
        <v>2000</v>
      </c>
      <c r="AM416" s="172">
        <v>30498</v>
      </c>
      <c r="AN416" s="172">
        <v>0</v>
      </c>
      <c r="AO416" s="172">
        <f t="shared" si="54"/>
        <v>34495</v>
      </c>
      <c r="AP416" s="172">
        <v>0</v>
      </c>
      <c r="AQ416" s="172">
        <f t="shared" si="55"/>
        <v>34498</v>
      </c>
      <c r="AR416" s="172">
        <v>1</v>
      </c>
      <c r="AS416" s="172">
        <v>0</v>
      </c>
      <c r="AT416" s="199">
        <v>78083</v>
      </c>
      <c r="AU416" s="195" t="s">
        <v>311</v>
      </c>
    </row>
    <row r="417" spans="1:47" x14ac:dyDescent="0.2">
      <c r="A417" s="173">
        <v>55084</v>
      </c>
      <c r="B417" s="174" t="s">
        <v>312</v>
      </c>
      <c r="C417" s="172">
        <v>86084</v>
      </c>
      <c r="D417" s="172">
        <v>150084</v>
      </c>
      <c r="E417" s="206" t="s">
        <v>313</v>
      </c>
      <c r="F417" s="207">
        <v>3</v>
      </c>
      <c r="G417" s="173">
        <v>11500</v>
      </c>
      <c r="H417" s="173">
        <v>9500</v>
      </c>
      <c r="I417" s="172">
        <v>10000</v>
      </c>
      <c r="J417" s="172">
        <v>1</v>
      </c>
      <c r="K417" s="190">
        <f>IF($J417=1,INDEX('큐펫&amp;몹 정리(최신)'!P:P,MATCH($E417,'큐펫&amp;몹 정리(최신)'!$B:$B,0))*20,IF($J417=2,INDEX('큐펫&amp;몹 정리(최신)'!P:P,MATCH($E417,'큐펫&amp;몹 정리(최신)'!$B:$B,0))*25,IF($J417=3,INDEX('큐펫&amp;몹 정리(최신)'!P:P,MATCH($E417,'큐펫&amp;몹 정리(최신)'!$B:$B,0))*30,IF($J417=4,INDEX('큐펫&amp;몹 정리(최신)'!P:P,MATCH($E417,'큐펫&amp;몹 정리(최신)'!$B:$B,0))*35,INDEX('큐펫&amp;몹 정리(최신)'!P:P,MATCH($E417,'큐펫&amp;몹 정리(최신)'!$B:$B,0))*40))))</f>
        <v>800</v>
      </c>
      <c r="L417" s="190">
        <f>IF($J417=1,INDEX('큐펫&amp;몹 정리(최신)'!Q:Q,MATCH($E417,'큐펫&amp;몹 정리(최신)'!$B:$B,0))*20,IF($J417=2,INDEX('큐펫&amp;몹 정리(최신)'!Q:Q,MATCH($E417,'큐펫&amp;몹 정리(최신)'!$B:$B,0))*25,IF($J417=3,INDEX('큐펫&amp;몹 정리(최신)'!Q:Q,MATCH($E417,'큐펫&amp;몹 정리(최신)'!$B:$B,0))*30,IF($J417=4,INDEX('큐펫&amp;몹 정리(최신)'!Q:Q,MATCH($E417,'큐펫&amp;몹 정리(최신)'!$B:$B,0))*35,INDEX('큐펫&amp;몹 정리(최신)'!Q:Q,MATCH($E417,'큐펫&amp;몹 정리(최신)'!$B:$B,0))*40))))</f>
        <v>100</v>
      </c>
      <c r="M417" s="190">
        <f>IF($J417=1,INDEX('큐펫&amp;몹 정리(최신)'!R:R,MATCH($E417,'큐펫&amp;몹 정리(최신)'!$B:$B,0))*20,IF($J417=2,INDEX('큐펫&amp;몹 정리(최신)'!R:R,MATCH($E417,'큐펫&amp;몹 정리(최신)'!$B:$B,0))*25,IF($J417=3,INDEX('큐펫&amp;몹 정리(최신)'!R:R,MATCH($E417,'큐펫&amp;몹 정리(최신)'!$B:$B,0))*30,IF($J417=4,INDEX('큐펫&amp;몹 정리(최신)'!R:R,MATCH($E417,'큐펫&amp;몹 정리(최신)'!$B:$B,0))*35,INDEX('큐펫&amp;몹 정리(최신)'!R:R,MATCH($E417,'큐펫&amp;몹 정리(최신)'!$B:$B,0))*40))))</f>
        <v>440</v>
      </c>
      <c r="N417" s="190">
        <f>IF($J417=1,INDEX('큐펫&amp;몹 정리(최신)'!S:S,MATCH($E417,'큐펫&amp;몹 정리(최신)'!$B:$B,0))*20,IF($J417=2,INDEX('큐펫&amp;몹 정리(최신)'!S:S,MATCH($E417,'큐펫&amp;몹 정리(최신)'!$B:$B,0))*25,IF($J417=3,INDEX('큐펫&amp;몹 정리(최신)'!S:S,MATCH($E417,'큐펫&amp;몹 정리(최신)'!$B:$B,0))*30,IF($J417=4,INDEX('큐펫&amp;몹 정리(최신)'!S:S,MATCH($E417,'큐펫&amp;몹 정리(최신)'!$B:$B,0))*35,INDEX('큐펫&amp;몹 정리(최신)'!S:S,MATCH($E417,'큐펫&amp;몹 정리(최신)'!$B:$B,0))*40))))</f>
        <v>240</v>
      </c>
      <c r="O417" s="190">
        <f>IF($J417=1,INDEX('큐펫&amp;몹 정리(최신)'!T:T,MATCH($E417,'큐펫&amp;몹 정리(최신)'!$B:$B,0))*20,IF($J417=2,INDEX('큐펫&amp;몹 정리(최신)'!T:T,MATCH($E417,'큐펫&amp;몹 정리(최신)'!$B:$B,0))*25,IF($J417=3,INDEX('큐펫&amp;몹 정리(최신)'!T:T,MATCH($E417,'큐펫&amp;몹 정리(최신)'!$B:$B,0))*30,IF($J417=4,INDEX('큐펫&amp;몹 정리(최신)'!T:T,MATCH($E417,'큐펫&amp;몹 정리(최신)'!$B:$B,0))*35,INDEX('큐펫&amp;몹 정리(최신)'!T:T,MATCH($E417,'큐펫&amp;몹 정리(최신)'!$B:$B,0))*40))))</f>
        <v>420</v>
      </c>
      <c r="P417" s="217">
        <v>20</v>
      </c>
      <c r="Q417" s="217">
        <f t="shared" si="48"/>
        <v>28320</v>
      </c>
      <c r="R417" s="217">
        <f t="shared" si="49"/>
        <v>418</v>
      </c>
      <c r="S417" s="217">
        <f t="shared" si="50"/>
        <v>593</v>
      </c>
      <c r="T417" s="217">
        <f t="shared" si="51"/>
        <v>8239</v>
      </c>
      <c r="U417" s="217">
        <f t="shared" si="52"/>
        <v>8646</v>
      </c>
      <c r="V417" s="217">
        <f t="shared" si="53"/>
        <v>7603</v>
      </c>
      <c r="W417" s="217">
        <f>ROUND(AC417+(INDEX(Ref!B$1:B$9,MATCH($AI417,Ref!$A$1:$A$9,0))*P417*0.0001),)</f>
        <v>19</v>
      </c>
      <c r="X417" s="217">
        <f>ROUND(AD417+(INDEX(Ref!C$1:C$9,MATCH($AI417,Ref!$A$1:$A$9,0))*$P417*0.0001),)</f>
        <v>26</v>
      </c>
      <c r="Y417" s="217">
        <f>ROUND(AE417+(INDEX(Ref!D$1:D$9,MATCH($AI417,Ref!$A$1:$A$9,0))*$P417*0.0001),)</f>
        <v>52</v>
      </c>
      <c r="Z417" s="217">
        <f>ROUND(AF417+(INDEX(Ref!E$1:E$9,MATCH($AI417,Ref!$A$1:$A$9,0))*$P417*0.0001),)</f>
        <v>43</v>
      </c>
      <c r="AA417" s="217">
        <f>ROUND(AG417+(INDEX(Ref!F$1:F$9,MATCH($AI417,Ref!$A$1:$A$9,0))*$P417*0.0001),)</f>
        <v>23</v>
      </c>
      <c r="AB417" s="217">
        <f>ROUND(AH417+(INDEX(Ref!G$1:G$9,MATCH($AI417,Ref!$A$1:$A$9,0))*$P417*0.0001),)</f>
        <v>21</v>
      </c>
      <c r="AC417" s="137">
        <v>17</v>
      </c>
      <c r="AD417" s="137">
        <v>23</v>
      </c>
      <c r="AE417" s="137">
        <v>48</v>
      </c>
      <c r="AF417" s="137">
        <v>38</v>
      </c>
      <c r="AG417" s="137">
        <v>20</v>
      </c>
      <c r="AH417" s="137">
        <v>18</v>
      </c>
      <c r="AI417" s="208">
        <v>2</v>
      </c>
      <c r="AJ417" s="172">
        <v>3000</v>
      </c>
      <c r="AK417" s="172">
        <v>30499</v>
      </c>
      <c r="AL417" s="172">
        <v>2000</v>
      </c>
      <c r="AM417" s="172">
        <v>30502</v>
      </c>
      <c r="AN417" s="172">
        <v>0</v>
      </c>
      <c r="AO417" s="172">
        <f t="shared" si="54"/>
        <v>34499</v>
      </c>
      <c r="AP417" s="172">
        <v>0</v>
      </c>
      <c r="AQ417" s="172">
        <f t="shared" si="55"/>
        <v>34502</v>
      </c>
      <c r="AR417" s="172">
        <v>1</v>
      </c>
      <c r="AS417" s="172">
        <v>0</v>
      </c>
      <c r="AT417" s="199">
        <v>78084</v>
      </c>
      <c r="AU417" s="195" t="s">
        <v>314</v>
      </c>
    </row>
    <row r="418" spans="1:47" x14ac:dyDescent="0.2">
      <c r="A418" s="173">
        <v>55084</v>
      </c>
      <c r="B418" s="174" t="s">
        <v>312</v>
      </c>
      <c r="C418" s="172">
        <v>86084</v>
      </c>
      <c r="D418" s="172">
        <v>150084</v>
      </c>
      <c r="E418" s="206" t="s">
        <v>313</v>
      </c>
      <c r="F418" s="207">
        <v>3</v>
      </c>
      <c r="G418" s="173">
        <v>11500</v>
      </c>
      <c r="H418" s="173">
        <v>9500</v>
      </c>
      <c r="I418" s="172">
        <v>10000</v>
      </c>
      <c r="J418" s="172">
        <v>2</v>
      </c>
      <c r="K418" s="190">
        <f>IF($J418=1,INDEX('큐펫&amp;몹 정리(최신)'!P:P,MATCH($E418,'큐펫&amp;몹 정리(최신)'!$B:$B,0))*20,IF($J418=2,INDEX('큐펫&amp;몹 정리(최신)'!P:P,MATCH($E418,'큐펫&amp;몹 정리(최신)'!$B:$B,0))*25,IF($J418=3,INDEX('큐펫&amp;몹 정리(최신)'!P:P,MATCH($E418,'큐펫&amp;몹 정리(최신)'!$B:$B,0))*30,IF($J418=4,INDEX('큐펫&amp;몹 정리(최신)'!P:P,MATCH($E418,'큐펫&amp;몹 정리(최신)'!$B:$B,0))*35,INDEX('큐펫&amp;몹 정리(최신)'!P:P,MATCH($E418,'큐펫&amp;몹 정리(최신)'!$B:$B,0))*40))))</f>
        <v>1000</v>
      </c>
      <c r="L418" s="190">
        <f>IF($J418=1,INDEX('큐펫&amp;몹 정리(최신)'!Q:Q,MATCH($E418,'큐펫&amp;몹 정리(최신)'!$B:$B,0))*20,IF($J418=2,INDEX('큐펫&amp;몹 정리(최신)'!Q:Q,MATCH($E418,'큐펫&amp;몹 정리(최신)'!$B:$B,0))*25,IF($J418=3,INDEX('큐펫&amp;몹 정리(최신)'!Q:Q,MATCH($E418,'큐펫&amp;몹 정리(최신)'!$B:$B,0))*30,IF($J418=4,INDEX('큐펫&amp;몹 정리(최신)'!Q:Q,MATCH($E418,'큐펫&amp;몹 정리(최신)'!$B:$B,0))*35,INDEX('큐펫&amp;몹 정리(최신)'!Q:Q,MATCH($E418,'큐펫&amp;몹 정리(최신)'!$B:$B,0))*40))))</f>
        <v>125</v>
      </c>
      <c r="M418" s="190">
        <f>IF($J418=1,INDEX('큐펫&amp;몹 정리(최신)'!R:R,MATCH($E418,'큐펫&amp;몹 정리(최신)'!$B:$B,0))*20,IF($J418=2,INDEX('큐펫&amp;몹 정리(최신)'!R:R,MATCH($E418,'큐펫&amp;몹 정리(최신)'!$B:$B,0))*25,IF($J418=3,INDEX('큐펫&amp;몹 정리(최신)'!R:R,MATCH($E418,'큐펫&amp;몹 정리(최신)'!$B:$B,0))*30,IF($J418=4,INDEX('큐펫&amp;몹 정리(최신)'!R:R,MATCH($E418,'큐펫&amp;몹 정리(최신)'!$B:$B,0))*35,INDEX('큐펫&amp;몹 정리(최신)'!R:R,MATCH($E418,'큐펫&amp;몹 정리(최신)'!$B:$B,0))*40))))</f>
        <v>550</v>
      </c>
      <c r="N418" s="190">
        <f>IF($J418=1,INDEX('큐펫&amp;몹 정리(최신)'!S:S,MATCH($E418,'큐펫&amp;몹 정리(최신)'!$B:$B,0))*20,IF($J418=2,INDEX('큐펫&amp;몹 정리(최신)'!S:S,MATCH($E418,'큐펫&amp;몹 정리(최신)'!$B:$B,0))*25,IF($J418=3,INDEX('큐펫&amp;몹 정리(최신)'!S:S,MATCH($E418,'큐펫&amp;몹 정리(최신)'!$B:$B,0))*30,IF($J418=4,INDEX('큐펫&amp;몹 정리(최신)'!S:S,MATCH($E418,'큐펫&amp;몹 정리(최신)'!$B:$B,0))*35,INDEX('큐펫&amp;몹 정리(최신)'!S:S,MATCH($E418,'큐펫&amp;몹 정리(최신)'!$B:$B,0))*40))))</f>
        <v>300</v>
      </c>
      <c r="O418" s="190">
        <f>IF($J418=1,INDEX('큐펫&amp;몹 정리(최신)'!T:T,MATCH($E418,'큐펫&amp;몹 정리(최신)'!$B:$B,0))*20,IF($J418=2,INDEX('큐펫&amp;몹 정리(최신)'!T:T,MATCH($E418,'큐펫&amp;몹 정리(최신)'!$B:$B,0))*25,IF($J418=3,INDEX('큐펫&amp;몹 정리(최신)'!T:T,MATCH($E418,'큐펫&amp;몹 정리(최신)'!$B:$B,0))*30,IF($J418=4,INDEX('큐펫&amp;몹 정리(최신)'!T:T,MATCH($E418,'큐펫&amp;몹 정리(최신)'!$B:$B,0))*35,INDEX('큐펫&amp;몹 정리(최신)'!T:T,MATCH($E418,'큐펫&amp;몹 정리(최신)'!$B:$B,0))*40))))</f>
        <v>525</v>
      </c>
      <c r="P418" s="217">
        <v>40</v>
      </c>
      <c r="Q418" s="217">
        <f t="shared" si="48"/>
        <v>69000</v>
      </c>
      <c r="R418" s="217">
        <f t="shared" si="49"/>
        <v>800</v>
      </c>
      <c r="S418" s="217">
        <f t="shared" si="50"/>
        <v>1140</v>
      </c>
      <c r="T418" s="217">
        <f t="shared" si="51"/>
        <v>15585</v>
      </c>
      <c r="U418" s="217">
        <f t="shared" si="52"/>
        <v>15009</v>
      </c>
      <c r="V418" s="217">
        <f t="shared" si="53"/>
        <v>13178</v>
      </c>
      <c r="W418" s="217">
        <f>ROUND(AC418+(INDEX(Ref!B$1:B$9,MATCH($AI418,Ref!$A$1:$A$9,0))*P418*0.0001),)</f>
        <v>24</v>
      </c>
      <c r="X418" s="217">
        <f>ROUND(AD418+(INDEX(Ref!C$1:C$9,MATCH($AI418,Ref!$A$1:$A$9,0))*$P418*0.0001),)</f>
        <v>32</v>
      </c>
      <c r="Y418" s="217">
        <f>ROUND(AE418+(INDEX(Ref!D$1:D$9,MATCH($AI418,Ref!$A$1:$A$9,0))*$P418*0.0001),)</f>
        <v>60</v>
      </c>
      <c r="Z418" s="217">
        <f>ROUND(AF418+(INDEX(Ref!E$1:E$9,MATCH($AI418,Ref!$A$1:$A$9,0))*$P418*0.0001),)</f>
        <v>53</v>
      </c>
      <c r="AA418" s="217">
        <f>ROUND(AG418+(INDEX(Ref!F$1:F$9,MATCH($AI418,Ref!$A$1:$A$9,0))*$P418*0.0001),)</f>
        <v>29</v>
      </c>
      <c r="AB418" s="217">
        <f>ROUND(AH418+(INDEX(Ref!G$1:G$9,MATCH($AI418,Ref!$A$1:$A$9,0))*$P418*0.0001),)</f>
        <v>26</v>
      </c>
      <c r="AC418" s="137">
        <v>19</v>
      </c>
      <c r="AD418" s="137">
        <v>26</v>
      </c>
      <c r="AE418" s="137">
        <v>52</v>
      </c>
      <c r="AF418" s="137">
        <v>43</v>
      </c>
      <c r="AG418" s="137">
        <v>23</v>
      </c>
      <c r="AH418" s="137">
        <v>21</v>
      </c>
      <c r="AI418" s="208">
        <v>2</v>
      </c>
      <c r="AJ418" s="172">
        <v>3000</v>
      </c>
      <c r="AK418" s="172">
        <v>30500</v>
      </c>
      <c r="AL418" s="172">
        <v>2000</v>
      </c>
      <c r="AM418" s="172">
        <v>30502</v>
      </c>
      <c r="AN418" s="172">
        <v>0</v>
      </c>
      <c r="AO418" s="172">
        <f t="shared" si="54"/>
        <v>34500</v>
      </c>
      <c r="AP418" s="172">
        <v>0</v>
      </c>
      <c r="AQ418" s="172">
        <f t="shared" si="55"/>
        <v>34502</v>
      </c>
      <c r="AR418" s="172">
        <v>1</v>
      </c>
      <c r="AS418" s="172">
        <v>0</v>
      </c>
      <c r="AT418" s="199">
        <v>78084</v>
      </c>
      <c r="AU418" s="195" t="s">
        <v>314</v>
      </c>
    </row>
    <row r="419" spans="1:47" x14ac:dyDescent="0.2">
      <c r="A419" s="173">
        <v>55084</v>
      </c>
      <c r="B419" s="174" t="s">
        <v>312</v>
      </c>
      <c r="C419" s="172">
        <v>86084</v>
      </c>
      <c r="D419" s="172">
        <v>150084</v>
      </c>
      <c r="E419" s="206" t="s">
        <v>313</v>
      </c>
      <c r="F419" s="207">
        <v>3</v>
      </c>
      <c r="G419" s="173">
        <v>11500</v>
      </c>
      <c r="H419" s="173">
        <v>9500</v>
      </c>
      <c r="I419" s="172">
        <v>10000</v>
      </c>
      <c r="J419" s="172">
        <v>3</v>
      </c>
      <c r="K419" s="190">
        <f>IF($J419=1,INDEX('큐펫&amp;몹 정리(최신)'!P:P,MATCH($E419,'큐펫&amp;몹 정리(최신)'!$B:$B,0))*20,IF($J419=2,INDEX('큐펫&amp;몹 정리(최신)'!P:P,MATCH($E419,'큐펫&amp;몹 정리(최신)'!$B:$B,0))*25,IF($J419=3,INDEX('큐펫&amp;몹 정리(최신)'!P:P,MATCH($E419,'큐펫&amp;몹 정리(최신)'!$B:$B,0))*30,IF($J419=4,INDEX('큐펫&amp;몹 정리(최신)'!P:P,MATCH($E419,'큐펫&amp;몹 정리(최신)'!$B:$B,0))*35,INDEX('큐펫&amp;몹 정리(최신)'!P:P,MATCH($E419,'큐펫&amp;몹 정리(최신)'!$B:$B,0))*40))))</f>
        <v>1200</v>
      </c>
      <c r="L419" s="190">
        <f>IF($J419=1,INDEX('큐펫&amp;몹 정리(최신)'!Q:Q,MATCH($E419,'큐펫&amp;몹 정리(최신)'!$B:$B,0))*20,IF($J419=2,INDEX('큐펫&amp;몹 정리(최신)'!Q:Q,MATCH($E419,'큐펫&amp;몹 정리(최신)'!$B:$B,0))*25,IF($J419=3,INDEX('큐펫&amp;몹 정리(최신)'!Q:Q,MATCH($E419,'큐펫&amp;몹 정리(최신)'!$B:$B,0))*30,IF($J419=4,INDEX('큐펫&amp;몹 정리(최신)'!Q:Q,MATCH($E419,'큐펫&amp;몹 정리(최신)'!$B:$B,0))*35,INDEX('큐펫&amp;몹 정리(최신)'!Q:Q,MATCH($E419,'큐펫&amp;몹 정리(최신)'!$B:$B,0))*40))))</f>
        <v>150</v>
      </c>
      <c r="M419" s="190">
        <f>IF($J419=1,INDEX('큐펫&amp;몹 정리(최신)'!R:R,MATCH($E419,'큐펫&amp;몹 정리(최신)'!$B:$B,0))*20,IF($J419=2,INDEX('큐펫&amp;몹 정리(최신)'!R:R,MATCH($E419,'큐펫&amp;몹 정리(최신)'!$B:$B,0))*25,IF($J419=3,INDEX('큐펫&amp;몹 정리(최신)'!R:R,MATCH($E419,'큐펫&amp;몹 정리(최신)'!$B:$B,0))*30,IF($J419=4,INDEX('큐펫&amp;몹 정리(최신)'!R:R,MATCH($E419,'큐펫&amp;몹 정리(최신)'!$B:$B,0))*35,INDEX('큐펫&amp;몹 정리(최신)'!R:R,MATCH($E419,'큐펫&amp;몹 정리(최신)'!$B:$B,0))*40))))</f>
        <v>660</v>
      </c>
      <c r="N419" s="190">
        <f>IF($J419=1,INDEX('큐펫&amp;몹 정리(최신)'!S:S,MATCH($E419,'큐펫&amp;몹 정리(최신)'!$B:$B,0))*20,IF($J419=2,INDEX('큐펫&amp;몹 정리(최신)'!S:S,MATCH($E419,'큐펫&amp;몹 정리(최신)'!$B:$B,0))*25,IF($J419=3,INDEX('큐펫&amp;몹 정리(최신)'!S:S,MATCH($E419,'큐펫&amp;몹 정리(최신)'!$B:$B,0))*30,IF($J419=4,INDEX('큐펫&amp;몹 정리(최신)'!S:S,MATCH($E419,'큐펫&amp;몹 정리(최신)'!$B:$B,0))*35,INDEX('큐펫&amp;몹 정리(최신)'!S:S,MATCH($E419,'큐펫&amp;몹 정리(최신)'!$B:$B,0))*40))))</f>
        <v>360</v>
      </c>
      <c r="O419" s="190">
        <f>IF($J419=1,INDEX('큐펫&amp;몹 정리(최신)'!T:T,MATCH($E419,'큐펫&amp;몹 정리(최신)'!$B:$B,0))*20,IF($J419=2,INDEX('큐펫&amp;몹 정리(최신)'!T:T,MATCH($E419,'큐펫&amp;몹 정리(최신)'!$B:$B,0))*25,IF($J419=3,INDEX('큐펫&amp;몹 정리(최신)'!T:T,MATCH($E419,'큐펫&amp;몹 정리(최신)'!$B:$B,0))*30,IF($J419=4,INDEX('큐펫&amp;몹 정리(최신)'!T:T,MATCH($E419,'큐펫&amp;몹 정리(최신)'!$B:$B,0))*35,INDEX('큐펫&amp;몹 정리(최신)'!T:T,MATCH($E419,'큐펫&amp;몹 정리(최신)'!$B:$B,0))*40))))</f>
        <v>630</v>
      </c>
      <c r="P419" s="217">
        <v>60</v>
      </c>
      <c r="Q419" s="217">
        <f t="shared" si="48"/>
        <v>126960</v>
      </c>
      <c r="R419" s="217">
        <f t="shared" si="49"/>
        <v>1276</v>
      </c>
      <c r="S419" s="217">
        <f t="shared" si="50"/>
        <v>1845</v>
      </c>
      <c r="T419" s="217">
        <f t="shared" si="51"/>
        <v>26363</v>
      </c>
      <c r="U419" s="217">
        <f t="shared" si="52"/>
        <v>23051</v>
      </c>
      <c r="V419" s="217">
        <f t="shared" si="53"/>
        <v>20223</v>
      </c>
      <c r="W419" s="217">
        <f>ROUND(AC419+(INDEX(Ref!B$1:B$9,MATCH($AI419,Ref!$A$1:$A$9,0))*P419*0.0001),)</f>
        <v>28</v>
      </c>
      <c r="X419" s="217">
        <f>ROUND(AD419+(INDEX(Ref!C$1:C$9,MATCH($AI419,Ref!$A$1:$A$9,0))*$P419*0.0001),)</f>
        <v>40</v>
      </c>
      <c r="Y419" s="217">
        <f>ROUND(AE419+(INDEX(Ref!D$1:D$9,MATCH($AI419,Ref!$A$1:$A$9,0))*$P419*0.0001),)</f>
        <v>68</v>
      </c>
      <c r="Z419" s="217">
        <f>ROUND(AF419+(INDEX(Ref!E$1:E$9,MATCH($AI419,Ref!$A$1:$A$9,0))*$P419*0.0001),)</f>
        <v>63</v>
      </c>
      <c r="AA419" s="217">
        <f>ROUND(AG419+(INDEX(Ref!F$1:F$9,MATCH($AI419,Ref!$A$1:$A$9,0))*$P419*0.0001),)</f>
        <v>34</v>
      </c>
      <c r="AB419" s="217">
        <f>ROUND(AH419+(INDEX(Ref!G$1:G$9,MATCH($AI419,Ref!$A$1:$A$9,0))*$P419*0.0001),)</f>
        <v>31</v>
      </c>
      <c r="AC419" s="137">
        <v>21</v>
      </c>
      <c r="AD419" s="137">
        <v>30</v>
      </c>
      <c r="AE419" s="137">
        <v>56</v>
      </c>
      <c r="AF419" s="137">
        <v>48.000000000000007</v>
      </c>
      <c r="AG419" s="137">
        <v>26</v>
      </c>
      <c r="AH419" s="137">
        <v>23</v>
      </c>
      <c r="AI419" s="208">
        <v>2</v>
      </c>
      <c r="AJ419" s="172">
        <v>3000</v>
      </c>
      <c r="AK419" s="172">
        <v>30500</v>
      </c>
      <c r="AL419" s="172">
        <v>2000</v>
      </c>
      <c r="AM419" s="172">
        <v>30503</v>
      </c>
      <c r="AN419" s="172">
        <v>0</v>
      </c>
      <c r="AO419" s="172">
        <f t="shared" si="54"/>
        <v>34500</v>
      </c>
      <c r="AP419" s="172">
        <v>0</v>
      </c>
      <c r="AQ419" s="172">
        <f t="shared" si="55"/>
        <v>34503</v>
      </c>
      <c r="AR419" s="172">
        <v>1</v>
      </c>
      <c r="AS419" s="172">
        <v>0</v>
      </c>
      <c r="AT419" s="199">
        <v>78084</v>
      </c>
      <c r="AU419" s="195" t="s">
        <v>314</v>
      </c>
    </row>
    <row r="420" spans="1:47" x14ac:dyDescent="0.2">
      <c r="A420" s="173">
        <v>55084</v>
      </c>
      <c r="B420" s="174" t="s">
        <v>312</v>
      </c>
      <c r="C420" s="172">
        <v>86084</v>
      </c>
      <c r="D420" s="172">
        <v>150084</v>
      </c>
      <c r="E420" s="206" t="s">
        <v>313</v>
      </c>
      <c r="F420" s="207">
        <v>3</v>
      </c>
      <c r="G420" s="173">
        <v>11500</v>
      </c>
      <c r="H420" s="173">
        <v>9500</v>
      </c>
      <c r="I420" s="172">
        <v>10000</v>
      </c>
      <c r="J420" s="172">
        <v>4</v>
      </c>
      <c r="K420" s="190">
        <f>IF($J420=1,INDEX('큐펫&amp;몹 정리(최신)'!P:P,MATCH($E420,'큐펫&amp;몹 정리(최신)'!$B:$B,0))*20,IF($J420=2,INDEX('큐펫&amp;몹 정리(최신)'!P:P,MATCH($E420,'큐펫&amp;몹 정리(최신)'!$B:$B,0))*25,IF($J420=3,INDEX('큐펫&amp;몹 정리(최신)'!P:P,MATCH($E420,'큐펫&amp;몹 정리(최신)'!$B:$B,0))*30,IF($J420=4,INDEX('큐펫&amp;몹 정리(최신)'!P:P,MATCH($E420,'큐펫&amp;몹 정리(최신)'!$B:$B,0))*35,INDEX('큐펫&amp;몹 정리(최신)'!P:P,MATCH($E420,'큐펫&amp;몹 정리(최신)'!$B:$B,0))*40))))</f>
        <v>1400</v>
      </c>
      <c r="L420" s="190">
        <f>IF($J420=1,INDEX('큐펫&amp;몹 정리(최신)'!Q:Q,MATCH($E420,'큐펫&amp;몹 정리(최신)'!$B:$B,0))*20,IF($J420=2,INDEX('큐펫&amp;몹 정리(최신)'!Q:Q,MATCH($E420,'큐펫&amp;몹 정리(최신)'!$B:$B,0))*25,IF($J420=3,INDEX('큐펫&amp;몹 정리(최신)'!Q:Q,MATCH($E420,'큐펫&amp;몹 정리(최신)'!$B:$B,0))*30,IF($J420=4,INDEX('큐펫&amp;몹 정리(최신)'!Q:Q,MATCH($E420,'큐펫&amp;몹 정리(최신)'!$B:$B,0))*35,INDEX('큐펫&amp;몹 정리(최신)'!Q:Q,MATCH($E420,'큐펫&amp;몹 정리(최신)'!$B:$B,0))*40))))</f>
        <v>175</v>
      </c>
      <c r="M420" s="190">
        <f>IF($J420=1,INDEX('큐펫&amp;몹 정리(최신)'!R:R,MATCH($E420,'큐펫&amp;몹 정리(최신)'!$B:$B,0))*20,IF($J420=2,INDEX('큐펫&amp;몹 정리(최신)'!R:R,MATCH($E420,'큐펫&amp;몹 정리(최신)'!$B:$B,0))*25,IF($J420=3,INDEX('큐펫&amp;몹 정리(최신)'!R:R,MATCH($E420,'큐펫&amp;몹 정리(최신)'!$B:$B,0))*30,IF($J420=4,INDEX('큐펫&amp;몹 정리(최신)'!R:R,MATCH($E420,'큐펫&amp;몹 정리(최신)'!$B:$B,0))*35,INDEX('큐펫&amp;몹 정리(최신)'!R:R,MATCH($E420,'큐펫&amp;몹 정리(최신)'!$B:$B,0))*40))))</f>
        <v>770</v>
      </c>
      <c r="N420" s="190">
        <f>IF($J420=1,INDEX('큐펫&amp;몹 정리(최신)'!S:S,MATCH($E420,'큐펫&amp;몹 정리(최신)'!$B:$B,0))*20,IF($J420=2,INDEX('큐펫&amp;몹 정리(최신)'!S:S,MATCH($E420,'큐펫&amp;몹 정리(최신)'!$B:$B,0))*25,IF($J420=3,INDEX('큐펫&amp;몹 정리(최신)'!S:S,MATCH($E420,'큐펫&amp;몹 정리(최신)'!$B:$B,0))*30,IF($J420=4,INDEX('큐펫&amp;몹 정리(최신)'!S:S,MATCH($E420,'큐펫&amp;몹 정리(최신)'!$B:$B,0))*35,INDEX('큐펫&amp;몹 정리(최신)'!S:S,MATCH($E420,'큐펫&amp;몹 정리(최신)'!$B:$B,0))*40))))</f>
        <v>420</v>
      </c>
      <c r="O420" s="190">
        <f>IF($J420=1,INDEX('큐펫&amp;몹 정리(최신)'!T:T,MATCH($E420,'큐펫&amp;몹 정리(최신)'!$B:$B,0))*20,IF($J420=2,INDEX('큐펫&amp;몹 정리(최신)'!T:T,MATCH($E420,'큐펫&amp;몹 정리(최신)'!$B:$B,0))*25,IF($J420=3,INDEX('큐펫&amp;몹 정리(최신)'!T:T,MATCH($E420,'큐펫&amp;몹 정리(최신)'!$B:$B,0))*30,IF($J420=4,INDEX('큐펫&amp;몹 정리(최신)'!T:T,MATCH($E420,'큐펫&amp;몹 정리(최신)'!$B:$B,0))*35,INDEX('큐펫&amp;몹 정리(최신)'!T:T,MATCH($E420,'큐펫&amp;몹 정리(최신)'!$B:$B,0))*40))))</f>
        <v>735</v>
      </c>
      <c r="P420" s="217">
        <v>80</v>
      </c>
      <c r="Q420" s="217">
        <f t="shared" si="48"/>
        <v>204120</v>
      </c>
      <c r="R420" s="217">
        <f t="shared" si="49"/>
        <v>2147</v>
      </c>
      <c r="S420" s="217">
        <f t="shared" si="50"/>
        <v>2795</v>
      </c>
      <c r="T420" s="217">
        <f t="shared" si="51"/>
        <v>41233</v>
      </c>
      <c r="U420" s="217">
        <f t="shared" si="52"/>
        <v>32772</v>
      </c>
      <c r="V420" s="217">
        <f t="shared" si="53"/>
        <v>28738</v>
      </c>
      <c r="W420" s="217">
        <f>ROUND(AC420+(INDEX(Ref!B$1:B$9,MATCH($AI420,Ref!$A$1:$A$9,0))*P420*0.0001),)</f>
        <v>34</v>
      </c>
      <c r="X420" s="217">
        <f>ROUND(AD420+(INDEX(Ref!C$1:C$9,MATCH($AI420,Ref!$A$1:$A$9,0))*$P420*0.0001),)</f>
        <v>46</v>
      </c>
      <c r="Y420" s="217">
        <f>ROUND(AE420+(INDEX(Ref!D$1:D$9,MATCH($AI420,Ref!$A$1:$A$9,0))*$P420*0.0001),)</f>
        <v>76</v>
      </c>
      <c r="Z420" s="217">
        <f>ROUND(AF420+(INDEX(Ref!E$1:E$9,MATCH($AI420,Ref!$A$1:$A$9,0))*$P420*0.0001),)</f>
        <v>73</v>
      </c>
      <c r="AA420" s="217">
        <f>ROUND(AG420+(INDEX(Ref!F$1:F$9,MATCH($AI420,Ref!$A$1:$A$9,0))*$P420*0.0001),)</f>
        <v>39</v>
      </c>
      <c r="AB420" s="217">
        <f>ROUND(AH420+(INDEX(Ref!G$1:G$9,MATCH($AI420,Ref!$A$1:$A$9,0))*$P420*0.0001),)</f>
        <v>36</v>
      </c>
      <c r="AC420" s="137">
        <v>24</v>
      </c>
      <c r="AD420" s="137">
        <v>33</v>
      </c>
      <c r="AE420" s="137">
        <v>60</v>
      </c>
      <c r="AF420" s="137">
        <v>53</v>
      </c>
      <c r="AG420" s="137">
        <v>28</v>
      </c>
      <c r="AH420" s="137">
        <v>26</v>
      </c>
      <c r="AI420" s="208">
        <v>2</v>
      </c>
      <c r="AJ420" s="172">
        <v>3000</v>
      </c>
      <c r="AK420" s="172">
        <v>30501</v>
      </c>
      <c r="AL420" s="172">
        <v>2000</v>
      </c>
      <c r="AM420" s="172">
        <v>30503</v>
      </c>
      <c r="AN420" s="172">
        <v>0</v>
      </c>
      <c r="AO420" s="172">
        <f t="shared" si="54"/>
        <v>34501</v>
      </c>
      <c r="AP420" s="172">
        <v>0</v>
      </c>
      <c r="AQ420" s="172">
        <f t="shared" si="55"/>
        <v>34503</v>
      </c>
      <c r="AR420" s="172">
        <v>1</v>
      </c>
      <c r="AS420" s="172">
        <v>0</v>
      </c>
      <c r="AT420" s="199">
        <v>78084</v>
      </c>
      <c r="AU420" s="195" t="s">
        <v>314</v>
      </c>
    </row>
    <row r="421" spans="1:47" x14ac:dyDescent="0.2">
      <c r="A421" s="173">
        <v>55084</v>
      </c>
      <c r="B421" s="174" t="s">
        <v>312</v>
      </c>
      <c r="C421" s="172">
        <v>86084</v>
      </c>
      <c r="D421" s="172">
        <v>150084</v>
      </c>
      <c r="E421" s="206" t="s">
        <v>313</v>
      </c>
      <c r="F421" s="207">
        <v>3</v>
      </c>
      <c r="G421" s="173">
        <v>11500</v>
      </c>
      <c r="H421" s="173">
        <v>9500</v>
      </c>
      <c r="I421" s="172">
        <v>10000</v>
      </c>
      <c r="J421" s="172">
        <v>5</v>
      </c>
      <c r="K421" s="190">
        <f>IF($J421=1,INDEX('큐펫&amp;몹 정리(최신)'!P:P,MATCH($E421,'큐펫&amp;몹 정리(최신)'!$B:$B,0))*20,IF($J421=2,INDEX('큐펫&amp;몹 정리(최신)'!P:P,MATCH($E421,'큐펫&amp;몹 정리(최신)'!$B:$B,0))*25,IF($J421=3,INDEX('큐펫&amp;몹 정리(최신)'!P:P,MATCH($E421,'큐펫&amp;몹 정리(최신)'!$B:$B,0))*30,IF($J421=4,INDEX('큐펫&amp;몹 정리(최신)'!P:P,MATCH($E421,'큐펫&amp;몹 정리(최신)'!$B:$B,0))*35,INDEX('큐펫&amp;몹 정리(최신)'!P:P,MATCH($E421,'큐펫&amp;몹 정리(최신)'!$B:$B,0))*40))))</f>
        <v>1600</v>
      </c>
      <c r="L421" s="190">
        <f>IF($J421=1,INDEX('큐펫&amp;몹 정리(최신)'!Q:Q,MATCH($E421,'큐펫&amp;몹 정리(최신)'!$B:$B,0))*20,IF($J421=2,INDEX('큐펫&amp;몹 정리(최신)'!Q:Q,MATCH($E421,'큐펫&amp;몹 정리(최신)'!$B:$B,0))*25,IF($J421=3,INDEX('큐펫&amp;몹 정리(최신)'!Q:Q,MATCH($E421,'큐펫&amp;몹 정리(최신)'!$B:$B,0))*30,IF($J421=4,INDEX('큐펫&amp;몹 정리(최신)'!Q:Q,MATCH($E421,'큐펫&amp;몹 정리(최신)'!$B:$B,0))*35,INDEX('큐펫&amp;몹 정리(최신)'!Q:Q,MATCH($E421,'큐펫&amp;몹 정리(최신)'!$B:$B,0))*40))))</f>
        <v>200</v>
      </c>
      <c r="M421" s="190">
        <f>IF($J421=1,INDEX('큐펫&amp;몹 정리(최신)'!R:R,MATCH($E421,'큐펫&amp;몹 정리(최신)'!$B:$B,0))*20,IF($J421=2,INDEX('큐펫&amp;몹 정리(최신)'!R:R,MATCH($E421,'큐펫&amp;몹 정리(최신)'!$B:$B,0))*25,IF($J421=3,INDEX('큐펫&amp;몹 정리(최신)'!R:R,MATCH($E421,'큐펫&amp;몹 정리(최신)'!$B:$B,0))*30,IF($J421=4,INDEX('큐펫&amp;몹 정리(최신)'!R:R,MATCH($E421,'큐펫&amp;몹 정리(최신)'!$B:$B,0))*35,INDEX('큐펫&amp;몹 정리(최신)'!R:R,MATCH($E421,'큐펫&amp;몹 정리(최신)'!$B:$B,0))*40))))</f>
        <v>880</v>
      </c>
      <c r="N421" s="190">
        <f>IF($J421=1,INDEX('큐펫&amp;몹 정리(최신)'!S:S,MATCH($E421,'큐펫&amp;몹 정리(최신)'!$B:$B,0))*20,IF($J421=2,INDEX('큐펫&amp;몹 정리(최신)'!S:S,MATCH($E421,'큐펫&amp;몹 정리(최신)'!$B:$B,0))*25,IF($J421=3,INDEX('큐펫&amp;몹 정리(최신)'!S:S,MATCH($E421,'큐펫&amp;몹 정리(최신)'!$B:$B,0))*30,IF($J421=4,INDEX('큐펫&amp;몹 정리(최신)'!S:S,MATCH($E421,'큐펫&amp;몹 정리(최신)'!$B:$B,0))*35,INDEX('큐펫&amp;몹 정리(최신)'!S:S,MATCH($E421,'큐펫&amp;몹 정리(최신)'!$B:$B,0))*40))))</f>
        <v>480</v>
      </c>
      <c r="O421" s="190">
        <f>IF($J421=1,INDEX('큐펫&amp;몹 정리(최신)'!T:T,MATCH($E421,'큐펫&amp;몹 정리(최신)'!$B:$B,0))*20,IF($J421=2,INDEX('큐펫&amp;몹 정리(최신)'!T:T,MATCH($E421,'큐펫&amp;몹 정리(최신)'!$B:$B,0))*25,IF($J421=3,INDEX('큐펫&amp;몹 정리(최신)'!T:T,MATCH($E421,'큐펫&amp;몹 정리(최신)'!$B:$B,0))*30,IF($J421=4,INDEX('큐펫&amp;몹 정리(최신)'!T:T,MATCH($E421,'큐펫&amp;몹 정리(최신)'!$B:$B,0))*35,INDEX('큐펫&amp;몹 정리(최신)'!T:T,MATCH($E421,'큐펫&amp;몹 정리(최신)'!$B:$B,0))*40))))</f>
        <v>840</v>
      </c>
      <c r="P421" s="217">
        <v>100</v>
      </c>
      <c r="Q421" s="217">
        <f t="shared" si="48"/>
        <v>302400</v>
      </c>
      <c r="R421" s="217">
        <f t="shared" si="49"/>
        <v>3033</v>
      </c>
      <c r="S421" s="217">
        <f t="shared" si="50"/>
        <v>4207</v>
      </c>
      <c r="T421" s="217">
        <f t="shared" si="51"/>
        <v>60855</v>
      </c>
      <c r="U421" s="217">
        <f t="shared" si="52"/>
        <v>44174</v>
      </c>
      <c r="V421" s="217">
        <f t="shared" si="53"/>
        <v>38723</v>
      </c>
      <c r="W421" s="217">
        <f>ROUND(AC421+(INDEX(Ref!B$1:B$9,MATCH($AI421,Ref!$A$1:$A$9,0))*P421*0.0001),)</f>
        <v>38</v>
      </c>
      <c r="X421" s="217">
        <f>ROUND(AD421+(INDEX(Ref!C$1:C$9,MATCH($AI421,Ref!$A$1:$A$9,0))*$P421*0.0001),)</f>
        <v>52</v>
      </c>
      <c r="Y421" s="217">
        <f>ROUND(AE421+(INDEX(Ref!D$1:D$9,MATCH($AI421,Ref!$A$1:$A$9,0))*$P421*0.0001),)</f>
        <v>84</v>
      </c>
      <c r="Z421" s="217">
        <f>ROUND(AF421+(INDEX(Ref!E$1:E$9,MATCH($AI421,Ref!$A$1:$A$9,0))*$P421*0.0001),)</f>
        <v>83</v>
      </c>
      <c r="AA421" s="217">
        <f>ROUND(AG421+(INDEX(Ref!F$1:F$9,MATCH($AI421,Ref!$A$1:$A$9,0))*$P421*0.0001),)</f>
        <v>45</v>
      </c>
      <c r="AB421" s="217">
        <f>ROUND(AH421+(INDEX(Ref!G$1:G$9,MATCH($AI421,Ref!$A$1:$A$9,0))*$P421*0.0001),)</f>
        <v>42</v>
      </c>
      <c r="AC421" s="137">
        <v>26</v>
      </c>
      <c r="AD421" s="137">
        <v>36</v>
      </c>
      <c r="AE421" s="137">
        <v>64</v>
      </c>
      <c r="AF421" s="137">
        <v>58.000000000000007</v>
      </c>
      <c r="AG421" s="137">
        <v>31</v>
      </c>
      <c r="AH421" s="137">
        <v>29</v>
      </c>
      <c r="AI421" s="208">
        <v>2</v>
      </c>
      <c r="AJ421" s="172">
        <v>3000</v>
      </c>
      <c r="AK421" s="172">
        <v>30501</v>
      </c>
      <c r="AL421" s="172">
        <v>2000</v>
      </c>
      <c r="AM421" s="172">
        <v>30504</v>
      </c>
      <c r="AN421" s="172">
        <v>0</v>
      </c>
      <c r="AO421" s="172">
        <f t="shared" si="54"/>
        <v>34501</v>
      </c>
      <c r="AP421" s="172">
        <v>0</v>
      </c>
      <c r="AQ421" s="172">
        <f t="shared" si="55"/>
        <v>34504</v>
      </c>
      <c r="AR421" s="172">
        <v>1</v>
      </c>
      <c r="AS421" s="172">
        <v>0</v>
      </c>
      <c r="AT421" s="199">
        <v>78084</v>
      </c>
      <c r="AU421" s="195" t="s">
        <v>314</v>
      </c>
    </row>
    <row r="422" spans="1:47" x14ac:dyDescent="0.2">
      <c r="A422" s="173">
        <f>A417+1</f>
        <v>55085</v>
      </c>
      <c r="B422" s="174" t="s">
        <v>1001</v>
      </c>
      <c r="C422" s="172">
        <v>86085</v>
      </c>
      <c r="D422" s="172">
        <v>150085</v>
      </c>
      <c r="E422" s="206" t="s">
        <v>1000</v>
      </c>
      <c r="F422" s="208">
        <v>5</v>
      </c>
      <c r="G422" s="172">
        <v>13000</v>
      </c>
      <c r="H422" s="172">
        <v>9000</v>
      </c>
      <c r="I422" s="172">
        <v>10000</v>
      </c>
      <c r="J422" s="172">
        <v>1</v>
      </c>
      <c r="K422" s="190">
        <f>IF($J422=1,INDEX('큐펫&amp;몹 정리(최신)'!P:P,MATCH($E422,'큐펫&amp;몹 정리(최신)'!$B:$B,0))*20,IF($J422=2,INDEX('큐펫&amp;몹 정리(최신)'!P:P,MATCH($E422,'큐펫&amp;몹 정리(최신)'!$B:$B,0))*25,IF($J422=3,INDEX('큐펫&amp;몹 정리(최신)'!P:P,MATCH($E422,'큐펫&amp;몹 정리(최신)'!$B:$B,0))*30,IF($J422=4,INDEX('큐펫&amp;몹 정리(최신)'!P:P,MATCH($E422,'큐펫&amp;몹 정리(최신)'!$B:$B,0))*35,INDEX('큐펫&amp;몹 정리(최신)'!P:P,MATCH($E422,'큐펫&amp;몹 정리(최신)'!$B:$B,0))*40))))</f>
        <v>900</v>
      </c>
      <c r="L422" s="190">
        <f>IF($J422=1,INDEX('큐펫&amp;몹 정리(최신)'!Q:Q,MATCH($E422,'큐펫&amp;몹 정리(최신)'!$B:$B,0))*20,IF($J422=2,INDEX('큐펫&amp;몹 정리(최신)'!Q:Q,MATCH($E422,'큐펫&amp;몹 정리(최신)'!$B:$B,0))*25,IF($J422=3,INDEX('큐펫&amp;몹 정리(최신)'!Q:Q,MATCH($E422,'큐펫&amp;몹 정리(최신)'!$B:$B,0))*30,IF($J422=4,INDEX('큐펫&amp;몹 정리(최신)'!Q:Q,MATCH($E422,'큐펫&amp;몹 정리(최신)'!$B:$B,0))*35,INDEX('큐펫&amp;몹 정리(최신)'!Q:Q,MATCH($E422,'큐펫&amp;몹 정리(최신)'!$B:$B,0))*40))))</f>
        <v>140</v>
      </c>
      <c r="M422" s="190">
        <f>IF($J422=1,INDEX('큐펫&amp;몹 정리(최신)'!R:R,MATCH($E422,'큐펫&amp;몹 정리(최신)'!$B:$B,0))*20,IF($J422=2,INDEX('큐펫&amp;몹 정리(최신)'!R:R,MATCH($E422,'큐펫&amp;몹 정리(최신)'!$B:$B,0))*25,IF($J422=3,INDEX('큐펫&amp;몹 정리(최신)'!R:R,MATCH($E422,'큐펫&amp;몹 정리(최신)'!$B:$B,0))*30,IF($J422=4,INDEX('큐펫&amp;몹 정리(최신)'!R:R,MATCH($E422,'큐펫&amp;몹 정리(최신)'!$B:$B,0))*35,INDEX('큐펫&amp;몹 정리(최신)'!R:R,MATCH($E422,'큐펫&amp;몹 정리(최신)'!$B:$B,0))*40))))</f>
        <v>100</v>
      </c>
      <c r="N422" s="190">
        <f>IF($J422=1,INDEX('큐펫&amp;몹 정리(최신)'!S:S,MATCH($E422,'큐펫&amp;몹 정리(최신)'!$B:$B,0))*20,IF($J422=2,INDEX('큐펫&amp;몹 정리(최신)'!S:S,MATCH($E422,'큐펫&amp;몹 정리(최신)'!$B:$B,0))*25,IF($J422=3,INDEX('큐펫&amp;몹 정리(최신)'!S:S,MATCH($E422,'큐펫&amp;몹 정리(최신)'!$B:$B,0))*30,IF($J422=4,INDEX('큐펫&amp;몹 정리(최신)'!S:S,MATCH($E422,'큐펫&amp;몹 정리(최신)'!$B:$B,0))*35,INDEX('큐펫&amp;몹 정리(최신)'!S:S,MATCH($E422,'큐펫&amp;몹 정리(최신)'!$B:$B,0))*40))))</f>
        <v>400</v>
      </c>
      <c r="O422" s="190">
        <f>IF($J422=1,INDEX('큐펫&amp;몹 정리(최신)'!T:T,MATCH($E422,'큐펫&amp;몹 정리(최신)'!$B:$B,0))*20,IF($J422=2,INDEX('큐펫&amp;몹 정리(최신)'!T:T,MATCH($E422,'큐펫&amp;몹 정리(최신)'!$B:$B,0))*25,IF($J422=3,INDEX('큐펫&amp;몹 정리(최신)'!T:T,MATCH($E422,'큐펫&amp;몹 정리(최신)'!$B:$B,0))*30,IF($J422=4,INDEX('큐펫&amp;몹 정리(최신)'!T:T,MATCH($E422,'큐펫&amp;몹 정리(최신)'!$B:$B,0))*35,INDEX('큐펫&amp;몹 정리(최신)'!T:T,MATCH($E422,'큐펫&amp;몹 정리(최신)'!$B:$B,0))*40))))</f>
        <v>460</v>
      </c>
      <c r="P422" s="217">
        <v>20</v>
      </c>
      <c r="Q422" s="217">
        <f t="shared" si="48"/>
        <v>29520</v>
      </c>
      <c r="R422" s="217">
        <f t="shared" si="49"/>
        <v>466</v>
      </c>
      <c r="S422" s="217">
        <f t="shared" si="50"/>
        <v>2456</v>
      </c>
      <c r="T422" s="217">
        <f t="shared" si="51"/>
        <v>423</v>
      </c>
      <c r="U422" s="217">
        <f t="shared" si="52"/>
        <v>11807</v>
      </c>
      <c r="V422" s="217">
        <f t="shared" si="53"/>
        <v>6804</v>
      </c>
      <c r="W422" s="217">
        <f>ROUND(AC422+(INDEX(Ref!B$1:B$9,MATCH($AI422,Ref!$A$1:$A$9,0))*P422*0.0001),)</f>
        <v>17</v>
      </c>
      <c r="X422" s="217">
        <f>ROUND(AD422+(INDEX(Ref!C$1:C$9,MATCH($AI422,Ref!$A$1:$A$9,0))*$P422*0.0001),)</f>
        <v>32</v>
      </c>
      <c r="Y422" s="217">
        <f>ROUND(AE422+(INDEX(Ref!D$1:D$9,MATCH($AI422,Ref!$A$1:$A$9,0))*$P422*0.0001),)</f>
        <v>39</v>
      </c>
      <c r="Z422" s="217">
        <f>ROUND(AF422+(INDEX(Ref!E$1:E$9,MATCH($AI422,Ref!$A$1:$A$9,0))*$P422*0.0001),)</f>
        <v>19</v>
      </c>
      <c r="AA422" s="217">
        <f>ROUND(AG422+(INDEX(Ref!F$1:F$9,MATCH($AI422,Ref!$A$1:$A$9,0))*$P422*0.0001),)</f>
        <v>41</v>
      </c>
      <c r="AB422" s="217">
        <f>ROUND(AH422+(INDEX(Ref!G$1:G$9,MATCH($AI422,Ref!$A$1:$A$9,0))*$P422*0.0001),)</f>
        <v>36</v>
      </c>
      <c r="AC422" s="137">
        <v>15</v>
      </c>
      <c r="AD422" s="137">
        <v>28</v>
      </c>
      <c r="AE422" s="137">
        <v>36</v>
      </c>
      <c r="AF422" s="137">
        <v>17</v>
      </c>
      <c r="AG422" s="137">
        <v>36</v>
      </c>
      <c r="AH422" s="137">
        <v>32</v>
      </c>
      <c r="AI422" s="208">
        <v>5</v>
      </c>
      <c r="AJ422" s="172">
        <v>3000</v>
      </c>
      <c r="AK422" s="172">
        <f>AK417+6</f>
        <v>30505</v>
      </c>
      <c r="AL422" s="172">
        <v>2000</v>
      </c>
      <c r="AM422" s="172">
        <f>AM417+6</f>
        <v>30508</v>
      </c>
      <c r="AN422" s="172">
        <v>0</v>
      </c>
      <c r="AO422" s="172">
        <f t="shared" si="54"/>
        <v>34505</v>
      </c>
      <c r="AP422" s="172">
        <v>0</v>
      </c>
      <c r="AQ422" s="172">
        <f t="shared" si="55"/>
        <v>34508</v>
      </c>
      <c r="AR422" s="172">
        <v>1</v>
      </c>
      <c r="AS422" s="172">
        <v>0</v>
      </c>
      <c r="AT422" s="195">
        <f>AT417+1</f>
        <v>78085</v>
      </c>
      <c r="AU422" s="195" t="s">
        <v>1023</v>
      </c>
    </row>
    <row r="423" spans="1:47" x14ac:dyDescent="0.2">
      <c r="A423" s="173">
        <f t="shared" ref="A423:A481" si="56">A418+1</f>
        <v>55085</v>
      </c>
      <c r="B423" s="174" t="s">
        <v>1001</v>
      </c>
      <c r="C423" s="172">
        <v>86085</v>
      </c>
      <c r="D423" s="172">
        <v>150085</v>
      </c>
      <c r="E423" s="206" t="s">
        <v>1000</v>
      </c>
      <c r="F423" s="208">
        <v>5</v>
      </c>
      <c r="G423" s="172">
        <v>13000</v>
      </c>
      <c r="H423" s="172">
        <v>9000</v>
      </c>
      <c r="I423" s="172">
        <v>10000</v>
      </c>
      <c r="J423" s="172">
        <v>2</v>
      </c>
      <c r="K423" s="190">
        <f>IF($J423=1,INDEX('큐펫&amp;몹 정리(최신)'!P:P,MATCH($E423,'큐펫&amp;몹 정리(최신)'!$B:$B,0))*20,IF($J423=2,INDEX('큐펫&amp;몹 정리(최신)'!P:P,MATCH($E423,'큐펫&amp;몹 정리(최신)'!$B:$B,0))*25,IF($J423=3,INDEX('큐펫&amp;몹 정리(최신)'!P:P,MATCH($E423,'큐펫&amp;몹 정리(최신)'!$B:$B,0))*30,IF($J423=4,INDEX('큐펫&amp;몹 정리(최신)'!P:P,MATCH($E423,'큐펫&amp;몹 정리(최신)'!$B:$B,0))*35,INDEX('큐펫&amp;몹 정리(최신)'!P:P,MATCH($E423,'큐펫&amp;몹 정리(최신)'!$B:$B,0))*40))))</f>
        <v>1125</v>
      </c>
      <c r="L423" s="190">
        <f>IF($J423=1,INDEX('큐펫&amp;몹 정리(최신)'!Q:Q,MATCH($E423,'큐펫&amp;몹 정리(최신)'!$B:$B,0))*20,IF($J423=2,INDEX('큐펫&amp;몹 정리(최신)'!Q:Q,MATCH($E423,'큐펫&amp;몹 정리(최신)'!$B:$B,0))*25,IF($J423=3,INDEX('큐펫&amp;몹 정리(최신)'!Q:Q,MATCH($E423,'큐펫&amp;몹 정리(최신)'!$B:$B,0))*30,IF($J423=4,INDEX('큐펫&amp;몹 정리(최신)'!Q:Q,MATCH($E423,'큐펫&amp;몹 정리(최신)'!$B:$B,0))*35,INDEX('큐펫&amp;몹 정리(최신)'!Q:Q,MATCH($E423,'큐펫&amp;몹 정리(최신)'!$B:$B,0))*40))))</f>
        <v>175</v>
      </c>
      <c r="M423" s="190">
        <f>IF($J423=1,INDEX('큐펫&amp;몹 정리(최신)'!R:R,MATCH($E423,'큐펫&amp;몹 정리(최신)'!$B:$B,0))*20,IF($J423=2,INDEX('큐펫&amp;몹 정리(최신)'!R:R,MATCH($E423,'큐펫&amp;몹 정리(최신)'!$B:$B,0))*25,IF($J423=3,INDEX('큐펫&amp;몹 정리(최신)'!R:R,MATCH($E423,'큐펫&amp;몹 정리(최신)'!$B:$B,0))*30,IF($J423=4,INDEX('큐펫&amp;몹 정리(최신)'!R:R,MATCH($E423,'큐펫&amp;몹 정리(최신)'!$B:$B,0))*35,INDEX('큐펫&amp;몹 정리(최신)'!R:R,MATCH($E423,'큐펫&amp;몹 정리(최신)'!$B:$B,0))*40))))</f>
        <v>125</v>
      </c>
      <c r="N423" s="190">
        <f>IF($J423=1,INDEX('큐펫&amp;몹 정리(최신)'!S:S,MATCH($E423,'큐펫&amp;몹 정리(최신)'!$B:$B,0))*20,IF($J423=2,INDEX('큐펫&amp;몹 정리(최신)'!S:S,MATCH($E423,'큐펫&amp;몹 정리(최신)'!$B:$B,0))*25,IF($J423=3,INDEX('큐펫&amp;몹 정리(최신)'!S:S,MATCH($E423,'큐펫&amp;몹 정리(최신)'!$B:$B,0))*30,IF($J423=4,INDEX('큐펫&amp;몹 정리(최신)'!S:S,MATCH($E423,'큐펫&amp;몹 정리(최신)'!$B:$B,0))*35,INDEX('큐펫&amp;몹 정리(최신)'!S:S,MATCH($E423,'큐펫&amp;몹 정리(최신)'!$B:$B,0))*40))))</f>
        <v>500</v>
      </c>
      <c r="O423" s="190">
        <f>IF($J423=1,INDEX('큐펫&amp;몹 정리(최신)'!T:T,MATCH($E423,'큐펫&amp;몹 정리(최신)'!$B:$B,0))*20,IF($J423=2,INDEX('큐펫&amp;몹 정리(최신)'!T:T,MATCH($E423,'큐펫&amp;몹 정리(최신)'!$B:$B,0))*25,IF($J423=3,INDEX('큐펫&amp;몹 정리(최신)'!T:T,MATCH($E423,'큐펫&amp;몹 정리(최신)'!$B:$B,0))*30,IF($J423=4,INDEX('큐펫&amp;몹 정리(최신)'!T:T,MATCH($E423,'큐펫&amp;몹 정리(최신)'!$B:$B,0))*35,INDEX('큐펫&amp;몹 정리(최신)'!T:T,MATCH($E423,'큐펫&amp;몹 정리(최신)'!$B:$B,0))*40))))</f>
        <v>575</v>
      </c>
      <c r="P423" s="217">
        <v>40</v>
      </c>
      <c r="Q423" s="217">
        <f t="shared" si="48"/>
        <v>70400</v>
      </c>
      <c r="R423" s="217">
        <f t="shared" si="49"/>
        <v>855</v>
      </c>
      <c r="S423" s="217">
        <f t="shared" si="50"/>
        <v>4687</v>
      </c>
      <c r="T423" s="217">
        <f t="shared" si="51"/>
        <v>805</v>
      </c>
      <c r="U423" s="217">
        <f t="shared" si="52"/>
        <v>21009</v>
      </c>
      <c r="V423" s="217">
        <f t="shared" si="53"/>
        <v>12099</v>
      </c>
      <c r="W423" s="217">
        <f>ROUND(AC423+(INDEX(Ref!B$1:B$9,MATCH($AI423,Ref!$A$1:$A$9,0))*P423*0.0001),)</f>
        <v>21</v>
      </c>
      <c r="X423" s="217">
        <f>ROUND(AD423+(INDEX(Ref!C$1:C$9,MATCH($AI423,Ref!$A$1:$A$9,0))*$P423*0.0001),)</f>
        <v>40</v>
      </c>
      <c r="Y423" s="217">
        <f>ROUND(AE423+(INDEX(Ref!D$1:D$9,MATCH($AI423,Ref!$A$1:$A$9,0))*$P423*0.0001),)</f>
        <v>44</v>
      </c>
      <c r="Z423" s="217">
        <f>ROUND(AF423+(INDEX(Ref!E$1:E$9,MATCH($AI423,Ref!$A$1:$A$9,0))*$P423*0.0001),)</f>
        <v>24</v>
      </c>
      <c r="AA423" s="217">
        <f>ROUND(AG423+(INDEX(Ref!F$1:F$9,MATCH($AI423,Ref!$A$1:$A$9,0))*$P423*0.0001),)</f>
        <v>51</v>
      </c>
      <c r="AB423" s="217">
        <f>ROUND(AH423+(INDEX(Ref!G$1:G$9,MATCH($AI423,Ref!$A$1:$A$9,0))*$P423*0.0001),)</f>
        <v>44</v>
      </c>
      <c r="AC423" s="137">
        <v>17</v>
      </c>
      <c r="AD423" s="137">
        <v>32</v>
      </c>
      <c r="AE423" s="137">
        <v>39</v>
      </c>
      <c r="AF423" s="137">
        <v>19</v>
      </c>
      <c r="AG423" s="137">
        <v>41</v>
      </c>
      <c r="AH423" s="137">
        <v>36</v>
      </c>
      <c r="AI423" s="208">
        <v>5</v>
      </c>
      <c r="AJ423" s="172">
        <v>3000</v>
      </c>
      <c r="AK423" s="172">
        <f>AK418+6</f>
        <v>30506</v>
      </c>
      <c r="AL423" s="172">
        <v>2000</v>
      </c>
      <c r="AM423" s="172">
        <f>AM418+6</f>
        <v>30508</v>
      </c>
      <c r="AN423" s="172">
        <v>0</v>
      </c>
      <c r="AO423" s="172">
        <f t="shared" si="54"/>
        <v>34506</v>
      </c>
      <c r="AP423" s="172">
        <v>0</v>
      </c>
      <c r="AQ423" s="172">
        <f t="shared" si="55"/>
        <v>34508</v>
      </c>
      <c r="AR423" s="172">
        <v>1</v>
      </c>
      <c r="AS423" s="172">
        <v>0</v>
      </c>
      <c r="AT423" s="195">
        <f t="shared" ref="AT423:AT481" si="57">AT418+1</f>
        <v>78085</v>
      </c>
      <c r="AU423" s="195" t="s">
        <v>1023</v>
      </c>
    </row>
    <row r="424" spans="1:47" x14ac:dyDescent="0.2">
      <c r="A424" s="173">
        <f t="shared" si="56"/>
        <v>55085</v>
      </c>
      <c r="B424" s="174" t="s">
        <v>1001</v>
      </c>
      <c r="C424" s="172">
        <v>86085</v>
      </c>
      <c r="D424" s="172">
        <v>150085</v>
      </c>
      <c r="E424" s="206" t="s">
        <v>1000</v>
      </c>
      <c r="F424" s="208">
        <v>5</v>
      </c>
      <c r="G424" s="172">
        <v>13000</v>
      </c>
      <c r="H424" s="172">
        <v>9000</v>
      </c>
      <c r="I424" s="172">
        <v>10000</v>
      </c>
      <c r="J424" s="172">
        <v>3</v>
      </c>
      <c r="K424" s="190">
        <f>IF($J424=1,INDEX('큐펫&amp;몹 정리(최신)'!P:P,MATCH($E424,'큐펫&amp;몹 정리(최신)'!$B:$B,0))*20,IF($J424=2,INDEX('큐펫&amp;몹 정리(최신)'!P:P,MATCH($E424,'큐펫&amp;몹 정리(최신)'!$B:$B,0))*25,IF($J424=3,INDEX('큐펫&amp;몹 정리(최신)'!P:P,MATCH($E424,'큐펫&amp;몹 정리(최신)'!$B:$B,0))*30,IF($J424=4,INDEX('큐펫&amp;몹 정리(최신)'!P:P,MATCH($E424,'큐펫&amp;몹 정리(최신)'!$B:$B,0))*35,INDEX('큐펫&amp;몹 정리(최신)'!P:P,MATCH($E424,'큐펫&amp;몹 정리(최신)'!$B:$B,0))*40))))</f>
        <v>1350</v>
      </c>
      <c r="L424" s="190">
        <f>IF($J424=1,INDEX('큐펫&amp;몹 정리(최신)'!Q:Q,MATCH($E424,'큐펫&amp;몹 정리(최신)'!$B:$B,0))*20,IF($J424=2,INDEX('큐펫&amp;몹 정리(최신)'!Q:Q,MATCH($E424,'큐펫&amp;몹 정리(최신)'!$B:$B,0))*25,IF($J424=3,INDEX('큐펫&amp;몹 정리(최신)'!Q:Q,MATCH($E424,'큐펫&amp;몹 정리(최신)'!$B:$B,0))*30,IF($J424=4,INDEX('큐펫&amp;몹 정리(최신)'!Q:Q,MATCH($E424,'큐펫&amp;몹 정리(최신)'!$B:$B,0))*35,INDEX('큐펫&amp;몹 정리(최신)'!Q:Q,MATCH($E424,'큐펫&amp;몹 정리(최신)'!$B:$B,0))*40))))</f>
        <v>210</v>
      </c>
      <c r="M424" s="190">
        <f>IF($J424=1,INDEX('큐펫&amp;몹 정리(최신)'!R:R,MATCH($E424,'큐펫&amp;몹 정리(최신)'!$B:$B,0))*20,IF($J424=2,INDEX('큐펫&amp;몹 정리(최신)'!R:R,MATCH($E424,'큐펫&amp;몹 정리(최신)'!$B:$B,0))*25,IF($J424=3,INDEX('큐펫&amp;몹 정리(최신)'!R:R,MATCH($E424,'큐펫&amp;몹 정리(최신)'!$B:$B,0))*30,IF($J424=4,INDEX('큐펫&amp;몹 정리(최신)'!R:R,MATCH($E424,'큐펫&amp;몹 정리(최신)'!$B:$B,0))*35,INDEX('큐펫&amp;몹 정리(최신)'!R:R,MATCH($E424,'큐펫&amp;몹 정리(최신)'!$B:$B,0))*40))))</f>
        <v>150</v>
      </c>
      <c r="N424" s="190">
        <f>IF($J424=1,INDEX('큐펫&amp;몹 정리(최신)'!S:S,MATCH($E424,'큐펫&amp;몹 정리(최신)'!$B:$B,0))*20,IF($J424=2,INDEX('큐펫&amp;몹 정리(최신)'!S:S,MATCH($E424,'큐펫&amp;몹 정리(최신)'!$B:$B,0))*25,IF($J424=3,INDEX('큐펫&amp;몹 정리(최신)'!S:S,MATCH($E424,'큐펫&amp;몹 정리(최신)'!$B:$B,0))*30,IF($J424=4,INDEX('큐펫&amp;몹 정리(최신)'!S:S,MATCH($E424,'큐펫&amp;몹 정리(최신)'!$B:$B,0))*35,INDEX('큐펫&amp;몹 정리(최신)'!S:S,MATCH($E424,'큐펫&amp;몹 정리(최신)'!$B:$B,0))*40))))</f>
        <v>600</v>
      </c>
      <c r="O424" s="190">
        <f>IF($J424=1,INDEX('큐펫&amp;몹 정리(최신)'!T:T,MATCH($E424,'큐펫&amp;몹 정리(최신)'!$B:$B,0))*20,IF($J424=2,INDEX('큐펫&amp;몹 정리(최신)'!T:T,MATCH($E424,'큐펫&amp;몹 정리(최신)'!$B:$B,0))*25,IF($J424=3,INDEX('큐펫&amp;몹 정리(최신)'!T:T,MATCH($E424,'큐펫&amp;몹 정리(최신)'!$B:$B,0))*30,IF($J424=4,INDEX('큐펫&amp;몹 정리(최신)'!T:T,MATCH($E424,'큐펫&amp;몹 정리(최신)'!$B:$B,0))*35,INDEX('큐펫&amp;몹 정리(최신)'!T:T,MATCH($E424,'큐펫&amp;몹 정리(최신)'!$B:$B,0))*40))))</f>
        <v>690</v>
      </c>
      <c r="P424" s="217">
        <v>60</v>
      </c>
      <c r="Q424" s="217">
        <f t="shared" si="48"/>
        <v>128200</v>
      </c>
      <c r="R424" s="217">
        <f t="shared" si="49"/>
        <v>1527</v>
      </c>
      <c r="S424" s="217">
        <f t="shared" si="50"/>
        <v>7727</v>
      </c>
      <c r="T424" s="217">
        <f t="shared" si="51"/>
        <v>1282</v>
      </c>
      <c r="U424" s="217">
        <f t="shared" si="52"/>
        <v>33010</v>
      </c>
      <c r="V424" s="217">
        <f t="shared" si="53"/>
        <v>19003</v>
      </c>
      <c r="W424" s="217">
        <f>ROUND(AC424+(INDEX(Ref!B$1:B$9,MATCH($AI424,Ref!$A$1:$A$9,0))*P424*0.0001),)</f>
        <v>26</v>
      </c>
      <c r="X424" s="217">
        <f>ROUND(AD424+(INDEX(Ref!C$1:C$9,MATCH($AI424,Ref!$A$1:$A$9,0))*$P424*0.0001),)</f>
        <v>47</v>
      </c>
      <c r="Y424" s="217">
        <f>ROUND(AE424+(INDEX(Ref!D$1:D$9,MATCH($AI424,Ref!$A$1:$A$9,0))*$P424*0.0001),)</f>
        <v>50</v>
      </c>
      <c r="Z424" s="217">
        <f>ROUND(AF424+(INDEX(Ref!E$1:E$9,MATCH($AI424,Ref!$A$1:$A$9,0))*$P424*0.0001),)</f>
        <v>28</v>
      </c>
      <c r="AA424" s="217">
        <f>ROUND(AG424+(INDEX(Ref!F$1:F$9,MATCH($AI424,Ref!$A$1:$A$9,0))*$P424*0.0001),)</f>
        <v>60</v>
      </c>
      <c r="AB424" s="217">
        <f>ROUND(AH424+(INDEX(Ref!G$1:G$9,MATCH($AI424,Ref!$A$1:$A$9,0))*$P424*0.0001),)</f>
        <v>53</v>
      </c>
      <c r="AC424" s="137">
        <v>19</v>
      </c>
      <c r="AD424" s="137">
        <v>36</v>
      </c>
      <c r="AE424" s="137">
        <v>42</v>
      </c>
      <c r="AF424" s="137">
        <v>21</v>
      </c>
      <c r="AG424" s="137">
        <v>46</v>
      </c>
      <c r="AH424" s="137">
        <v>40</v>
      </c>
      <c r="AI424" s="208">
        <v>5</v>
      </c>
      <c r="AJ424" s="172">
        <v>3000</v>
      </c>
      <c r="AK424" s="172">
        <f>AK419+6</f>
        <v>30506</v>
      </c>
      <c r="AL424" s="172">
        <v>2000</v>
      </c>
      <c r="AM424" s="172">
        <f>AM419+6</f>
        <v>30509</v>
      </c>
      <c r="AN424" s="172">
        <v>0</v>
      </c>
      <c r="AO424" s="172">
        <f t="shared" si="54"/>
        <v>34506</v>
      </c>
      <c r="AP424" s="172">
        <v>0</v>
      </c>
      <c r="AQ424" s="172">
        <f t="shared" si="55"/>
        <v>34509</v>
      </c>
      <c r="AR424" s="172">
        <v>1</v>
      </c>
      <c r="AS424" s="172">
        <v>0</v>
      </c>
      <c r="AT424" s="195">
        <f t="shared" si="57"/>
        <v>78085</v>
      </c>
      <c r="AU424" s="195" t="s">
        <v>1023</v>
      </c>
    </row>
    <row r="425" spans="1:47" x14ac:dyDescent="0.2">
      <c r="A425" s="173">
        <f t="shared" si="56"/>
        <v>55085</v>
      </c>
      <c r="B425" s="174" t="s">
        <v>1001</v>
      </c>
      <c r="C425" s="172">
        <v>86085</v>
      </c>
      <c r="D425" s="172">
        <v>150085</v>
      </c>
      <c r="E425" s="206" t="s">
        <v>1000</v>
      </c>
      <c r="F425" s="208">
        <v>5</v>
      </c>
      <c r="G425" s="172">
        <v>13000</v>
      </c>
      <c r="H425" s="172">
        <v>9000</v>
      </c>
      <c r="I425" s="172">
        <v>10000</v>
      </c>
      <c r="J425" s="172">
        <v>4</v>
      </c>
      <c r="K425" s="190">
        <f>IF($J425=1,INDEX('큐펫&amp;몹 정리(최신)'!P:P,MATCH($E425,'큐펫&amp;몹 정리(최신)'!$B:$B,0))*20,IF($J425=2,INDEX('큐펫&amp;몹 정리(최신)'!P:P,MATCH($E425,'큐펫&amp;몹 정리(최신)'!$B:$B,0))*25,IF($J425=3,INDEX('큐펫&amp;몹 정리(최신)'!P:P,MATCH($E425,'큐펫&amp;몹 정리(최신)'!$B:$B,0))*30,IF($J425=4,INDEX('큐펫&amp;몹 정리(최신)'!P:P,MATCH($E425,'큐펫&amp;몹 정리(최신)'!$B:$B,0))*35,INDEX('큐펫&amp;몹 정리(최신)'!P:P,MATCH($E425,'큐펫&amp;몹 정리(최신)'!$B:$B,0))*40))))</f>
        <v>1575</v>
      </c>
      <c r="L425" s="190">
        <f>IF($J425=1,INDEX('큐펫&amp;몹 정리(최신)'!Q:Q,MATCH($E425,'큐펫&amp;몹 정리(최신)'!$B:$B,0))*20,IF($J425=2,INDEX('큐펫&amp;몹 정리(최신)'!Q:Q,MATCH($E425,'큐펫&amp;몹 정리(최신)'!$B:$B,0))*25,IF($J425=3,INDEX('큐펫&amp;몹 정리(최신)'!Q:Q,MATCH($E425,'큐펫&amp;몹 정리(최신)'!$B:$B,0))*30,IF($J425=4,INDEX('큐펫&amp;몹 정리(최신)'!Q:Q,MATCH($E425,'큐펫&amp;몹 정리(최신)'!$B:$B,0))*35,INDEX('큐펫&amp;몹 정리(최신)'!Q:Q,MATCH($E425,'큐펫&amp;몹 정리(최신)'!$B:$B,0))*40))))</f>
        <v>245</v>
      </c>
      <c r="M425" s="190">
        <f>IF($J425=1,INDEX('큐펫&amp;몹 정리(최신)'!R:R,MATCH($E425,'큐펫&amp;몹 정리(최신)'!$B:$B,0))*20,IF($J425=2,INDEX('큐펫&amp;몹 정리(최신)'!R:R,MATCH($E425,'큐펫&amp;몹 정리(최신)'!$B:$B,0))*25,IF($J425=3,INDEX('큐펫&amp;몹 정리(최신)'!R:R,MATCH($E425,'큐펫&amp;몹 정리(최신)'!$B:$B,0))*30,IF($J425=4,INDEX('큐펫&amp;몹 정리(최신)'!R:R,MATCH($E425,'큐펫&amp;몹 정리(최신)'!$B:$B,0))*35,INDEX('큐펫&amp;몹 정리(최신)'!R:R,MATCH($E425,'큐펫&amp;몹 정리(최신)'!$B:$B,0))*40))))</f>
        <v>175</v>
      </c>
      <c r="N425" s="190">
        <f>IF($J425=1,INDEX('큐펫&amp;몹 정리(최신)'!S:S,MATCH($E425,'큐펫&amp;몹 정리(최신)'!$B:$B,0))*20,IF($J425=2,INDEX('큐펫&amp;몹 정리(최신)'!S:S,MATCH($E425,'큐펫&amp;몹 정리(최신)'!$B:$B,0))*25,IF($J425=3,INDEX('큐펫&amp;몹 정리(최신)'!S:S,MATCH($E425,'큐펫&amp;몹 정리(최신)'!$B:$B,0))*30,IF($J425=4,INDEX('큐펫&amp;몹 정리(최신)'!S:S,MATCH($E425,'큐펫&amp;몹 정리(최신)'!$B:$B,0))*35,INDEX('큐펫&amp;몹 정리(최신)'!S:S,MATCH($E425,'큐펫&amp;몹 정리(최신)'!$B:$B,0))*40))))</f>
        <v>700</v>
      </c>
      <c r="O425" s="190">
        <f>IF($J425=1,INDEX('큐펫&amp;몹 정리(최신)'!T:T,MATCH($E425,'큐펫&amp;몹 정리(최신)'!$B:$B,0))*20,IF($J425=2,INDEX('큐펫&amp;몹 정리(최신)'!T:T,MATCH($E425,'큐펫&amp;몹 정리(최신)'!$B:$B,0))*25,IF($J425=3,INDEX('큐펫&amp;몹 정리(최신)'!T:T,MATCH($E425,'큐펫&amp;몹 정리(최신)'!$B:$B,0))*30,IF($J425=4,INDEX('큐펫&amp;몹 정리(최신)'!T:T,MATCH($E425,'큐펫&amp;몹 정리(최신)'!$B:$B,0))*35,INDEX('큐펫&amp;몹 정리(최신)'!T:T,MATCH($E425,'큐펫&amp;몹 정리(최신)'!$B:$B,0))*40))))</f>
        <v>805</v>
      </c>
      <c r="P425" s="217">
        <v>80</v>
      </c>
      <c r="Q425" s="217">
        <f t="shared" si="48"/>
        <v>201840</v>
      </c>
      <c r="R425" s="217">
        <f t="shared" si="49"/>
        <v>2486</v>
      </c>
      <c r="S425" s="217">
        <f t="shared" si="50"/>
        <v>12204</v>
      </c>
      <c r="T425" s="217">
        <f t="shared" si="51"/>
        <v>2155</v>
      </c>
      <c r="U425" s="217">
        <f t="shared" si="52"/>
        <v>46912</v>
      </c>
      <c r="V425" s="217">
        <f t="shared" si="53"/>
        <v>27001</v>
      </c>
      <c r="W425" s="217">
        <f>ROUND(AC425+(INDEX(Ref!B$1:B$9,MATCH($AI425,Ref!$A$1:$A$9,0))*P425*0.0001),)</f>
        <v>31</v>
      </c>
      <c r="X425" s="217">
        <f>ROUND(AD425+(INDEX(Ref!C$1:C$9,MATCH($AI425,Ref!$A$1:$A$9,0))*$P425*0.0001),)</f>
        <v>54</v>
      </c>
      <c r="Y425" s="217">
        <f>ROUND(AE425+(INDEX(Ref!D$1:D$9,MATCH($AI425,Ref!$A$1:$A$9,0))*$P425*0.0001),)</f>
        <v>54</v>
      </c>
      <c r="Z425" s="217">
        <f>ROUND(AF425+(INDEX(Ref!E$1:E$9,MATCH($AI425,Ref!$A$1:$A$9,0))*$P425*0.0001),)</f>
        <v>34</v>
      </c>
      <c r="AA425" s="217">
        <f>ROUND(AG425+(INDEX(Ref!F$1:F$9,MATCH($AI425,Ref!$A$1:$A$9,0))*$P425*0.0001),)</f>
        <v>70</v>
      </c>
      <c r="AB425" s="217">
        <f>ROUND(AH425+(INDEX(Ref!G$1:G$9,MATCH($AI425,Ref!$A$1:$A$9,0))*$P425*0.0001),)</f>
        <v>61</v>
      </c>
      <c r="AC425" s="137">
        <v>22</v>
      </c>
      <c r="AD425" s="137">
        <v>39</v>
      </c>
      <c r="AE425" s="137">
        <v>44</v>
      </c>
      <c r="AF425" s="137">
        <v>24</v>
      </c>
      <c r="AG425" s="137">
        <v>51</v>
      </c>
      <c r="AH425" s="137">
        <v>44</v>
      </c>
      <c r="AI425" s="208">
        <v>5</v>
      </c>
      <c r="AJ425" s="172">
        <v>3000</v>
      </c>
      <c r="AK425" s="172">
        <f>AK420+6</f>
        <v>30507</v>
      </c>
      <c r="AL425" s="172">
        <v>2000</v>
      </c>
      <c r="AM425" s="172">
        <f>AM420+6</f>
        <v>30509</v>
      </c>
      <c r="AN425" s="172">
        <v>0</v>
      </c>
      <c r="AO425" s="172">
        <f t="shared" si="54"/>
        <v>34507</v>
      </c>
      <c r="AP425" s="172">
        <v>0</v>
      </c>
      <c r="AQ425" s="172">
        <f t="shared" si="55"/>
        <v>34509</v>
      </c>
      <c r="AR425" s="172">
        <v>1</v>
      </c>
      <c r="AS425" s="172">
        <v>0</v>
      </c>
      <c r="AT425" s="195">
        <f t="shared" si="57"/>
        <v>78085</v>
      </c>
      <c r="AU425" s="195" t="s">
        <v>1023</v>
      </c>
    </row>
    <row r="426" spans="1:47" x14ac:dyDescent="0.2">
      <c r="A426" s="173">
        <f t="shared" si="56"/>
        <v>55085</v>
      </c>
      <c r="B426" s="174" t="s">
        <v>1001</v>
      </c>
      <c r="C426" s="172">
        <v>86085</v>
      </c>
      <c r="D426" s="172">
        <v>150085</v>
      </c>
      <c r="E426" s="206" t="s">
        <v>1000</v>
      </c>
      <c r="F426" s="208">
        <v>5</v>
      </c>
      <c r="G426" s="172">
        <v>13000</v>
      </c>
      <c r="H426" s="172">
        <v>9000</v>
      </c>
      <c r="I426" s="172">
        <v>10000</v>
      </c>
      <c r="J426" s="172">
        <v>5</v>
      </c>
      <c r="K426" s="190">
        <f>IF($J426=1,INDEX('큐펫&amp;몹 정리(최신)'!P:P,MATCH($E426,'큐펫&amp;몹 정리(최신)'!$B:$B,0))*20,IF($J426=2,INDEX('큐펫&amp;몹 정리(최신)'!P:P,MATCH($E426,'큐펫&amp;몹 정리(최신)'!$B:$B,0))*25,IF($J426=3,INDEX('큐펫&amp;몹 정리(최신)'!P:P,MATCH($E426,'큐펫&amp;몹 정리(최신)'!$B:$B,0))*30,IF($J426=4,INDEX('큐펫&amp;몹 정리(최신)'!P:P,MATCH($E426,'큐펫&amp;몹 정리(최신)'!$B:$B,0))*35,INDEX('큐펫&amp;몹 정리(최신)'!P:P,MATCH($E426,'큐펫&amp;몹 정리(최신)'!$B:$B,0))*40))))</f>
        <v>1800</v>
      </c>
      <c r="L426" s="190">
        <f>IF($J426=1,INDEX('큐펫&amp;몹 정리(최신)'!Q:Q,MATCH($E426,'큐펫&amp;몹 정리(최신)'!$B:$B,0))*20,IF($J426=2,INDEX('큐펫&amp;몹 정리(최신)'!Q:Q,MATCH($E426,'큐펫&amp;몹 정리(최신)'!$B:$B,0))*25,IF($J426=3,INDEX('큐펫&amp;몹 정리(최신)'!Q:Q,MATCH($E426,'큐펫&amp;몹 정리(최신)'!$B:$B,0))*30,IF($J426=4,INDEX('큐펫&amp;몹 정리(최신)'!Q:Q,MATCH($E426,'큐펫&amp;몹 정리(최신)'!$B:$B,0))*35,INDEX('큐펫&amp;몹 정리(최신)'!Q:Q,MATCH($E426,'큐펫&amp;몹 정리(최신)'!$B:$B,0))*40))))</f>
        <v>280</v>
      </c>
      <c r="M426" s="190">
        <f>IF($J426=1,INDEX('큐펫&amp;몹 정리(최신)'!R:R,MATCH($E426,'큐펫&amp;몹 정리(최신)'!$B:$B,0))*20,IF($J426=2,INDEX('큐펫&amp;몹 정리(최신)'!R:R,MATCH($E426,'큐펫&amp;몹 정리(최신)'!$B:$B,0))*25,IF($J426=3,INDEX('큐펫&amp;몹 정리(최신)'!R:R,MATCH($E426,'큐펫&amp;몹 정리(최신)'!$B:$B,0))*30,IF($J426=4,INDEX('큐펫&amp;몹 정리(최신)'!R:R,MATCH($E426,'큐펫&amp;몹 정리(최신)'!$B:$B,0))*35,INDEX('큐펫&amp;몹 정리(최신)'!R:R,MATCH($E426,'큐펫&amp;몹 정리(최신)'!$B:$B,0))*40))))</f>
        <v>200</v>
      </c>
      <c r="N426" s="190">
        <f>IF($J426=1,INDEX('큐펫&amp;몹 정리(최신)'!S:S,MATCH($E426,'큐펫&amp;몹 정리(최신)'!$B:$B,0))*20,IF($J426=2,INDEX('큐펫&amp;몹 정리(최신)'!S:S,MATCH($E426,'큐펫&amp;몹 정리(최신)'!$B:$B,0))*25,IF($J426=3,INDEX('큐펫&amp;몹 정리(최신)'!S:S,MATCH($E426,'큐펫&amp;몹 정리(최신)'!$B:$B,0))*30,IF($J426=4,INDEX('큐펫&amp;몹 정리(최신)'!S:S,MATCH($E426,'큐펫&amp;몹 정리(최신)'!$B:$B,0))*35,INDEX('큐펫&amp;몹 정리(최신)'!S:S,MATCH($E426,'큐펫&amp;몹 정리(최신)'!$B:$B,0))*40))))</f>
        <v>800</v>
      </c>
      <c r="O426" s="190">
        <f>IF($J426=1,INDEX('큐펫&amp;몹 정리(최신)'!T:T,MATCH($E426,'큐펫&amp;몹 정리(최신)'!$B:$B,0))*20,IF($J426=2,INDEX('큐펫&amp;몹 정리(최신)'!T:T,MATCH($E426,'큐펫&amp;몹 정리(최신)'!$B:$B,0))*25,IF($J426=3,INDEX('큐펫&amp;몹 정리(최신)'!T:T,MATCH($E426,'큐펫&amp;몹 정리(최신)'!$B:$B,0))*30,IF($J426=4,INDEX('큐펫&amp;몹 정리(최신)'!T:T,MATCH($E426,'큐펫&amp;몹 정리(최신)'!$B:$B,0))*35,INDEX('큐펫&amp;몹 정리(최신)'!T:T,MATCH($E426,'큐펫&amp;몹 정리(최신)'!$B:$B,0))*40))))</f>
        <v>920</v>
      </c>
      <c r="P426" s="217">
        <v>100</v>
      </c>
      <c r="Q426" s="217">
        <f t="shared" si="48"/>
        <v>297000</v>
      </c>
      <c r="R426" s="217">
        <f t="shared" si="49"/>
        <v>3583</v>
      </c>
      <c r="S426" s="217">
        <f t="shared" si="50"/>
        <v>18152</v>
      </c>
      <c r="T426" s="217">
        <f t="shared" si="51"/>
        <v>3041</v>
      </c>
      <c r="U426" s="217">
        <f t="shared" si="52"/>
        <v>64014</v>
      </c>
      <c r="V426" s="217">
        <f t="shared" si="53"/>
        <v>36838</v>
      </c>
      <c r="W426" s="217">
        <f>ROUND(AC426+(INDEX(Ref!B$1:B$9,MATCH($AI426,Ref!$A$1:$A$9,0))*P426*0.0001),)</f>
        <v>35</v>
      </c>
      <c r="X426" s="217">
        <f>ROUND(AD426+(INDEX(Ref!C$1:C$9,MATCH($AI426,Ref!$A$1:$A$9,0))*$P426*0.0001),)</f>
        <v>62</v>
      </c>
      <c r="Y426" s="217">
        <f>ROUND(AE426+(INDEX(Ref!D$1:D$9,MATCH($AI426,Ref!$A$1:$A$9,0))*$P426*0.0001),)</f>
        <v>60</v>
      </c>
      <c r="Z426" s="217">
        <f>ROUND(AF426+(INDEX(Ref!E$1:E$9,MATCH($AI426,Ref!$A$1:$A$9,0))*$P426*0.0001),)</f>
        <v>38</v>
      </c>
      <c r="AA426" s="217">
        <f>ROUND(AG426+(INDEX(Ref!F$1:F$9,MATCH($AI426,Ref!$A$1:$A$9,0))*$P426*0.0001),)</f>
        <v>80</v>
      </c>
      <c r="AB426" s="217">
        <f>ROUND(AH426+(INDEX(Ref!G$1:G$9,MATCH($AI426,Ref!$A$1:$A$9,0))*$P426*0.0001),)</f>
        <v>69</v>
      </c>
      <c r="AC426" s="137">
        <v>24</v>
      </c>
      <c r="AD426" s="137">
        <v>43</v>
      </c>
      <c r="AE426" s="137">
        <v>47</v>
      </c>
      <c r="AF426" s="137">
        <v>26</v>
      </c>
      <c r="AG426" s="137">
        <v>56</v>
      </c>
      <c r="AH426" s="137">
        <v>48</v>
      </c>
      <c r="AI426" s="208">
        <v>5</v>
      </c>
      <c r="AJ426" s="172">
        <v>3000</v>
      </c>
      <c r="AK426" s="172">
        <f>AK421+6</f>
        <v>30507</v>
      </c>
      <c r="AL426" s="172">
        <v>2000</v>
      </c>
      <c r="AM426" s="172">
        <f>AM421+6</f>
        <v>30510</v>
      </c>
      <c r="AN426" s="172">
        <v>0</v>
      </c>
      <c r="AO426" s="172">
        <f t="shared" si="54"/>
        <v>34507</v>
      </c>
      <c r="AP426" s="172">
        <v>0</v>
      </c>
      <c r="AQ426" s="172">
        <f t="shared" si="55"/>
        <v>34510</v>
      </c>
      <c r="AR426" s="172">
        <v>1</v>
      </c>
      <c r="AS426" s="172">
        <v>0</v>
      </c>
      <c r="AT426" s="195">
        <f t="shared" si="57"/>
        <v>78085</v>
      </c>
      <c r="AU426" s="195" t="s">
        <v>1023</v>
      </c>
    </row>
    <row r="427" spans="1:47" x14ac:dyDescent="0.2">
      <c r="A427" s="173">
        <f t="shared" si="56"/>
        <v>55086</v>
      </c>
      <c r="B427" s="174" t="s">
        <v>1002</v>
      </c>
      <c r="C427" s="172">
        <v>86086</v>
      </c>
      <c r="D427" s="172">
        <v>150086</v>
      </c>
      <c r="E427" s="206" t="s">
        <v>1013</v>
      </c>
      <c r="F427" s="208">
        <v>2</v>
      </c>
      <c r="G427" s="173">
        <v>11500</v>
      </c>
      <c r="H427" s="173">
        <v>9500</v>
      </c>
      <c r="I427" s="172">
        <v>10000</v>
      </c>
      <c r="J427" s="172">
        <v>1</v>
      </c>
      <c r="K427" s="190">
        <f>IF($J427=1,INDEX('큐펫&amp;몹 정리(최신)'!P:P,MATCH($E427,'큐펫&amp;몹 정리(최신)'!$B:$B,0))*20,IF($J427=2,INDEX('큐펫&amp;몹 정리(최신)'!P:P,MATCH($E427,'큐펫&amp;몹 정리(최신)'!$B:$B,0))*25,IF($J427=3,INDEX('큐펫&amp;몹 정리(최신)'!P:P,MATCH($E427,'큐펫&amp;몹 정리(최신)'!$B:$B,0))*30,IF($J427=4,INDEX('큐펫&amp;몹 정리(최신)'!P:P,MATCH($E427,'큐펫&amp;몹 정리(최신)'!$B:$B,0))*35,INDEX('큐펫&amp;몹 정리(최신)'!P:P,MATCH($E427,'큐펫&amp;몹 정리(최신)'!$B:$B,0))*40))))</f>
        <v>800</v>
      </c>
      <c r="L427" s="190">
        <f>IF($J427=1,INDEX('큐펫&amp;몹 정리(최신)'!Q:Q,MATCH($E427,'큐펫&amp;몹 정리(최신)'!$B:$B,0))*20,IF($J427=2,INDEX('큐펫&amp;몹 정리(최신)'!Q:Q,MATCH($E427,'큐펫&amp;몹 정리(최신)'!$B:$B,0))*25,IF($J427=3,INDEX('큐펫&amp;몹 정리(최신)'!Q:Q,MATCH($E427,'큐펫&amp;몹 정리(최신)'!$B:$B,0))*30,IF($J427=4,INDEX('큐펫&amp;몹 정리(최신)'!Q:Q,MATCH($E427,'큐펫&amp;몹 정리(최신)'!$B:$B,0))*35,INDEX('큐펫&amp;몹 정리(최신)'!Q:Q,MATCH($E427,'큐펫&amp;몹 정리(최신)'!$B:$B,0))*40))))</f>
        <v>100</v>
      </c>
      <c r="M427" s="190">
        <f>IF($J427=1,INDEX('큐펫&amp;몹 정리(최신)'!R:R,MATCH($E427,'큐펫&amp;몹 정리(최신)'!$B:$B,0))*20,IF($J427=2,INDEX('큐펫&amp;몹 정리(최신)'!R:R,MATCH($E427,'큐펫&amp;몹 정리(최신)'!$B:$B,0))*25,IF($J427=3,INDEX('큐펫&amp;몹 정리(최신)'!R:R,MATCH($E427,'큐펫&amp;몹 정리(최신)'!$B:$B,0))*30,IF($J427=4,INDEX('큐펫&amp;몹 정리(최신)'!R:R,MATCH($E427,'큐펫&amp;몹 정리(최신)'!$B:$B,0))*35,INDEX('큐펫&amp;몹 정리(최신)'!R:R,MATCH($E427,'큐펫&amp;몹 정리(최신)'!$B:$B,0))*40))))</f>
        <v>440</v>
      </c>
      <c r="N427" s="190">
        <f>IF($J427=1,INDEX('큐펫&amp;몹 정리(최신)'!S:S,MATCH($E427,'큐펫&amp;몹 정리(최신)'!$B:$B,0))*20,IF($J427=2,INDEX('큐펫&amp;몹 정리(최신)'!S:S,MATCH($E427,'큐펫&amp;몹 정리(최신)'!$B:$B,0))*25,IF($J427=3,INDEX('큐펫&amp;몹 정리(최신)'!S:S,MATCH($E427,'큐펫&amp;몹 정리(최신)'!$B:$B,0))*30,IF($J427=4,INDEX('큐펫&amp;몹 정리(최신)'!S:S,MATCH($E427,'큐펫&amp;몹 정리(최신)'!$B:$B,0))*35,INDEX('큐펫&amp;몹 정리(최신)'!S:S,MATCH($E427,'큐펫&amp;몹 정리(최신)'!$B:$B,0))*40))))</f>
        <v>240</v>
      </c>
      <c r="O427" s="190">
        <f>IF($J427=1,INDEX('큐펫&amp;몹 정리(최신)'!T:T,MATCH($E427,'큐펫&amp;몹 정리(최신)'!$B:$B,0))*20,IF($J427=2,INDEX('큐펫&amp;몹 정리(최신)'!T:T,MATCH($E427,'큐펫&amp;몹 정리(최신)'!$B:$B,0))*25,IF($J427=3,INDEX('큐펫&amp;몹 정리(최신)'!T:T,MATCH($E427,'큐펫&amp;몹 정리(최신)'!$B:$B,0))*30,IF($J427=4,INDEX('큐펫&amp;몹 정리(최신)'!T:T,MATCH($E427,'큐펫&amp;몹 정리(최신)'!$B:$B,0))*35,INDEX('큐펫&amp;몹 정리(최신)'!T:T,MATCH($E427,'큐펫&amp;몹 정리(최신)'!$B:$B,0))*40))))</f>
        <v>420</v>
      </c>
      <c r="P427" s="217">
        <v>20</v>
      </c>
      <c r="Q427" s="217">
        <f t="shared" si="48"/>
        <v>28320</v>
      </c>
      <c r="R427" s="217">
        <f t="shared" si="49"/>
        <v>418</v>
      </c>
      <c r="S427" s="217">
        <f t="shared" si="50"/>
        <v>593</v>
      </c>
      <c r="T427" s="217">
        <f t="shared" si="51"/>
        <v>8239</v>
      </c>
      <c r="U427" s="217">
        <f t="shared" si="52"/>
        <v>8646</v>
      </c>
      <c r="V427" s="217">
        <f t="shared" si="53"/>
        <v>7603</v>
      </c>
      <c r="W427" s="217">
        <f>ROUND(AC427+(INDEX(Ref!B$1:B$9,MATCH($AI427,Ref!$A$1:$A$9,0))*P427*0.0001),)</f>
        <v>19</v>
      </c>
      <c r="X427" s="217">
        <f>ROUND(AD427+(INDEX(Ref!C$1:C$9,MATCH($AI427,Ref!$A$1:$A$9,0))*$P427*0.0001),)</f>
        <v>26</v>
      </c>
      <c r="Y427" s="217">
        <f>ROUND(AE427+(INDEX(Ref!D$1:D$9,MATCH($AI427,Ref!$A$1:$A$9,0))*$P427*0.0001),)</f>
        <v>52</v>
      </c>
      <c r="Z427" s="217">
        <f>ROUND(AF427+(INDEX(Ref!E$1:E$9,MATCH($AI427,Ref!$A$1:$A$9,0))*$P427*0.0001),)</f>
        <v>43</v>
      </c>
      <c r="AA427" s="217">
        <f>ROUND(AG427+(INDEX(Ref!F$1:F$9,MATCH($AI427,Ref!$A$1:$A$9,0))*$P427*0.0001),)</f>
        <v>23</v>
      </c>
      <c r="AB427" s="217">
        <f>ROUND(AH427+(INDEX(Ref!G$1:G$9,MATCH($AI427,Ref!$A$1:$A$9,0))*$P427*0.0001),)</f>
        <v>21</v>
      </c>
      <c r="AC427" s="137">
        <v>17</v>
      </c>
      <c r="AD427" s="137">
        <v>23</v>
      </c>
      <c r="AE427" s="137">
        <v>48</v>
      </c>
      <c r="AF427" s="137">
        <v>38</v>
      </c>
      <c r="AG427" s="137">
        <v>20</v>
      </c>
      <c r="AH427" s="137">
        <v>18</v>
      </c>
      <c r="AI427" s="208">
        <v>2</v>
      </c>
      <c r="AJ427" s="172">
        <v>3000</v>
      </c>
      <c r="AK427" s="172">
        <f t="shared" ref="AK427:AK481" si="58">AK422+6</f>
        <v>30511</v>
      </c>
      <c r="AL427" s="172">
        <v>2000</v>
      </c>
      <c r="AM427" s="172">
        <f t="shared" ref="AM427:AM481" si="59">AM422+6</f>
        <v>30514</v>
      </c>
      <c r="AN427" s="172">
        <v>0</v>
      </c>
      <c r="AO427" s="172">
        <f t="shared" si="54"/>
        <v>34511</v>
      </c>
      <c r="AP427" s="172">
        <v>0</v>
      </c>
      <c r="AQ427" s="172">
        <f t="shared" si="55"/>
        <v>34514</v>
      </c>
      <c r="AR427" s="172">
        <v>1</v>
      </c>
      <c r="AS427" s="172">
        <v>0</v>
      </c>
      <c r="AT427" s="195">
        <f t="shared" si="57"/>
        <v>78086</v>
      </c>
      <c r="AU427" s="195" t="s">
        <v>1024</v>
      </c>
    </row>
    <row r="428" spans="1:47" x14ac:dyDescent="0.2">
      <c r="A428" s="173">
        <f t="shared" si="56"/>
        <v>55086</v>
      </c>
      <c r="B428" s="174" t="s">
        <v>1002</v>
      </c>
      <c r="C428" s="172">
        <v>86086</v>
      </c>
      <c r="D428" s="172">
        <v>150086</v>
      </c>
      <c r="E428" s="206" t="s">
        <v>1013</v>
      </c>
      <c r="F428" s="208">
        <v>2</v>
      </c>
      <c r="G428" s="173">
        <v>11500</v>
      </c>
      <c r="H428" s="173">
        <v>9500</v>
      </c>
      <c r="I428" s="172">
        <v>10000</v>
      </c>
      <c r="J428" s="172">
        <v>2</v>
      </c>
      <c r="K428" s="190">
        <f>IF($J428=1,INDEX('큐펫&amp;몹 정리(최신)'!P:P,MATCH($E428,'큐펫&amp;몹 정리(최신)'!$B:$B,0))*20,IF($J428=2,INDEX('큐펫&amp;몹 정리(최신)'!P:P,MATCH($E428,'큐펫&amp;몹 정리(최신)'!$B:$B,0))*25,IF($J428=3,INDEX('큐펫&amp;몹 정리(최신)'!P:P,MATCH($E428,'큐펫&amp;몹 정리(최신)'!$B:$B,0))*30,IF($J428=4,INDEX('큐펫&amp;몹 정리(최신)'!P:P,MATCH($E428,'큐펫&amp;몹 정리(최신)'!$B:$B,0))*35,INDEX('큐펫&amp;몹 정리(최신)'!P:P,MATCH($E428,'큐펫&amp;몹 정리(최신)'!$B:$B,0))*40))))</f>
        <v>1000</v>
      </c>
      <c r="L428" s="190">
        <f>IF($J428=1,INDEX('큐펫&amp;몹 정리(최신)'!Q:Q,MATCH($E428,'큐펫&amp;몹 정리(최신)'!$B:$B,0))*20,IF($J428=2,INDEX('큐펫&amp;몹 정리(최신)'!Q:Q,MATCH($E428,'큐펫&amp;몹 정리(최신)'!$B:$B,0))*25,IF($J428=3,INDEX('큐펫&amp;몹 정리(최신)'!Q:Q,MATCH($E428,'큐펫&amp;몹 정리(최신)'!$B:$B,0))*30,IF($J428=4,INDEX('큐펫&amp;몹 정리(최신)'!Q:Q,MATCH($E428,'큐펫&amp;몹 정리(최신)'!$B:$B,0))*35,INDEX('큐펫&amp;몹 정리(최신)'!Q:Q,MATCH($E428,'큐펫&amp;몹 정리(최신)'!$B:$B,0))*40))))</f>
        <v>125</v>
      </c>
      <c r="M428" s="190">
        <f>IF($J428=1,INDEX('큐펫&amp;몹 정리(최신)'!R:R,MATCH($E428,'큐펫&amp;몹 정리(최신)'!$B:$B,0))*20,IF($J428=2,INDEX('큐펫&amp;몹 정리(최신)'!R:R,MATCH($E428,'큐펫&amp;몹 정리(최신)'!$B:$B,0))*25,IF($J428=3,INDEX('큐펫&amp;몹 정리(최신)'!R:R,MATCH($E428,'큐펫&amp;몹 정리(최신)'!$B:$B,0))*30,IF($J428=4,INDEX('큐펫&amp;몹 정리(최신)'!R:R,MATCH($E428,'큐펫&amp;몹 정리(최신)'!$B:$B,0))*35,INDEX('큐펫&amp;몹 정리(최신)'!R:R,MATCH($E428,'큐펫&amp;몹 정리(최신)'!$B:$B,0))*40))))</f>
        <v>550</v>
      </c>
      <c r="N428" s="190">
        <f>IF($J428=1,INDEX('큐펫&amp;몹 정리(최신)'!S:S,MATCH($E428,'큐펫&amp;몹 정리(최신)'!$B:$B,0))*20,IF($J428=2,INDEX('큐펫&amp;몹 정리(최신)'!S:S,MATCH($E428,'큐펫&amp;몹 정리(최신)'!$B:$B,0))*25,IF($J428=3,INDEX('큐펫&amp;몹 정리(최신)'!S:S,MATCH($E428,'큐펫&amp;몹 정리(최신)'!$B:$B,0))*30,IF($J428=4,INDEX('큐펫&amp;몹 정리(최신)'!S:S,MATCH($E428,'큐펫&amp;몹 정리(최신)'!$B:$B,0))*35,INDEX('큐펫&amp;몹 정리(최신)'!S:S,MATCH($E428,'큐펫&amp;몹 정리(최신)'!$B:$B,0))*40))))</f>
        <v>300</v>
      </c>
      <c r="O428" s="190">
        <f>IF($J428=1,INDEX('큐펫&amp;몹 정리(최신)'!T:T,MATCH($E428,'큐펫&amp;몹 정리(최신)'!$B:$B,0))*20,IF($J428=2,INDEX('큐펫&amp;몹 정리(최신)'!T:T,MATCH($E428,'큐펫&amp;몹 정리(최신)'!$B:$B,0))*25,IF($J428=3,INDEX('큐펫&amp;몹 정리(최신)'!T:T,MATCH($E428,'큐펫&amp;몹 정리(최신)'!$B:$B,0))*30,IF($J428=4,INDEX('큐펫&amp;몹 정리(최신)'!T:T,MATCH($E428,'큐펫&amp;몹 정리(최신)'!$B:$B,0))*35,INDEX('큐펫&amp;몹 정리(최신)'!T:T,MATCH($E428,'큐펫&amp;몹 정리(최신)'!$B:$B,0))*40))))</f>
        <v>525</v>
      </c>
      <c r="P428" s="217">
        <v>40</v>
      </c>
      <c r="Q428" s="217">
        <f t="shared" si="48"/>
        <v>69000</v>
      </c>
      <c r="R428" s="217">
        <f t="shared" si="49"/>
        <v>800</v>
      </c>
      <c r="S428" s="217">
        <f t="shared" si="50"/>
        <v>1140</v>
      </c>
      <c r="T428" s="217">
        <f t="shared" si="51"/>
        <v>15585</v>
      </c>
      <c r="U428" s="217">
        <f t="shared" si="52"/>
        <v>15009</v>
      </c>
      <c r="V428" s="217">
        <f t="shared" si="53"/>
        <v>13178</v>
      </c>
      <c r="W428" s="217">
        <f>ROUND(AC428+(INDEX(Ref!B$1:B$9,MATCH($AI428,Ref!$A$1:$A$9,0))*P428*0.0001),)</f>
        <v>24</v>
      </c>
      <c r="X428" s="217">
        <f>ROUND(AD428+(INDEX(Ref!C$1:C$9,MATCH($AI428,Ref!$A$1:$A$9,0))*$P428*0.0001),)</f>
        <v>32</v>
      </c>
      <c r="Y428" s="217">
        <f>ROUND(AE428+(INDEX(Ref!D$1:D$9,MATCH($AI428,Ref!$A$1:$A$9,0))*$P428*0.0001),)</f>
        <v>60</v>
      </c>
      <c r="Z428" s="217">
        <f>ROUND(AF428+(INDEX(Ref!E$1:E$9,MATCH($AI428,Ref!$A$1:$A$9,0))*$P428*0.0001),)</f>
        <v>53</v>
      </c>
      <c r="AA428" s="217">
        <f>ROUND(AG428+(INDEX(Ref!F$1:F$9,MATCH($AI428,Ref!$A$1:$A$9,0))*$P428*0.0001),)</f>
        <v>29</v>
      </c>
      <c r="AB428" s="217">
        <f>ROUND(AH428+(INDEX(Ref!G$1:G$9,MATCH($AI428,Ref!$A$1:$A$9,0))*$P428*0.0001),)</f>
        <v>26</v>
      </c>
      <c r="AC428" s="137">
        <v>19</v>
      </c>
      <c r="AD428" s="137">
        <v>26</v>
      </c>
      <c r="AE428" s="137">
        <v>52</v>
      </c>
      <c r="AF428" s="137">
        <v>43</v>
      </c>
      <c r="AG428" s="137">
        <v>23</v>
      </c>
      <c r="AH428" s="137">
        <v>21</v>
      </c>
      <c r="AI428" s="208">
        <v>2</v>
      </c>
      <c r="AJ428" s="172">
        <v>3000</v>
      </c>
      <c r="AK428" s="172">
        <f t="shared" si="58"/>
        <v>30512</v>
      </c>
      <c r="AL428" s="172">
        <v>2000</v>
      </c>
      <c r="AM428" s="172">
        <f t="shared" si="59"/>
        <v>30514</v>
      </c>
      <c r="AN428" s="172">
        <v>0</v>
      </c>
      <c r="AO428" s="172">
        <f t="shared" si="54"/>
        <v>34512</v>
      </c>
      <c r="AP428" s="172">
        <v>0</v>
      </c>
      <c r="AQ428" s="172">
        <f t="shared" si="55"/>
        <v>34514</v>
      </c>
      <c r="AR428" s="172">
        <v>1</v>
      </c>
      <c r="AS428" s="172">
        <v>0</v>
      </c>
      <c r="AT428" s="195">
        <f t="shared" si="57"/>
        <v>78086</v>
      </c>
      <c r="AU428" s="195" t="s">
        <v>1024</v>
      </c>
    </row>
    <row r="429" spans="1:47" x14ac:dyDescent="0.2">
      <c r="A429" s="173">
        <f t="shared" si="56"/>
        <v>55086</v>
      </c>
      <c r="B429" s="174" t="s">
        <v>1002</v>
      </c>
      <c r="C429" s="172">
        <v>86086</v>
      </c>
      <c r="D429" s="172">
        <v>150086</v>
      </c>
      <c r="E429" s="206" t="s">
        <v>1013</v>
      </c>
      <c r="F429" s="208">
        <v>2</v>
      </c>
      <c r="G429" s="173">
        <v>11500</v>
      </c>
      <c r="H429" s="173">
        <v>9500</v>
      </c>
      <c r="I429" s="172">
        <v>10000</v>
      </c>
      <c r="J429" s="172">
        <v>3</v>
      </c>
      <c r="K429" s="190">
        <f>IF($J429=1,INDEX('큐펫&amp;몹 정리(최신)'!P:P,MATCH($E429,'큐펫&amp;몹 정리(최신)'!$B:$B,0))*20,IF($J429=2,INDEX('큐펫&amp;몹 정리(최신)'!P:P,MATCH($E429,'큐펫&amp;몹 정리(최신)'!$B:$B,0))*25,IF($J429=3,INDEX('큐펫&amp;몹 정리(최신)'!P:P,MATCH($E429,'큐펫&amp;몹 정리(최신)'!$B:$B,0))*30,IF($J429=4,INDEX('큐펫&amp;몹 정리(최신)'!P:P,MATCH($E429,'큐펫&amp;몹 정리(최신)'!$B:$B,0))*35,INDEX('큐펫&amp;몹 정리(최신)'!P:P,MATCH($E429,'큐펫&amp;몹 정리(최신)'!$B:$B,0))*40))))</f>
        <v>1200</v>
      </c>
      <c r="L429" s="190">
        <f>IF($J429=1,INDEX('큐펫&amp;몹 정리(최신)'!Q:Q,MATCH($E429,'큐펫&amp;몹 정리(최신)'!$B:$B,0))*20,IF($J429=2,INDEX('큐펫&amp;몹 정리(최신)'!Q:Q,MATCH($E429,'큐펫&amp;몹 정리(최신)'!$B:$B,0))*25,IF($J429=3,INDEX('큐펫&amp;몹 정리(최신)'!Q:Q,MATCH($E429,'큐펫&amp;몹 정리(최신)'!$B:$B,0))*30,IF($J429=4,INDEX('큐펫&amp;몹 정리(최신)'!Q:Q,MATCH($E429,'큐펫&amp;몹 정리(최신)'!$B:$B,0))*35,INDEX('큐펫&amp;몹 정리(최신)'!Q:Q,MATCH($E429,'큐펫&amp;몹 정리(최신)'!$B:$B,0))*40))))</f>
        <v>150</v>
      </c>
      <c r="M429" s="190">
        <f>IF($J429=1,INDEX('큐펫&amp;몹 정리(최신)'!R:R,MATCH($E429,'큐펫&amp;몹 정리(최신)'!$B:$B,0))*20,IF($J429=2,INDEX('큐펫&amp;몹 정리(최신)'!R:R,MATCH($E429,'큐펫&amp;몹 정리(최신)'!$B:$B,0))*25,IF($J429=3,INDEX('큐펫&amp;몹 정리(최신)'!R:R,MATCH($E429,'큐펫&amp;몹 정리(최신)'!$B:$B,0))*30,IF($J429=4,INDEX('큐펫&amp;몹 정리(최신)'!R:R,MATCH($E429,'큐펫&amp;몹 정리(최신)'!$B:$B,0))*35,INDEX('큐펫&amp;몹 정리(최신)'!R:R,MATCH($E429,'큐펫&amp;몹 정리(최신)'!$B:$B,0))*40))))</f>
        <v>660</v>
      </c>
      <c r="N429" s="190">
        <f>IF($J429=1,INDEX('큐펫&amp;몹 정리(최신)'!S:S,MATCH($E429,'큐펫&amp;몹 정리(최신)'!$B:$B,0))*20,IF($J429=2,INDEX('큐펫&amp;몹 정리(최신)'!S:S,MATCH($E429,'큐펫&amp;몹 정리(최신)'!$B:$B,0))*25,IF($J429=3,INDEX('큐펫&amp;몹 정리(최신)'!S:S,MATCH($E429,'큐펫&amp;몹 정리(최신)'!$B:$B,0))*30,IF($J429=4,INDEX('큐펫&amp;몹 정리(최신)'!S:S,MATCH($E429,'큐펫&amp;몹 정리(최신)'!$B:$B,0))*35,INDEX('큐펫&amp;몹 정리(최신)'!S:S,MATCH($E429,'큐펫&amp;몹 정리(최신)'!$B:$B,0))*40))))</f>
        <v>360</v>
      </c>
      <c r="O429" s="190">
        <f>IF($J429=1,INDEX('큐펫&amp;몹 정리(최신)'!T:T,MATCH($E429,'큐펫&amp;몹 정리(최신)'!$B:$B,0))*20,IF($J429=2,INDEX('큐펫&amp;몹 정리(최신)'!T:T,MATCH($E429,'큐펫&amp;몹 정리(최신)'!$B:$B,0))*25,IF($J429=3,INDEX('큐펫&amp;몹 정리(최신)'!T:T,MATCH($E429,'큐펫&amp;몹 정리(최신)'!$B:$B,0))*30,IF($J429=4,INDEX('큐펫&amp;몹 정리(최신)'!T:T,MATCH($E429,'큐펫&amp;몹 정리(최신)'!$B:$B,0))*35,INDEX('큐펫&amp;몹 정리(최신)'!T:T,MATCH($E429,'큐펫&amp;몹 정리(최신)'!$B:$B,0))*40))))</f>
        <v>630</v>
      </c>
      <c r="P429" s="217">
        <v>60</v>
      </c>
      <c r="Q429" s="217">
        <f t="shared" si="48"/>
        <v>126960</v>
      </c>
      <c r="R429" s="217">
        <f t="shared" si="49"/>
        <v>1276</v>
      </c>
      <c r="S429" s="217">
        <f t="shared" si="50"/>
        <v>1845</v>
      </c>
      <c r="T429" s="217">
        <f t="shared" si="51"/>
        <v>26363</v>
      </c>
      <c r="U429" s="217">
        <f t="shared" si="52"/>
        <v>23051</v>
      </c>
      <c r="V429" s="217">
        <f t="shared" si="53"/>
        <v>20223</v>
      </c>
      <c r="W429" s="217">
        <f>ROUND(AC429+(INDEX(Ref!B$1:B$9,MATCH($AI429,Ref!$A$1:$A$9,0))*P429*0.0001),)</f>
        <v>28</v>
      </c>
      <c r="X429" s="217">
        <f>ROUND(AD429+(INDEX(Ref!C$1:C$9,MATCH($AI429,Ref!$A$1:$A$9,0))*$P429*0.0001),)</f>
        <v>40</v>
      </c>
      <c r="Y429" s="217">
        <f>ROUND(AE429+(INDEX(Ref!D$1:D$9,MATCH($AI429,Ref!$A$1:$A$9,0))*$P429*0.0001),)</f>
        <v>68</v>
      </c>
      <c r="Z429" s="217">
        <f>ROUND(AF429+(INDEX(Ref!E$1:E$9,MATCH($AI429,Ref!$A$1:$A$9,0))*$P429*0.0001),)</f>
        <v>63</v>
      </c>
      <c r="AA429" s="217">
        <f>ROUND(AG429+(INDEX(Ref!F$1:F$9,MATCH($AI429,Ref!$A$1:$A$9,0))*$P429*0.0001),)</f>
        <v>34</v>
      </c>
      <c r="AB429" s="217">
        <f>ROUND(AH429+(INDEX(Ref!G$1:G$9,MATCH($AI429,Ref!$A$1:$A$9,0))*$P429*0.0001),)</f>
        <v>31</v>
      </c>
      <c r="AC429" s="137">
        <v>21</v>
      </c>
      <c r="AD429" s="137">
        <v>30</v>
      </c>
      <c r="AE429" s="137">
        <v>56</v>
      </c>
      <c r="AF429" s="137">
        <v>48.000000000000007</v>
      </c>
      <c r="AG429" s="137">
        <v>26</v>
      </c>
      <c r="AH429" s="137">
        <v>23</v>
      </c>
      <c r="AI429" s="208">
        <v>2</v>
      </c>
      <c r="AJ429" s="172">
        <v>3000</v>
      </c>
      <c r="AK429" s="172">
        <f t="shared" si="58"/>
        <v>30512</v>
      </c>
      <c r="AL429" s="172">
        <v>2000</v>
      </c>
      <c r="AM429" s="172">
        <f t="shared" si="59"/>
        <v>30515</v>
      </c>
      <c r="AN429" s="172">
        <v>0</v>
      </c>
      <c r="AO429" s="172">
        <f t="shared" si="54"/>
        <v>34512</v>
      </c>
      <c r="AP429" s="172">
        <v>0</v>
      </c>
      <c r="AQ429" s="172">
        <f t="shared" si="55"/>
        <v>34515</v>
      </c>
      <c r="AR429" s="172">
        <v>1</v>
      </c>
      <c r="AS429" s="172">
        <v>0</v>
      </c>
      <c r="AT429" s="195">
        <f t="shared" si="57"/>
        <v>78086</v>
      </c>
      <c r="AU429" s="195" t="s">
        <v>1024</v>
      </c>
    </row>
    <row r="430" spans="1:47" x14ac:dyDescent="0.2">
      <c r="A430" s="173">
        <f t="shared" si="56"/>
        <v>55086</v>
      </c>
      <c r="B430" s="174" t="s">
        <v>1002</v>
      </c>
      <c r="C430" s="172">
        <v>86086</v>
      </c>
      <c r="D430" s="172">
        <v>150086</v>
      </c>
      <c r="E430" s="206" t="s">
        <v>1013</v>
      </c>
      <c r="F430" s="208">
        <v>2</v>
      </c>
      <c r="G430" s="173">
        <v>11500</v>
      </c>
      <c r="H430" s="173">
        <v>9500</v>
      </c>
      <c r="I430" s="172">
        <v>10000</v>
      </c>
      <c r="J430" s="172">
        <v>4</v>
      </c>
      <c r="K430" s="190">
        <f>IF($J430=1,INDEX('큐펫&amp;몹 정리(최신)'!P:P,MATCH($E430,'큐펫&amp;몹 정리(최신)'!$B:$B,0))*20,IF($J430=2,INDEX('큐펫&amp;몹 정리(최신)'!P:P,MATCH($E430,'큐펫&amp;몹 정리(최신)'!$B:$B,0))*25,IF($J430=3,INDEX('큐펫&amp;몹 정리(최신)'!P:P,MATCH($E430,'큐펫&amp;몹 정리(최신)'!$B:$B,0))*30,IF($J430=4,INDEX('큐펫&amp;몹 정리(최신)'!P:P,MATCH($E430,'큐펫&amp;몹 정리(최신)'!$B:$B,0))*35,INDEX('큐펫&amp;몹 정리(최신)'!P:P,MATCH($E430,'큐펫&amp;몹 정리(최신)'!$B:$B,0))*40))))</f>
        <v>1400</v>
      </c>
      <c r="L430" s="190">
        <f>IF($J430=1,INDEX('큐펫&amp;몹 정리(최신)'!Q:Q,MATCH($E430,'큐펫&amp;몹 정리(최신)'!$B:$B,0))*20,IF($J430=2,INDEX('큐펫&amp;몹 정리(최신)'!Q:Q,MATCH($E430,'큐펫&amp;몹 정리(최신)'!$B:$B,0))*25,IF($J430=3,INDEX('큐펫&amp;몹 정리(최신)'!Q:Q,MATCH($E430,'큐펫&amp;몹 정리(최신)'!$B:$B,0))*30,IF($J430=4,INDEX('큐펫&amp;몹 정리(최신)'!Q:Q,MATCH($E430,'큐펫&amp;몹 정리(최신)'!$B:$B,0))*35,INDEX('큐펫&amp;몹 정리(최신)'!Q:Q,MATCH($E430,'큐펫&amp;몹 정리(최신)'!$B:$B,0))*40))))</f>
        <v>175</v>
      </c>
      <c r="M430" s="190">
        <f>IF($J430=1,INDEX('큐펫&amp;몹 정리(최신)'!R:R,MATCH($E430,'큐펫&amp;몹 정리(최신)'!$B:$B,0))*20,IF($J430=2,INDEX('큐펫&amp;몹 정리(최신)'!R:R,MATCH($E430,'큐펫&amp;몹 정리(최신)'!$B:$B,0))*25,IF($J430=3,INDEX('큐펫&amp;몹 정리(최신)'!R:R,MATCH($E430,'큐펫&amp;몹 정리(최신)'!$B:$B,0))*30,IF($J430=4,INDEX('큐펫&amp;몹 정리(최신)'!R:R,MATCH($E430,'큐펫&amp;몹 정리(최신)'!$B:$B,0))*35,INDEX('큐펫&amp;몹 정리(최신)'!R:R,MATCH($E430,'큐펫&amp;몹 정리(최신)'!$B:$B,0))*40))))</f>
        <v>770</v>
      </c>
      <c r="N430" s="190">
        <f>IF($J430=1,INDEX('큐펫&amp;몹 정리(최신)'!S:S,MATCH($E430,'큐펫&amp;몹 정리(최신)'!$B:$B,0))*20,IF($J430=2,INDEX('큐펫&amp;몹 정리(최신)'!S:S,MATCH($E430,'큐펫&amp;몹 정리(최신)'!$B:$B,0))*25,IF($J430=3,INDEX('큐펫&amp;몹 정리(최신)'!S:S,MATCH($E430,'큐펫&amp;몹 정리(최신)'!$B:$B,0))*30,IF($J430=4,INDEX('큐펫&amp;몹 정리(최신)'!S:S,MATCH($E430,'큐펫&amp;몹 정리(최신)'!$B:$B,0))*35,INDEX('큐펫&amp;몹 정리(최신)'!S:S,MATCH($E430,'큐펫&amp;몹 정리(최신)'!$B:$B,0))*40))))</f>
        <v>420</v>
      </c>
      <c r="O430" s="190">
        <f>IF($J430=1,INDEX('큐펫&amp;몹 정리(최신)'!T:T,MATCH($E430,'큐펫&amp;몹 정리(최신)'!$B:$B,0))*20,IF($J430=2,INDEX('큐펫&amp;몹 정리(최신)'!T:T,MATCH($E430,'큐펫&amp;몹 정리(최신)'!$B:$B,0))*25,IF($J430=3,INDEX('큐펫&amp;몹 정리(최신)'!T:T,MATCH($E430,'큐펫&amp;몹 정리(최신)'!$B:$B,0))*30,IF($J430=4,INDEX('큐펫&amp;몹 정리(최신)'!T:T,MATCH($E430,'큐펫&amp;몹 정리(최신)'!$B:$B,0))*35,INDEX('큐펫&amp;몹 정리(최신)'!T:T,MATCH($E430,'큐펫&amp;몹 정리(최신)'!$B:$B,0))*40))))</f>
        <v>735</v>
      </c>
      <c r="P430" s="217">
        <v>80</v>
      </c>
      <c r="Q430" s="217">
        <f t="shared" si="48"/>
        <v>204120</v>
      </c>
      <c r="R430" s="217">
        <f t="shared" si="49"/>
        <v>2147</v>
      </c>
      <c r="S430" s="217">
        <f t="shared" si="50"/>
        <v>2795</v>
      </c>
      <c r="T430" s="217">
        <f t="shared" si="51"/>
        <v>41233</v>
      </c>
      <c r="U430" s="217">
        <f t="shared" si="52"/>
        <v>32772</v>
      </c>
      <c r="V430" s="217">
        <f t="shared" si="53"/>
        <v>28738</v>
      </c>
      <c r="W430" s="217">
        <f>ROUND(AC430+(INDEX(Ref!B$1:B$9,MATCH($AI430,Ref!$A$1:$A$9,0))*P430*0.0001),)</f>
        <v>34</v>
      </c>
      <c r="X430" s="217">
        <f>ROUND(AD430+(INDEX(Ref!C$1:C$9,MATCH($AI430,Ref!$A$1:$A$9,0))*$P430*0.0001),)</f>
        <v>46</v>
      </c>
      <c r="Y430" s="217">
        <f>ROUND(AE430+(INDEX(Ref!D$1:D$9,MATCH($AI430,Ref!$A$1:$A$9,0))*$P430*0.0001),)</f>
        <v>76</v>
      </c>
      <c r="Z430" s="217">
        <f>ROUND(AF430+(INDEX(Ref!E$1:E$9,MATCH($AI430,Ref!$A$1:$A$9,0))*$P430*0.0001),)</f>
        <v>73</v>
      </c>
      <c r="AA430" s="217">
        <f>ROUND(AG430+(INDEX(Ref!F$1:F$9,MATCH($AI430,Ref!$A$1:$A$9,0))*$P430*0.0001),)</f>
        <v>39</v>
      </c>
      <c r="AB430" s="217">
        <f>ROUND(AH430+(INDEX(Ref!G$1:G$9,MATCH($AI430,Ref!$A$1:$A$9,0))*$P430*0.0001),)</f>
        <v>36</v>
      </c>
      <c r="AC430" s="137">
        <v>24</v>
      </c>
      <c r="AD430" s="137">
        <v>33</v>
      </c>
      <c r="AE430" s="137">
        <v>60</v>
      </c>
      <c r="AF430" s="137">
        <v>53</v>
      </c>
      <c r="AG430" s="137">
        <v>28</v>
      </c>
      <c r="AH430" s="137">
        <v>26</v>
      </c>
      <c r="AI430" s="208">
        <v>2</v>
      </c>
      <c r="AJ430" s="172">
        <v>3000</v>
      </c>
      <c r="AK430" s="172">
        <f t="shared" si="58"/>
        <v>30513</v>
      </c>
      <c r="AL430" s="172">
        <v>2000</v>
      </c>
      <c r="AM430" s="172">
        <f t="shared" si="59"/>
        <v>30515</v>
      </c>
      <c r="AN430" s="172">
        <v>0</v>
      </c>
      <c r="AO430" s="172">
        <f t="shared" si="54"/>
        <v>34513</v>
      </c>
      <c r="AP430" s="172">
        <v>0</v>
      </c>
      <c r="AQ430" s="172">
        <f t="shared" si="55"/>
        <v>34515</v>
      </c>
      <c r="AR430" s="172">
        <v>1</v>
      </c>
      <c r="AS430" s="172">
        <v>0</v>
      </c>
      <c r="AT430" s="195">
        <f t="shared" si="57"/>
        <v>78086</v>
      </c>
      <c r="AU430" s="195" t="s">
        <v>1024</v>
      </c>
    </row>
    <row r="431" spans="1:47" x14ac:dyDescent="0.2">
      <c r="A431" s="173">
        <f t="shared" si="56"/>
        <v>55086</v>
      </c>
      <c r="B431" s="174" t="s">
        <v>1002</v>
      </c>
      <c r="C431" s="172">
        <v>86086</v>
      </c>
      <c r="D431" s="172">
        <v>150086</v>
      </c>
      <c r="E431" s="206" t="s">
        <v>1013</v>
      </c>
      <c r="F431" s="208">
        <v>2</v>
      </c>
      <c r="G431" s="173">
        <v>11500</v>
      </c>
      <c r="H431" s="173">
        <v>9500</v>
      </c>
      <c r="I431" s="172">
        <v>10000</v>
      </c>
      <c r="J431" s="172">
        <v>5</v>
      </c>
      <c r="K431" s="190">
        <f>IF($J431=1,INDEX('큐펫&amp;몹 정리(최신)'!P:P,MATCH($E431,'큐펫&amp;몹 정리(최신)'!$B:$B,0))*20,IF($J431=2,INDEX('큐펫&amp;몹 정리(최신)'!P:P,MATCH($E431,'큐펫&amp;몹 정리(최신)'!$B:$B,0))*25,IF($J431=3,INDEX('큐펫&amp;몹 정리(최신)'!P:P,MATCH($E431,'큐펫&amp;몹 정리(최신)'!$B:$B,0))*30,IF($J431=4,INDEX('큐펫&amp;몹 정리(최신)'!P:P,MATCH($E431,'큐펫&amp;몹 정리(최신)'!$B:$B,0))*35,INDEX('큐펫&amp;몹 정리(최신)'!P:P,MATCH($E431,'큐펫&amp;몹 정리(최신)'!$B:$B,0))*40))))</f>
        <v>1600</v>
      </c>
      <c r="L431" s="190">
        <f>IF($J431=1,INDEX('큐펫&amp;몹 정리(최신)'!Q:Q,MATCH($E431,'큐펫&amp;몹 정리(최신)'!$B:$B,0))*20,IF($J431=2,INDEX('큐펫&amp;몹 정리(최신)'!Q:Q,MATCH($E431,'큐펫&amp;몹 정리(최신)'!$B:$B,0))*25,IF($J431=3,INDEX('큐펫&amp;몹 정리(최신)'!Q:Q,MATCH($E431,'큐펫&amp;몹 정리(최신)'!$B:$B,0))*30,IF($J431=4,INDEX('큐펫&amp;몹 정리(최신)'!Q:Q,MATCH($E431,'큐펫&amp;몹 정리(최신)'!$B:$B,0))*35,INDEX('큐펫&amp;몹 정리(최신)'!Q:Q,MATCH($E431,'큐펫&amp;몹 정리(최신)'!$B:$B,0))*40))))</f>
        <v>200</v>
      </c>
      <c r="M431" s="190">
        <f>IF($J431=1,INDEX('큐펫&amp;몹 정리(최신)'!R:R,MATCH($E431,'큐펫&amp;몹 정리(최신)'!$B:$B,0))*20,IF($J431=2,INDEX('큐펫&amp;몹 정리(최신)'!R:R,MATCH($E431,'큐펫&amp;몹 정리(최신)'!$B:$B,0))*25,IF($J431=3,INDEX('큐펫&amp;몹 정리(최신)'!R:R,MATCH($E431,'큐펫&amp;몹 정리(최신)'!$B:$B,0))*30,IF($J431=4,INDEX('큐펫&amp;몹 정리(최신)'!R:R,MATCH($E431,'큐펫&amp;몹 정리(최신)'!$B:$B,0))*35,INDEX('큐펫&amp;몹 정리(최신)'!R:R,MATCH($E431,'큐펫&amp;몹 정리(최신)'!$B:$B,0))*40))))</f>
        <v>880</v>
      </c>
      <c r="N431" s="190">
        <f>IF($J431=1,INDEX('큐펫&amp;몹 정리(최신)'!S:S,MATCH($E431,'큐펫&amp;몹 정리(최신)'!$B:$B,0))*20,IF($J431=2,INDEX('큐펫&amp;몹 정리(최신)'!S:S,MATCH($E431,'큐펫&amp;몹 정리(최신)'!$B:$B,0))*25,IF($J431=3,INDEX('큐펫&amp;몹 정리(최신)'!S:S,MATCH($E431,'큐펫&amp;몹 정리(최신)'!$B:$B,0))*30,IF($J431=4,INDEX('큐펫&amp;몹 정리(최신)'!S:S,MATCH($E431,'큐펫&amp;몹 정리(최신)'!$B:$B,0))*35,INDEX('큐펫&amp;몹 정리(최신)'!S:S,MATCH($E431,'큐펫&amp;몹 정리(최신)'!$B:$B,0))*40))))</f>
        <v>480</v>
      </c>
      <c r="O431" s="190">
        <f>IF($J431=1,INDEX('큐펫&amp;몹 정리(최신)'!T:T,MATCH($E431,'큐펫&amp;몹 정리(최신)'!$B:$B,0))*20,IF($J431=2,INDEX('큐펫&amp;몹 정리(최신)'!T:T,MATCH($E431,'큐펫&amp;몹 정리(최신)'!$B:$B,0))*25,IF($J431=3,INDEX('큐펫&amp;몹 정리(최신)'!T:T,MATCH($E431,'큐펫&amp;몹 정리(최신)'!$B:$B,0))*30,IF($J431=4,INDEX('큐펫&amp;몹 정리(최신)'!T:T,MATCH($E431,'큐펫&amp;몹 정리(최신)'!$B:$B,0))*35,INDEX('큐펫&amp;몹 정리(최신)'!T:T,MATCH($E431,'큐펫&amp;몹 정리(최신)'!$B:$B,0))*40))))</f>
        <v>840</v>
      </c>
      <c r="P431" s="217">
        <v>100</v>
      </c>
      <c r="Q431" s="217">
        <f t="shared" si="48"/>
        <v>302400</v>
      </c>
      <c r="R431" s="217">
        <f t="shared" si="49"/>
        <v>3033</v>
      </c>
      <c r="S431" s="217">
        <f t="shared" si="50"/>
        <v>4207</v>
      </c>
      <c r="T431" s="217">
        <f t="shared" si="51"/>
        <v>60855</v>
      </c>
      <c r="U431" s="217">
        <f t="shared" si="52"/>
        <v>44174</v>
      </c>
      <c r="V431" s="217">
        <f t="shared" si="53"/>
        <v>38723</v>
      </c>
      <c r="W431" s="217">
        <f>ROUND(AC431+(INDEX(Ref!B$1:B$9,MATCH($AI431,Ref!$A$1:$A$9,0))*P431*0.0001),)</f>
        <v>38</v>
      </c>
      <c r="X431" s="217">
        <f>ROUND(AD431+(INDEX(Ref!C$1:C$9,MATCH($AI431,Ref!$A$1:$A$9,0))*$P431*0.0001),)</f>
        <v>52</v>
      </c>
      <c r="Y431" s="217">
        <f>ROUND(AE431+(INDEX(Ref!D$1:D$9,MATCH($AI431,Ref!$A$1:$A$9,0))*$P431*0.0001),)</f>
        <v>84</v>
      </c>
      <c r="Z431" s="217">
        <f>ROUND(AF431+(INDEX(Ref!E$1:E$9,MATCH($AI431,Ref!$A$1:$A$9,0))*$P431*0.0001),)</f>
        <v>83</v>
      </c>
      <c r="AA431" s="217">
        <f>ROUND(AG431+(INDEX(Ref!F$1:F$9,MATCH($AI431,Ref!$A$1:$A$9,0))*$P431*0.0001),)</f>
        <v>45</v>
      </c>
      <c r="AB431" s="217">
        <f>ROUND(AH431+(INDEX(Ref!G$1:G$9,MATCH($AI431,Ref!$A$1:$A$9,0))*$P431*0.0001),)</f>
        <v>42</v>
      </c>
      <c r="AC431" s="137">
        <v>26</v>
      </c>
      <c r="AD431" s="137">
        <v>36</v>
      </c>
      <c r="AE431" s="137">
        <v>64</v>
      </c>
      <c r="AF431" s="137">
        <v>58.000000000000007</v>
      </c>
      <c r="AG431" s="137">
        <v>31</v>
      </c>
      <c r="AH431" s="137">
        <v>29</v>
      </c>
      <c r="AI431" s="208">
        <v>2</v>
      </c>
      <c r="AJ431" s="172">
        <v>3000</v>
      </c>
      <c r="AK431" s="172">
        <f t="shared" si="58"/>
        <v>30513</v>
      </c>
      <c r="AL431" s="172">
        <v>2000</v>
      </c>
      <c r="AM431" s="172">
        <f t="shared" si="59"/>
        <v>30516</v>
      </c>
      <c r="AN431" s="172">
        <v>0</v>
      </c>
      <c r="AO431" s="172">
        <f t="shared" si="54"/>
        <v>34513</v>
      </c>
      <c r="AP431" s="172">
        <v>0</v>
      </c>
      <c r="AQ431" s="172">
        <f t="shared" si="55"/>
        <v>34516</v>
      </c>
      <c r="AR431" s="172">
        <v>1</v>
      </c>
      <c r="AS431" s="172">
        <v>0</v>
      </c>
      <c r="AT431" s="195">
        <f t="shared" si="57"/>
        <v>78086</v>
      </c>
      <c r="AU431" s="195" t="s">
        <v>1024</v>
      </c>
    </row>
    <row r="432" spans="1:47" x14ac:dyDescent="0.2">
      <c r="A432" s="173">
        <f t="shared" si="56"/>
        <v>55087</v>
      </c>
      <c r="B432" s="174" t="s">
        <v>1003</v>
      </c>
      <c r="C432" s="172">
        <v>86087</v>
      </c>
      <c r="D432" s="172">
        <v>150087</v>
      </c>
      <c r="E432" s="206" t="s">
        <v>1014</v>
      </c>
      <c r="F432" s="208">
        <v>1</v>
      </c>
      <c r="G432" s="172">
        <v>10000</v>
      </c>
      <c r="H432" s="172">
        <v>10000</v>
      </c>
      <c r="I432" s="172">
        <v>10000</v>
      </c>
      <c r="J432" s="172">
        <v>1</v>
      </c>
      <c r="K432" s="190">
        <f>IF($J432=1,INDEX('큐펫&amp;몹 정리(최신)'!P:P,MATCH($E432,'큐펫&amp;몹 정리(최신)'!$B:$B,0))*20,IF($J432=2,INDEX('큐펫&amp;몹 정리(최신)'!P:P,MATCH($E432,'큐펫&amp;몹 정리(최신)'!$B:$B,0))*25,IF($J432=3,INDEX('큐펫&amp;몹 정리(최신)'!P:P,MATCH($E432,'큐펫&amp;몹 정리(최신)'!$B:$B,0))*30,IF($J432=4,INDEX('큐펫&amp;몹 정리(최신)'!P:P,MATCH($E432,'큐펫&amp;몹 정리(최신)'!$B:$B,0))*35,INDEX('큐펫&amp;몹 정리(최신)'!P:P,MATCH($E432,'큐펫&amp;몹 정리(최신)'!$B:$B,0))*40))))</f>
        <v>800</v>
      </c>
      <c r="L432" s="190">
        <f>IF($J432=1,INDEX('큐펫&amp;몹 정리(최신)'!Q:Q,MATCH($E432,'큐펫&amp;몹 정리(최신)'!$B:$B,0))*20,IF($J432=2,INDEX('큐펫&amp;몹 정리(최신)'!Q:Q,MATCH($E432,'큐펫&amp;몹 정리(최신)'!$B:$B,0))*25,IF($J432=3,INDEX('큐펫&amp;몹 정리(최신)'!Q:Q,MATCH($E432,'큐펫&amp;몹 정리(최신)'!$B:$B,0))*30,IF($J432=4,INDEX('큐펫&amp;몹 정리(최신)'!Q:Q,MATCH($E432,'큐펫&amp;몹 정리(최신)'!$B:$B,0))*35,INDEX('큐펫&amp;몹 정리(최신)'!Q:Q,MATCH($E432,'큐펫&amp;몹 정리(최신)'!$B:$B,0))*40))))</f>
        <v>440</v>
      </c>
      <c r="M432" s="190">
        <f>IF($J432=1,INDEX('큐펫&amp;몹 정리(최신)'!R:R,MATCH($E432,'큐펫&amp;몹 정리(최신)'!$B:$B,0))*20,IF($J432=2,INDEX('큐펫&amp;몹 정리(최신)'!R:R,MATCH($E432,'큐펫&amp;몹 정리(최신)'!$B:$B,0))*25,IF($J432=3,INDEX('큐펫&amp;몹 정리(최신)'!R:R,MATCH($E432,'큐펫&amp;몹 정리(최신)'!$B:$B,0))*30,IF($J432=4,INDEX('큐펫&amp;몹 정리(최신)'!R:R,MATCH($E432,'큐펫&amp;몹 정리(최신)'!$B:$B,0))*35,INDEX('큐펫&amp;몹 정리(최신)'!R:R,MATCH($E432,'큐펫&amp;몹 정리(최신)'!$B:$B,0))*40))))</f>
        <v>100</v>
      </c>
      <c r="N432" s="190">
        <f>IF($J432=1,INDEX('큐펫&amp;몹 정리(최신)'!S:S,MATCH($E432,'큐펫&amp;몹 정리(최신)'!$B:$B,0))*20,IF($J432=2,INDEX('큐펫&amp;몹 정리(최신)'!S:S,MATCH($E432,'큐펫&amp;몹 정리(최신)'!$B:$B,0))*25,IF($J432=3,INDEX('큐펫&amp;몹 정리(최신)'!S:S,MATCH($E432,'큐펫&amp;몹 정리(최신)'!$B:$B,0))*30,IF($J432=4,INDEX('큐펫&amp;몹 정리(최신)'!S:S,MATCH($E432,'큐펫&amp;몹 정리(최신)'!$B:$B,0))*35,INDEX('큐펫&amp;몹 정리(최신)'!S:S,MATCH($E432,'큐펫&amp;몹 정리(최신)'!$B:$B,0))*40))))</f>
        <v>420</v>
      </c>
      <c r="O432" s="190">
        <f>IF($J432=1,INDEX('큐펫&amp;몹 정리(최신)'!T:T,MATCH($E432,'큐펫&amp;몹 정리(최신)'!$B:$B,0))*20,IF($J432=2,INDEX('큐펫&amp;몹 정리(최신)'!T:T,MATCH($E432,'큐펫&amp;몹 정리(최신)'!$B:$B,0))*25,IF($J432=3,INDEX('큐펫&amp;몹 정리(최신)'!T:T,MATCH($E432,'큐펫&amp;몹 정리(최신)'!$B:$B,0))*30,IF($J432=4,INDEX('큐펫&amp;몹 정리(최신)'!T:T,MATCH($E432,'큐펫&amp;몹 정리(최신)'!$B:$B,0))*35,INDEX('큐펫&amp;몹 정리(최신)'!T:T,MATCH($E432,'큐펫&amp;몹 정리(최신)'!$B:$B,0))*40))))</f>
        <v>240</v>
      </c>
      <c r="P432" s="217">
        <v>20</v>
      </c>
      <c r="Q432" s="217">
        <f t="shared" si="48"/>
        <v>29440</v>
      </c>
      <c r="R432" s="217">
        <f t="shared" si="49"/>
        <v>4590</v>
      </c>
      <c r="S432" s="217">
        <f t="shared" si="50"/>
        <v>3527</v>
      </c>
      <c r="T432" s="217">
        <f t="shared" si="51"/>
        <v>693</v>
      </c>
      <c r="U432" s="217">
        <f t="shared" si="52"/>
        <v>16600</v>
      </c>
      <c r="V432" s="217">
        <f t="shared" si="53"/>
        <v>4765</v>
      </c>
      <c r="W432" s="217">
        <f>ROUND(AC432+(INDEX(Ref!B$1:B$9,MATCH($AI432,Ref!$A$1:$A$9,0))*P432*0.0001),)</f>
        <v>32</v>
      </c>
      <c r="X432" s="217">
        <f>ROUND(AD432+(INDEX(Ref!C$1:C$9,MATCH($AI432,Ref!$A$1:$A$9,0))*$P432*0.0001),)</f>
        <v>21</v>
      </c>
      <c r="Y432" s="217">
        <f>ROUND(AE432+(INDEX(Ref!D$1:D$9,MATCH($AI432,Ref!$A$1:$A$9,0))*$P432*0.0001),)</f>
        <v>59</v>
      </c>
      <c r="Z432" s="217">
        <f>ROUND(AF432+(INDEX(Ref!E$1:E$9,MATCH($AI432,Ref!$A$1:$A$9,0))*$P432*0.0001),)</f>
        <v>25</v>
      </c>
      <c r="AA432" s="217">
        <f>ROUND(AG432+(INDEX(Ref!F$1:F$9,MATCH($AI432,Ref!$A$1:$A$9,0))*$P432*0.0001),)</f>
        <v>28</v>
      </c>
      <c r="AB432" s="217">
        <f>ROUND(AH432+(INDEX(Ref!G$1:G$9,MATCH($AI432,Ref!$A$1:$A$9,0))*$P432*0.0001),)</f>
        <v>19</v>
      </c>
      <c r="AC432" s="137">
        <v>28</v>
      </c>
      <c r="AD432" s="137">
        <v>18</v>
      </c>
      <c r="AE432" s="137">
        <v>54</v>
      </c>
      <c r="AF432" s="137">
        <v>22</v>
      </c>
      <c r="AG432" s="137">
        <v>25</v>
      </c>
      <c r="AH432" s="137">
        <v>17</v>
      </c>
      <c r="AI432" s="208">
        <v>3</v>
      </c>
      <c r="AJ432" s="172">
        <v>3000</v>
      </c>
      <c r="AK432" s="172">
        <f t="shared" si="58"/>
        <v>30517</v>
      </c>
      <c r="AL432" s="172">
        <v>2000</v>
      </c>
      <c r="AM432" s="172">
        <f t="shared" si="59"/>
        <v>30520</v>
      </c>
      <c r="AN432" s="172">
        <v>0</v>
      </c>
      <c r="AO432" s="172">
        <f t="shared" si="54"/>
        <v>34517</v>
      </c>
      <c r="AP432" s="172">
        <v>0</v>
      </c>
      <c r="AQ432" s="172">
        <f t="shared" si="55"/>
        <v>34520</v>
      </c>
      <c r="AR432" s="172">
        <v>1</v>
      </c>
      <c r="AS432" s="172">
        <v>0</v>
      </c>
      <c r="AT432" s="195">
        <f t="shared" si="57"/>
        <v>78087</v>
      </c>
      <c r="AU432" s="195" t="s">
        <v>1025</v>
      </c>
    </row>
    <row r="433" spans="1:47" x14ac:dyDescent="0.2">
      <c r="A433" s="173">
        <f t="shared" si="56"/>
        <v>55087</v>
      </c>
      <c r="B433" s="174" t="s">
        <v>1003</v>
      </c>
      <c r="C433" s="172">
        <v>86087</v>
      </c>
      <c r="D433" s="172">
        <v>150087</v>
      </c>
      <c r="E433" s="206" t="s">
        <v>1014</v>
      </c>
      <c r="F433" s="208">
        <v>1</v>
      </c>
      <c r="G433" s="172">
        <v>10000</v>
      </c>
      <c r="H433" s="172">
        <v>10000</v>
      </c>
      <c r="I433" s="172">
        <v>10000</v>
      </c>
      <c r="J433" s="172">
        <v>2</v>
      </c>
      <c r="K433" s="190">
        <f>IF($J433=1,INDEX('큐펫&amp;몹 정리(최신)'!P:P,MATCH($E433,'큐펫&amp;몹 정리(최신)'!$B:$B,0))*20,IF($J433=2,INDEX('큐펫&amp;몹 정리(최신)'!P:P,MATCH($E433,'큐펫&amp;몹 정리(최신)'!$B:$B,0))*25,IF($J433=3,INDEX('큐펫&amp;몹 정리(최신)'!P:P,MATCH($E433,'큐펫&amp;몹 정리(최신)'!$B:$B,0))*30,IF($J433=4,INDEX('큐펫&amp;몹 정리(최신)'!P:P,MATCH($E433,'큐펫&amp;몹 정리(최신)'!$B:$B,0))*35,INDEX('큐펫&amp;몹 정리(최신)'!P:P,MATCH($E433,'큐펫&amp;몹 정리(최신)'!$B:$B,0))*40))))</f>
        <v>1000</v>
      </c>
      <c r="L433" s="190">
        <f>IF($J433=1,INDEX('큐펫&amp;몹 정리(최신)'!Q:Q,MATCH($E433,'큐펫&amp;몹 정리(최신)'!$B:$B,0))*20,IF($J433=2,INDEX('큐펫&amp;몹 정리(최신)'!Q:Q,MATCH($E433,'큐펫&amp;몹 정리(최신)'!$B:$B,0))*25,IF($J433=3,INDEX('큐펫&amp;몹 정리(최신)'!Q:Q,MATCH($E433,'큐펫&amp;몹 정리(최신)'!$B:$B,0))*30,IF($J433=4,INDEX('큐펫&amp;몹 정리(최신)'!Q:Q,MATCH($E433,'큐펫&amp;몹 정리(최신)'!$B:$B,0))*35,INDEX('큐펫&amp;몹 정리(최신)'!Q:Q,MATCH($E433,'큐펫&amp;몹 정리(최신)'!$B:$B,0))*40))))</f>
        <v>550</v>
      </c>
      <c r="M433" s="190">
        <f>IF($J433=1,INDEX('큐펫&amp;몹 정리(최신)'!R:R,MATCH($E433,'큐펫&amp;몹 정리(최신)'!$B:$B,0))*20,IF($J433=2,INDEX('큐펫&amp;몹 정리(최신)'!R:R,MATCH($E433,'큐펫&amp;몹 정리(최신)'!$B:$B,0))*25,IF($J433=3,INDEX('큐펫&amp;몹 정리(최신)'!R:R,MATCH($E433,'큐펫&amp;몹 정리(최신)'!$B:$B,0))*30,IF($J433=4,INDEX('큐펫&amp;몹 정리(최신)'!R:R,MATCH($E433,'큐펫&amp;몹 정리(최신)'!$B:$B,0))*35,INDEX('큐펫&amp;몹 정리(최신)'!R:R,MATCH($E433,'큐펫&amp;몹 정리(최신)'!$B:$B,0))*40))))</f>
        <v>125</v>
      </c>
      <c r="N433" s="190">
        <f>IF($J433=1,INDEX('큐펫&amp;몹 정리(최신)'!S:S,MATCH($E433,'큐펫&amp;몹 정리(최신)'!$B:$B,0))*20,IF($J433=2,INDEX('큐펫&amp;몹 정리(최신)'!S:S,MATCH($E433,'큐펫&amp;몹 정리(최신)'!$B:$B,0))*25,IF($J433=3,INDEX('큐펫&amp;몹 정리(최신)'!S:S,MATCH($E433,'큐펫&amp;몹 정리(최신)'!$B:$B,0))*30,IF($J433=4,INDEX('큐펫&amp;몹 정리(최신)'!S:S,MATCH($E433,'큐펫&amp;몹 정리(최신)'!$B:$B,0))*35,INDEX('큐펫&amp;몹 정리(최신)'!S:S,MATCH($E433,'큐펫&amp;몹 정리(최신)'!$B:$B,0))*40))))</f>
        <v>525</v>
      </c>
      <c r="O433" s="190">
        <f>IF($J433=1,INDEX('큐펫&amp;몹 정리(최신)'!T:T,MATCH($E433,'큐펫&amp;몹 정리(최신)'!$B:$B,0))*20,IF($J433=2,INDEX('큐펫&amp;몹 정리(최신)'!T:T,MATCH($E433,'큐펫&amp;몹 정리(최신)'!$B:$B,0))*25,IF($J433=3,INDEX('큐펫&amp;몹 정리(최신)'!T:T,MATCH($E433,'큐펫&amp;몹 정리(최신)'!$B:$B,0))*30,IF($J433=4,INDEX('큐펫&amp;몹 정리(최신)'!T:T,MATCH($E433,'큐펫&amp;몹 정리(최신)'!$B:$B,0))*35,INDEX('큐펫&amp;몹 정리(최신)'!T:T,MATCH($E433,'큐펫&amp;몹 정리(최신)'!$B:$B,0))*40))))</f>
        <v>300</v>
      </c>
      <c r="P433" s="217">
        <v>40</v>
      </c>
      <c r="Q433" s="217">
        <f t="shared" si="48"/>
        <v>72600</v>
      </c>
      <c r="R433" s="217">
        <f t="shared" si="49"/>
        <v>8913</v>
      </c>
      <c r="S433" s="217">
        <f t="shared" si="50"/>
        <v>6842</v>
      </c>
      <c r="T433" s="217">
        <f t="shared" si="51"/>
        <v>1293</v>
      </c>
      <c r="U433" s="217">
        <f t="shared" si="52"/>
        <v>28624</v>
      </c>
      <c r="V433" s="217">
        <f t="shared" si="53"/>
        <v>8206</v>
      </c>
      <c r="W433" s="217">
        <f>ROUND(AC433+(INDEX(Ref!B$1:B$9,MATCH($AI433,Ref!$A$1:$A$9,0))*P433*0.0001),)</f>
        <v>40</v>
      </c>
      <c r="X433" s="217">
        <f>ROUND(AD433+(INDEX(Ref!C$1:C$9,MATCH($AI433,Ref!$A$1:$A$9,0))*$P433*0.0001),)</f>
        <v>26</v>
      </c>
      <c r="Y433" s="217">
        <f>ROUND(AE433+(INDEX(Ref!D$1:D$9,MATCH($AI433,Ref!$A$1:$A$9,0))*$P433*0.0001),)</f>
        <v>69</v>
      </c>
      <c r="Z433" s="217">
        <f>ROUND(AF433+(INDEX(Ref!E$1:E$9,MATCH($AI433,Ref!$A$1:$A$9,0))*$P433*0.0001),)</f>
        <v>31</v>
      </c>
      <c r="AA433" s="217">
        <f>ROUND(AG433+(INDEX(Ref!F$1:F$9,MATCH($AI433,Ref!$A$1:$A$9,0))*$P433*0.0001),)</f>
        <v>35</v>
      </c>
      <c r="AB433" s="217">
        <f>ROUND(AH433+(INDEX(Ref!G$1:G$9,MATCH($AI433,Ref!$A$1:$A$9,0))*$P433*0.0001),)</f>
        <v>24</v>
      </c>
      <c r="AC433" s="137">
        <v>32</v>
      </c>
      <c r="AD433" s="137">
        <v>21</v>
      </c>
      <c r="AE433" s="137">
        <v>59</v>
      </c>
      <c r="AF433" s="137">
        <v>25</v>
      </c>
      <c r="AG433" s="137">
        <v>28</v>
      </c>
      <c r="AH433" s="137">
        <v>19</v>
      </c>
      <c r="AI433" s="208">
        <v>3</v>
      </c>
      <c r="AJ433" s="172">
        <v>3000</v>
      </c>
      <c r="AK433" s="172">
        <f t="shared" si="58"/>
        <v>30518</v>
      </c>
      <c r="AL433" s="172">
        <v>2000</v>
      </c>
      <c r="AM433" s="172">
        <f t="shared" si="59"/>
        <v>30520</v>
      </c>
      <c r="AN433" s="172">
        <v>0</v>
      </c>
      <c r="AO433" s="172">
        <f t="shared" si="54"/>
        <v>34518</v>
      </c>
      <c r="AP433" s="172">
        <v>0</v>
      </c>
      <c r="AQ433" s="172">
        <f t="shared" si="55"/>
        <v>34520</v>
      </c>
      <c r="AR433" s="172">
        <v>1</v>
      </c>
      <c r="AS433" s="172">
        <v>0</v>
      </c>
      <c r="AT433" s="195">
        <f t="shared" si="57"/>
        <v>78087</v>
      </c>
      <c r="AU433" s="195" t="s">
        <v>1025</v>
      </c>
    </row>
    <row r="434" spans="1:47" x14ac:dyDescent="0.2">
      <c r="A434" s="173">
        <f t="shared" si="56"/>
        <v>55087</v>
      </c>
      <c r="B434" s="174" t="s">
        <v>1003</v>
      </c>
      <c r="C434" s="172">
        <v>86087</v>
      </c>
      <c r="D434" s="172">
        <v>150087</v>
      </c>
      <c r="E434" s="206" t="s">
        <v>1014</v>
      </c>
      <c r="F434" s="208">
        <v>1</v>
      </c>
      <c r="G434" s="172">
        <v>10000</v>
      </c>
      <c r="H434" s="172">
        <v>10000</v>
      </c>
      <c r="I434" s="172">
        <v>10000</v>
      </c>
      <c r="J434" s="172">
        <v>3</v>
      </c>
      <c r="K434" s="190">
        <f>IF($J434=1,INDEX('큐펫&amp;몹 정리(최신)'!P:P,MATCH($E434,'큐펫&amp;몹 정리(최신)'!$B:$B,0))*20,IF($J434=2,INDEX('큐펫&amp;몹 정리(최신)'!P:P,MATCH($E434,'큐펫&amp;몹 정리(최신)'!$B:$B,0))*25,IF($J434=3,INDEX('큐펫&amp;몹 정리(최신)'!P:P,MATCH($E434,'큐펫&amp;몹 정리(최신)'!$B:$B,0))*30,IF($J434=4,INDEX('큐펫&amp;몹 정리(최신)'!P:P,MATCH($E434,'큐펫&amp;몹 정리(최신)'!$B:$B,0))*35,INDEX('큐펫&amp;몹 정리(최신)'!P:P,MATCH($E434,'큐펫&amp;몹 정리(최신)'!$B:$B,0))*40))))</f>
        <v>1200</v>
      </c>
      <c r="L434" s="190">
        <f>IF($J434=1,INDEX('큐펫&amp;몹 정리(최신)'!Q:Q,MATCH($E434,'큐펫&amp;몹 정리(최신)'!$B:$B,0))*20,IF($J434=2,INDEX('큐펫&amp;몹 정리(최신)'!Q:Q,MATCH($E434,'큐펫&amp;몹 정리(최신)'!$B:$B,0))*25,IF($J434=3,INDEX('큐펫&amp;몹 정리(최신)'!Q:Q,MATCH($E434,'큐펫&amp;몹 정리(최신)'!$B:$B,0))*30,IF($J434=4,INDEX('큐펫&amp;몹 정리(최신)'!Q:Q,MATCH($E434,'큐펫&amp;몹 정리(최신)'!$B:$B,0))*35,INDEX('큐펫&amp;몹 정리(최신)'!Q:Q,MATCH($E434,'큐펫&amp;몹 정리(최신)'!$B:$B,0))*40))))</f>
        <v>660</v>
      </c>
      <c r="M434" s="190">
        <f>IF($J434=1,INDEX('큐펫&amp;몹 정리(최신)'!R:R,MATCH($E434,'큐펫&amp;몹 정리(최신)'!$B:$B,0))*20,IF($J434=2,INDEX('큐펫&amp;몹 정리(최신)'!R:R,MATCH($E434,'큐펫&amp;몹 정리(최신)'!$B:$B,0))*25,IF($J434=3,INDEX('큐펫&amp;몹 정리(최신)'!R:R,MATCH($E434,'큐펫&amp;몹 정리(최신)'!$B:$B,0))*30,IF($J434=4,INDEX('큐펫&amp;몹 정리(최신)'!R:R,MATCH($E434,'큐펫&amp;몹 정리(최신)'!$B:$B,0))*35,INDEX('큐펫&amp;몹 정리(최신)'!R:R,MATCH($E434,'큐펫&amp;몹 정리(최신)'!$B:$B,0))*40))))</f>
        <v>150</v>
      </c>
      <c r="N434" s="190">
        <f>IF($J434=1,INDEX('큐펫&amp;몹 정리(최신)'!S:S,MATCH($E434,'큐펫&amp;몹 정리(최신)'!$B:$B,0))*20,IF($J434=2,INDEX('큐펫&amp;몹 정리(최신)'!S:S,MATCH($E434,'큐펫&amp;몹 정리(최신)'!$B:$B,0))*25,IF($J434=3,INDEX('큐펫&amp;몹 정리(최신)'!S:S,MATCH($E434,'큐펫&amp;몹 정리(최신)'!$B:$B,0))*30,IF($J434=4,INDEX('큐펫&amp;몹 정리(최신)'!S:S,MATCH($E434,'큐펫&amp;몹 정리(최신)'!$B:$B,0))*35,INDEX('큐펫&amp;몹 정리(최신)'!S:S,MATCH($E434,'큐펫&amp;몹 정리(최신)'!$B:$B,0))*40))))</f>
        <v>630</v>
      </c>
      <c r="O434" s="190">
        <f>IF($J434=1,INDEX('큐펫&amp;몹 정리(최신)'!T:T,MATCH($E434,'큐펫&amp;몹 정리(최신)'!$B:$B,0))*20,IF($J434=2,INDEX('큐펫&amp;몹 정리(최신)'!T:T,MATCH($E434,'큐펫&amp;몹 정리(최신)'!$B:$B,0))*25,IF($J434=3,INDEX('큐펫&amp;몹 정리(최신)'!T:T,MATCH($E434,'큐펫&amp;몹 정리(최신)'!$B:$B,0))*30,IF($J434=4,INDEX('큐펫&amp;몹 정리(최신)'!T:T,MATCH($E434,'큐펫&amp;몹 정리(최신)'!$B:$B,0))*35,INDEX('큐펫&amp;몹 정리(최신)'!T:T,MATCH($E434,'큐펫&amp;몹 정리(최신)'!$B:$B,0))*40))))</f>
        <v>360</v>
      </c>
      <c r="P434" s="217">
        <v>60</v>
      </c>
      <c r="Q434" s="217">
        <f t="shared" si="48"/>
        <v>134160</v>
      </c>
      <c r="R434" s="217">
        <f t="shared" si="49"/>
        <v>14719</v>
      </c>
      <c r="S434" s="217">
        <f t="shared" si="50"/>
        <v>11773</v>
      </c>
      <c r="T434" s="217">
        <f t="shared" si="51"/>
        <v>2169</v>
      </c>
      <c r="U434" s="217">
        <f t="shared" si="52"/>
        <v>43484</v>
      </c>
      <c r="V434" s="217">
        <f t="shared" si="53"/>
        <v>12457</v>
      </c>
      <c r="W434" s="217">
        <f>ROUND(AC434+(INDEX(Ref!B$1:B$9,MATCH($AI434,Ref!$A$1:$A$9,0))*P434*0.0001),)</f>
        <v>47</v>
      </c>
      <c r="X434" s="217">
        <f>ROUND(AD434+(INDEX(Ref!C$1:C$9,MATCH($AI434,Ref!$A$1:$A$9,0))*$P434*0.0001),)</f>
        <v>31</v>
      </c>
      <c r="Y434" s="217">
        <f>ROUND(AE434+(INDEX(Ref!D$1:D$9,MATCH($AI434,Ref!$A$1:$A$9,0))*$P434*0.0001),)</f>
        <v>78</v>
      </c>
      <c r="Z434" s="217">
        <f>ROUND(AF434+(INDEX(Ref!E$1:E$9,MATCH($AI434,Ref!$A$1:$A$9,0))*$P434*0.0001),)</f>
        <v>37</v>
      </c>
      <c r="AA434" s="217">
        <f>ROUND(AG434+(INDEX(Ref!F$1:F$9,MATCH($AI434,Ref!$A$1:$A$9,0))*$P434*0.0001),)</f>
        <v>42</v>
      </c>
      <c r="AB434" s="217">
        <f>ROUND(AH434+(INDEX(Ref!G$1:G$9,MATCH($AI434,Ref!$A$1:$A$9,0))*$P434*0.0001),)</f>
        <v>28</v>
      </c>
      <c r="AC434" s="137">
        <v>36</v>
      </c>
      <c r="AD434" s="137">
        <v>23</v>
      </c>
      <c r="AE434" s="137">
        <v>64</v>
      </c>
      <c r="AF434" s="137">
        <v>28</v>
      </c>
      <c r="AG434" s="137">
        <v>32</v>
      </c>
      <c r="AH434" s="137">
        <v>21</v>
      </c>
      <c r="AI434" s="208">
        <v>3</v>
      </c>
      <c r="AJ434" s="172">
        <v>3000</v>
      </c>
      <c r="AK434" s="172">
        <f t="shared" si="58"/>
        <v>30518</v>
      </c>
      <c r="AL434" s="172">
        <v>2000</v>
      </c>
      <c r="AM434" s="172">
        <f t="shared" si="59"/>
        <v>30521</v>
      </c>
      <c r="AN434" s="172">
        <v>0</v>
      </c>
      <c r="AO434" s="172">
        <f t="shared" si="54"/>
        <v>34518</v>
      </c>
      <c r="AP434" s="172">
        <v>0</v>
      </c>
      <c r="AQ434" s="172">
        <f t="shared" si="55"/>
        <v>34521</v>
      </c>
      <c r="AR434" s="172">
        <v>1</v>
      </c>
      <c r="AS434" s="172">
        <v>0</v>
      </c>
      <c r="AT434" s="195">
        <f t="shared" si="57"/>
        <v>78087</v>
      </c>
      <c r="AU434" s="195" t="s">
        <v>1025</v>
      </c>
    </row>
    <row r="435" spans="1:47" x14ac:dyDescent="0.2">
      <c r="A435" s="173">
        <f t="shared" si="56"/>
        <v>55087</v>
      </c>
      <c r="B435" s="174" t="s">
        <v>1003</v>
      </c>
      <c r="C435" s="172">
        <v>86087</v>
      </c>
      <c r="D435" s="172">
        <v>150087</v>
      </c>
      <c r="E435" s="206" t="s">
        <v>1014</v>
      </c>
      <c r="F435" s="208">
        <v>1</v>
      </c>
      <c r="G435" s="172">
        <v>10000</v>
      </c>
      <c r="H435" s="172">
        <v>10000</v>
      </c>
      <c r="I435" s="172">
        <v>10000</v>
      </c>
      <c r="J435" s="172">
        <v>4</v>
      </c>
      <c r="K435" s="190">
        <f>IF($J435=1,INDEX('큐펫&amp;몹 정리(최신)'!P:P,MATCH($E435,'큐펫&amp;몹 정리(최신)'!$B:$B,0))*20,IF($J435=2,INDEX('큐펫&amp;몹 정리(최신)'!P:P,MATCH($E435,'큐펫&amp;몹 정리(최신)'!$B:$B,0))*25,IF($J435=3,INDEX('큐펫&amp;몹 정리(최신)'!P:P,MATCH($E435,'큐펫&amp;몹 정리(최신)'!$B:$B,0))*30,IF($J435=4,INDEX('큐펫&amp;몹 정리(최신)'!P:P,MATCH($E435,'큐펫&amp;몹 정리(최신)'!$B:$B,0))*35,INDEX('큐펫&amp;몹 정리(최신)'!P:P,MATCH($E435,'큐펫&amp;몹 정리(최신)'!$B:$B,0))*40))))</f>
        <v>1400</v>
      </c>
      <c r="L435" s="190">
        <f>IF($J435=1,INDEX('큐펫&amp;몹 정리(최신)'!Q:Q,MATCH($E435,'큐펫&amp;몹 정리(최신)'!$B:$B,0))*20,IF($J435=2,INDEX('큐펫&amp;몹 정리(최신)'!Q:Q,MATCH($E435,'큐펫&amp;몹 정리(최신)'!$B:$B,0))*25,IF($J435=3,INDEX('큐펫&amp;몹 정리(최신)'!Q:Q,MATCH($E435,'큐펫&amp;몹 정리(최신)'!$B:$B,0))*30,IF($J435=4,INDEX('큐펫&amp;몹 정리(최신)'!Q:Q,MATCH($E435,'큐펫&amp;몹 정리(최신)'!$B:$B,0))*35,INDEX('큐펫&amp;몹 정리(최신)'!Q:Q,MATCH($E435,'큐펫&amp;몹 정리(최신)'!$B:$B,0))*40))))</f>
        <v>770</v>
      </c>
      <c r="M435" s="190">
        <f>IF($J435=1,INDEX('큐펫&amp;몹 정리(최신)'!R:R,MATCH($E435,'큐펫&amp;몹 정리(최신)'!$B:$B,0))*20,IF($J435=2,INDEX('큐펫&amp;몹 정리(최신)'!R:R,MATCH($E435,'큐펫&amp;몹 정리(최신)'!$B:$B,0))*25,IF($J435=3,INDEX('큐펫&amp;몹 정리(최신)'!R:R,MATCH($E435,'큐펫&amp;몹 정리(최신)'!$B:$B,0))*30,IF($J435=4,INDEX('큐펫&amp;몹 정리(최신)'!R:R,MATCH($E435,'큐펫&amp;몹 정리(최신)'!$B:$B,0))*35,INDEX('큐펫&amp;몹 정리(최신)'!R:R,MATCH($E435,'큐펫&amp;몹 정리(최신)'!$B:$B,0))*40))))</f>
        <v>175</v>
      </c>
      <c r="N435" s="190">
        <f>IF($J435=1,INDEX('큐펫&amp;몹 정리(최신)'!S:S,MATCH($E435,'큐펫&amp;몹 정리(최신)'!$B:$B,0))*20,IF($J435=2,INDEX('큐펫&amp;몹 정리(최신)'!S:S,MATCH($E435,'큐펫&amp;몹 정리(최신)'!$B:$B,0))*25,IF($J435=3,INDEX('큐펫&amp;몹 정리(최신)'!S:S,MATCH($E435,'큐펫&amp;몹 정리(최신)'!$B:$B,0))*30,IF($J435=4,INDEX('큐펫&amp;몹 정리(최신)'!S:S,MATCH($E435,'큐펫&amp;몹 정리(최신)'!$B:$B,0))*35,INDEX('큐펫&amp;몹 정리(최신)'!S:S,MATCH($E435,'큐펫&amp;몹 정리(최신)'!$B:$B,0))*40))))</f>
        <v>735</v>
      </c>
      <c r="O435" s="190">
        <f>IF($J435=1,INDEX('큐펫&amp;몹 정리(최신)'!T:T,MATCH($E435,'큐펫&amp;몹 정리(최신)'!$B:$B,0))*20,IF($J435=2,INDEX('큐펫&amp;몹 정리(최신)'!T:T,MATCH($E435,'큐펫&amp;몹 정리(최신)'!$B:$B,0))*25,IF($J435=3,INDEX('큐펫&amp;몹 정리(최신)'!T:T,MATCH($E435,'큐펫&amp;몹 정리(최신)'!$B:$B,0))*30,IF($J435=4,INDEX('큐펫&amp;몹 정리(최신)'!T:T,MATCH($E435,'큐펫&amp;몹 정리(최신)'!$B:$B,0))*35,INDEX('큐펫&amp;몹 정리(최신)'!T:T,MATCH($E435,'큐펫&amp;몹 정리(최신)'!$B:$B,0))*40))))</f>
        <v>420</v>
      </c>
      <c r="P435" s="217">
        <v>80</v>
      </c>
      <c r="Q435" s="217">
        <f t="shared" si="48"/>
        <v>217560</v>
      </c>
      <c r="R435" s="217">
        <f t="shared" si="49"/>
        <v>22620</v>
      </c>
      <c r="S435" s="217">
        <f t="shared" si="50"/>
        <v>18646</v>
      </c>
      <c r="T435" s="217">
        <f t="shared" si="51"/>
        <v>3376</v>
      </c>
      <c r="U435" s="217">
        <f t="shared" si="52"/>
        <v>61756</v>
      </c>
      <c r="V435" s="217">
        <f t="shared" si="53"/>
        <v>17683</v>
      </c>
      <c r="W435" s="217">
        <f>ROUND(AC435+(INDEX(Ref!B$1:B$9,MATCH($AI435,Ref!$A$1:$A$9,0))*P435*0.0001),)</f>
        <v>54</v>
      </c>
      <c r="X435" s="217">
        <f>ROUND(AD435+(INDEX(Ref!C$1:C$9,MATCH($AI435,Ref!$A$1:$A$9,0))*$P435*0.0001),)</f>
        <v>36</v>
      </c>
      <c r="Y435" s="217">
        <f>ROUND(AE435+(INDEX(Ref!D$1:D$9,MATCH($AI435,Ref!$A$1:$A$9,0))*$P435*0.0001),)</f>
        <v>88</v>
      </c>
      <c r="Z435" s="217">
        <f>ROUND(AF435+(INDEX(Ref!E$1:E$9,MATCH($AI435,Ref!$A$1:$A$9,0))*$P435*0.0001),)</f>
        <v>43</v>
      </c>
      <c r="AA435" s="217">
        <f>ROUND(AG435+(INDEX(Ref!F$1:F$9,MATCH($AI435,Ref!$A$1:$A$9,0))*$P435*0.0001),)</f>
        <v>49</v>
      </c>
      <c r="AB435" s="217">
        <f>ROUND(AH435+(INDEX(Ref!G$1:G$9,MATCH($AI435,Ref!$A$1:$A$9,0))*$P435*0.0001),)</f>
        <v>34</v>
      </c>
      <c r="AC435" s="137">
        <v>39</v>
      </c>
      <c r="AD435" s="137">
        <v>26</v>
      </c>
      <c r="AE435" s="137">
        <v>69</v>
      </c>
      <c r="AF435" s="137">
        <v>31</v>
      </c>
      <c r="AG435" s="137">
        <v>35</v>
      </c>
      <c r="AH435" s="137">
        <v>24</v>
      </c>
      <c r="AI435" s="208">
        <v>3</v>
      </c>
      <c r="AJ435" s="172">
        <v>3000</v>
      </c>
      <c r="AK435" s="172">
        <f t="shared" si="58"/>
        <v>30519</v>
      </c>
      <c r="AL435" s="172">
        <v>2000</v>
      </c>
      <c r="AM435" s="172">
        <f t="shared" si="59"/>
        <v>30521</v>
      </c>
      <c r="AN435" s="172">
        <v>0</v>
      </c>
      <c r="AO435" s="172">
        <f t="shared" si="54"/>
        <v>34519</v>
      </c>
      <c r="AP435" s="172">
        <v>0</v>
      </c>
      <c r="AQ435" s="172">
        <f t="shared" si="55"/>
        <v>34521</v>
      </c>
      <c r="AR435" s="172">
        <v>1</v>
      </c>
      <c r="AS435" s="172">
        <v>0</v>
      </c>
      <c r="AT435" s="195">
        <f t="shared" si="57"/>
        <v>78087</v>
      </c>
      <c r="AU435" s="195" t="s">
        <v>1025</v>
      </c>
    </row>
    <row r="436" spans="1:47" x14ac:dyDescent="0.2">
      <c r="A436" s="173">
        <f t="shared" si="56"/>
        <v>55087</v>
      </c>
      <c r="B436" s="174" t="s">
        <v>1003</v>
      </c>
      <c r="C436" s="172">
        <v>86087</v>
      </c>
      <c r="D436" s="172">
        <v>150087</v>
      </c>
      <c r="E436" s="206" t="s">
        <v>1014</v>
      </c>
      <c r="F436" s="208">
        <v>1</v>
      </c>
      <c r="G436" s="172">
        <v>10000</v>
      </c>
      <c r="H436" s="172">
        <v>10000</v>
      </c>
      <c r="I436" s="172">
        <v>10000</v>
      </c>
      <c r="J436" s="172">
        <v>5</v>
      </c>
      <c r="K436" s="190">
        <f>IF($J436=1,INDEX('큐펫&amp;몹 정리(최신)'!P:P,MATCH($E436,'큐펫&amp;몹 정리(최신)'!$B:$B,0))*20,IF($J436=2,INDEX('큐펫&amp;몹 정리(최신)'!P:P,MATCH($E436,'큐펫&amp;몹 정리(최신)'!$B:$B,0))*25,IF($J436=3,INDEX('큐펫&amp;몹 정리(최신)'!P:P,MATCH($E436,'큐펫&amp;몹 정리(최신)'!$B:$B,0))*30,IF($J436=4,INDEX('큐펫&amp;몹 정리(최신)'!P:P,MATCH($E436,'큐펫&amp;몹 정리(최신)'!$B:$B,0))*35,INDEX('큐펫&amp;몹 정리(최신)'!P:P,MATCH($E436,'큐펫&amp;몹 정리(최신)'!$B:$B,0))*40))))</f>
        <v>1600</v>
      </c>
      <c r="L436" s="190">
        <f>IF($J436=1,INDEX('큐펫&amp;몹 정리(최신)'!Q:Q,MATCH($E436,'큐펫&amp;몹 정리(최신)'!$B:$B,0))*20,IF($J436=2,INDEX('큐펫&amp;몹 정리(최신)'!Q:Q,MATCH($E436,'큐펫&amp;몹 정리(최신)'!$B:$B,0))*25,IF($J436=3,INDEX('큐펫&amp;몹 정리(최신)'!Q:Q,MATCH($E436,'큐펫&amp;몹 정리(최신)'!$B:$B,0))*30,IF($J436=4,INDEX('큐펫&amp;몹 정리(최신)'!Q:Q,MATCH($E436,'큐펫&amp;몹 정리(최신)'!$B:$B,0))*35,INDEX('큐펫&amp;몹 정리(최신)'!Q:Q,MATCH($E436,'큐펫&amp;몹 정리(최신)'!$B:$B,0))*40))))</f>
        <v>880</v>
      </c>
      <c r="M436" s="190">
        <f>IF($J436=1,INDEX('큐펫&amp;몹 정리(최신)'!R:R,MATCH($E436,'큐펫&amp;몹 정리(최신)'!$B:$B,0))*20,IF($J436=2,INDEX('큐펫&amp;몹 정리(최신)'!R:R,MATCH($E436,'큐펫&amp;몹 정리(최신)'!$B:$B,0))*25,IF($J436=3,INDEX('큐펫&amp;몹 정리(최신)'!R:R,MATCH($E436,'큐펫&amp;몹 정리(최신)'!$B:$B,0))*30,IF($J436=4,INDEX('큐펫&amp;몹 정리(최신)'!R:R,MATCH($E436,'큐펫&amp;몹 정리(최신)'!$B:$B,0))*35,INDEX('큐펫&amp;몹 정리(최신)'!R:R,MATCH($E436,'큐펫&amp;몹 정리(최신)'!$B:$B,0))*40))))</f>
        <v>200</v>
      </c>
      <c r="N436" s="190">
        <f>IF($J436=1,INDEX('큐펫&amp;몹 정리(최신)'!S:S,MATCH($E436,'큐펫&amp;몹 정리(최신)'!$B:$B,0))*20,IF($J436=2,INDEX('큐펫&amp;몹 정리(최신)'!S:S,MATCH($E436,'큐펫&amp;몹 정리(최신)'!$B:$B,0))*25,IF($J436=3,INDEX('큐펫&amp;몹 정리(최신)'!S:S,MATCH($E436,'큐펫&amp;몹 정리(최신)'!$B:$B,0))*30,IF($J436=4,INDEX('큐펫&amp;몹 정리(최신)'!S:S,MATCH($E436,'큐펫&amp;몹 정리(최신)'!$B:$B,0))*35,INDEX('큐펫&amp;몹 정리(최신)'!S:S,MATCH($E436,'큐펫&amp;몹 정리(최신)'!$B:$B,0))*40))))</f>
        <v>840</v>
      </c>
      <c r="O436" s="190">
        <f>IF($J436=1,INDEX('큐펫&amp;몹 정리(최신)'!T:T,MATCH($E436,'큐펫&amp;몹 정리(최신)'!$B:$B,0))*20,IF($J436=2,INDEX('큐펫&amp;몹 정리(최신)'!T:T,MATCH($E436,'큐펫&amp;몹 정리(최신)'!$B:$B,0))*25,IF($J436=3,INDEX('큐펫&amp;몹 정리(최신)'!T:T,MATCH($E436,'큐펫&amp;몹 정리(최신)'!$B:$B,0))*30,IF($J436=4,INDEX('큐펫&amp;몹 정리(최신)'!T:T,MATCH($E436,'큐펫&amp;몹 정리(최신)'!$B:$B,0))*35,INDEX('큐펫&amp;몹 정리(최신)'!T:T,MATCH($E436,'큐펫&amp;몹 정리(최신)'!$B:$B,0))*40))))</f>
        <v>480</v>
      </c>
      <c r="P436" s="217">
        <v>100</v>
      </c>
      <c r="Q436" s="217">
        <f t="shared" si="48"/>
        <v>324800</v>
      </c>
      <c r="R436" s="217">
        <f t="shared" si="49"/>
        <v>34022</v>
      </c>
      <c r="S436" s="217">
        <f t="shared" si="50"/>
        <v>26803</v>
      </c>
      <c r="T436" s="217">
        <f t="shared" si="51"/>
        <v>4966</v>
      </c>
      <c r="U436" s="217">
        <f t="shared" si="52"/>
        <v>83179</v>
      </c>
      <c r="V436" s="217">
        <f t="shared" si="53"/>
        <v>23809</v>
      </c>
      <c r="W436" s="217">
        <f>ROUND(AC436+(INDEX(Ref!B$1:B$9,MATCH($AI436,Ref!$A$1:$A$9,0))*P436*0.0001),)</f>
        <v>62</v>
      </c>
      <c r="X436" s="217">
        <f>ROUND(AD436+(INDEX(Ref!C$1:C$9,MATCH($AI436,Ref!$A$1:$A$9,0))*$P436*0.0001),)</f>
        <v>42</v>
      </c>
      <c r="Y436" s="217">
        <f>ROUND(AE436+(INDEX(Ref!D$1:D$9,MATCH($AI436,Ref!$A$1:$A$9,0))*$P436*0.0001),)</f>
        <v>98</v>
      </c>
      <c r="Z436" s="217">
        <f>ROUND(AF436+(INDEX(Ref!E$1:E$9,MATCH($AI436,Ref!$A$1:$A$9,0))*$P436*0.0001),)</f>
        <v>49</v>
      </c>
      <c r="AA436" s="217">
        <f>ROUND(AG436+(INDEX(Ref!F$1:F$9,MATCH($AI436,Ref!$A$1:$A$9,0))*$P436*0.0001),)</f>
        <v>55</v>
      </c>
      <c r="AB436" s="217">
        <f>ROUND(AH436+(INDEX(Ref!G$1:G$9,MATCH($AI436,Ref!$A$1:$A$9,0))*$P436*0.0001),)</f>
        <v>38</v>
      </c>
      <c r="AC436" s="137">
        <v>43</v>
      </c>
      <c r="AD436" s="137">
        <v>29</v>
      </c>
      <c r="AE436" s="137">
        <v>74</v>
      </c>
      <c r="AF436" s="137">
        <v>34</v>
      </c>
      <c r="AG436" s="137">
        <v>38</v>
      </c>
      <c r="AH436" s="137">
        <v>26</v>
      </c>
      <c r="AI436" s="208">
        <v>3</v>
      </c>
      <c r="AJ436" s="172">
        <v>3000</v>
      </c>
      <c r="AK436" s="172">
        <f t="shared" si="58"/>
        <v>30519</v>
      </c>
      <c r="AL436" s="172">
        <v>2000</v>
      </c>
      <c r="AM436" s="172">
        <f t="shared" si="59"/>
        <v>30522</v>
      </c>
      <c r="AN436" s="172">
        <v>0</v>
      </c>
      <c r="AO436" s="172">
        <f t="shared" si="54"/>
        <v>34519</v>
      </c>
      <c r="AP436" s="172">
        <v>0</v>
      </c>
      <c r="AQ436" s="172">
        <f t="shared" si="55"/>
        <v>34522</v>
      </c>
      <c r="AR436" s="172">
        <v>1</v>
      </c>
      <c r="AS436" s="172">
        <v>0</v>
      </c>
      <c r="AT436" s="195">
        <f t="shared" si="57"/>
        <v>78087</v>
      </c>
      <c r="AU436" s="195" t="s">
        <v>1025</v>
      </c>
    </row>
    <row r="437" spans="1:47" x14ac:dyDescent="0.2">
      <c r="A437" s="173">
        <f t="shared" si="56"/>
        <v>55088</v>
      </c>
      <c r="B437" s="174" t="s">
        <v>1004</v>
      </c>
      <c r="C437" s="172">
        <v>86088</v>
      </c>
      <c r="D437" s="172">
        <v>150088</v>
      </c>
      <c r="E437" s="206" t="s">
        <v>1015</v>
      </c>
      <c r="F437" s="208">
        <v>10</v>
      </c>
      <c r="G437" s="172">
        <v>10000</v>
      </c>
      <c r="H437" s="172">
        <v>10000</v>
      </c>
      <c r="I437" s="172">
        <v>10000</v>
      </c>
      <c r="J437" s="172">
        <v>1</v>
      </c>
      <c r="K437" s="190">
        <f>IF($J437=1,INDEX('큐펫&amp;몹 정리(최신)'!P:P,MATCH($E437,'큐펫&amp;몹 정리(최신)'!$B:$B,0))*20,IF($J437=2,INDEX('큐펫&amp;몹 정리(최신)'!P:P,MATCH($E437,'큐펫&amp;몹 정리(최신)'!$B:$B,0))*25,IF($J437=3,INDEX('큐펫&amp;몹 정리(최신)'!P:P,MATCH($E437,'큐펫&amp;몹 정리(최신)'!$B:$B,0))*30,IF($J437=4,INDEX('큐펫&amp;몹 정리(최신)'!P:P,MATCH($E437,'큐펫&amp;몹 정리(최신)'!$B:$B,0))*35,INDEX('큐펫&amp;몹 정리(최신)'!P:P,MATCH($E437,'큐펫&amp;몹 정리(최신)'!$B:$B,0))*40))))</f>
        <v>800</v>
      </c>
      <c r="L437" s="190">
        <f>IF($J437=1,INDEX('큐펫&amp;몹 정리(최신)'!Q:Q,MATCH($E437,'큐펫&amp;몹 정리(최신)'!$B:$B,0))*20,IF($J437=2,INDEX('큐펫&amp;몹 정리(최신)'!Q:Q,MATCH($E437,'큐펫&amp;몹 정리(최신)'!$B:$B,0))*25,IF($J437=3,INDEX('큐펫&amp;몹 정리(최신)'!Q:Q,MATCH($E437,'큐펫&amp;몹 정리(최신)'!$B:$B,0))*30,IF($J437=4,INDEX('큐펫&amp;몹 정리(최신)'!Q:Q,MATCH($E437,'큐펫&amp;몹 정리(최신)'!$B:$B,0))*35,INDEX('큐펫&amp;몹 정리(최신)'!Q:Q,MATCH($E437,'큐펫&amp;몹 정리(최신)'!$B:$B,0))*40))))</f>
        <v>100</v>
      </c>
      <c r="M437" s="190">
        <f>IF($J437=1,INDEX('큐펫&amp;몹 정리(최신)'!R:R,MATCH($E437,'큐펫&amp;몹 정리(최신)'!$B:$B,0))*20,IF($J437=2,INDEX('큐펫&amp;몹 정리(최신)'!R:R,MATCH($E437,'큐펫&amp;몹 정리(최신)'!$B:$B,0))*25,IF($J437=3,INDEX('큐펫&amp;몹 정리(최신)'!R:R,MATCH($E437,'큐펫&amp;몹 정리(최신)'!$B:$B,0))*30,IF($J437=4,INDEX('큐펫&amp;몹 정리(최신)'!R:R,MATCH($E437,'큐펫&amp;몹 정리(최신)'!$B:$B,0))*35,INDEX('큐펫&amp;몹 정리(최신)'!R:R,MATCH($E437,'큐펫&amp;몹 정리(최신)'!$B:$B,0))*40))))</f>
        <v>440</v>
      </c>
      <c r="N437" s="190">
        <f>IF($J437=1,INDEX('큐펫&amp;몹 정리(최신)'!S:S,MATCH($E437,'큐펫&amp;몹 정리(최신)'!$B:$B,0))*20,IF($J437=2,INDEX('큐펫&amp;몹 정리(최신)'!S:S,MATCH($E437,'큐펫&amp;몹 정리(최신)'!$B:$B,0))*25,IF($J437=3,INDEX('큐펫&amp;몹 정리(최신)'!S:S,MATCH($E437,'큐펫&amp;몹 정리(최신)'!$B:$B,0))*30,IF($J437=4,INDEX('큐펫&amp;몹 정리(최신)'!S:S,MATCH($E437,'큐펫&amp;몹 정리(최신)'!$B:$B,0))*35,INDEX('큐펫&amp;몹 정리(최신)'!S:S,MATCH($E437,'큐펫&amp;몹 정리(최신)'!$B:$B,0))*40))))</f>
        <v>240</v>
      </c>
      <c r="O437" s="190">
        <f>IF($J437=1,INDEX('큐펫&amp;몹 정리(최신)'!T:T,MATCH($E437,'큐펫&amp;몹 정리(최신)'!$B:$B,0))*20,IF($J437=2,INDEX('큐펫&amp;몹 정리(최신)'!T:T,MATCH($E437,'큐펫&amp;몹 정리(최신)'!$B:$B,0))*25,IF($J437=3,INDEX('큐펫&amp;몹 정리(최신)'!T:T,MATCH($E437,'큐펫&amp;몹 정리(최신)'!$B:$B,0))*30,IF($J437=4,INDEX('큐펫&amp;몹 정리(최신)'!T:T,MATCH($E437,'큐펫&amp;몹 정리(최신)'!$B:$B,0))*35,INDEX('큐펫&amp;몹 정리(최신)'!T:T,MATCH($E437,'큐펫&amp;몹 정리(최신)'!$B:$B,0))*40))))</f>
        <v>420</v>
      </c>
      <c r="P437" s="217">
        <v>20</v>
      </c>
      <c r="Q437" s="217">
        <f t="shared" si="48"/>
        <v>28320</v>
      </c>
      <c r="R437" s="217">
        <f t="shared" si="49"/>
        <v>418</v>
      </c>
      <c r="S437" s="217">
        <f t="shared" si="50"/>
        <v>593</v>
      </c>
      <c r="T437" s="217">
        <f t="shared" si="51"/>
        <v>8239</v>
      </c>
      <c r="U437" s="217">
        <f t="shared" si="52"/>
        <v>8646</v>
      </c>
      <c r="V437" s="217">
        <f t="shared" si="53"/>
        <v>7603</v>
      </c>
      <c r="W437" s="217">
        <f>ROUND(AC437+(INDEX(Ref!B$1:B$9,MATCH($AI437,Ref!$A$1:$A$9,0))*P437*0.0001),)</f>
        <v>19</v>
      </c>
      <c r="X437" s="217">
        <f>ROUND(AD437+(INDEX(Ref!C$1:C$9,MATCH($AI437,Ref!$A$1:$A$9,0))*$P437*0.0001),)</f>
        <v>26</v>
      </c>
      <c r="Y437" s="217">
        <f>ROUND(AE437+(INDEX(Ref!D$1:D$9,MATCH($AI437,Ref!$A$1:$A$9,0))*$P437*0.0001),)</f>
        <v>52</v>
      </c>
      <c r="Z437" s="217">
        <f>ROUND(AF437+(INDEX(Ref!E$1:E$9,MATCH($AI437,Ref!$A$1:$A$9,0))*$P437*0.0001),)</f>
        <v>43</v>
      </c>
      <c r="AA437" s="217">
        <f>ROUND(AG437+(INDEX(Ref!F$1:F$9,MATCH($AI437,Ref!$A$1:$A$9,0))*$P437*0.0001),)</f>
        <v>23</v>
      </c>
      <c r="AB437" s="217">
        <f>ROUND(AH437+(INDEX(Ref!G$1:G$9,MATCH($AI437,Ref!$A$1:$A$9,0))*$P437*0.0001),)</f>
        <v>21</v>
      </c>
      <c r="AC437" s="137">
        <v>17</v>
      </c>
      <c r="AD437" s="137">
        <v>23</v>
      </c>
      <c r="AE437" s="137">
        <v>48</v>
      </c>
      <c r="AF437" s="137">
        <v>38</v>
      </c>
      <c r="AG437" s="137">
        <v>20</v>
      </c>
      <c r="AH437" s="137">
        <v>18</v>
      </c>
      <c r="AI437" s="208">
        <v>2</v>
      </c>
      <c r="AJ437" s="172">
        <v>3000</v>
      </c>
      <c r="AK437" s="172">
        <f t="shared" si="58"/>
        <v>30523</v>
      </c>
      <c r="AL437" s="172">
        <v>2000</v>
      </c>
      <c r="AM437" s="172">
        <f t="shared" si="59"/>
        <v>30526</v>
      </c>
      <c r="AN437" s="172">
        <v>0</v>
      </c>
      <c r="AO437" s="172">
        <f t="shared" si="54"/>
        <v>34523</v>
      </c>
      <c r="AP437" s="172">
        <v>0</v>
      </c>
      <c r="AQ437" s="172">
        <f t="shared" si="55"/>
        <v>34526</v>
      </c>
      <c r="AR437" s="172">
        <v>1</v>
      </c>
      <c r="AS437" s="172">
        <v>0</v>
      </c>
      <c r="AT437" s="195">
        <f t="shared" si="57"/>
        <v>78088</v>
      </c>
      <c r="AU437" s="195" t="s">
        <v>1026</v>
      </c>
    </row>
    <row r="438" spans="1:47" x14ac:dyDescent="0.2">
      <c r="A438" s="173">
        <f t="shared" si="56"/>
        <v>55088</v>
      </c>
      <c r="B438" s="174" t="s">
        <v>1004</v>
      </c>
      <c r="C438" s="172">
        <v>86088</v>
      </c>
      <c r="D438" s="172">
        <v>150088</v>
      </c>
      <c r="E438" s="206" t="s">
        <v>1015</v>
      </c>
      <c r="F438" s="208">
        <v>10</v>
      </c>
      <c r="G438" s="172">
        <v>10000</v>
      </c>
      <c r="H438" s="172">
        <v>10000</v>
      </c>
      <c r="I438" s="172">
        <v>10000</v>
      </c>
      <c r="J438" s="172">
        <v>2</v>
      </c>
      <c r="K438" s="190">
        <f>IF($J438=1,INDEX('큐펫&amp;몹 정리(최신)'!P:P,MATCH($E438,'큐펫&amp;몹 정리(최신)'!$B:$B,0))*20,IF($J438=2,INDEX('큐펫&amp;몹 정리(최신)'!P:P,MATCH($E438,'큐펫&amp;몹 정리(최신)'!$B:$B,0))*25,IF($J438=3,INDEX('큐펫&amp;몹 정리(최신)'!P:P,MATCH($E438,'큐펫&amp;몹 정리(최신)'!$B:$B,0))*30,IF($J438=4,INDEX('큐펫&amp;몹 정리(최신)'!P:P,MATCH($E438,'큐펫&amp;몹 정리(최신)'!$B:$B,0))*35,INDEX('큐펫&amp;몹 정리(최신)'!P:P,MATCH($E438,'큐펫&amp;몹 정리(최신)'!$B:$B,0))*40))))</f>
        <v>1000</v>
      </c>
      <c r="L438" s="190">
        <f>IF($J438=1,INDEX('큐펫&amp;몹 정리(최신)'!Q:Q,MATCH($E438,'큐펫&amp;몹 정리(최신)'!$B:$B,0))*20,IF($J438=2,INDEX('큐펫&amp;몹 정리(최신)'!Q:Q,MATCH($E438,'큐펫&amp;몹 정리(최신)'!$B:$B,0))*25,IF($J438=3,INDEX('큐펫&amp;몹 정리(최신)'!Q:Q,MATCH($E438,'큐펫&amp;몹 정리(최신)'!$B:$B,0))*30,IF($J438=4,INDEX('큐펫&amp;몹 정리(최신)'!Q:Q,MATCH($E438,'큐펫&amp;몹 정리(최신)'!$B:$B,0))*35,INDEX('큐펫&amp;몹 정리(최신)'!Q:Q,MATCH($E438,'큐펫&amp;몹 정리(최신)'!$B:$B,0))*40))))</f>
        <v>125</v>
      </c>
      <c r="M438" s="190">
        <f>IF($J438=1,INDEX('큐펫&amp;몹 정리(최신)'!R:R,MATCH($E438,'큐펫&amp;몹 정리(최신)'!$B:$B,0))*20,IF($J438=2,INDEX('큐펫&amp;몹 정리(최신)'!R:R,MATCH($E438,'큐펫&amp;몹 정리(최신)'!$B:$B,0))*25,IF($J438=3,INDEX('큐펫&amp;몹 정리(최신)'!R:R,MATCH($E438,'큐펫&amp;몹 정리(최신)'!$B:$B,0))*30,IF($J438=4,INDEX('큐펫&amp;몹 정리(최신)'!R:R,MATCH($E438,'큐펫&amp;몹 정리(최신)'!$B:$B,0))*35,INDEX('큐펫&amp;몹 정리(최신)'!R:R,MATCH($E438,'큐펫&amp;몹 정리(최신)'!$B:$B,0))*40))))</f>
        <v>550</v>
      </c>
      <c r="N438" s="190">
        <f>IF($J438=1,INDEX('큐펫&amp;몹 정리(최신)'!S:S,MATCH($E438,'큐펫&amp;몹 정리(최신)'!$B:$B,0))*20,IF($J438=2,INDEX('큐펫&amp;몹 정리(최신)'!S:S,MATCH($E438,'큐펫&amp;몹 정리(최신)'!$B:$B,0))*25,IF($J438=3,INDEX('큐펫&amp;몹 정리(최신)'!S:S,MATCH($E438,'큐펫&amp;몹 정리(최신)'!$B:$B,0))*30,IF($J438=4,INDEX('큐펫&amp;몹 정리(최신)'!S:S,MATCH($E438,'큐펫&amp;몹 정리(최신)'!$B:$B,0))*35,INDEX('큐펫&amp;몹 정리(최신)'!S:S,MATCH($E438,'큐펫&amp;몹 정리(최신)'!$B:$B,0))*40))))</f>
        <v>300</v>
      </c>
      <c r="O438" s="190">
        <f>IF($J438=1,INDEX('큐펫&amp;몹 정리(최신)'!T:T,MATCH($E438,'큐펫&amp;몹 정리(최신)'!$B:$B,0))*20,IF($J438=2,INDEX('큐펫&amp;몹 정리(최신)'!T:T,MATCH($E438,'큐펫&amp;몹 정리(최신)'!$B:$B,0))*25,IF($J438=3,INDEX('큐펫&amp;몹 정리(최신)'!T:T,MATCH($E438,'큐펫&amp;몹 정리(최신)'!$B:$B,0))*30,IF($J438=4,INDEX('큐펫&amp;몹 정리(최신)'!T:T,MATCH($E438,'큐펫&amp;몹 정리(최신)'!$B:$B,0))*35,INDEX('큐펫&amp;몹 정리(최신)'!T:T,MATCH($E438,'큐펫&amp;몹 정리(최신)'!$B:$B,0))*40))))</f>
        <v>525</v>
      </c>
      <c r="P438" s="217">
        <v>40</v>
      </c>
      <c r="Q438" s="217">
        <f t="shared" si="48"/>
        <v>69000</v>
      </c>
      <c r="R438" s="217">
        <f t="shared" si="49"/>
        <v>800</v>
      </c>
      <c r="S438" s="217">
        <f t="shared" si="50"/>
        <v>1140</v>
      </c>
      <c r="T438" s="217">
        <f t="shared" si="51"/>
        <v>15585</v>
      </c>
      <c r="U438" s="217">
        <f t="shared" si="52"/>
        <v>15009</v>
      </c>
      <c r="V438" s="217">
        <f t="shared" si="53"/>
        <v>13178</v>
      </c>
      <c r="W438" s="217">
        <f>ROUND(AC438+(INDEX(Ref!B$1:B$9,MATCH($AI438,Ref!$A$1:$A$9,0))*P438*0.0001),)</f>
        <v>24</v>
      </c>
      <c r="X438" s="217">
        <f>ROUND(AD438+(INDEX(Ref!C$1:C$9,MATCH($AI438,Ref!$A$1:$A$9,0))*$P438*0.0001),)</f>
        <v>32</v>
      </c>
      <c r="Y438" s="217">
        <f>ROUND(AE438+(INDEX(Ref!D$1:D$9,MATCH($AI438,Ref!$A$1:$A$9,0))*$P438*0.0001),)</f>
        <v>60</v>
      </c>
      <c r="Z438" s="217">
        <f>ROUND(AF438+(INDEX(Ref!E$1:E$9,MATCH($AI438,Ref!$A$1:$A$9,0))*$P438*0.0001),)</f>
        <v>53</v>
      </c>
      <c r="AA438" s="217">
        <f>ROUND(AG438+(INDEX(Ref!F$1:F$9,MATCH($AI438,Ref!$A$1:$A$9,0))*$P438*0.0001),)</f>
        <v>29</v>
      </c>
      <c r="AB438" s="217">
        <f>ROUND(AH438+(INDEX(Ref!G$1:G$9,MATCH($AI438,Ref!$A$1:$A$9,0))*$P438*0.0001),)</f>
        <v>26</v>
      </c>
      <c r="AC438" s="137">
        <v>19</v>
      </c>
      <c r="AD438" s="137">
        <v>26</v>
      </c>
      <c r="AE438" s="137">
        <v>52</v>
      </c>
      <c r="AF438" s="137">
        <v>43</v>
      </c>
      <c r="AG438" s="137">
        <v>23</v>
      </c>
      <c r="AH438" s="137">
        <v>21</v>
      </c>
      <c r="AI438" s="208">
        <v>2</v>
      </c>
      <c r="AJ438" s="172">
        <v>3000</v>
      </c>
      <c r="AK438" s="172">
        <f t="shared" si="58"/>
        <v>30524</v>
      </c>
      <c r="AL438" s="172">
        <v>2000</v>
      </c>
      <c r="AM438" s="172">
        <f t="shared" si="59"/>
        <v>30526</v>
      </c>
      <c r="AN438" s="172">
        <v>0</v>
      </c>
      <c r="AO438" s="172">
        <f t="shared" si="54"/>
        <v>34524</v>
      </c>
      <c r="AP438" s="172">
        <v>0</v>
      </c>
      <c r="AQ438" s="172">
        <f t="shared" si="55"/>
        <v>34526</v>
      </c>
      <c r="AR438" s="172">
        <v>1</v>
      </c>
      <c r="AS438" s="172">
        <v>0</v>
      </c>
      <c r="AT438" s="195">
        <f t="shared" si="57"/>
        <v>78088</v>
      </c>
      <c r="AU438" s="195" t="s">
        <v>1026</v>
      </c>
    </row>
    <row r="439" spans="1:47" x14ac:dyDescent="0.2">
      <c r="A439" s="173">
        <f t="shared" si="56"/>
        <v>55088</v>
      </c>
      <c r="B439" s="174" t="s">
        <v>1004</v>
      </c>
      <c r="C439" s="172">
        <v>86088</v>
      </c>
      <c r="D439" s="172">
        <v>150088</v>
      </c>
      <c r="E439" s="206" t="s">
        <v>1015</v>
      </c>
      <c r="F439" s="208">
        <v>10</v>
      </c>
      <c r="G439" s="172">
        <v>10000</v>
      </c>
      <c r="H439" s="172">
        <v>10000</v>
      </c>
      <c r="I439" s="172">
        <v>10000</v>
      </c>
      <c r="J439" s="172">
        <v>3</v>
      </c>
      <c r="K439" s="190">
        <f>IF($J439=1,INDEX('큐펫&amp;몹 정리(최신)'!P:P,MATCH($E439,'큐펫&amp;몹 정리(최신)'!$B:$B,0))*20,IF($J439=2,INDEX('큐펫&amp;몹 정리(최신)'!P:P,MATCH($E439,'큐펫&amp;몹 정리(최신)'!$B:$B,0))*25,IF($J439=3,INDEX('큐펫&amp;몹 정리(최신)'!P:P,MATCH($E439,'큐펫&amp;몹 정리(최신)'!$B:$B,0))*30,IF($J439=4,INDEX('큐펫&amp;몹 정리(최신)'!P:P,MATCH($E439,'큐펫&amp;몹 정리(최신)'!$B:$B,0))*35,INDEX('큐펫&amp;몹 정리(최신)'!P:P,MATCH($E439,'큐펫&amp;몹 정리(최신)'!$B:$B,0))*40))))</f>
        <v>1200</v>
      </c>
      <c r="L439" s="190">
        <f>IF($J439=1,INDEX('큐펫&amp;몹 정리(최신)'!Q:Q,MATCH($E439,'큐펫&amp;몹 정리(최신)'!$B:$B,0))*20,IF($J439=2,INDEX('큐펫&amp;몹 정리(최신)'!Q:Q,MATCH($E439,'큐펫&amp;몹 정리(최신)'!$B:$B,0))*25,IF($J439=3,INDEX('큐펫&amp;몹 정리(최신)'!Q:Q,MATCH($E439,'큐펫&amp;몹 정리(최신)'!$B:$B,0))*30,IF($J439=4,INDEX('큐펫&amp;몹 정리(최신)'!Q:Q,MATCH($E439,'큐펫&amp;몹 정리(최신)'!$B:$B,0))*35,INDEX('큐펫&amp;몹 정리(최신)'!Q:Q,MATCH($E439,'큐펫&amp;몹 정리(최신)'!$B:$B,0))*40))))</f>
        <v>150</v>
      </c>
      <c r="M439" s="190">
        <f>IF($J439=1,INDEX('큐펫&amp;몹 정리(최신)'!R:R,MATCH($E439,'큐펫&amp;몹 정리(최신)'!$B:$B,0))*20,IF($J439=2,INDEX('큐펫&amp;몹 정리(최신)'!R:R,MATCH($E439,'큐펫&amp;몹 정리(최신)'!$B:$B,0))*25,IF($J439=3,INDEX('큐펫&amp;몹 정리(최신)'!R:R,MATCH($E439,'큐펫&amp;몹 정리(최신)'!$B:$B,0))*30,IF($J439=4,INDEX('큐펫&amp;몹 정리(최신)'!R:R,MATCH($E439,'큐펫&amp;몹 정리(최신)'!$B:$B,0))*35,INDEX('큐펫&amp;몹 정리(최신)'!R:R,MATCH($E439,'큐펫&amp;몹 정리(최신)'!$B:$B,0))*40))))</f>
        <v>660</v>
      </c>
      <c r="N439" s="190">
        <f>IF($J439=1,INDEX('큐펫&amp;몹 정리(최신)'!S:S,MATCH($E439,'큐펫&amp;몹 정리(최신)'!$B:$B,0))*20,IF($J439=2,INDEX('큐펫&amp;몹 정리(최신)'!S:S,MATCH($E439,'큐펫&amp;몹 정리(최신)'!$B:$B,0))*25,IF($J439=3,INDEX('큐펫&amp;몹 정리(최신)'!S:S,MATCH($E439,'큐펫&amp;몹 정리(최신)'!$B:$B,0))*30,IF($J439=4,INDEX('큐펫&amp;몹 정리(최신)'!S:S,MATCH($E439,'큐펫&amp;몹 정리(최신)'!$B:$B,0))*35,INDEX('큐펫&amp;몹 정리(최신)'!S:S,MATCH($E439,'큐펫&amp;몹 정리(최신)'!$B:$B,0))*40))))</f>
        <v>360</v>
      </c>
      <c r="O439" s="190">
        <f>IF($J439=1,INDEX('큐펫&amp;몹 정리(최신)'!T:T,MATCH($E439,'큐펫&amp;몹 정리(최신)'!$B:$B,0))*20,IF($J439=2,INDEX('큐펫&amp;몹 정리(최신)'!T:T,MATCH($E439,'큐펫&amp;몹 정리(최신)'!$B:$B,0))*25,IF($J439=3,INDEX('큐펫&amp;몹 정리(최신)'!T:T,MATCH($E439,'큐펫&amp;몹 정리(최신)'!$B:$B,0))*30,IF($J439=4,INDEX('큐펫&amp;몹 정리(최신)'!T:T,MATCH($E439,'큐펫&amp;몹 정리(최신)'!$B:$B,0))*35,INDEX('큐펫&amp;몹 정리(최신)'!T:T,MATCH($E439,'큐펫&amp;몹 정리(최신)'!$B:$B,0))*40))))</f>
        <v>630</v>
      </c>
      <c r="P439" s="217">
        <v>60</v>
      </c>
      <c r="Q439" s="217">
        <f t="shared" si="48"/>
        <v>126960</v>
      </c>
      <c r="R439" s="217">
        <f t="shared" si="49"/>
        <v>1276</v>
      </c>
      <c r="S439" s="217">
        <f t="shared" si="50"/>
        <v>1845</v>
      </c>
      <c r="T439" s="217">
        <f t="shared" si="51"/>
        <v>26363</v>
      </c>
      <c r="U439" s="217">
        <f t="shared" si="52"/>
        <v>23051</v>
      </c>
      <c r="V439" s="217">
        <f t="shared" si="53"/>
        <v>20223</v>
      </c>
      <c r="W439" s="217">
        <f>ROUND(AC439+(INDEX(Ref!B$1:B$9,MATCH($AI439,Ref!$A$1:$A$9,0))*P439*0.0001),)</f>
        <v>28</v>
      </c>
      <c r="X439" s="217">
        <f>ROUND(AD439+(INDEX(Ref!C$1:C$9,MATCH($AI439,Ref!$A$1:$A$9,0))*$P439*0.0001),)</f>
        <v>40</v>
      </c>
      <c r="Y439" s="217">
        <f>ROUND(AE439+(INDEX(Ref!D$1:D$9,MATCH($AI439,Ref!$A$1:$A$9,0))*$P439*0.0001),)</f>
        <v>68</v>
      </c>
      <c r="Z439" s="217">
        <f>ROUND(AF439+(INDEX(Ref!E$1:E$9,MATCH($AI439,Ref!$A$1:$A$9,0))*$P439*0.0001),)</f>
        <v>63</v>
      </c>
      <c r="AA439" s="217">
        <f>ROUND(AG439+(INDEX(Ref!F$1:F$9,MATCH($AI439,Ref!$A$1:$A$9,0))*$P439*0.0001),)</f>
        <v>34</v>
      </c>
      <c r="AB439" s="217">
        <f>ROUND(AH439+(INDEX(Ref!G$1:G$9,MATCH($AI439,Ref!$A$1:$A$9,0))*$P439*0.0001),)</f>
        <v>31</v>
      </c>
      <c r="AC439" s="137">
        <v>21</v>
      </c>
      <c r="AD439" s="137">
        <v>30</v>
      </c>
      <c r="AE439" s="137">
        <v>56</v>
      </c>
      <c r="AF439" s="137">
        <v>48.000000000000007</v>
      </c>
      <c r="AG439" s="137">
        <v>26</v>
      </c>
      <c r="AH439" s="137">
        <v>23</v>
      </c>
      <c r="AI439" s="208">
        <v>2</v>
      </c>
      <c r="AJ439" s="172">
        <v>3000</v>
      </c>
      <c r="AK439" s="172">
        <f t="shared" si="58"/>
        <v>30524</v>
      </c>
      <c r="AL439" s="172">
        <v>2000</v>
      </c>
      <c r="AM439" s="172">
        <f t="shared" si="59"/>
        <v>30527</v>
      </c>
      <c r="AN439" s="172">
        <v>0</v>
      </c>
      <c r="AO439" s="172">
        <f t="shared" si="54"/>
        <v>34524</v>
      </c>
      <c r="AP439" s="172">
        <v>0</v>
      </c>
      <c r="AQ439" s="172">
        <f t="shared" si="55"/>
        <v>34527</v>
      </c>
      <c r="AR439" s="172">
        <v>1</v>
      </c>
      <c r="AS439" s="172">
        <v>0</v>
      </c>
      <c r="AT439" s="195">
        <f t="shared" si="57"/>
        <v>78088</v>
      </c>
      <c r="AU439" s="195" t="s">
        <v>1026</v>
      </c>
    </row>
    <row r="440" spans="1:47" x14ac:dyDescent="0.2">
      <c r="A440" s="173">
        <f t="shared" si="56"/>
        <v>55088</v>
      </c>
      <c r="B440" s="174" t="s">
        <v>1004</v>
      </c>
      <c r="C440" s="172">
        <v>86088</v>
      </c>
      <c r="D440" s="172">
        <v>150088</v>
      </c>
      <c r="E440" s="206" t="s">
        <v>1015</v>
      </c>
      <c r="F440" s="208">
        <v>10</v>
      </c>
      <c r="G440" s="172">
        <v>10000</v>
      </c>
      <c r="H440" s="172">
        <v>10000</v>
      </c>
      <c r="I440" s="172">
        <v>10000</v>
      </c>
      <c r="J440" s="172">
        <v>4</v>
      </c>
      <c r="K440" s="190">
        <f>IF($J440=1,INDEX('큐펫&amp;몹 정리(최신)'!P:P,MATCH($E440,'큐펫&amp;몹 정리(최신)'!$B:$B,0))*20,IF($J440=2,INDEX('큐펫&amp;몹 정리(최신)'!P:P,MATCH($E440,'큐펫&amp;몹 정리(최신)'!$B:$B,0))*25,IF($J440=3,INDEX('큐펫&amp;몹 정리(최신)'!P:P,MATCH($E440,'큐펫&amp;몹 정리(최신)'!$B:$B,0))*30,IF($J440=4,INDEX('큐펫&amp;몹 정리(최신)'!P:P,MATCH($E440,'큐펫&amp;몹 정리(최신)'!$B:$B,0))*35,INDEX('큐펫&amp;몹 정리(최신)'!P:P,MATCH($E440,'큐펫&amp;몹 정리(최신)'!$B:$B,0))*40))))</f>
        <v>1400</v>
      </c>
      <c r="L440" s="190">
        <f>IF($J440=1,INDEX('큐펫&amp;몹 정리(최신)'!Q:Q,MATCH($E440,'큐펫&amp;몹 정리(최신)'!$B:$B,0))*20,IF($J440=2,INDEX('큐펫&amp;몹 정리(최신)'!Q:Q,MATCH($E440,'큐펫&amp;몹 정리(최신)'!$B:$B,0))*25,IF($J440=3,INDEX('큐펫&amp;몹 정리(최신)'!Q:Q,MATCH($E440,'큐펫&amp;몹 정리(최신)'!$B:$B,0))*30,IF($J440=4,INDEX('큐펫&amp;몹 정리(최신)'!Q:Q,MATCH($E440,'큐펫&amp;몹 정리(최신)'!$B:$B,0))*35,INDEX('큐펫&amp;몹 정리(최신)'!Q:Q,MATCH($E440,'큐펫&amp;몹 정리(최신)'!$B:$B,0))*40))))</f>
        <v>175</v>
      </c>
      <c r="M440" s="190">
        <f>IF($J440=1,INDEX('큐펫&amp;몹 정리(최신)'!R:R,MATCH($E440,'큐펫&amp;몹 정리(최신)'!$B:$B,0))*20,IF($J440=2,INDEX('큐펫&amp;몹 정리(최신)'!R:R,MATCH($E440,'큐펫&amp;몹 정리(최신)'!$B:$B,0))*25,IF($J440=3,INDEX('큐펫&amp;몹 정리(최신)'!R:R,MATCH($E440,'큐펫&amp;몹 정리(최신)'!$B:$B,0))*30,IF($J440=4,INDEX('큐펫&amp;몹 정리(최신)'!R:R,MATCH($E440,'큐펫&amp;몹 정리(최신)'!$B:$B,0))*35,INDEX('큐펫&amp;몹 정리(최신)'!R:R,MATCH($E440,'큐펫&amp;몹 정리(최신)'!$B:$B,0))*40))))</f>
        <v>770</v>
      </c>
      <c r="N440" s="190">
        <f>IF($J440=1,INDEX('큐펫&amp;몹 정리(최신)'!S:S,MATCH($E440,'큐펫&amp;몹 정리(최신)'!$B:$B,0))*20,IF($J440=2,INDEX('큐펫&amp;몹 정리(최신)'!S:S,MATCH($E440,'큐펫&amp;몹 정리(최신)'!$B:$B,0))*25,IF($J440=3,INDEX('큐펫&amp;몹 정리(최신)'!S:S,MATCH($E440,'큐펫&amp;몹 정리(최신)'!$B:$B,0))*30,IF($J440=4,INDEX('큐펫&amp;몹 정리(최신)'!S:S,MATCH($E440,'큐펫&amp;몹 정리(최신)'!$B:$B,0))*35,INDEX('큐펫&amp;몹 정리(최신)'!S:S,MATCH($E440,'큐펫&amp;몹 정리(최신)'!$B:$B,0))*40))))</f>
        <v>420</v>
      </c>
      <c r="O440" s="190">
        <f>IF($J440=1,INDEX('큐펫&amp;몹 정리(최신)'!T:T,MATCH($E440,'큐펫&amp;몹 정리(최신)'!$B:$B,0))*20,IF($J440=2,INDEX('큐펫&amp;몹 정리(최신)'!T:T,MATCH($E440,'큐펫&amp;몹 정리(최신)'!$B:$B,0))*25,IF($J440=3,INDEX('큐펫&amp;몹 정리(최신)'!T:T,MATCH($E440,'큐펫&amp;몹 정리(최신)'!$B:$B,0))*30,IF($J440=4,INDEX('큐펫&amp;몹 정리(최신)'!T:T,MATCH($E440,'큐펫&amp;몹 정리(최신)'!$B:$B,0))*35,INDEX('큐펫&amp;몹 정리(최신)'!T:T,MATCH($E440,'큐펫&amp;몹 정리(최신)'!$B:$B,0))*40))))</f>
        <v>735</v>
      </c>
      <c r="P440" s="217">
        <v>80</v>
      </c>
      <c r="Q440" s="217">
        <f t="shared" si="48"/>
        <v>204120</v>
      </c>
      <c r="R440" s="217">
        <f t="shared" si="49"/>
        <v>2147</v>
      </c>
      <c r="S440" s="217">
        <f t="shared" si="50"/>
        <v>2795</v>
      </c>
      <c r="T440" s="217">
        <f t="shared" si="51"/>
        <v>41233</v>
      </c>
      <c r="U440" s="217">
        <f t="shared" si="52"/>
        <v>32772</v>
      </c>
      <c r="V440" s="217">
        <f t="shared" si="53"/>
        <v>28738</v>
      </c>
      <c r="W440" s="217">
        <f>ROUND(AC440+(INDEX(Ref!B$1:B$9,MATCH($AI440,Ref!$A$1:$A$9,0))*P440*0.0001),)</f>
        <v>34</v>
      </c>
      <c r="X440" s="217">
        <f>ROUND(AD440+(INDEX(Ref!C$1:C$9,MATCH($AI440,Ref!$A$1:$A$9,0))*$P440*0.0001),)</f>
        <v>46</v>
      </c>
      <c r="Y440" s="217">
        <f>ROUND(AE440+(INDEX(Ref!D$1:D$9,MATCH($AI440,Ref!$A$1:$A$9,0))*$P440*0.0001),)</f>
        <v>76</v>
      </c>
      <c r="Z440" s="217">
        <f>ROUND(AF440+(INDEX(Ref!E$1:E$9,MATCH($AI440,Ref!$A$1:$A$9,0))*$P440*0.0001),)</f>
        <v>73</v>
      </c>
      <c r="AA440" s="217">
        <f>ROUND(AG440+(INDEX(Ref!F$1:F$9,MATCH($AI440,Ref!$A$1:$A$9,0))*$P440*0.0001),)</f>
        <v>39</v>
      </c>
      <c r="AB440" s="217">
        <f>ROUND(AH440+(INDEX(Ref!G$1:G$9,MATCH($AI440,Ref!$A$1:$A$9,0))*$P440*0.0001),)</f>
        <v>36</v>
      </c>
      <c r="AC440" s="137">
        <v>24</v>
      </c>
      <c r="AD440" s="137">
        <v>33</v>
      </c>
      <c r="AE440" s="137">
        <v>60</v>
      </c>
      <c r="AF440" s="137">
        <v>53</v>
      </c>
      <c r="AG440" s="137">
        <v>28</v>
      </c>
      <c r="AH440" s="137">
        <v>26</v>
      </c>
      <c r="AI440" s="208">
        <v>2</v>
      </c>
      <c r="AJ440" s="172">
        <v>3000</v>
      </c>
      <c r="AK440" s="172">
        <f t="shared" si="58"/>
        <v>30525</v>
      </c>
      <c r="AL440" s="172">
        <v>2000</v>
      </c>
      <c r="AM440" s="172">
        <f t="shared" si="59"/>
        <v>30527</v>
      </c>
      <c r="AN440" s="172">
        <v>0</v>
      </c>
      <c r="AO440" s="172">
        <f t="shared" si="54"/>
        <v>34525</v>
      </c>
      <c r="AP440" s="172">
        <v>0</v>
      </c>
      <c r="AQ440" s="172">
        <f t="shared" si="55"/>
        <v>34527</v>
      </c>
      <c r="AR440" s="172">
        <v>1</v>
      </c>
      <c r="AS440" s="172">
        <v>0</v>
      </c>
      <c r="AT440" s="195">
        <f t="shared" si="57"/>
        <v>78088</v>
      </c>
      <c r="AU440" s="195" t="s">
        <v>1026</v>
      </c>
    </row>
    <row r="441" spans="1:47" x14ac:dyDescent="0.2">
      <c r="A441" s="173">
        <f t="shared" si="56"/>
        <v>55088</v>
      </c>
      <c r="B441" s="174" t="s">
        <v>1004</v>
      </c>
      <c r="C441" s="172">
        <v>86088</v>
      </c>
      <c r="D441" s="172">
        <v>150088</v>
      </c>
      <c r="E441" s="206" t="s">
        <v>1015</v>
      </c>
      <c r="F441" s="208">
        <v>10</v>
      </c>
      <c r="G441" s="172">
        <v>10000</v>
      </c>
      <c r="H441" s="172">
        <v>10000</v>
      </c>
      <c r="I441" s="172">
        <v>10000</v>
      </c>
      <c r="J441" s="172">
        <v>5</v>
      </c>
      <c r="K441" s="190">
        <f>IF($J441=1,INDEX('큐펫&amp;몹 정리(최신)'!P:P,MATCH($E441,'큐펫&amp;몹 정리(최신)'!$B:$B,0))*20,IF($J441=2,INDEX('큐펫&amp;몹 정리(최신)'!P:P,MATCH($E441,'큐펫&amp;몹 정리(최신)'!$B:$B,0))*25,IF($J441=3,INDEX('큐펫&amp;몹 정리(최신)'!P:P,MATCH($E441,'큐펫&amp;몹 정리(최신)'!$B:$B,0))*30,IF($J441=4,INDEX('큐펫&amp;몹 정리(최신)'!P:P,MATCH($E441,'큐펫&amp;몹 정리(최신)'!$B:$B,0))*35,INDEX('큐펫&amp;몹 정리(최신)'!P:P,MATCH($E441,'큐펫&amp;몹 정리(최신)'!$B:$B,0))*40))))</f>
        <v>1600</v>
      </c>
      <c r="L441" s="190">
        <f>IF($J441=1,INDEX('큐펫&amp;몹 정리(최신)'!Q:Q,MATCH($E441,'큐펫&amp;몹 정리(최신)'!$B:$B,0))*20,IF($J441=2,INDEX('큐펫&amp;몹 정리(최신)'!Q:Q,MATCH($E441,'큐펫&amp;몹 정리(최신)'!$B:$B,0))*25,IF($J441=3,INDEX('큐펫&amp;몹 정리(최신)'!Q:Q,MATCH($E441,'큐펫&amp;몹 정리(최신)'!$B:$B,0))*30,IF($J441=4,INDEX('큐펫&amp;몹 정리(최신)'!Q:Q,MATCH($E441,'큐펫&amp;몹 정리(최신)'!$B:$B,0))*35,INDEX('큐펫&amp;몹 정리(최신)'!Q:Q,MATCH($E441,'큐펫&amp;몹 정리(최신)'!$B:$B,0))*40))))</f>
        <v>200</v>
      </c>
      <c r="M441" s="190">
        <f>IF($J441=1,INDEX('큐펫&amp;몹 정리(최신)'!R:R,MATCH($E441,'큐펫&amp;몹 정리(최신)'!$B:$B,0))*20,IF($J441=2,INDEX('큐펫&amp;몹 정리(최신)'!R:R,MATCH($E441,'큐펫&amp;몹 정리(최신)'!$B:$B,0))*25,IF($J441=3,INDEX('큐펫&amp;몹 정리(최신)'!R:R,MATCH($E441,'큐펫&amp;몹 정리(최신)'!$B:$B,0))*30,IF($J441=4,INDEX('큐펫&amp;몹 정리(최신)'!R:R,MATCH($E441,'큐펫&amp;몹 정리(최신)'!$B:$B,0))*35,INDEX('큐펫&amp;몹 정리(최신)'!R:R,MATCH($E441,'큐펫&amp;몹 정리(최신)'!$B:$B,0))*40))))</f>
        <v>880</v>
      </c>
      <c r="N441" s="190">
        <f>IF($J441=1,INDEX('큐펫&amp;몹 정리(최신)'!S:S,MATCH($E441,'큐펫&amp;몹 정리(최신)'!$B:$B,0))*20,IF($J441=2,INDEX('큐펫&amp;몹 정리(최신)'!S:S,MATCH($E441,'큐펫&amp;몹 정리(최신)'!$B:$B,0))*25,IF($J441=3,INDEX('큐펫&amp;몹 정리(최신)'!S:S,MATCH($E441,'큐펫&amp;몹 정리(최신)'!$B:$B,0))*30,IF($J441=4,INDEX('큐펫&amp;몹 정리(최신)'!S:S,MATCH($E441,'큐펫&amp;몹 정리(최신)'!$B:$B,0))*35,INDEX('큐펫&amp;몹 정리(최신)'!S:S,MATCH($E441,'큐펫&amp;몹 정리(최신)'!$B:$B,0))*40))))</f>
        <v>480</v>
      </c>
      <c r="O441" s="190">
        <f>IF($J441=1,INDEX('큐펫&amp;몹 정리(최신)'!T:T,MATCH($E441,'큐펫&amp;몹 정리(최신)'!$B:$B,0))*20,IF($J441=2,INDEX('큐펫&amp;몹 정리(최신)'!T:T,MATCH($E441,'큐펫&amp;몹 정리(최신)'!$B:$B,0))*25,IF($J441=3,INDEX('큐펫&amp;몹 정리(최신)'!T:T,MATCH($E441,'큐펫&amp;몹 정리(최신)'!$B:$B,0))*30,IF($J441=4,INDEX('큐펫&amp;몹 정리(최신)'!T:T,MATCH($E441,'큐펫&amp;몹 정리(최신)'!$B:$B,0))*35,INDEX('큐펫&amp;몹 정리(최신)'!T:T,MATCH($E441,'큐펫&amp;몹 정리(최신)'!$B:$B,0))*40))))</f>
        <v>840</v>
      </c>
      <c r="P441" s="217">
        <v>100</v>
      </c>
      <c r="Q441" s="217">
        <f t="shared" si="48"/>
        <v>302400</v>
      </c>
      <c r="R441" s="217">
        <f t="shared" si="49"/>
        <v>3033</v>
      </c>
      <c r="S441" s="217">
        <f t="shared" si="50"/>
        <v>4207</v>
      </c>
      <c r="T441" s="217">
        <f t="shared" si="51"/>
        <v>60855</v>
      </c>
      <c r="U441" s="217">
        <f t="shared" si="52"/>
        <v>44174</v>
      </c>
      <c r="V441" s="217">
        <f t="shared" si="53"/>
        <v>38723</v>
      </c>
      <c r="W441" s="217">
        <f>ROUND(AC441+(INDEX(Ref!B$1:B$9,MATCH($AI441,Ref!$A$1:$A$9,0))*P441*0.0001),)</f>
        <v>38</v>
      </c>
      <c r="X441" s="217">
        <f>ROUND(AD441+(INDEX(Ref!C$1:C$9,MATCH($AI441,Ref!$A$1:$A$9,0))*$P441*0.0001),)</f>
        <v>52</v>
      </c>
      <c r="Y441" s="217">
        <f>ROUND(AE441+(INDEX(Ref!D$1:D$9,MATCH($AI441,Ref!$A$1:$A$9,0))*$P441*0.0001),)</f>
        <v>84</v>
      </c>
      <c r="Z441" s="217">
        <f>ROUND(AF441+(INDEX(Ref!E$1:E$9,MATCH($AI441,Ref!$A$1:$A$9,0))*$P441*0.0001),)</f>
        <v>83</v>
      </c>
      <c r="AA441" s="217">
        <f>ROUND(AG441+(INDEX(Ref!F$1:F$9,MATCH($AI441,Ref!$A$1:$A$9,0))*$P441*0.0001),)</f>
        <v>45</v>
      </c>
      <c r="AB441" s="217">
        <f>ROUND(AH441+(INDEX(Ref!G$1:G$9,MATCH($AI441,Ref!$A$1:$A$9,0))*$P441*0.0001),)</f>
        <v>42</v>
      </c>
      <c r="AC441" s="137">
        <v>26</v>
      </c>
      <c r="AD441" s="137">
        <v>36</v>
      </c>
      <c r="AE441" s="137">
        <v>64</v>
      </c>
      <c r="AF441" s="137">
        <v>58.000000000000007</v>
      </c>
      <c r="AG441" s="137">
        <v>31</v>
      </c>
      <c r="AH441" s="137">
        <v>29</v>
      </c>
      <c r="AI441" s="208">
        <v>2</v>
      </c>
      <c r="AJ441" s="172">
        <v>3000</v>
      </c>
      <c r="AK441" s="172">
        <f t="shared" si="58"/>
        <v>30525</v>
      </c>
      <c r="AL441" s="172">
        <v>2000</v>
      </c>
      <c r="AM441" s="172">
        <f t="shared" si="59"/>
        <v>30528</v>
      </c>
      <c r="AN441" s="172">
        <v>0</v>
      </c>
      <c r="AO441" s="172">
        <f t="shared" si="54"/>
        <v>34525</v>
      </c>
      <c r="AP441" s="172">
        <v>0</v>
      </c>
      <c r="AQ441" s="172">
        <f t="shared" si="55"/>
        <v>34528</v>
      </c>
      <c r="AR441" s="172">
        <v>1</v>
      </c>
      <c r="AS441" s="172">
        <v>0</v>
      </c>
      <c r="AT441" s="195">
        <f t="shared" si="57"/>
        <v>78088</v>
      </c>
      <c r="AU441" s="195" t="s">
        <v>1026</v>
      </c>
    </row>
    <row r="442" spans="1:47" x14ac:dyDescent="0.2">
      <c r="A442" s="173">
        <f t="shared" si="56"/>
        <v>55089</v>
      </c>
      <c r="B442" s="174" t="s">
        <v>1005</v>
      </c>
      <c r="C442" s="172">
        <v>86089</v>
      </c>
      <c r="D442" s="172">
        <v>150089</v>
      </c>
      <c r="E442" s="206" t="s">
        <v>1016</v>
      </c>
      <c r="F442" s="208">
        <v>5</v>
      </c>
      <c r="G442" s="173">
        <v>11500</v>
      </c>
      <c r="H442" s="173">
        <v>9500</v>
      </c>
      <c r="I442" s="172">
        <v>10000</v>
      </c>
      <c r="J442" s="172">
        <v>1</v>
      </c>
      <c r="K442" s="190">
        <f>IF($J442=1,INDEX('큐펫&amp;몹 정리(최신)'!P:P,MATCH($E442,'큐펫&amp;몹 정리(최신)'!$B:$B,0))*20,IF($J442=2,INDEX('큐펫&amp;몹 정리(최신)'!P:P,MATCH($E442,'큐펫&amp;몹 정리(최신)'!$B:$B,0))*25,IF($J442=3,INDEX('큐펫&amp;몹 정리(최신)'!P:P,MATCH($E442,'큐펫&amp;몹 정리(최신)'!$B:$B,0))*30,IF($J442=4,INDEX('큐펫&amp;몹 정리(최신)'!P:P,MATCH($E442,'큐펫&amp;몹 정리(최신)'!$B:$B,0))*35,INDEX('큐펫&amp;몹 정리(최신)'!P:P,MATCH($E442,'큐펫&amp;몹 정리(최신)'!$B:$B,0))*40))))</f>
        <v>800</v>
      </c>
      <c r="L442" s="190">
        <f>IF($J442=1,INDEX('큐펫&amp;몹 정리(최신)'!Q:Q,MATCH($E442,'큐펫&amp;몹 정리(최신)'!$B:$B,0))*20,IF($J442=2,INDEX('큐펫&amp;몹 정리(최신)'!Q:Q,MATCH($E442,'큐펫&amp;몹 정리(최신)'!$B:$B,0))*25,IF($J442=3,INDEX('큐펫&amp;몹 정리(최신)'!Q:Q,MATCH($E442,'큐펫&amp;몹 정리(최신)'!$B:$B,0))*30,IF($J442=4,INDEX('큐펫&amp;몹 정리(최신)'!Q:Q,MATCH($E442,'큐펫&amp;몹 정리(최신)'!$B:$B,0))*35,INDEX('큐펫&amp;몹 정리(최신)'!Q:Q,MATCH($E442,'큐펫&amp;몹 정리(최신)'!$B:$B,0))*40))))</f>
        <v>440</v>
      </c>
      <c r="M442" s="190">
        <f>IF($J442=1,INDEX('큐펫&amp;몹 정리(최신)'!R:R,MATCH($E442,'큐펫&amp;몹 정리(최신)'!$B:$B,0))*20,IF($J442=2,INDEX('큐펫&amp;몹 정리(최신)'!R:R,MATCH($E442,'큐펫&amp;몹 정리(최신)'!$B:$B,0))*25,IF($J442=3,INDEX('큐펫&amp;몹 정리(최신)'!R:R,MATCH($E442,'큐펫&amp;몹 정리(최신)'!$B:$B,0))*30,IF($J442=4,INDEX('큐펫&amp;몹 정리(최신)'!R:R,MATCH($E442,'큐펫&amp;몹 정리(최신)'!$B:$B,0))*35,INDEX('큐펫&amp;몹 정리(최신)'!R:R,MATCH($E442,'큐펫&amp;몹 정리(최신)'!$B:$B,0))*40))))</f>
        <v>100</v>
      </c>
      <c r="N442" s="190">
        <f>IF($J442=1,INDEX('큐펫&amp;몹 정리(최신)'!S:S,MATCH($E442,'큐펫&amp;몹 정리(최신)'!$B:$B,0))*20,IF($J442=2,INDEX('큐펫&amp;몹 정리(최신)'!S:S,MATCH($E442,'큐펫&amp;몹 정리(최신)'!$B:$B,0))*25,IF($J442=3,INDEX('큐펫&amp;몹 정리(최신)'!S:S,MATCH($E442,'큐펫&amp;몹 정리(최신)'!$B:$B,0))*30,IF($J442=4,INDEX('큐펫&amp;몹 정리(최신)'!S:S,MATCH($E442,'큐펫&amp;몹 정리(최신)'!$B:$B,0))*35,INDEX('큐펫&amp;몹 정리(최신)'!S:S,MATCH($E442,'큐펫&amp;몹 정리(최신)'!$B:$B,0))*40))))</f>
        <v>420</v>
      </c>
      <c r="O442" s="190">
        <f>IF($J442=1,INDEX('큐펫&amp;몹 정리(최신)'!T:T,MATCH($E442,'큐펫&amp;몹 정리(최신)'!$B:$B,0))*20,IF($J442=2,INDEX('큐펫&amp;몹 정리(최신)'!T:T,MATCH($E442,'큐펫&amp;몹 정리(최신)'!$B:$B,0))*25,IF($J442=3,INDEX('큐펫&amp;몹 정리(최신)'!T:T,MATCH($E442,'큐펫&amp;몹 정리(최신)'!$B:$B,0))*30,IF($J442=4,INDEX('큐펫&amp;몹 정리(최신)'!T:T,MATCH($E442,'큐펫&amp;몹 정리(최신)'!$B:$B,0))*35,INDEX('큐펫&amp;몹 정리(최신)'!T:T,MATCH($E442,'큐펫&amp;몹 정리(최신)'!$B:$B,0))*40))))</f>
        <v>240</v>
      </c>
      <c r="P442" s="217">
        <v>20</v>
      </c>
      <c r="Q442" s="217">
        <f t="shared" si="48"/>
        <v>28320</v>
      </c>
      <c r="R442" s="217">
        <f t="shared" si="49"/>
        <v>8241</v>
      </c>
      <c r="S442" s="217">
        <f t="shared" si="50"/>
        <v>2398</v>
      </c>
      <c r="T442" s="217">
        <f t="shared" si="51"/>
        <v>417</v>
      </c>
      <c r="U442" s="217">
        <f t="shared" si="52"/>
        <v>15132</v>
      </c>
      <c r="V442" s="217">
        <f t="shared" si="53"/>
        <v>4339</v>
      </c>
      <c r="W442" s="217">
        <f>ROUND(AC442+(INDEX(Ref!B$1:B$9,MATCH($AI442,Ref!$A$1:$A$9,0))*P442*0.0001),)</f>
        <v>43</v>
      </c>
      <c r="X442" s="217">
        <f>ROUND(AD442+(INDEX(Ref!C$1:C$9,MATCH($AI442,Ref!$A$1:$A$9,0))*$P442*0.0001),)</f>
        <v>26</v>
      </c>
      <c r="Y442" s="217">
        <f>ROUND(AE442+(INDEX(Ref!D$1:D$9,MATCH($AI442,Ref!$A$1:$A$9,0))*$P442*0.0001),)</f>
        <v>52</v>
      </c>
      <c r="Z442" s="217">
        <f>ROUND(AF442+(INDEX(Ref!E$1:E$9,MATCH($AI442,Ref!$A$1:$A$9,0))*$P442*0.0001),)</f>
        <v>19</v>
      </c>
      <c r="AA442" s="217">
        <f>ROUND(AG442+(INDEX(Ref!F$1:F$9,MATCH($AI442,Ref!$A$1:$A$9,0))*$P442*0.0001),)</f>
        <v>23</v>
      </c>
      <c r="AB442" s="217">
        <f>ROUND(AH442+(INDEX(Ref!G$1:G$9,MATCH($AI442,Ref!$A$1:$A$9,0))*$P442*0.0001),)</f>
        <v>21</v>
      </c>
      <c r="AC442" s="137">
        <v>38</v>
      </c>
      <c r="AD442" s="137">
        <v>23</v>
      </c>
      <c r="AE442" s="137">
        <v>48</v>
      </c>
      <c r="AF442" s="137">
        <v>17</v>
      </c>
      <c r="AG442" s="137">
        <v>20</v>
      </c>
      <c r="AH442" s="137">
        <v>18</v>
      </c>
      <c r="AI442" s="208">
        <v>1</v>
      </c>
      <c r="AJ442" s="172">
        <v>3000</v>
      </c>
      <c r="AK442" s="172">
        <f t="shared" si="58"/>
        <v>30529</v>
      </c>
      <c r="AL442" s="172">
        <v>2000</v>
      </c>
      <c r="AM442" s="172">
        <f t="shared" si="59"/>
        <v>30532</v>
      </c>
      <c r="AN442" s="172">
        <v>0</v>
      </c>
      <c r="AO442" s="172">
        <f t="shared" si="54"/>
        <v>34529</v>
      </c>
      <c r="AP442" s="172">
        <v>0</v>
      </c>
      <c r="AQ442" s="172">
        <f t="shared" si="55"/>
        <v>34532</v>
      </c>
      <c r="AR442" s="172">
        <v>1</v>
      </c>
      <c r="AS442" s="172">
        <v>0</v>
      </c>
      <c r="AT442" s="195">
        <f t="shared" si="57"/>
        <v>78089</v>
      </c>
      <c r="AU442" s="195" t="s">
        <v>1027</v>
      </c>
    </row>
    <row r="443" spans="1:47" x14ac:dyDescent="0.2">
      <c r="A443" s="173">
        <f t="shared" si="56"/>
        <v>55089</v>
      </c>
      <c r="B443" s="174" t="s">
        <v>1005</v>
      </c>
      <c r="C443" s="172">
        <v>86089</v>
      </c>
      <c r="D443" s="172">
        <v>150089</v>
      </c>
      <c r="E443" s="206" t="s">
        <v>1016</v>
      </c>
      <c r="F443" s="208">
        <v>5</v>
      </c>
      <c r="G443" s="173">
        <v>11500</v>
      </c>
      <c r="H443" s="173">
        <v>9500</v>
      </c>
      <c r="I443" s="172">
        <v>10000</v>
      </c>
      <c r="J443" s="172">
        <v>2</v>
      </c>
      <c r="K443" s="190">
        <f>IF($J443=1,INDEX('큐펫&amp;몹 정리(최신)'!P:P,MATCH($E443,'큐펫&amp;몹 정리(최신)'!$B:$B,0))*20,IF($J443=2,INDEX('큐펫&amp;몹 정리(최신)'!P:P,MATCH($E443,'큐펫&amp;몹 정리(최신)'!$B:$B,0))*25,IF($J443=3,INDEX('큐펫&amp;몹 정리(최신)'!P:P,MATCH($E443,'큐펫&amp;몹 정리(최신)'!$B:$B,0))*30,IF($J443=4,INDEX('큐펫&amp;몹 정리(최신)'!P:P,MATCH($E443,'큐펫&amp;몹 정리(최신)'!$B:$B,0))*35,INDEX('큐펫&amp;몹 정리(최신)'!P:P,MATCH($E443,'큐펫&amp;몹 정리(최신)'!$B:$B,0))*40))))</f>
        <v>1000</v>
      </c>
      <c r="L443" s="190">
        <f>IF($J443=1,INDEX('큐펫&amp;몹 정리(최신)'!Q:Q,MATCH($E443,'큐펫&amp;몹 정리(최신)'!$B:$B,0))*20,IF($J443=2,INDEX('큐펫&amp;몹 정리(최신)'!Q:Q,MATCH($E443,'큐펫&amp;몹 정리(최신)'!$B:$B,0))*25,IF($J443=3,INDEX('큐펫&amp;몹 정리(최신)'!Q:Q,MATCH($E443,'큐펫&amp;몹 정리(최신)'!$B:$B,0))*30,IF($J443=4,INDEX('큐펫&amp;몹 정리(최신)'!Q:Q,MATCH($E443,'큐펫&amp;몹 정리(최신)'!$B:$B,0))*35,INDEX('큐펫&amp;몹 정리(최신)'!Q:Q,MATCH($E443,'큐펫&amp;몹 정리(최신)'!$B:$B,0))*40))))</f>
        <v>550</v>
      </c>
      <c r="M443" s="190">
        <f>IF($J443=1,INDEX('큐펫&amp;몹 정리(최신)'!R:R,MATCH($E443,'큐펫&amp;몹 정리(최신)'!$B:$B,0))*20,IF($J443=2,INDEX('큐펫&amp;몹 정리(최신)'!R:R,MATCH($E443,'큐펫&amp;몹 정리(최신)'!$B:$B,0))*25,IF($J443=3,INDEX('큐펫&amp;몹 정리(최신)'!R:R,MATCH($E443,'큐펫&amp;몹 정리(최신)'!$B:$B,0))*30,IF($J443=4,INDEX('큐펫&amp;몹 정리(최신)'!R:R,MATCH($E443,'큐펫&amp;몹 정리(최신)'!$B:$B,0))*35,INDEX('큐펫&amp;몹 정리(최신)'!R:R,MATCH($E443,'큐펫&amp;몹 정리(최신)'!$B:$B,0))*40))))</f>
        <v>125</v>
      </c>
      <c r="N443" s="190">
        <f>IF($J443=1,INDEX('큐펫&amp;몹 정리(최신)'!S:S,MATCH($E443,'큐펫&amp;몹 정리(최신)'!$B:$B,0))*20,IF($J443=2,INDEX('큐펫&amp;몹 정리(최신)'!S:S,MATCH($E443,'큐펫&amp;몹 정리(최신)'!$B:$B,0))*25,IF($J443=3,INDEX('큐펫&amp;몹 정리(최신)'!S:S,MATCH($E443,'큐펫&amp;몹 정리(최신)'!$B:$B,0))*30,IF($J443=4,INDEX('큐펫&amp;몹 정리(최신)'!S:S,MATCH($E443,'큐펫&amp;몹 정리(최신)'!$B:$B,0))*35,INDEX('큐펫&amp;몹 정리(최신)'!S:S,MATCH($E443,'큐펫&amp;몹 정리(최신)'!$B:$B,0))*40))))</f>
        <v>525</v>
      </c>
      <c r="O443" s="190">
        <f>IF($J443=1,INDEX('큐펫&amp;몹 정리(최신)'!T:T,MATCH($E443,'큐펫&amp;몹 정리(최신)'!$B:$B,0))*20,IF($J443=2,INDEX('큐펫&amp;몹 정리(최신)'!T:T,MATCH($E443,'큐펫&amp;몹 정리(최신)'!$B:$B,0))*25,IF($J443=3,INDEX('큐펫&amp;몹 정리(최신)'!T:T,MATCH($E443,'큐펫&amp;몹 정리(최신)'!$B:$B,0))*30,IF($J443=4,INDEX('큐펫&amp;몹 정리(최신)'!T:T,MATCH($E443,'큐펫&amp;몹 정리(최신)'!$B:$B,0))*35,INDEX('큐펫&amp;몹 정리(최신)'!T:T,MATCH($E443,'큐펫&amp;몹 정리(최신)'!$B:$B,0))*40))))</f>
        <v>300</v>
      </c>
      <c r="P443" s="217">
        <v>40</v>
      </c>
      <c r="Q443" s="217">
        <f t="shared" si="48"/>
        <v>69000</v>
      </c>
      <c r="R443" s="217">
        <f t="shared" si="49"/>
        <v>15587</v>
      </c>
      <c r="S443" s="217">
        <f t="shared" si="50"/>
        <v>4721</v>
      </c>
      <c r="T443" s="217">
        <f t="shared" si="51"/>
        <v>798</v>
      </c>
      <c r="U443" s="217">
        <f t="shared" si="52"/>
        <v>26266</v>
      </c>
      <c r="V443" s="217">
        <f t="shared" si="53"/>
        <v>7524</v>
      </c>
      <c r="W443" s="217">
        <f>ROUND(AC443+(INDEX(Ref!B$1:B$9,MATCH($AI443,Ref!$A$1:$A$9,0))*P443*0.0001),)</f>
        <v>53</v>
      </c>
      <c r="X443" s="217">
        <f>ROUND(AD443+(INDEX(Ref!C$1:C$9,MATCH($AI443,Ref!$A$1:$A$9,0))*$P443*0.0001),)</f>
        <v>32</v>
      </c>
      <c r="Y443" s="217">
        <f>ROUND(AE443+(INDEX(Ref!D$1:D$9,MATCH($AI443,Ref!$A$1:$A$9,0))*$P443*0.0001),)</f>
        <v>60</v>
      </c>
      <c r="Z443" s="217">
        <f>ROUND(AF443+(INDEX(Ref!E$1:E$9,MATCH($AI443,Ref!$A$1:$A$9,0))*$P443*0.0001),)</f>
        <v>24</v>
      </c>
      <c r="AA443" s="217">
        <f>ROUND(AG443+(INDEX(Ref!F$1:F$9,MATCH($AI443,Ref!$A$1:$A$9,0))*$P443*0.0001),)</f>
        <v>29</v>
      </c>
      <c r="AB443" s="217">
        <f>ROUND(AH443+(INDEX(Ref!G$1:G$9,MATCH($AI443,Ref!$A$1:$A$9,0))*$P443*0.0001),)</f>
        <v>26</v>
      </c>
      <c r="AC443" s="137">
        <v>43</v>
      </c>
      <c r="AD443" s="137">
        <v>26</v>
      </c>
      <c r="AE443" s="137">
        <v>52</v>
      </c>
      <c r="AF443" s="137">
        <v>19</v>
      </c>
      <c r="AG443" s="137">
        <v>23</v>
      </c>
      <c r="AH443" s="137">
        <v>21</v>
      </c>
      <c r="AI443" s="208">
        <v>1</v>
      </c>
      <c r="AJ443" s="172">
        <v>3000</v>
      </c>
      <c r="AK443" s="172">
        <f t="shared" si="58"/>
        <v>30530</v>
      </c>
      <c r="AL443" s="172">
        <v>2000</v>
      </c>
      <c r="AM443" s="172">
        <f t="shared" si="59"/>
        <v>30532</v>
      </c>
      <c r="AN443" s="172">
        <v>0</v>
      </c>
      <c r="AO443" s="172">
        <f t="shared" si="54"/>
        <v>34530</v>
      </c>
      <c r="AP443" s="172">
        <v>0</v>
      </c>
      <c r="AQ443" s="172">
        <f t="shared" si="55"/>
        <v>34532</v>
      </c>
      <c r="AR443" s="172">
        <v>1</v>
      </c>
      <c r="AS443" s="172">
        <v>0</v>
      </c>
      <c r="AT443" s="195">
        <f t="shared" si="57"/>
        <v>78089</v>
      </c>
      <c r="AU443" s="195" t="s">
        <v>1027</v>
      </c>
    </row>
    <row r="444" spans="1:47" x14ac:dyDescent="0.2">
      <c r="A444" s="173">
        <f t="shared" si="56"/>
        <v>55089</v>
      </c>
      <c r="B444" s="174" t="s">
        <v>1005</v>
      </c>
      <c r="C444" s="172">
        <v>86089</v>
      </c>
      <c r="D444" s="172">
        <v>150089</v>
      </c>
      <c r="E444" s="206" t="s">
        <v>1016</v>
      </c>
      <c r="F444" s="208">
        <v>5</v>
      </c>
      <c r="G444" s="173">
        <v>11500</v>
      </c>
      <c r="H444" s="173">
        <v>9500</v>
      </c>
      <c r="I444" s="172">
        <v>10000</v>
      </c>
      <c r="J444" s="172">
        <v>3</v>
      </c>
      <c r="K444" s="190">
        <f>IF($J444=1,INDEX('큐펫&amp;몹 정리(최신)'!P:P,MATCH($E444,'큐펫&amp;몹 정리(최신)'!$B:$B,0))*20,IF($J444=2,INDEX('큐펫&amp;몹 정리(최신)'!P:P,MATCH($E444,'큐펫&amp;몹 정리(최신)'!$B:$B,0))*25,IF($J444=3,INDEX('큐펫&amp;몹 정리(최신)'!P:P,MATCH($E444,'큐펫&amp;몹 정리(최신)'!$B:$B,0))*30,IF($J444=4,INDEX('큐펫&amp;몹 정리(최신)'!P:P,MATCH($E444,'큐펫&amp;몹 정리(최신)'!$B:$B,0))*35,INDEX('큐펫&amp;몹 정리(최신)'!P:P,MATCH($E444,'큐펫&amp;몹 정리(최신)'!$B:$B,0))*40))))</f>
        <v>1200</v>
      </c>
      <c r="L444" s="190">
        <f>IF($J444=1,INDEX('큐펫&amp;몹 정리(최신)'!Q:Q,MATCH($E444,'큐펫&amp;몹 정리(최신)'!$B:$B,0))*20,IF($J444=2,INDEX('큐펫&amp;몹 정리(최신)'!Q:Q,MATCH($E444,'큐펫&amp;몹 정리(최신)'!$B:$B,0))*25,IF($J444=3,INDEX('큐펫&amp;몹 정리(최신)'!Q:Q,MATCH($E444,'큐펫&amp;몹 정리(최신)'!$B:$B,0))*30,IF($J444=4,INDEX('큐펫&amp;몹 정리(최신)'!Q:Q,MATCH($E444,'큐펫&amp;몹 정리(최신)'!$B:$B,0))*35,INDEX('큐펫&amp;몹 정리(최신)'!Q:Q,MATCH($E444,'큐펫&amp;몹 정리(최신)'!$B:$B,0))*40))))</f>
        <v>660</v>
      </c>
      <c r="M444" s="190">
        <f>IF($J444=1,INDEX('큐펫&amp;몹 정리(최신)'!R:R,MATCH($E444,'큐펫&amp;몹 정리(최신)'!$B:$B,0))*20,IF($J444=2,INDEX('큐펫&amp;몹 정리(최신)'!R:R,MATCH($E444,'큐펫&amp;몹 정리(최신)'!$B:$B,0))*25,IF($J444=3,INDEX('큐펫&amp;몹 정리(최신)'!R:R,MATCH($E444,'큐펫&amp;몹 정리(최신)'!$B:$B,0))*30,IF($J444=4,INDEX('큐펫&amp;몹 정리(최신)'!R:R,MATCH($E444,'큐펫&amp;몹 정리(최신)'!$B:$B,0))*35,INDEX('큐펫&amp;몹 정리(최신)'!R:R,MATCH($E444,'큐펫&amp;몹 정리(최신)'!$B:$B,0))*40))))</f>
        <v>150</v>
      </c>
      <c r="N444" s="190">
        <f>IF($J444=1,INDEX('큐펫&amp;몹 정리(최신)'!S:S,MATCH($E444,'큐펫&amp;몹 정리(최신)'!$B:$B,0))*20,IF($J444=2,INDEX('큐펫&amp;몹 정리(최신)'!S:S,MATCH($E444,'큐펫&amp;몹 정리(최신)'!$B:$B,0))*25,IF($J444=3,INDEX('큐펫&amp;몹 정리(최신)'!S:S,MATCH($E444,'큐펫&amp;몹 정리(최신)'!$B:$B,0))*30,IF($J444=4,INDEX('큐펫&amp;몹 정리(최신)'!S:S,MATCH($E444,'큐펫&amp;몹 정리(최신)'!$B:$B,0))*35,INDEX('큐펫&amp;몹 정리(최신)'!S:S,MATCH($E444,'큐펫&amp;몹 정리(최신)'!$B:$B,0))*40))))</f>
        <v>630</v>
      </c>
      <c r="O444" s="190">
        <f>IF($J444=1,INDEX('큐펫&amp;몹 정리(최신)'!T:T,MATCH($E444,'큐펫&amp;몹 정리(최신)'!$B:$B,0))*20,IF($J444=2,INDEX('큐펫&amp;몹 정리(최신)'!T:T,MATCH($E444,'큐펫&amp;몹 정리(최신)'!$B:$B,0))*25,IF($J444=3,INDEX('큐펫&amp;몹 정리(최신)'!T:T,MATCH($E444,'큐펫&amp;몹 정리(최신)'!$B:$B,0))*30,IF($J444=4,INDEX('큐펫&amp;몹 정리(최신)'!T:T,MATCH($E444,'큐펫&amp;몹 정리(최신)'!$B:$B,0))*35,INDEX('큐펫&amp;몹 정리(최신)'!T:T,MATCH($E444,'큐펫&amp;몹 정리(최신)'!$B:$B,0))*40))))</f>
        <v>360</v>
      </c>
      <c r="P444" s="217">
        <v>60</v>
      </c>
      <c r="Q444" s="217">
        <f t="shared" si="48"/>
        <v>126960</v>
      </c>
      <c r="R444" s="217">
        <f t="shared" si="49"/>
        <v>26366</v>
      </c>
      <c r="S444" s="217">
        <f t="shared" si="50"/>
        <v>7749</v>
      </c>
      <c r="T444" s="217">
        <f t="shared" si="51"/>
        <v>1274</v>
      </c>
      <c r="U444" s="217">
        <f t="shared" si="52"/>
        <v>40339</v>
      </c>
      <c r="V444" s="217">
        <f t="shared" si="53"/>
        <v>11548</v>
      </c>
      <c r="W444" s="217">
        <f>ROUND(AC444+(INDEX(Ref!B$1:B$9,MATCH($AI444,Ref!$A$1:$A$9,0))*P444*0.0001),)</f>
        <v>63</v>
      </c>
      <c r="X444" s="217">
        <f>ROUND(AD444+(INDEX(Ref!C$1:C$9,MATCH($AI444,Ref!$A$1:$A$9,0))*$P444*0.0001),)</f>
        <v>40</v>
      </c>
      <c r="Y444" s="217">
        <f>ROUND(AE444+(INDEX(Ref!D$1:D$9,MATCH($AI444,Ref!$A$1:$A$9,0))*$P444*0.0001),)</f>
        <v>68</v>
      </c>
      <c r="Z444" s="217">
        <f>ROUND(AF444+(INDEX(Ref!E$1:E$9,MATCH($AI444,Ref!$A$1:$A$9,0))*$P444*0.0001),)</f>
        <v>28</v>
      </c>
      <c r="AA444" s="217">
        <f>ROUND(AG444+(INDEX(Ref!F$1:F$9,MATCH($AI444,Ref!$A$1:$A$9,0))*$P444*0.0001),)</f>
        <v>34</v>
      </c>
      <c r="AB444" s="217">
        <f>ROUND(AH444+(INDEX(Ref!G$1:G$9,MATCH($AI444,Ref!$A$1:$A$9,0))*$P444*0.0001),)</f>
        <v>31</v>
      </c>
      <c r="AC444" s="137">
        <v>48.000000000000007</v>
      </c>
      <c r="AD444" s="137">
        <v>30</v>
      </c>
      <c r="AE444" s="137">
        <v>56</v>
      </c>
      <c r="AF444" s="137">
        <v>21</v>
      </c>
      <c r="AG444" s="137">
        <v>26</v>
      </c>
      <c r="AH444" s="137">
        <v>23</v>
      </c>
      <c r="AI444" s="208">
        <v>1</v>
      </c>
      <c r="AJ444" s="172">
        <v>3000</v>
      </c>
      <c r="AK444" s="172">
        <f t="shared" si="58"/>
        <v>30530</v>
      </c>
      <c r="AL444" s="172">
        <v>2000</v>
      </c>
      <c r="AM444" s="172">
        <f t="shared" si="59"/>
        <v>30533</v>
      </c>
      <c r="AN444" s="172">
        <v>0</v>
      </c>
      <c r="AO444" s="172">
        <f t="shared" si="54"/>
        <v>34530</v>
      </c>
      <c r="AP444" s="172">
        <v>0</v>
      </c>
      <c r="AQ444" s="172">
        <f t="shared" si="55"/>
        <v>34533</v>
      </c>
      <c r="AR444" s="172">
        <v>1</v>
      </c>
      <c r="AS444" s="172">
        <v>0</v>
      </c>
      <c r="AT444" s="195">
        <f t="shared" si="57"/>
        <v>78089</v>
      </c>
      <c r="AU444" s="195" t="s">
        <v>1027</v>
      </c>
    </row>
    <row r="445" spans="1:47" x14ac:dyDescent="0.2">
      <c r="A445" s="173">
        <f t="shared" si="56"/>
        <v>55089</v>
      </c>
      <c r="B445" s="174" t="s">
        <v>1005</v>
      </c>
      <c r="C445" s="172">
        <v>86089</v>
      </c>
      <c r="D445" s="172">
        <v>150089</v>
      </c>
      <c r="E445" s="206" t="s">
        <v>1016</v>
      </c>
      <c r="F445" s="208">
        <v>5</v>
      </c>
      <c r="G445" s="173">
        <v>11500</v>
      </c>
      <c r="H445" s="173">
        <v>9500</v>
      </c>
      <c r="I445" s="172">
        <v>10000</v>
      </c>
      <c r="J445" s="172">
        <v>4</v>
      </c>
      <c r="K445" s="190">
        <f>IF($J445=1,INDEX('큐펫&amp;몹 정리(최신)'!P:P,MATCH($E445,'큐펫&amp;몹 정리(최신)'!$B:$B,0))*20,IF($J445=2,INDEX('큐펫&amp;몹 정리(최신)'!P:P,MATCH($E445,'큐펫&amp;몹 정리(최신)'!$B:$B,0))*25,IF($J445=3,INDEX('큐펫&amp;몹 정리(최신)'!P:P,MATCH($E445,'큐펫&amp;몹 정리(최신)'!$B:$B,0))*30,IF($J445=4,INDEX('큐펫&amp;몹 정리(최신)'!P:P,MATCH($E445,'큐펫&amp;몹 정리(최신)'!$B:$B,0))*35,INDEX('큐펫&amp;몹 정리(최신)'!P:P,MATCH($E445,'큐펫&amp;몹 정리(최신)'!$B:$B,0))*40))))</f>
        <v>1400</v>
      </c>
      <c r="L445" s="190">
        <f>IF($J445=1,INDEX('큐펫&amp;몹 정리(최신)'!Q:Q,MATCH($E445,'큐펫&amp;몹 정리(최신)'!$B:$B,0))*20,IF($J445=2,INDEX('큐펫&amp;몹 정리(최신)'!Q:Q,MATCH($E445,'큐펫&amp;몹 정리(최신)'!$B:$B,0))*25,IF($J445=3,INDEX('큐펫&amp;몹 정리(최신)'!Q:Q,MATCH($E445,'큐펫&amp;몹 정리(최신)'!$B:$B,0))*30,IF($J445=4,INDEX('큐펫&amp;몹 정리(최신)'!Q:Q,MATCH($E445,'큐펫&amp;몹 정리(최신)'!$B:$B,0))*35,INDEX('큐펫&amp;몹 정리(최신)'!Q:Q,MATCH($E445,'큐펫&amp;몹 정리(최신)'!$B:$B,0))*40))))</f>
        <v>770</v>
      </c>
      <c r="M445" s="190">
        <f>IF($J445=1,INDEX('큐펫&amp;몹 정리(최신)'!R:R,MATCH($E445,'큐펫&amp;몹 정리(최신)'!$B:$B,0))*20,IF($J445=2,INDEX('큐펫&amp;몹 정리(최신)'!R:R,MATCH($E445,'큐펫&amp;몹 정리(최신)'!$B:$B,0))*25,IF($J445=3,INDEX('큐펫&amp;몹 정리(최신)'!R:R,MATCH($E445,'큐펫&amp;몹 정리(최신)'!$B:$B,0))*30,IF($J445=4,INDEX('큐펫&amp;몹 정리(최신)'!R:R,MATCH($E445,'큐펫&amp;몹 정리(최신)'!$B:$B,0))*35,INDEX('큐펫&amp;몹 정리(최신)'!R:R,MATCH($E445,'큐펫&amp;몹 정리(최신)'!$B:$B,0))*40))))</f>
        <v>175</v>
      </c>
      <c r="N445" s="190">
        <f>IF($J445=1,INDEX('큐펫&amp;몹 정리(최신)'!S:S,MATCH($E445,'큐펫&amp;몹 정리(최신)'!$B:$B,0))*20,IF($J445=2,INDEX('큐펫&amp;몹 정리(최신)'!S:S,MATCH($E445,'큐펫&amp;몹 정리(최신)'!$B:$B,0))*25,IF($J445=3,INDEX('큐펫&amp;몹 정리(최신)'!S:S,MATCH($E445,'큐펫&amp;몹 정리(최신)'!$B:$B,0))*30,IF($J445=4,INDEX('큐펫&amp;몹 정리(최신)'!S:S,MATCH($E445,'큐펫&amp;몹 정리(최신)'!$B:$B,0))*35,INDEX('큐펫&amp;몹 정리(최신)'!S:S,MATCH($E445,'큐펫&amp;몹 정리(최신)'!$B:$B,0))*40))))</f>
        <v>735</v>
      </c>
      <c r="O445" s="190">
        <f>IF($J445=1,INDEX('큐펫&amp;몹 정리(최신)'!T:T,MATCH($E445,'큐펫&amp;몹 정리(최신)'!$B:$B,0))*20,IF($J445=2,INDEX('큐펫&amp;몹 정리(최신)'!T:T,MATCH($E445,'큐펫&amp;몹 정리(최신)'!$B:$B,0))*25,IF($J445=3,INDEX('큐펫&amp;몹 정리(최신)'!T:T,MATCH($E445,'큐펫&amp;몹 정리(최신)'!$B:$B,0))*30,IF($J445=4,INDEX('큐펫&amp;몹 정리(최신)'!T:T,MATCH($E445,'큐펫&amp;몹 정리(최신)'!$B:$B,0))*35,INDEX('큐펫&amp;몹 정리(최신)'!T:T,MATCH($E445,'큐펫&amp;몹 정리(최신)'!$B:$B,0))*40))))</f>
        <v>420</v>
      </c>
      <c r="P445" s="217">
        <v>80</v>
      </c>
      <c r="Q445" s="217">
        <f t="shared" si="48"/>
        <v>204120</v>
      </c>
      <c r="R445" s="217">
        <f t="shared" si="49"/>
        <v>41236</v>
      </c>
      <c r="S445" s="217">
        <f t="shared" si="50"/>
        <v>11855</v>
      </c>
      <c r="T445" s="217">
        <f t="shared" si="51"/>
        <v>2144</v>
      </c>
      <c r="U445" s="217">
        <f t="shared" si="52"/>
        <v>57352</v>
      </c>
      <c r="V445" s="217">
        <f t="shared" si="53"/>
        <v>16414</v>
      </c>
      <c r="W445" s="217">
        <f>ROUND(AC445+(INDEX(Ref!B$1:B$9,MATCH($AI445,Ref!$A$1:$A$9,0))*P445*0.0001),)</f>
        <v>73</v>
      </c>
      <c r="X445" s="217">
        <f>ROUND(AD445+(INDEX(Ref!C$1:C$9,MATCH($AI445,Ref!$A$1:$A$9,0))*$P445*0.0001),)</f>
        <v>46</v>
      </c>
      <c r="Y445" s="217">
        <f>ROUND(AE445+(INDEX(Ref!D$1:D$9,MATCH($AI445,Ref!$A$1:$A$9,0))*$P445*0.0001),)</f>
        <v>76</v>
      </c>
      <c r="Z445" s="217">
        <f>ROUND(AF445+(INDEX(Ref!E$1:E$9,MATCH($AI445,Ref!$A$1:$A$9,0))*$P445*0.0001),)</f>
        <v>34</v>
      </c>
      <c r="AA445" s="217">
        <f>ROUND(AG445+(INDEX(Ref!F$1:F$9,MATCH($AI445,Ref!$A$1:$A$9,0))*$P445*0.0001),)</f>
        <v>39</v>
      </c>
      <c r="AB445" s="217">
        <f>ROUND(AH445+(INDEX(Ref!G$1:G$9,MATCH($AI445,Ref!$A$1:$A$9,0))*$P445*0.0001),)</f>
        <v>36</v>
      </c>
      <c r="AC445" s="137">
        <v>53</v>
      </c>
      <c r="AD445" s="137">
        <v>33</v>
      </c>
      <c r="AE445" s="137">
        <v>60</v>
      </c>
      <c r="AF445" s="137">
        <v>24</v>
      </c>
      <c r="AG445" s="137">
        <v>28</v>
      </c>
      <c r="AH445" s="137">
        <v>26</v>
      </c>
      <c r="AI445" s="208">
        <v>1</v>
      </c>
      <c r="AJ445" s="172">
        <v>3000</v>
      </c>
      <c r="AK445" s="172">
        <f t="shared" si="58"/>
        <v>30531</v>
      </c>
      <c r="AL445" s="172">
        <v>2000</v>
      </c>
      <c r="AM445" s="172">
        <f t="shared" si="59"/>
        <v>30533</v>
      </c>
      <c r="AN445" s="172">
        <v>0</v>
      </c>
      <c r="AO445" s="172">
        <f t="shared" si="54"/>
        <v>34531</v>
      </c>
      <c r="AP445" s="172">
        <v>0</v>
      </c>
      <c r="AQ445" s="172">
        <f t="shared" si="55"/>
        <v>34533</v>
      </c>
      <c r="AR445" s="172">
        <v>1</v>
      </c>
      <c r="AS445" s="172">
        <v>0</v>
      </c>
      <c r="AT445" s="195">
        <f t="shared" si="57"/>
        <v>78089</v>
      </c>
      <c r="AU445" s="195" t="s">
        <v>1027</v>
      </c>
    </row>
    <row r="446" spans="1:47" x14ac:dyDescent="0.2">
      <c r="A446" s="173">
        <f t="shared" si="56"/>
        <v>55089</v>
      </c>
      <c r="B446" s="174" t="s">
        <v>1005</v>
      </c>
      <c r="C446" s="172">
        <v>86089</v>
      </c>
      <c r="D446" s="172">
        <v>150089</v>
      </c>
      <c r="E446" s="206" t="s">
        <v>1016</v>
      </c>
      <c r="F446" s="208">
        <v>5</v>
      </c>
      <c r="G446" s="173">
        <v>11500</v>
      </c>
      <c r="H446" s="173">
        <v>9500</v>
      </c>
      <c r="I446" s="172">
        <v>10000</v>
      </c>
      <c r="J446" s="172">
        <v>5</v>
      </c>
      <c r="K446" s="190">
        <f>IF($J446=1,INDEX('큐펫&amp;몹 정리(최신)'!P:P,MATCH($E446,'큐펫&amp;몹 정리(최신)'!$B:$B,0))*20,IF($J446=2,INDEX('큐펫&amp;몹 정리(최신)'!P:P,MATCH($E446,'큐펫&amp;몹 정리(최신)'!$B:$B,0))*25,IF($J446=3,INDEX('큐펫&amp;몹 정리(최신)'!P:P,MATCH($E446,'큐펫&amp;몹 정리(최신)'!$B:$B,0))*30,IF($J446=4,INDEX('큐펫&amp;몹 정리(최신)'!P:P,MATCH($E446,'큐펫&amp;몹 정리(최신)'!$B:$B,0))*35,INDEX('큐펫&amp;몹 정리(최신)'!P:P,MATCH($E446,'큐펫&amp;몹 정리(최신)'!$B:$B,0))*40))))</f>
        <v>1600</v>
      </c>
      <c r="L446" s="190">
        <f>IF($J446=1,INDEX('큐펫&amp;몹 정리(최신)'!Q:Q,MATCH($E446,'큐펫&amp;몹 정리(최신)'!$B:$B,0))*20,IF($J446=2,INDEX('큐펫&amp;몹 정리(최신)'!Q:Q,MATCH($E446,'큐펫&amp;몹 정리(최신)'!$B:$B,0))*25,IF($J446=3,INDEX('큐펫&amp;몹 정리(최신)'!Q:Q,MATCH($E446,'큐펫&amp;몹 정리(최신)'!$B:$B,0))*30,IF($J446=4,INDEX('큐펫&amp;몹 정리(최신)'!Q:Q,MATCH($E446,'큐펫&amp;몹 정리(최신)'!$B:$B,0))*35,INDEX('큐펫&amp;몹 정리(최신)'!Q:Q,MATCH($E446,'큐펫&amp;몹 정리(최신)'!$B:$B,0))*40))))</f>
        <v>880</v>
      </c>
      <c r="M446" s="190">
        <f>IF($J446=1,INDEX('큐펫&amp;몹 정리(최신)'!R:R,MATCH($E446,'큐펫&amp;몹 정리(최신)'!$B:$B,0))*20,IF($J446=2,INDEX('큐펫&amp;몹 정리(최신)'!R:R,MATCH($E446,'큐펫&amp;몹 정리(최신)'!$B:$B,0))*25,IF($J446=3,INDEX('큐펫&amp;몹 정리(최신)'!R:R,MATCH($E446,'큐펫&amp;몹 정리(최신)'!$B:$B,0))*30,IF($J446=4,INDEX('큐펫&amp;몹 정리(최신)'!R:R,MATCH($E446,'큐펫&amp;몹 정리(최신)'!$B:$B,0))*35,INDEX('큐펫&amp;몹 정리(최신)'!R:R,MATCH($E446,'큐펫&amp;몹 정리(최신)'!$B:$B,0))*40))))</f>
        <v>200</v>
      </c>
      <c r="N446" s="190">
        <f>IF($J446=1,INDEX('큐펫&amp;몹 정리(최신)'!S:S,MATCH($E446,'큐펫&amp;몹 정리(최신)'!$B:$B,0))*20,IF($J446=2,INDEX('큐펫&amp;몹 정리(최신)'!S:S,MATCH($E446,'큐펫&amp;몹 정리(최신)'!$B:$B,0))*25,IF($J446=3,INDEX('큐펫&amp;몹 정리(최신)'!S:S,MATCH($E446,'큐펫&amp;몹 정리(최신)'!$B:$B,0))*30,IF($J446=4,INDEX('큐펫&amp;몹 정리(최신)'!S:S,MATCH($E446,'큐펫&amp;몹 정리(최신)'!$B:$B,0))*35,INDEX('큐펫&amp;몹 정리(최신)'!S:S,MATCH($E446,'큐펫&amp;몹 정리(최신)'!$B:$B,0))*40))))</f>
        <v>840</v>
      </c>
      <c r="O446" s="190">
        <f>IF($J446=1,INDEX('큐펫&amp;몹 정리(최신)'!T:T,MATCH($E446,'큐펫&amp;몹 정리(최신)'!$B:$B,0))*20,IF($J446=2,INDEX('큐펫&amp;몹 정리(최신)'!T:T,MATCH($E446,'큐펫&amp;몹 정리(최신)'!$B:$B,0))*25,IF($J446=3,INDEX('큐펫&amp;몹 정리(최신)'!T:T,MATCH($E446,'큐펫&amp;몹 정리(최신)'!$B:$B,0))*30,IF($J446=4,INDEX('큐펫&amp;몹 정리(최신)'!T:T,MATCH($E446,'큐펫&amp;몹 정리(최신)'!$B:$B,0))*35,INDEX('큐펫&amp;몹 정리(최신)'!T:T,MATCH($E446,'큐펫&amp;몹 정리(최신)'!$B:$B,0))*40))))</f>
        <v>480</v>
      </c>
      <c r="P446" s="217">
        <v>100</v>
      </c>
      <c r="Q446" s="217">
        <f t="shared" si="48"/>
        <v>302400</v>
      </c>
      <c r="R446" s="217">
        <f t="shared" si="49"/>
        <v>60858</v>
      </c>
      <c r="S446" s="217">
        <f t="shared" si="50"/>
        <v>17989</v>
      </c>
      <c r="T446" s="217">
        <f t="shared" si="51"/>
        <v>3030</v>
      </c>
      <c r="U446" s="217">
        <f t="shared" si="52"/>
        <v>77305</v>
      </c>
      <c r="V446" s="217">
        <f t="shared" si="53"/>
        <v>22118</v>
      </c>
      <c r="W446" s="217">
        <f>ROUND(AC446+(INDEX(Ref!B$1:B$9,MATCH($AI446,Ref!$A$1:$A$9,0))*P446*0.0001),)</f>
        <v>83</v>
      </c>
      <c r="X446" s="217">
        <f>ROUND(AD446+(INDEX(Ref!C$1:C$9,MATCH($AI446,Ref!$A$1:$A$9,0))*$P446*0.0001),)</f>
        <v>52</v>
      </c>
      <c r="Y446" s="217">
        <f>ROUND(AE446+(INDEX(Ref!D$1:D$9,MATCH($AI446,Ref!$A$1:$A$9,0))*$P446*0.0001),)</f>
        <v>84</v>
      </c>
      <c r="Z446" s="217">
        <f>ROUND(AF446+(INDEX(Ref!E$1:E$9,MATCH($AI446,Ref!$A$1:$A$9,0))*$P446*0.0001),)</f>
        <v>38</v>
      </c>
      <c r="AA446" s="217">
        <f>ROUND(AG446+(INDEX(Ref!F$1:F$9,MATCH($AI446,Ref!$A$1:$A$9,0))*$P446*0.0001),)</f>
        <v>45</v>
      </c>
      <c r="AB446" s="217">
        <f>ROUND(AH446+(INDEX(Ref!G$1:G$9,MATCH($AI446,Ref!$A$1:$A$9,0))*$P446*0.0001),)</f>
        <v>42</v>
      </c>
      <c r="AC446" s="137">
        <v>58.000000000000007</v>
      </c>
      <c r="AD446" s="137">
        <v>36</v>
      </c>
      <c r="AE446" s="137">
        <v>64</v>
      </c>
      <c r="AF446" s="137">
        <v>26</v>
      </c>
      <c r="AG446" s="137">
        <v>31</v>
      </c>
      <c r="AH446" s="137">
        <v>29</v>
      </c>
      <c r="AI446" s="208">
        <v>1</v>
      </c>
      <c r="AJ446" s="172">
        <v>3000</v>
      </c>
      <c r="AK446" s="172">
        <f t="shared" si="58"/>
        <v>30531</v>
      </c>
      <c r="AL446" s="172">
        <v>2000</v>
      </c>
      <c r="AM446" s="172">
        <f t="shared" si="59"/>
        <v>30534</v>
      </c>
      <c r="AN446" s="172">
        <v>0</v>
      </c>
      <c r="AO446" s="172">
        <f t="shared" si="54"/>
        <v>34531</v>
      </c>
      <c r="AP446" s="172">
        <v>0</v>
      </c>
      <c r="AQ446" s="172">
        <f t="shared" si="55"/>
        <v>34534</v>
      </c>
      <c r="AR446" s="172">
        <v>1</v>
      </c>
      <c r="AS446" s="172">
        <v>0</v>
      </c>
      <c r="AT446" s="195">
        <f t="shared" si="57"/>
        <v>78089</v>
      </c>
      <c r="AU446" s="195" t="s">
        <v>1027</v>
      </c>
    </row>
    <row r="447" spans="1:47" x14ac:dyDescent="0.2">
      <c r="A447" s="173">
        <f t="shared" si="56"/>
        <v>55090</v>
      </c>
      <c r="B447" s="174" t="s">
        <v>1006</v>
      </c>
      <c r="C447" s="172">
        <v>86090</v>
      </c>
      <c r="D447" s="172">
        <v>150090</v>
      </c>
      <c r="E447" s="206" t="s">
        <v>1017</v>
      </c>
      <c r="F447" s="208">
        <v>3</v>
      </c>
      <c r="G447" s="172">
        <v>8500</v>
      </c>
      <c r="H447" s="172">
        <v>8500</v>
      </c>
      <c r="I447" s="172">
        <v>10000</v>
      </c>
      <c r="J447" s="172">
        <v>1</v>
      </c>
      <c r="K447" s="190">
        <f>IF($J447=1,INDEX('큐펫&amp;몹 정리(최신)'!P:P,MATCH($E447,'큐펫&amp;몹 정리(최신)'!$B:$B,0))*20,IF($J447=2,INDEX('큐펫&amp;몹 정리(최신)'!P:P,MATCH($E447,'큐펫&amp;몹 정리(최신)'!$B:$B,0))*25,IF($J447=3,INDEX('큐펫&amp;몹 정리(최신)'!P:P,MATCH($E447,'큐펫&amp;몹 정리(최신)'!$B:$B,0))*30,IF($J447=4,INDEX('큐펫&amp;몹 정리(최신)'!P:P,MATCH($E447,'큐펫&amp;몹 정리(최신)'!$B:$B,0))*35,INDEX('큐펫&amp;몹 정리(최신)'!P:P,MATCH($E447,'큐펫&amp;몹 정리(최신)'!$B:$B,0))*40))))</f>
        <v>800</v>
      </c>
      <c r="L447" s="190">
        <f>IF($J447=1,INDEX('큐펫&amp;몹 정리(최신)'!Q:Q,MATCH($E447,'큐펫&amp;몹 정리(최신)'!$B:$B,0))*20,IF($J447=2,INDEX('큐펫&amp;몹 정리(최신)'!Q:Q,MATCH($E447,'큐펫&amp;몹 정리(최신)'!$B:$B,0))*25,IF($J447=3,INDEX('큐펫&amp;몹 정리(최신)'!Q:Q,MATCH($E447,'큐펫&amp;몹 정리(최신)'!$B:$B,0))*30,IF($J447=4,INDEX('큐펫&amp;몹 정리(최신)'!Q:Q,MATCH($E447,'큐펫&amp;몹 정리(최신)'!$B:$B,0))*35,INDEX('큐펫&amp;몹 정리(최신)'!Q:Q,MATCH($E447,'큐펫&amp;몹 정리(최신)'!$B:$B,0))*40))))</f>
        <v>440</v>
      </c>
      <c r="M447" s="190">
        <f>IF($J447=1,INDEX('큐펫&amp;몹 정리(최신)'!R:R,MATCH($E447,'큐펫&amp;몹 정리(최신)'!$B:$B,0))*20,IF($J447=2,INDEX('큐펫&amp;몹 정리(최신)'!R:R,MATCH($E447,'큐펫&amp;몹 정리(최신)'!$B:$B,0))*25,IF($J447=3,INDEX('큐펫&amp;몹 정리(최신)'!R:R,MATCH($E447,'큐펫&amp;몹 정리(최신)'!$B:$B,0))*30,IF($J447=4,INDEX('큐펫&amp;몹 정리(최신)'!R:R,MATCH($E447,'큐펫&amp;몹 정리(최신)'!$B:$B,0))*35,INDEX('큐펫&amp;몹 정리(최신)'!R:R,MATCH($E447,'큐펫&amp;몹 정리(최신)'!$B:$B,0))*40))))</f>
        <v>100</v>
      </c>
      <c r="N447" s="190">
        <f>IF($J447=1,INDEX('큐펫&amp;몹 정리(최신)'!S:S,MATCH($E447,'큐펫&amp;몹 정리(최신)'!$B:$B,0))*20,IF($J447=2,INDEX('큐펫&amp;몹 정리(최신)'!S:S,MATCH($E447,'큐펫&amp;몹 정리(최신)'!$B:$B,0))*25,IF($J447=3,INDEX('큐펫&amp;몹 정리(최신)'!S:S,MATCH($E447,'큐펫&amp;몹 정리(최신)'!$B:$B,0))*30,IF($J447=4,INDEX('큐펫&amp;몹 정리(최신)'!S:S,MATCH($E447,'큐펫&amp;몹 정리(최신)'!$B:$B,0))*35,INDEX('큐펫&amp;몹 정리(최신)'!S:S,MATCH($E447,'큐펫&amp;몹 정리(최신)'!$B:$B,0))*40))))</f>
        <v>420</v>
      </c>
      <c r="O447" s="190">
        <f>IF($J447=1,INDEX('큐펫&amp;몹 정리(최신)'!T:T,MATCH($E447,'큐펫&amp;몹 정리(최신)'!$B:$B,0))*20,IF($J447=2,INDEX('큐펫&amp;몹 정리(최신)'!T:T,MATCH($E447,'큐펫&amp;몹 정리(최신)'!$B:$B,0))*25,IF($J447=3,INDEX('큐펫&amp;몹 정리(최신)'!T:T,MATCH($E447,'큐펫&amp;몹 정리(최신)'!$B:$B,0))*30,IF($J447=4,INDEX('큐펫&amp;몹 정리(최신)'!T:T,MATCH($E447,'큐펫&amp;몹 정리(최신)'!$B:$B,0))*35,INDEX('큐펫&amp;몹 정리(최신)'!T:T,MATCH($E447,'큐펫&amp;몹 정리(최신)'!$B:$B,0))*40))))</f>
        <v>240</v>
      </c>
      <c r="P447" s="217">
        <v>20</v>
      </c>
      <c r="Q447" s="217">
        <f t="shared" si="48"/>
        <v>26880</v>
      </c>
      <c r="R447" s="217">
        <f t="shared" si="49"/>
        <v>5177</v>
      </c>
      <c r="S447" s="217">
        <f t="shared" si="50"/>
        <v>3530</v>
      </c>
      <c r="T447" s="217">
        <f t="shared" si="51"/>
        <v>504</v>
      </c>
      <c r="U447" s="217">
        <f t="shared" si="52"/>
        <v>13240</v>
      </c>
      <c r="V447" s="217">
        <f t="shared" si="53"/>
        <v>3801</v>
      </c>
      <c r="W447" s="217">
        <f>ROUND(AC447+(INDEX(Ref!B$1:B$9,MATCH($AI447,Ref!$A$1:$A$9,0))*P447*0.0001),)</f>
        <v>34</v>
      </c>
      <c r="X447" s="217">
        <f>ROUND(AD447+(INDEX(Ref!C$1:C$9,MATCH($AI447,Ref!$A$1:$A$9,0))*$P447*0.0001),)</f>
        <v>26</v>
      </c>
      <c r="Y447" s="217">
        <f>ROUND(AE447+(INDEX(Ref!D$1:D$9,MATCH($AI447,Ref!$A$1:$A$9,0))*$P447*0.0001),)</f>
        <v>43</v>
      </c>
      <c r="Z447" s="217">
        <f>ROUND(AF447+(INDEX(Ref!E$1:E$9,MATCH($AI447,Ref!$A$1:$A$9,0))*$P447*0.0001),)</f>
        <v>21</v>
      </c>
      <c r="AA447" s="217">
        <f>ROUND(AG447+(INDEX(Ref!F$1:F$9,MATCH($AI447,Ref!$A$1:$A$9,0))*$P447*0.0001),)</f>
        <v>28</v>
      </c>
      <c r="AB447" s="217">
        <f>ROUND(AH447+(INDEX(Ref!G$1:G$9,MATCH($AI447,Ref!$A$1:$A$9,0))*$P447*0.0001),)</f>
        <v>32</v>
      </c>
      <c r="AC447" s="137">
        <v>30</v>
      </c>
      <c r="AD447" s="137">
        <v>23</v>
      </c>
      <c r="AE447" s="137">
        <v>40</v>
      </c>
      <c r="AF447" s="137">
        <v>18</v>
      </c>
      <c r="AG447" s="137">
        <v>25</v>
      </c>
      <c r="AH447" s="137">
        <v>28</v>
      </c>
      <c r="AI447" s="208">
        <v>7</v>
      </c>
      <c r="AJ447" s="172">
        <v>3000</v>
      </c>
      <c r="AK447" s="172">
        <f t="shared" si="58"/>
        <v>30535</v>
      </c>
      <c r="AL447" s="172">
        <v>2000</v>
      </c>
      <c r="AM447" s="172">
        <f t="shared" si="59"/>
        <v>30538</v>
      </c>
      <c r="AN447" s="172">
        <v>0</v>
      </c>
      <c r="AO447" s="172">
        <f t="shared" si="54"/>
        <v>34535</v>
      </c>
      <c r="AP447" s="172">
        <v>0</v>
      </c>
      <c r="AQ447" s="172">
        <f t="shared" si="55"/>
        <v>34538</v>
      </c>
      <c r="AR447" s="172">
        <v>1</v>
      </c>
      <c r="AS447" s="172">
        <v>0</v>
      </c>
      <c r="AT447" s="195">
        <f t="shared" si="57"/>
        <v>78090</v>
      </c>
      <c r="AU447" s="195" t="s">
        <v>1028</v>
      </c>
    </row>
    <row r="448" spans="1:47" x14ac:dyDescent="0.2">
      <c r="A448" s="173">
        <f t="shared" si="56"/>
        <v>55090</v>
      </c>
      <c r="B448" s="174" t="s">
        <v>1006</v>
      </c>
      <c r="C448" s="172">
        <v>86090</v>
      </c>
      <c r="D448" s="172">
        <v>150090</v>
      </c>
      <c r="E448" s="206" t="s">
        <v>1017</v>
      </c>
      <c r="F448" s="208">
        <v>3</v>
      </c>
      <c r="G448" s="172">
        <v>8500</v>
      </c>
      <c r="H448" s="172">
        <v>8500</v>
      </c>
      <c r="I448" s="172">
        <v>10000</v>
      </c>
      <c r="J448" s="172">
        <v>2</v>
      </c>
      <c r="K448" s="190">
        <f>IF($J448=1,INDEX('큐펫&amp;몹 정리(최신)'!P:P,MATCH($E448,'큐펫&amp;몹 정리(최신)'!$B:$B,0))*20,IF($J448=2,INDEX('큐펫&amp;몹 정리(최신)'!P:P,MATCH($E448,'큐펫&amp;몹 정리(최신)'!$B:$B,0))*25,IF($J448=3,INDEX('큐펫&amp;몹 정리(최신)'!P:P,MATCH($E448,'큐펫&amp;몹 정리(최신)'!$B:$B,0))*30,IF($J448=4,INDEX('큐펫&amp;몹 정리(최신)'!P:P,MATCH($E448,'큐펫&amp;몹 정리(최신)'!$B:$B,0))*35,INDEX('큐펫&amp;몹 정리(최신)'!P:P,MATCH($E448,'큐펫&amp;몹 정리(최신)'!$B:$B,0))*40))))</f>
        <v>1000</v>
      </c>
      <c r="L448" s="190">
        <f>IF($J448=1,INDEX('큐펫&amp;몹 정리(최신)'!Q:Q,MATCH($E448,'큐펫&amp;몹 정리(최신)'!$B:$B,0))*20,IF($J448=2,INDEX('큐펫&amp;몹 정리(최신)'!Q:Q,MATCH($E448,'큐펫&amp;몹 정리(최신)'!$B:$B,0))*25,IF($J448=3,INDEX('큐펫&amp;몹 정리(최신)'!Q:Q,MATCH($E448,'큐펫&amp;몹 정리(최신)'!$B:$B,0))*30,IF($J448=4,INDEX('큐펫&amp;몹 정리(최신)'!Q:Q,MATCH($E448,'큐펫&amp;몹 정리(최신)'!$B:$B,0))*35,INDEX('큐펫&amp;몹 정리(최신)'!Q:Q,MATCH($E448,'큐펫&amp;몹 정리(최신)'!$B:$B,0))*40))))</f>
        <v>550</v>
      </c>
      <c r="M448" s="190">
        <f>IF($J448=1,INDEX('큐펫&amp;몹 정리(최신)'!R:R,MATCH($E448,'큐펫&amp;몹 정리(최신)'!$B:$B,0))*20,IF($J448=2,INDEX('큐펫&amp;몹 정리(최신)'!R:R,MATCH($E448,'큐펫&amp;몹 정리(최신)'!$B:$B,0))*25,IF($J448=3,INDEX('큐펫&amp;몹 정리(최신)'!R:R,MATCH($E448,'큐펫&amp;몹 정리(최신)'!$B:$B,0))*30,IF($J448=4,INDEX('큐펫&amp;몹 정리(최신)'!R:R,MATCH($E448,'큐펫&amp;몹 정리(최신)'!$B:$B,0))*35,INDEX('큐펫&amp;몹 정리(최신)'!R:R,MATCH($E448,'큐펫&amp;몹 정리(최신)'!$B:$B,0))*40))))</f>
        <v>125</v>
      </c>
      <c r="N448" s="190">
        <f>IF($J448=1,INDEX('큐펫&amp;몹 정리(최신)'!S:S,MATCH($E448,'큐펫&amp;몹 정리(최신)'!$B:$B,0))*20,IF($J448=2,INDEX('큐펫&amp;몹 정리(최신)'!S:S,MATCH($E448,'큐펫&amp;몹 정리(최신)'!$B:$B,0))*25,IF($J448=3,INDEX('큐펫&amp;몹 정리(최신)'!S:S,MATCH($E448,'큐펫&amp;몹 정리(최신)'!$B:$B,0))*30,IF($J448=4,INDEX('큐펫&amp;몹 정리(최신)'!S:S,MATCH($E448,'큐펫&amp;몹 정리(최신)'!$B:$B,0))*35,INDEX('큐펫&amp;몹 정리(최신)'!S:S,MATCH($E448,'큐펫&amp;몹 정리(최신)'!$B:$B,0))*40))))</f>
        <v>525</v>
      </c>
      <c r="O448" s="190">
        <f>IF($J448=1,INDEX('큐펫&amp;몹 정리(최신)'!T:T,MATCH($E448,'큐펫&amp;몹 정리(최신)'!$B:$B,0))*20,IF($J448=2,INDEX('큐펫&amp;몹 정리(최신)'!T:T,MATCH($E448,'큐펫&amp;몹 정리(최신)'!$B:$B,0))*25,IF($J448=3,INDEX('큐펫&amp;몹 정리(최신)'!T:T,MATCH($E448,'큐펫&amp;몹 정리(최신)'!$B:$B,0))*30,IF($J448=4,INDEX('큐펫&amp;몹 정리(최신)'!T:T,MATCH($E448,'큐펫&amp;몹 정리(최신)'!$B:$B,0))*35,INDEX('큐펫&amp;몹 정리(최신)'!T:T,MATCH($E448,'큐펫&amp;몹 정리(최신)'!$B:$B,0))*40))))</f>
        <v>300</v>
      </c>
      <c r="P448" s="217">
        <v>40</v>
      </c>
      <c r="Q448" s="217">
        <f t="shared" si="48"/>
        <v>64600</v>
      </c>
      <c r="R448" s="217">
        <f t="shared" si="49"/>
        <v>9822</v>
      </c>
      <c r="S448" s="217">
        <f t="shared" si="50"/>
        <v>6846</v>
      </c>
      <c r="T448" s="217">
        <f t="shared" si="51"/>
        <v>931</v>
      </c>
      <c r="U448" s="217">
        <f t="shared" si="52"/>
        <v>23375</v>
      </c>
      <c r="V448" s="217">
        <f t="shared" si="53"/>
        <v>6701</v>
      </c>
      <c r="W448" s="217">
        <f>ROUND(AC448+(INDEX(Ref!B$1:B$9,MATCH($AI448,Ref!$A$1:$A$9,0))*P448*0.0001),)</f>
        <v>42</v>
      </c>
      <c r="X448" s="217">
        <f>ROUND(AD448+(INDEX(Ref!C$1:C$9,MATCH($AI448,Ref!$A$1:$A$9,0))*$P448*0.0001),)</f>
        <v>32</v>
      </c>
      <c r="Y448" s="217">
        <f>ROUND(AE448+(INDEX(Ref!D$1:D$9,MATCH($AI448,Ref!$A$1:$A$9,0))*$P448*0.0001),)</f>
        <v>49</v>
      </c>
      <c r="Z448" s="217">
        <f>ROUND(AF448+(INDEX(Ref!E$1:E$9,MATCH($AI448,Ref!$A$1:$A$9,0))*$P448*0.0001),)</f>
        <v>26</v>
      </c>
      <c r="AA448" s="217">
        <f>ROUND(AG448+(INDEX(Ref!F$1:F$9,MATCH($AI448,Ref!$A$1:$A$9,0))*$P448*0.0001),)</f>
        <v>35</v>
      </c>
      <c r="AB448" s="217">
        <f>ROUND(AH448+(INDEX(Ref!G$1:G$9,MATCH($AI448,Ref!$A$1:$A$9,0))*$P448*0.0001),)</f>
        <v>40</v>
      </c>
      <c r="AC448" s="137">
        <v>34</v>
      </c>
      <c r="AD448" s="137">
        <v>26</v>
      </c>
      <c r="AE448" s="137">
        <v>43</v>
      </c>
      <c r="AF448" s="137">
        <v>21</v>
      </c>
      <c r="AG448" s="137">
        <v>28</v>
      </c>
      <c r="AH448" s="137">
        <v>32</v>
      </c>
      <c r="AI448" s="208">
        <v>7</v>
      </c>
      <c r="AJ448" s="172">
        <v>3000</v>
      </c>
      <c r="AK448" s="172">
        <f t="shared" si="58"/>
        <v>30536</v>
      </c>
      <c r="AL448" s="172">
        <v>2000</v>
      </c>
      <c r="AM448" s="172">
        <f t="shared" si="59"/>
        <v>30538</v>
      </c>
      <c r="AN448" s="172">
        <v>0</v>
      </c>
      <c r="AO448" s="172">
        <f t="shared" si="54"/>
        <v>34536</v>
      </c>
      <c r="AP448" s="172">
        <v>0</v>
      </c>
      <c r="AQ448" s="172">
        <f t="shared" si="55"/>
        <v>34538</v>
      </c>
      <c r="AR448" s="172">
        <v>1</v>
      </c>
      <c r="AS448" s="172">
        <v>0</v>
      </c>
      <c r="AT448" s="195">
        <f t="shared" si="57"/>
        <v>78090</v>
      </c>
      <c r="AU448" s="195" t="s">
        <v>1028</v>
      </c>
    </row>
    <row r="449" spans="1:47" x14ac:dyDescent="0.2">
      <c r="A449" s="173">
        <f t="shared" si="56"/>
        <v>55090</v>
      </c>
      <c r="B449" s="174" t="s">
        <v>1006</v>
      </c>
      <c r="C449" s="172">
        <v>86090</v>
      </c>
      <c r="D449" s="172">
        <v>150090</v>
      </c>
      <c r="E449" s="206" t="s">
        <v>1017</v>
      </c>
      <c r="F449" s="208">
        <v>3</v>
      </c>
      <c r="G449" s="172">
        <v>8500</v>
      </c>
      <c r="H449" s="172">
        <v>8500</v>
      </c>
      <c r="I449" s="172">
        <v>10000</v>
      </c>
      <c r="J449" s="172">
        <v>3</v>
      </c>
      <c r="K449" s="190">
        <f>IF($J449=1,INDEX('큐펫&amp;몹 정리(최신)'!P:P,MATCH($E449,'큐펫&amp;몹 정리(최신)'!$B:$B,0))*20,IF($J449=2,INDEX('큐펫&amp;몹 정리(최신)'!P:P,MATCH($E449,'큐펫&amp;몹 정리(최신)'!$B:$B,0))*25,IF($J449=3,INDEX('큐펫&amp;몹 정리(최신)'!P:P,MATCH($E449,'큐펫&amp;몹 정리(최신)'!$B:$B,0))*30,IF($J449=4,INDEX('큐펫&amp;몹 정리(최신)'!P:P,MATCH($E449,'큐펫&amp;몹 정리(최신)'!$B:$B,0))*35,INDEX('큐펫&amp;몹 정리(최신)'!P:P,MATCH($E449,'큐펫&amp;몹 정리(최신)'!$B:$B,0))*40))))</f>
        <v>1200</v>
      </c>
      <c r="L449" s="190">
        <f>IF($J449=1,INDEX('큐펫&amp;몹 정리(최신)'!Q:Q,MATCH($E449,'큐펫&amp;몹 정리(최신)'!$B:$B,0))*20,IF($J449=2,INDEX('큐펫&amp;몹 정리(최신)'!Q:Q,MATCH($E449,'큐펫&amp;몹 정리(최신)'!$B:$B,0))*25,IF($J449=3,INDEX('큐펫&amp;몹 정리(최신)'!Q:Q,MATCH($E449,'큐펫&amp;몹 정리(최신)'!$B:$B,0))*30,IF($J449=4,INDEX('큐펫&amp;몹 정리(최신)'!Q:Q,MATCH($E449,'큐펫&amp;몹 정리(최신)'!$B:$B,0))*35,INDEX('큐펫&amp;몹 정리(최신)'!Q:Q,MATCH($E449,'큐펫&amp;몹 정리(최신)'!$B:$B,0))*40))))</f>
        <v>660</v>
      </c>
      <c r="M449" s="190">
        <f>IF($J449=1,INDEX('큐펫&amp;몹 정리(최신)'!R:R,MATCH($E449,'큐펫&amp;몹 정리(최신)'!$B:$B,0))*20,IF($J449=2,INDEX('큐펫&amp;몹 정리(최신)'!R:R,MATCH($E449,'큐펫&amp;몹 정리(최신)'!$B:$B,0))*25,IF($J449=3,INDEX('큐펫&amp;몹 정리(최신)'!R:R,MATCH($E449,'큐펫&amp;몹 정리(최신)'!$B:$B,0))*30,IF($J449=4,INDEX('큐펫&amp;몹 정리(최신)'!R:R,MATCH($E449,'큐펫&amp;몹 정리(최신)'!$B:$B,0))*35,INDEX('큐펫&amp;몹 정리(최신)'!R:R,MATCH($E449,'큐펫&amp;몹 정리(최신)'!$B:$B,0))*40))))</f>
        <v>150</v>
      </c>
      <c r="N449" s="190">
        <f>IF($J449=1,INDEX('큐펫&amp;몹 정리(최신)'!S:S,MATCH($E449,'큐펫&amp;몹 정리(최신)'!$B:$B,0))*20,IF($J449=2,INDEX('큐펫&amp;몹 정리(최신)'!S:S,MATCH($E449,'큐펫&amp;몹 정리(최신)'!$B:$B,0))*25,IF($J449=3,INDEX('큐펫&amp;몹 정리(최신)'!S:S,MATCH($E449,'큐펫&amp;몹 정리(최신)'!$B:$B,0))*30,IF($J449=4,INDEX('큐펫&amp;몹 정리(최신)'!S:S,MATCH($E449,'큐펫&amp;몹 정리(최신)'!$B:$B,0))*35,INDEX('큐펫&amp;몹 정리(최신)'!S:S,MATCH($E449,'큐펫&amp;몹 정리(최신)'!$B:$B,0))*40))))</f>
        <v>630</v>
      </c>
      <c r="O449" s="190">
        <f>IF($J449=1,INDEX('큐펫&amp;몹 정리(최신)'!T:T,MATCH($E449,'큐펫&amp;몹 정리(최신)'!$B:$B,0))*20,IF($J449=2,INDEX('큐펫&amp;몹 정리(최신)'!T:T,MATCH($E449,'큐펫&amp;몹 정리(최신)'!$B:$B,0))*25,IF($J449=3,INDEX('큐펫&amp;몹 정리(최신)'!T:T,MATCH($E449,'큐펫&amp;몹 정리(최신)'!$B:$B,0))*30,IF($J449=4,INDEX('큐펫&amp;몹 정리(최신)'!T:T,MATCH($E449,'큐펫&amp;몹 정리(최신)'!$B:$B,0))*35,INDEX('큐펫&amp;몹 정리(최신)'!T:T,MATCH($E449,'큐펫&amp;몹 정리(최신)'!$B:$B,0))*40))))</f>
        <v>360</v>
      </c>
      <c r="P449" s="217">
        <v>60</v>
      </c>
      <c r="Q449" s="217">
        <f t="shared" si="48"/>
        <v>116880</v>
      </c>
      <c r="R449" s="217">
        <f t="shared" si="49"/>
        <v>16649</v>
      </c>
      <c r="S449" s="217">
        <f t="shared" si="50"/>
        <v>11778</v>
      </c>
      <c r="T449" s="217">
        <f t="shared" si="51"/>
        <v>1550</v>
      </c>
      <c r="U449" s="217">
        <f t="shared" si="52"/>
        <v>35926</v>
      </c>
      <c r="V449" s="217">
        <f t="shared" si="53"/>
        <v>10291</v>
      </c>
      <c r="W449" s="217">
        <f>ROUND(AC449+(INDEX(Ref!B$1:B$9,MATCH($AI449,Ref!$A$1:$A$9,0))*P449*0.0001),)</f>
        <v>50</v>
      </c>
      <c r="X449" s="217">
        <f>ROUND(AD449+(INDEX(Ref!C$1:C$9,MATCH($AI449,Ref!$A$1:$A$9,0))*$P449*0.0001),)</f>
        <v>40</v>
      </c>
      <c r="Y449" s="217">
        <f>ROUND(AE449+(INDEX(Ref!D$1:D$9,MATCH($AI449,Ref!$A$1:$A$9,0))*$P449*0.0001),)</f>
        <v>54</v>
      </c>
      <c r="Z449" s="217">
        <f>ROUND(AF449+(INDEX(Ref!E$1:E$9,MATCH($AI449,Ref!$A$1:$A$9,0))*$P449*0.0001),)</f>
        <v>31</v>
      </c>
      <c r="AA449" s="217">
        <f>ROUND(AG449+(INDEX(Ref!F$1:F$9,MATCH($AI449,Ref!$A$1:$A$9,0))*$P449*0.0001),)</f>
        <v>42</v>
      </c>
      <c r="AB449" s="217">
        <f>ROUND(AH449+(INDEX(Ref!G$1:G$9,MATCH($AI449,Ref!$A$1:$A$9,0))*$P449*0.0001),)</f>
        <v>47</v>
      </c>
      <c r="AC449" s="137">
        <v>38</v>
      </c>
      <c r="AD449" s="137">
        <v>30</v>
      </c>
      <c r="AE449" s="137">
        <v>45</v>
      </c>
      <c r="AF449" s="137">
        <v>23</v>
      </c>
      <c r="AG449" s="137">
        <v>32</v>
      </c>
      <c r="AH449" s="137">
        <v>36</v>
      </c>
      <c r="AI449" s="208">
        <v>7</v>
      </c>
      <c r="AJ449" s="172">
        <v>3000</v>
      </c>
      <c r="AK449" s="172">
        <f t="shared" si="58"/>
        <v>30536</v>
      </c>
      <c r="AL449" s="172">
        <v>2000</v>
      </c>
      <c r="AM449" s="172">
        <f t="shared" si="59"/>
        <v>30539</v>
      </c>
      <c r="AN449" s="172">
        <v>0</v>
      </c>
      <c r="AO449" s="172">
        <f t="shared" si="54"/>
        <v>34536</v>
      </c>
      <c r="AP449" s="172">
        <v>0</v>
      </c>
      <c r="AQ449" s="172">
        <f t="shared" si="55"/>
        <v>34539</v>
      </c>
      <c r="AR449" s="172">
        <v>1</v>
      </c>
      <c r="AS449" s="172">
        <v>0</v>
      </c>
      <c r="AT449" s="195">
        <f t="shared" si="57"/>
        <v>78090</v>
      </c>
      <c r="AU449" s="195" t="s">
        <v>1028</v>
      </c>
    </row>
    <row r="450" spans="1:47" x14ac:dyDescent="0.2">
      <c r="A450" s="173">
        <f t="shared" si="56"/>
        <v>55090</v>
      </c>
      <c r="B450" s="174" t="s">
        <v>1006</v>
      </c>
      <c r="C450" s="172">
        <v>86090</v>
      </c>
      <c r="D450" s="172">
        <v>150090</v>
      </c>
      <c r="E450" s="206" t="s">
        <v>1017</v>
      </c>
      <c r="F450" s="208">
        <v>3</v>
      </c>
      <c r="G450" s="172">
        <v>8500</v>
      </c>
      <c r="H450" s="172">
        <v>8500</v>
      </c>
      <c r="I450" s="172">
        <v>10000</v>
      </c>
      <c r="J450" s="172">
        <v>4</v>
      </c>
      <c r="K450" s="190">
        <f>IF($J450=1,INDEX('큐펫&amp;몹 정리(최신)'!P:P,MATCH($E450,'큐펫&amp;몹 정리(최신)'!$B:$B,0))*20,IF($J450=2,INDEX('큐펫&amp;몹 정리(최신)'!P:P,MATCH($E450,'큐펫&amp;몹 정리(최신)'!$B:$B,0))*25,IF($J450=3,INDEX('큐펫&amp;몹 정리(최신)'!P:P,MATCH($E450,'큐펫&amp;몹 정리(최신)'!$B:$B,0))*30,IF($J450=4,INDEX('큐펫&amp;몹 정리(최신)'!P:P,MATCH($E450,'큐펫&amp;몹 정리(최신)'!$B:$B,0))*35,INDEX('큐펫&amp;몹 정리(최신)'!P:P,MATCH($E450,'큐펫&amp;몹 정리(최신)'!$B:$B,0))*40))))</f>
        <v>1400</v>
      </c>
      <c r="L450" s="190">
        <f>IF($J450=1,INDEX('큐펫&amp;몹 정리(최신)'!Q:Q,MATCH($E450,'큐펫&amp;몹 정리(최신)'!$B:$B,0))*20,IF($J450=2,INDEX('큐펫&amp;몹 정리(최신)'!Q:Q,MATCH($E450,'큐펫&amp;몹 정리(최신)'!$B:$B,0))*25,IF($J450=3,INDEX('큐펫&amp;몹 정리(최신)'!Q:Q,MATCH($E450,'큐펫&amp;몹 정리(최신)'!$B:$B,0))*30,IF($J450=4,INDEX('큐펫&amp;몹 정리(최신)'!Q:Q,MATCH($E450,'큐펫&amp;몹 정리(최신)'!$B:$B,0))*35,INDEX('큐펫&amp;몹 정리(최신)'!Q:Q,MATCH($E450,'큐펫&amp;몹 정리(최신)'!$B:$B,0))*40))))</f>
        <v>770</v>
      </c>
      <c r="M450" s="190">
        <f>IF($J450=1,INDEX('큐펫&amp;몹 정리(최신)'!R:R,MATCH($E450,'큐펫&amp;몹 정리(최신)'!$B:$B,0))*20,IF($J450=2,INDEX('큐펫&amp;몹 정리(최신)'!R:R,MATCH($E450,'큐펫&amp;몹 정리(최신)'!$B:$B,0))*25,IF($J450=3,INDEX('큐펫&amp;몹 정리(최신)'!R:R,MATCH($E450,'큐펫&amp;몹 정리(최신)'!$B:$B,0))*30,IF($J450=4,INDEX('큐펫&amp;몹 정리(최신)'!R:R,MATCH($E450,'큐펫&amp;몹 정리(최신)'!$B:$B,0))*35,INDEX('큐펫&amp;몹 정리(최신)'!R:R,MATCH($E450,'큐펫&amp;몹 정리(최신)'!$B:$B,0))*40))))</f>
        <v>175</v>
      </c>
      <c r="N450" s="190">
        <f>IF($J450=1,INDEX('큐펫&amp;몹 정리(최신)'!S:S,MATCH($E450,'큐펫&amp;몹 정리(최신)'!$B:$B,0))*20,IF($J450=2,INDEX('큐펫&amp;몹 정리(최신)'!S:S,MATCH($E450,'큐펫&amp;몹 정리(최신)'!$B:$B,0))*25,IF($J450=3,INDEX('큐펫&amp;몹 정리(최신)'!S:S,MATCH($E450,'큐펫&amp;몹 정리(최신)'!$B:$B,0))*30,IF($J450=4,INDEX('큐펫&amp;몹 정리(최신)'!S:S,MATCH($E450,'큐펫&amp;몹 정리(최신)'!$B:$B,0))*35,INDEX('큐펫&amp;몹 정리(최신)'!S:S,MATCH($E450,'큐펫&amp;몹 정리(최신)'!$B:$B,0))*40))))</f>
        <v>735</v>
      </c>
      <c r="O450" s="190">
        <f>IF($J450=1,INDEX('큐펫&amp;몹 정리(최신)'!T:T,MATCH($E450,'큐펫&amp;몹 정리(최신)'!$B:$B,0))*20,IF($J450=2,INDEX('큐펫&amp;몹 정리(최신)'!T:T,MATCH($E450,'큐펫&amp;몹 정리(최신)'!$B:$B,0))*25,IF($J450=3,INDEX('큐펫&amp;몹 정리(최신)'!T:T,MATCH($E450,'큐펫&amp;몹 정리(최신)'!$B:$B,0))*30,IF($J450=4,INDEX('큐펫&amp;몹 정리(최신)'!T:T,MATCH($E450,'큐펫&amp;몹 정리(최신)'!$B:$B,0))*35,INDEX('큐펫&amp;몹 정리(최신)'!T:T,MATCH($E450,'큐펫&amp;몹 정리(최신)'!$B:$B,0))*40))))</f>
        <v>420</v>
      </c>
      <c r="P450" s="217">
        <v>80</v>
      </c>
      <c r="Q450" s="217">
        <f t="shared" si="48"/>
        <v>187320</v>
      </c>
      <c r="R450" s="217">
        <f t="shared" si="49"/>
        <v>26081</v>
      </c>
      <c r="S450" s="217">
        <f t="shared" si="50"/>
        <v>18651</v>
      </c>
      <c r="T450" s="217">
        <f t="shared" si="51"/>
        <v>2399</v>
      </c>
      <c r="U450" s="217">
        <f t="shared" si="52"/>
        <v>51835</v>
      </c>
      <c r="V450" s="217">
        <f t="shared" si="53"/>
        <v>14841</v>
      </c>
      <c r="W450" s="217">
        <f>ROUND(AC450+(INDEX(Ref!B$1:B$9,MATCH($AI450,Ref!$A$1:$A$9,0))*P450*0.0001),)</f>
        <v>58</v>
      </c>
      <c r="X450" s="217">
        <f>ROUND(AD450+(INDEX(Ref!C$1:C$9,MATCH($AI450,Ref!$A$1:$A$9,0))*$P450*0.0001),)</f>
        <v>46</v>
      </c>
      <c r="Y450" s="217">
        <f>ROUND(AE450+(INDEX(Ref!D$1:D$9,MATCH($AI450,Ref!$A$1:$A$9,0))*$P450*0.0001),)</f>
        <v>61</v>
      </c>
      <c r="Z450" s="217">
        <f>ROUND(AF450+(INDEX(Ref!E$1:E$9,MATCH($AI450,Ref!$A$1:$A$9,0))*$P450*0.0001),)</f>
        <v>36</v>
      </c>
      <c r="AA450" s="217">
        <f>ROUND(AG450+(INDEX(Ref!F$1:F$9,MATCH($AI450,Ref!$A$1:$A$9,0))*$P450*0.0001),)</f>
        <v>49</v>
      </c>
      <c r="AB450" s="217">
        <f>ROUND(AH450+(INDEX(Ref!G$1:G$9,MATCH($AI450,Ref!$A$1:$A$9,0))*$P450*0.0001),)</f>
        <v>54</v>
      </c>
      <c r="AC450" s="137">
        <v>42</v>
      </c>
      <c r="AD450" s="137">
        <v>33</v>
      </c>
      <c r="AE450" s="137">
        <v>49</v>
      </c>
      <c r="AF450" s="137">
        <v>26</v>
      </c>
      <c r="AG450" s="137">
        <v>35</v>
      </c>
      <c r="AH450" s="137">
        <v>39</v>
      </c>
      <c r="AI450" s="208">
        <v>7</v>
      </c>
      <c r="AJ450" s="172">
        <v>3000</v>
      </c>
      <c r="AK450" s="172">
        <f t="shared" si="58"/>
        <v>30537</v>
      </c>
      <c r="AL450" s="172">
        <v>2000</v>
      </c>
      <c r="AM450" s="172">
        <f t="shared" si="59"/>
        <v>30539</v>
      </c>
      <c r="AN450" s="172">
        <v>0</v>
      </c>
      <c r="AO450" s="172">
        <f t="shared" si="54"/>
        <v>34537</v>
      </c>
      <c r="AP450" s="172">
        <v>0</v>
      </c>
      <c r="AQ450" s="172">
        <f t="shared" si="55"/>
        <v>34539</v>
      </c>
      <c r="AR450" s="172">
        <v>1</v>
      </c>
      <c r="AS450" s="172">
        <v>0</v>
      </c>
      <c r="AT450" s="195">
        <f t="shared" si="57"/>
        <v>78090</v>
      </c>
      <c r="AU450" s="195" t="s">
        <v>1028</v>
      </c>
    </row>
    <row r="451" spans="1:47" x14ac:dyDescent="0.2">
      <c r="A451" s="173">
        <f t="shared" si="56"/>
        <v>55090</v>
      </c>
      <c r="B451" s="174" t="s">
        <v>1006</v>
      </c>
      <c r="C451" s="172">
        <v>86090</v>
      </c>
      <c r="D451" s="172">
        <v>150090</v>
      </c>
      <c r="E451" s="206" t="s">
        <v>1017</v>
      </c>
      <c r="F451" s="208">
        <v>3</v>
      </c>
      <c r="G451" s="172">
        <v>8500</v>
      </c>
      <c r="H451" s="172">
        <v>8500</v>
      </c>
      <c r="I451" s="172">
        <v>10000</v>
      </c>
      <c r="J451" s="172">
        <v>5</v>
      </c>
      <c r="K451" s="190">
        <f>IF($J451=1,INDEX('큐펫&amp;몹 정리(최신)'!P:P,MATCH($E451,'큐펫&amp;몹 정리(최신)'!$B:$B,0))*20,IF($J451=2,INDEX('큐펫&amp;몹 정리(최신)'!P:P,MATCH($E451,'큐펫&amp;몹 정리(최신)'!$B:$B,0))*25,IF($J451=3,INDEX('큐펫&amp;몹 정리(최신)'!P:P,MATCH($E451,'큐펫&amp;몹 정리(최신)'!$B:$B,0))*30,IF($J451=4,INDEX('큐펫&amp;몹 정리(최신)'!P:P,MATCH($E451,'큐펫&amp;몹 정리(최신)'!$B:$B,0))*35,INDEX('큐펫&amp;몹 정리(최신)'!P:P,MATCH($E451,'큐펫&amp;몹 정리(최신)'!$B:$B,0))*40))))</f>
        <v>1600</v>
      </c>
      <c r="L451" s="190">
        <f>IF($J451=1,INDEX('큐펫&amp;몹 정리(최신)'!Q:Q,MATCH($E451,'큐펫&amp;몹 정리(최신)'!$B:$B,0))*20,IF($J451=2,INDEX('큐펫&amp;몹 정리(최신)'!Q:Q,MATCH($E451,'큐펫&amp;몹 정리(최신)'!$B:$B,0))*25,IF($J451=3,INDEX('큐펫&amp;몹 정리(최신)'!Q:Q,MATCH($E451,'큐펫&amp;몹 정리(최신)'!$B:$B,0))*30,IF($J451=4,INDEX('큐펫&amp;몹 정리(최신)'!Q:Q,MATCH($E451,'큐펫&amp;몹 정리(최신)'!$B:$B,0))*35,INDEX('큐펫&amp;몹 정리(최신)'!Q:Q,MATCH($E451,'큐펫&amp;몹 정리(최신)'!$B:$B,0))*40))))</f>
        <v>880</v>
      </c>
      <c r="M451" s="190">
        <f>IF($J451=1,INDEX('큐펫&amp;몹 정리(최신)'!R:R,MATCH($E451,'큐펫&amp;몹 정리(최신)'!$B:$B,0))*20,IF($J451=2,INDEX('큐펫&amp;몹 정리(최신)'!R:R,MATCH($E451,'큐펫&amp;몹 정리(최신)'!$B:$B,0))*25,IF($J451=3,INDEX('큐펫&amp;몹 정리(최신)'!R:R,MATCH($E451,'큐펫&amp;몹 정리(최신)'!$B:$B,0))*30,IF($J451=4,INDEX('큐펫&amp;몹 정리(최신)'!R:R,MATCH($E451,'큐펫&amp;몹 정리(최신)'!$B:$B,0))*35,INDEX('큐펫&amp;몹 정리(최신)'!R:R,MATCH($E451,'큐펫&amp;몹 정리(최신)'!$B:$B,0))*40))))</f>
        <v>200</v>
      </c>
      <c r="N451" s="190">
        <f>IF($J451=1,INDEX('큐펫&amp;몹 정리(최신)'!S:S,MATCH($E451,'큐펫&amp;몹 정리(최신)'!$B:$B,0))*20,IF($J451=2,INDEX('큐펫&amp;몹 정리(최신)'!S:S,MATCH($E451,'큐펫&amp;몹 정리(최신)'!$B:$B,0))*25,IF($J451=3,INDEX('큐펫&amp;몹 정리(최신)'!S:S,MATCH($E451,'큐펫&amp;몹 정리(최신)'!$B:$B,0))*30,IF($J451=4,INDEX('큐펫&amp;몹 정리(최신)'!S:S,MATCH($E451,'큐펫&amp;몹 정리(최신)'!$B:$B,0))*35,INDEX('큐펫&amp;몹 정리(최신)'!S:S,MATCH($E451,'큐펫&amp;몹 정리(최신)'!$B:$B,0))*40))))</f>
        <v>840</v>
      </c>
      <c r="O451" s="190">
        <f>IF($J451=1,INDEX('큐펫&amp;몹 정리(최신)'!T:T,MATCH($E451,'큐펫&amp;몹 정리(최신)'!$B:$B,0))*20,IF($J451=2,INDEX('큐펫&amp;몹 정리(최신)'!T:T,MATCH($E451,'큐펫&amp;몹 정리(최신)'!$B:$B,0))*25,IF($J451=3,INDEX('큐펫&amp;몹 정리(최신)'!T:T,MATCH($E451,'큐펫&amp;몹 정리(최신)'!$B:$B,0))*30,IF($J451=4,INDEX('큐펫&amp;몹 정리(최신)'!T:T,MATCH($E451,'큐펫&amp;몹 정리(최신)'!$B:$B,0))*35,INDEX('큐펫&amp;몹 정리(최신)'!T:T,MATCH($E451,'큐펫&amp;몹 정리(최신)'!$B:$B,0))*40))))</f>
        <v>480</v>
      </c>
      <c r="P451" s="217">
        <v>100</v>
      </c>
      <c r="Q451" s="217">
        <f t="shared" ref="Q451:Q481" si="60">ROUNDDOWN((100*QUOTIENT(K451,20))+((P451*K451)*(1+(Y451/100))),)</f>
        <v>275200</v>
      </c>
      <c r="R451" s="217">
        <f t="shared" ref="R451:R481" si="61">ROUNDDOWN((((W451*W451)*L451)/100)+(W451*2)+(AA451/4)+(AB451/5)+(P451/2),)</f>
        <v>38540</v>
      </c>
      <c r="S451" s="217">
        <f t="shared" ref="S451:S481" si="62">ROUNDDOWN((((AA451*AA451)*L451)/100)+(AA451*2)+(W451/4)+(AB451/5)+(P451/2),)</f>
        <v>26808</v>
      </c>
      <c r="T451" s="217">
        <f t="shared" ref="T451:T481" si="63">ROUNDDOWN((((((Z451*Z451)*M451)/100+(Z451*2))+(AB451/4))+(AA451/8))+(P451/2),)</f>
        <v>3684</v>
      </c>
      <c r="U451" s="217">
        <f t="shared" ref="U451:U481" si="64">ROUNDDOWN(((Y451+P451)*N451)/2,)+ROUNDDOWN(W451/4,)+ROUNDDOWN(X451/10,)</f>
        <v>70161</v>
      </c>
      <c r="V451" s="217">
        <f t="shared" ref="V451:V481" si="65">ROUNDDOWN(((Y451+P451)*O451)/4,)+Z451</f>
        <v>20082</v>
      </c>
      <c r="W451" s="217">
        <f>ROUND(AC451+(INDEX(Ref!B$1:B$9,MATCH($AI451,Ref!$A$1:$A$9,0))*P451*0.0001),)</f>
        <v>66</v>
      </c>
      <c r="X451" s="217">
        <f>ROUND(AD451+(INDEX(Ref!C$1:C$9,MATCH($AI451,Ref!$A$1:$A$9,0))*$P451*0.0001),)</f>
        <v>52</v>
      </c>
      <c r="Y451" s="217">
        <f>ROUND(AE451+(INDEX(Ref!D$1:D$9,MATCH($AI451,Ref!$A$1:$A$9,0))*$P451*0.0001),)</f>
        <v>67</v>
      </c>
      <c r="Z451" s="217">
        <f>ROUND(AF451+(INDEX(Ref!E$1:E$9,MATCH($AI451,Ref!$A$1:$A$9,0))*$P451*0.0001),)</f>
        <v>42</v>
      </c>
      <c r="AA451" s="217">
        <f>ROUND(AG451+(INDEX(Ref!F$1:F$9,MATCH($AI451,Ref!$A$1:$A$9,0))*$P451*0.0001),)</f>
        <v>55</v>
      </c>
      <c r="AB451" s="217">
        <f>ROUND(AH451+(INDEX(Ref!G$1:G$9,MATCH($AI451,Ref!$A$1:$A$9,0))*$P451*0.0001),)</f>
        <v>62</v>
      </c>
      <c r="AC451" s="137">
        <v>46</v>
      </c>
      <c r="AD451" s="137">
        <v>36</v>
      </c>
      <c r="AE451" s="137">
        <v>52</v>
      </c>
      <c r="AF451" s="137">
        <v>29</v>
      </c>
      <c r="AG451" s="137">
        <v>38</v>
      </c>
      <c r="AH451" s="137">
        <v>43</v>
      </c>
      <c r="AI451" s="208">
        <v>7</v>
      </c>
      <c r="AJ451" s="172">
        <v>3000</v>
      </c>
      <c r="AK451" s="172">
        <f t="shared" si="58"/>
        <v>30537</v>
      </c>
      <c r="AL451" s="172">
        <v>2000</v>
      </c>
      <c r="AM451" s="172">
        <f t="shared" si="59"/>
        <v>30540</v>
      </c>
      <c r="AN451" s="172">
        <v>0</v>
      </c>
      <c r="AO451" s="172">
        <f t="shared" si="54"/>
        <v>34537</v>
      </c>
      <c r="AP451" s="172">
        <v>0</v>
      </c>
      <c r="AQ451" s="172">
        <f t="shared" si="55"/>
        <v>34540</v>
      </c>
      <c r="AR451" s="172">
        <v>1</v>
      </c>
      <c r="AS451" s="172">
        <v>0</v>
      </c>
      <c r="AT451" s="195">
        <f t="shared" si="57"/>
        <v>78090</v>
      </c>
      <c r="AU451" s="195" t="s">
        <v>1028</v>
      </c>
    </row>
    <row r="452" spans="1:47" x14ac:dyDescent="0.2">
      <c r="A452" s="173">
        <f t="shared" si="56"/>
        <v>55091</v>
      </c>
      <c r="B452" s="174" t="s">
        <v>1007</v>
      </c>
      <c r="C452" s="172">
        <v>86091</v>
      </c>
      <c r="D452" s="172">
        <v>150091</v>
      </c>
      <c r="E452" s="206" t="s">
        <v>1018</v>
      </c>
      <c r="F452" s="208">
        <v>1</v>
      </c>
      <c r="G452" s="172">
        <v>10000</v>
      </c>
      <c r="H452" s="172">
        <v>10000</v>
      </c>
      <c r="I452" s="172">
        <v>10000</v>
      </c>
      <c r="J452" s="172">
        <v>1</v>
      </c>
      <c r="K452" s="190">
        <f>IF($J452=1,INDEX('큐펫&amp;몹 정리(최신)'!P:P,MATCH($E452,'큐펫&amp;몹 정리(최신)'!$B:$B,0))*20,IF($J452=2,INDEX('큐펫&amp;몹 정리(최신)'!P:P,MATCH($E452,'큐펫&amp;몹 정리(최신)'!$B:$B,0))*25,IF($J452=3,INDEX('큐펫&amp;몹 정리(최신)'!P:P,MATCH($E452,'큐펫&amp;몹 정리(최신)'!$B:$B,0))*30,IF($J452=4,INDEX('큐펫&amp;몹 정리(최신)'!P:P,MATCH($E452,'큐펫&amp;몹 정리(최신)'!$B:$B,0))*35,INDEX('큐펫&amp;몹 정리(최신)'!P:P,MATCH($E452,'큐펫&amp;몹 정리(최신)'!$B:$B,0))*40))))</f>
        <v>800</v>
      </c>
      <c r="L452" s="190">
        <f>IF($J452=1,INDEX('큐펫&amp;몹 정리(최신)'!Q:Q,MATCH($E452,'큐펫&amp;몹 정리(최신)'!$B:$B,0))*20,IF($J452=2,INDEX('큐펫&amp;몹 정리(최신)'!Q:Q,MATCH($E452,'큐펫&amp;몹 정리(최신)'!$B:$B,0))*25,IF($J452=3,INDEX('큐펫&amp;몹 정리(최신)'!Q:Q,MATCH($E452,'큐펫&amp;몹 정리(최신)'!$B:$B,0))*30,IF($J452=4,INDEX('큐펫&amp;몹 정리(최신)'!Q:Q,MATCH($E452,'큐펫&amp;몹 정리(최신)'!$B:$B,0))*35,INDEX('큐펫&amp;몹 정리(최신)'!Q:Q,MATCH($E452,'큐펫&amp;몹 정리(최신)'!$B:$B,0))*40))))</f>
        <v>440</v>
      </c>
      <c r="M452" s="190">
        <f>IF($J452=1,INDEX('큐펫&amp;몹 정리(최신)'!R:R,MATCH($E452,'큐펫&amp;몹 정리(최신)'!$B:$B,0))*20,IF($J452=2,INDEX('큐펫&amp;몹 정리(최신)'!R:R,MATCH($E452,'큐펫&amp;몹 정리(최신)'!$B:$B,0))*25,IF($J452=3,INDEX('큐펫&amp;몹 정리(최신)'!R:R,MATCH($E452,'큐펫&amp;몹 정리(최신)'!$B:$B,0))*30,IF($J452=4,INDEX('큐펫&amp;몹 정리(최신)'!R:R,MATCH($E452,'큐펫&amp;몹 정리(최신)'!$B:$B,0))*35,INDEX('큐펫&amp;몹 정리(최신)'!R:R,MATCH($E452,'큐펫&amp;몹 정리(최신)'!$B:$B,0))*40))))</f>
        <v>100</v>
      </c>
      <c r="N452" s="190">
        <f>IF($J452=1,INDEX('큐펫&amp;몹 정리(최신)'!S:S,MATCH($E452,'큐펫&amp;몹 정리(최신)'!$B:$B,0))*20,IF($J452=2,INDEX('큐펫&amp;몹 정리(최신)'!S:S,MATCH($E452,'큐펫&amp;몹 정리(최신)'!$B:$B,0))*25,IF($J452=3,INDEX('큐펫&amp;몹 정리(최신)'!S:S,MATCH($E452,'큐펫&amp;몹 정리(최신)'!$B:$B,0))*30,IF($J452=4,INDEX('큐펫&amp;몹 정리(최신)'!S:S,MATCH($E452,'큐펫&amp;몹 정리(최신)'!$B:$B,0))*35,INDEX('큐펫&amp;몹 정리(최신)'!S:S,MATCH($E452,'큐펫&amp;몹 정리(최신)'!$B:$B,0))*40))))</f>
        <v>420</v>
      </c>
      <c r="O452" s="190">
        <f>IF($J452=1,INDEX('큐펫&amp;몹 정리(최신)'!T:T,MATCH($E452,'큐펫&amp;몹 정리(최신)'!$B:$B,0))*20,IF($J452=2,INDEX('큐펫&amp;몹 정리(최신)'!T:T,MATCH($E452,'큐펫&amp;몹 정리(최신)'!$B:$B,0))*25,IF($J452=3,INDEX('큐펫&amp;몹 정리(최신)'!T:T,MATCH($E452,'큐펫&amp;몹 정리(최신)'!$B:$B,0))*30,IF($J452=4,INDEX('큐펫&amp;몹 정리(최신)'!T:T,MATCH($E452,'큐펫&amp;몹 정리(최신)'!$B:$B,0))*35,INDEX('큐펫&amp;몹 정리(최신)'!T:T,MATCH($E452,'큐펫&amp;몹 정리(최신)'!$B:$B,0))*40))))</f>
        <v>240</v>
      </c>
      <c r="P452" s="217">
        <v>20</v>
      </c>
      <c r="Q452" s="217">
        <f t="shared" si="60"/>
        <v>29440</v>
      </c>
      <c r="R452" s="217">
        <f t="shared" si="61"/>
        <v>4590</v>
      </c>
      <c r="S452" s="217">
        <f t="shared" si="62"/>
        <v>3527</v>
      </c>
      <c r="T452" s="217">
        <f t="shared" si="63"/>
        <v>693</v>
      </c>
      <c r="U452" s="217">
        <f t="shared" si="64"/>
        <v>16600</v>
      </c>
      <c r="V452" s="217">
        <f t="shared" si="65"/>
        <v>4765</v>
      </c>
      <c r="W452" s="217">
        <f>ROUND(AC452+(INDEX(Ref!B$1:B$9,MATCH($AI452,Ref!$A$1:$A$9,0))*P452*0.0001),)</f>
        <v>32</v>
      </c>
      <c r="X452" s="217">
        <f>ROUND(AD452+(INDEX(Ref!C$1:C$9,MATCH($AI452,Ref!$A$1:$A$9,0))*$P452*0.0001),)</f>
        <v>21</v>
      </c>
      <c r="Y452" s="217">
        <f>ROUND(AE452+(INDEX(Ref!D$1:D$9,MATCH($AI452,Ref!$A$1:$A$9,0))*$P452*0.0001),)</f>
        <v>59</v>
      </c>
      <c r="Z452" s="217">
        <f>ROUND(AF452+(INDEX(Ref!E$1:E$9,MATCH($AI452,Ref!$A$1:$A$9,0))*$P452*0.0001),)</f>
        <v>25</v>
      </c>
      <c r="AA452" s="217">
        <f>ROUND(AG452+(INDEX(Ref!F$1:F$9,MATCH($AI452,Ref!$A$1:$A$9,0))*$P452*0.0001),)</f>
        <v>28</v>
      </c>
      <c r="AB452" s="217">
        <f>ROUND(AH452+(INDEX(Ref!G$1:G$9,MATCH($AI452,Ref!$A$1:$A$9,0))*$P452*0.0001),)</f>
        <v>19</v>
      </c>
      <c r="AC452" s="137">
        <v>28</v>
      </c>
      <c r="AD452" s="137">
        <v>18</v>
      </c>
      <c r="AE452" s="137">
        <v>54</v>
      </c>
      <c r="AF452" s="137">
        <v>22</v>
      </c>
      <c r="AG452" s="137">
        <v>25</v>
      </c>
      <c r="AH452" s="137">
        <v>17</v>
      </c>
      <c r="AI452" s="208">
        <v>3</v>
      </c>
      <c r="AJ452" s="172">
        <v>3000</v>
      </c>
      <c r="AK452" s="172">
        <f t="shared" si="58"/>
        <v>30541</v>
      </c>
      <c r="AL452" s="172">
        <v>2000</v>
      </c>
      <c r="AM452" s="172">
        <f t="shared" si="59"/>
        <v>30544</v>
      </c>
      <c r="AN452" s="172">
        <v>0</v>
      </c>
      <c r="AO452" s="172">
        <f t="shared" si="54"/>
        <v>34541</v>
      </c>
      <c r="AP452" s="172">
        <v>0</v>
      </c>
      <c r="AQ452" s="172">
        <f t="shared" si="55"/>
        <v>34544</v>
      </c>
      <c r="AR452" s="172">
        <v>1</v>
      </c>
      <c r="AS452" s="172">
        <v>0</v>
      </c>
      <c r="AT452" s="195">
        <f t="shared" si="57"/>
        <v>78091</v>
      </c>
      <c r="AU452" s="195" t="s">
        <v>1029</v>
      </c>
    </row>
    <row r="453" spans="1:47" x14ac:dyDescent="0.2">
      <c r="A453" s="173">
        <f t="shared" si="56"/>
        <v>55091</v>
      </c>
      <c r="B453" s="174" t="s">
        <v>1007</v>
      </c>
      <c r="C453" s="172">
        <v>86091</v>
      </c>
      <c r="D453" s="172">
        <v>150091</v>
      </c>
      <c r="E453" s="206" t="s">
        <v>1018</v>
      </c>
      <c r="F453" s="208">
        <v>1</v>
      </c>
      <c r="G453" s="172">
        <v>10000</v>
      </c>
      <c r="H453" s="172">
        <v>10000</v>
      </c>
      <c r="I453" s="172">
        <v>10000</v>
      </c>
      <c r="J453" s="172">
        <v>2</v>
      </c>
      <c r="K453" s="190">
        <f>IF($J453=1,INDEX('큐펫&amp;몹 정리(최신)'!P:P,MATCH($E453,'큐펫&amp;몹 정리(최신)'!$B:$B,0))*20,IF($J453=2,INDEX('큐펫&amp;몹 정리(최신)'!P:P,MATCH($E453,'큐펫&amp;몹 정리(최신)'!$B:$B,0))*25,IF($J453=3,INDEX('큐펫&amp;몹 정리(최신)'!P:P,MATCH($E453,'큐펫&amp;몹 정리(최신)'!$B:$B,0))*30,IF($J453=4,INDEX('큐펫&amp;몹 정리(최신)'!P:P,MATCH($E453,'큐펫&amp;몹 정리(최신)'!$B:$B,0))*35,INDEX('큐펫&amp;몹 정리(최신)'!P:P,MATCH($E453,'큐펫&amp;몹 정리(최신)'!$B:$B,0))*40))))</f>
        <v>1000</v>
      </c>
      <c r="L453" s="190">
        <f>IF($J453=1,INDEX('큐펫&amp;몹 정리(최신)'!Q:Q,MATCH($E453,'큐펫&amp;몹 정리(최신)'!$B:$B,0))*20,IF($J453=2,INDEX('큐펫&amp;몹 정리(최신)'!Q:Q,MATCH($E453,'큐펫&amp;몹 정리(최신)'!$B:$B,0))*25,IF($J453=3,INDEX('큐펫&amp;몹 정리(최신)'!Q:Q,MATCH($E453,'큐펫&amp;몹 정리(최신)'!$B:$B,0))*30,IF($J453=4,INDEX('큐펫&amp;몹 정리(최신)'!Q:Q,MATCH($E453,'큐펫&amp;몹 정리(최신)'!$B:$B,0))*35,INDEX('큐펫&amp;몹 정리(최신)'!Q:Q,MATCH($E453,'큐펫&amp;몹 정리(최신)'!$B:$B,0))*40))))</f>
        <v>550</v>
      </c>
      <c r="M453" s="190">
        <f>IF($J453=1,INDEX('큐펫&amp;몹 정리(최신)'!R:R,MATCH($E453,'큐펫&amp;몹 정리(최신)'!$B:$B,0))*20,IF($J453=2,INDEX('큐펫&amp;몹 정리(최신)'!R:R,MATCH($E453,'큐펫&amp;몹 정리(최신)'!$B:$B,0))*25,IF($J453=3,INDEX('큐펫&amp;몹 정리(최신)'!R:R,MATCH($E453,'큐펫&amp;몹 정리(최신)'!$B:$B,0))*30,IF($J453=4,INDEX('큐펫&amp;몹 정리(최신)'!R:R,MATCH($E453,'큐펫&amp;몹 정리(최신)'!$B:$B,0))*35,INDEX('큐펫&amp;몹 정리(최신)'!R:R,MATCH($E453,'큐펫&amp;몹 정리(최신)'!$B:$B,0))*40))))</f>
        <v>125</v>
      </c>
      <c r="N453" s="190">
        <f>IF($J453=1,INDEX('큐펫&amp;몹 정리(최신)'!S:S,MATCH($E453,'큐펫&amp;몹 정리(최신)'!$B:$B,0))*20,IF($J453=2,INDEX('큐펫&amp;몹 정리(최신)'!S:S,MATCH($E453,'큐펫&amp;몹 정리(최신)'!$B:$B,0))*25,IF($J453=3,INDEX('큐펫&amp;몹 정리(최신)'!S:S,MATCH($E453,'큐펫&amp;몹 정리(최신)'!$B:$B,0))*30,IF($J453=4,INDEX('큐펫&amp;몹 정리(최신)'!S:S,MATCH($E453,'큐펫&amp;몹 정리(최신)'!$B:$B,0))*35,INDEX('큐펫&amp;몹 정리(최신)'!S:S,MATCH($E453,'큐펫&amp;몹 정리(최신)'!$B:$B,0))*40))))</f>
        <v>525</v>
      </c>
      <c r="O453" s="190">
        <f>IF($J453=1,INDEX('큐펫&amp;몹 정리(최신)'!T:T,MATCH($E453,'큐펫&amp;몹 정리(최신)'!$B:$B,0))*20,IF($J453=2,INDEX('큐펫&amp;몹 정리(최신)'!T:T,MATCH($E453,'큐펫&amp;몹 정리(최신)'!$B:$B,0))*25,IF($J453=3,INDEX('큐펫&amp;몹 정리(최신)'!T:T,MATCH($E453,'큐펫&amp;몹 정리(최신)'!$B:$B,0))*30,IF($J453=4,INDEX('큐펫&amp;몹 정리(최신)'!T:T,MATCH($E453,'큐펫&amp;몹 정리(최신)'!$B:$B,0))*35,INDEX('큐펫&amp;몹 정리(최신)'!T:T,MATCH($E453,'큐펫&amp;몹 정리(최신)'!$B:$B,0))*40))))</f>
        <v>300</v>
      </c>
      <c r="P453" s="217">
        <v>40</v>
      </c>
      <c r="Q453" s="217">
        <f t="shared" si="60"/>
        <v>72600</v>
      </c>
      <c r="R453" s="217">
        <f t="shared" si="61"/>
        <v>8913</v>
      </c>
      <c r="S453" s="217">
        <f t="shared" si="62"/>
        <v>6842</v>
      </c>
      <c r="T453" s="217">
        <f t="shared" si="63"/>
        <v>1293</v>
      </c>
      <c r="U453" s="217">
        <f t="shared" si="64"/>
        <v>28624</v>
      </c>
      <c r="V453" s="217">
        <f t="shared" si="65"/>
        <v>8206</v>
      </c>
      <c r="W453" s="217">
        <f>ROUND(AC453+(INDEX(Ref!B$1:B$9,MATCH($AI453,Ref!$A$1:$A$9,0))*P453*0.0001),)</f>
        <v>40</v>
      </c>
      <c r="X453" s="217">
        <f>ROUND(AD453+(INDEX(Ref!C$1:C$9,MATCH($AI453,Ref!$A$1:$A$9,0))*$P453*0.0001),)</f>
        <v>26</v>
      </c>
      <c r="Y453" s="217">
        <f>ROUND(AE453+(INDEX(Ref!D$1:D$9,MATCH($AI453,Ref!$A$1:$A$9,0))*$P453*0.0001),)</f>
        <v>69</v>
      </c>
      <c r="Z453" s="217">
        <f>ROUND(AF453+(INDEX(Ref!E$1:E$9,MATCH($AI453,Ref!$A$1:$A$9,0))*$P453*0.0001),)</f>
        <v>31</v>
      </c>
      <c r="AA453" s="217">
        <f>ROUND(AG453+(INDEX(Ref!F$1:F$9,MATCH($AI453,Ref!$A$1:$A$9,0))*$P453*0.0001),)</f>
        <v>35</v>
      </c>
      <c r="AB453" s="217">
        <f>ROUND(AH453+(INDEX(Ref!G$1:G$9,MATCH($AI453,Ref!$A$1:$A$9,0))*$P453*0.0001),)</f>
        <v>24</v>
      </c>
      <c r="AC453" s="137">
        <v>32</v>
      </c>
      <c r="AD453" s="137">
        <v>21</v>
      </c>
      <c r="AE453" s="137">
        <v>59</v>
      </c>
      <c r="AF453" s="137">
        <v>25</v>
      </c>
      <c r="AG453" s="137">
        <v>28</v>
      </c>
      <c r="AH453" s="137">
        <v>19</v>
      </c>
      <c r="AI453" s="208">
        <v>3</v>
      </c>
      <c r="AJ453" s="172">
        <v>3000</v>
      </c>
      <c r="AK453" s="172">
        <f t="shared" si="58"/>
        <v>30542</v>
      </c>
      <c r="AL453" s="172">
        <v>2000</v>
      </c>
      <c r="AM453" s="172">
        <f t="shared" si="59"/>
        <v>30544</v>
      </c>
      <c r="AN453" s="172">
        <v>0</v>
      </c>
      <c r="AO453" s="172">
        <f t="shared" si="54"/>
        <v>34542</v>
      </c>
      <c r="AP453" s="172">
        <v>0</v>
      </c>
      <c r="AQ453" s="172">
        <f t="shared" si="55"/>
        <v>34544</v>
      </c>
      <c r="AR453" s="172">
        <v>1</v>
      </c>
      <c r="AS453" s="172">
        <v>0</v>
      </c>
      <c r="AT453" s="195">
        <f t="shared" si="57"/>
        <v>78091</v>
      </c>
      <c r="AU453" s="195" t="s">
        <v>1029</v>
      </c>
    </row>
    <row r="454" spans="1:47" x14ac:dyDescent="0.2">
      <c r="A454" s="173">
        <f t="shared" si="56"/>
        <v>55091</v>
      </c>
      <c r="B454" s="174" t="s">
        <v>1007</v>
      </c>
      <c r="C454" s="172">
        <v>86091</v>
      </c>
      <c r="D454" s="172">
        <v>150091</v>
      </c>
      <c r="E454" s="206" t="s">
        <v>1018</v>
      </c>
      <c r="F454" s="208">
        <v>1</v>
      </c>
      <c r="G454" s="172">
        <v>10000</v>
      </c>
      <c r="H454" s="172">
        <v>10000</v>
      </c>
      <c r="I454" s="172">
        <v>10000</v>
      </c>
      <c r="J454" s="172">
        <v>3</v>
      </c>
      <c r="K454" s="190">
        <f>IF($J454=1,INDEX('큐펫&amp;몹 정리(최신)'!P:P,MATCH($E454,'큐펫&amp;몹 정리(최신)'!$B:$B,0))*20,IF($J454=2,INDEX('큐펫&amp;몹 정리(최신)'!P:P,MATCH($E454,'큐펫&amp;몹 정리(최신)'!$B:$B,0))*25,IF($J454=3,INDEX('큐펫&amp;몹 정리(최신)'!P:P,MATCH($E454,'큐펫&amp;몹 정리(최신)'!$B:$B,0))*30,IF($J454=4,INDEX('큐펫&amp;몹 정리(최신)'!P:P,MATCH($E454,'큐펫&amp;몹 정리(최신)'!$B:$B,0))*35,INDEX('큐펫&amp;몹 정리(최신)'!P:P,MATCH($E454,'큐펫&amp;몹 정리(최신)'!$B:$B,0))*40))))</f>
        <v>1200</v>
      </c>
      <c r="L454" s="190">
        <f>IF($J454=1,INDEX('큐펫&amp;몹 정리(최신)'!Q:Q,MATCH($E454,'큐펫&amp;몹 정리(최신)'!$B:$B,0))*20,IF($J454=2,INDEX('큐펫&amp;몹 정리(최신)'!Q:Q,MATCH($E454,'큐펫&amp;몹 정리(최신)'!$B:$B,0))*25,IF($J454=3,INDEX('큐펫&amp;몹 정리(최신)'!Q:Q,MATCH($E454,'큐펫&amp;몹 정리(최신)'!$B:$B,0))*30,IF($J454=4,INDEX('큐펫&amp;몹 정리(최신)'!Q:Q,MATCH($E454,'큐펫&amp;몹 정리(최신)'!$B:$B,0))*35,INDEX('큐펫&amp;몹 정리(최신)'!Q:Q,MATCH($E454,'큐펫&amp;몹 정리(최신)'!$B:$B,0))*40))))</f>
        <v>660</v>
      </c>
      <c r="M454" s="190">
        <f>IF($J454=1,INDEX('큐펫&amp;몹 정리(최신)'!R:R,MATCH($E454,'큐펫&amp;몹 정리(최신)'!$B:$B,0))*20,IF($J454=2,INDEX('큐펫&amp;몹 정리(최신)'!R:R,MATCH($E454,'큐펫&amp;몹 정리(최신)'!$B:$B,0))*25,IF($J454=3,INDEX('큐펫&amp;몹 정리(최신)'!R:R,MATCH($E454,'큐펫&amp;몹 정리(최신)'!$B:$B,0))*30,IF($J454=4,INDEX('큐펫&amp;몹 정리(최신)'!R:R,MATCH($E454,'큐펫&amp;몹 정리(최신)'!$B:$B,0))*35,INDEX('큐펫&amp;몹 정리(최신)'!R:R,MATCH($E454,'큐펫&amp;몹 정리(최신)'!$B:$B,0))*40))))</f>
        <v>150</v>
      </c>
      <c r="N454" s="190">
        <f>IF($J454=1,INDEX('큐펫&amp;몹 정리(최신)'!S:S,MATCH($E454,'큐펫&amp;몹 정리(최신)'!$B:$B,0))*20,IF($J454=2,INDEX('큐펫&amp;몹 정리(최신)'!S:S,MATCH($E454,'큐펫&amp;몹 정리(최신)'!$B:$B,0))*25,IF($J454=3,INDEX('큐펫&amp;몹 정리(최신)'!S:S,MATCH($E454,'큐펫&amp;몹 정리(최신)'!$B:$B,0))*30,IF($J454=4,INDEX('큐펫&amp;몹 정리(최신)'!S:S,MATCH($E454,'큐펫&amp;몹 정리(최신)'!$B:$B,0))*35,INDEX('큐펫&amp;몹 정리(최신)'!S:S,MATCH($E454,'큐펫&amp;몹 정리(최신)'!$B:$B,0))*40))))</f>
        <v>630</v>
      </c>
      <c r="O454" s="190">
        <f>IF($J454=1,INDEX('큐펫&amp;몹 정리(최신)'!T:T,MATCH($E454,'큐펫&amp;몹 정리(최신)'!$B:$B,0))*20,IF($J454=2,INDEX('큐펫&amp;몹 정리(최신)'!T:T,MATCH($E454,'큐펫&amp;몹 정리(최신)'!$B:$B,0))*25,IF($J454=3,INDEX('큐펫&amp;몹 정리(최신)'!T:T,MATCH($E454,'큐펫&amp;몹 정리(최신)'!$B:$B,0))*30,IF($J454=4,INDEX('큐펫&amp;몹 정리(최신)'!T:T,MATCH($E454,'큐펫&amp;몹 정리(최신)'!$B:$B,0))*35,INDEX('큐펫&amp;몹 정리(최신)'!T:T,MATCH($E454,'큐펫&amp;몹 정리(최신)'!$B:$B,0))*40))))</f>
        <v>360</v>
      </c>
      <c r="P454" s="217">
        <v>60</v>
      </c>
      <c r="Q454" s="217">
        <f t="shared" si="60"/>
        <v>134160</v>
      </c>
      <c r="R454" s="217">
        <f t="shared" si="61"/>
        <v>14719</v>
      </c>
      <c r="S454" s="217">
        <f t="shared" si="62"/>
        <v>11773</v>
      </c>
      <c r="T454" s="217">
        <f t="shared" si="63"/>
        <v>2169</v>
      </c>
      <c r="U454" s="217">
        <f t="shared" si="64"/>
        <v>43484</v>
      </c>
      <c r="V454" s="217">
        <f t="shared" si="65"/>
        <v>12457</v>
      </c>
      <c r="W454" s="217">
        <f>ROUND(AC454+(INDEX(Ref!B$1:B$9,MATCH($AI454,Ref!$A$1:$A$9,0))*P454*0.0001),)</f>
        <v>47</v>
      </c>
      <c r="X454" s="217">
        <f>ROUND(AD454+(INDEX(Ref!C$1:C$9,MATCH($AI454,Ref!$A$1:$A$9,0))*$P454*0.0001),)</f>
        <v>31</v>
      </c>
      <c r="Y454" s="217">
        <f>ROUND(AE454+(INDEX(Ref!D$1:D$9,MATCH($AI454,Ref!$A$1:$A$9,0))*$P454*0.0001),)</f>
        <v>78</v>
      </c>
      <c r="Z454" s="217">
        <f>ROUND(AF454+(INDEX(Ref!E$1:E$9,MATCH($AI454,Ref!$A$1:$A$9,0))*$P454*0.0001),)</f>
        <v>37</v>
      </c>
      <c r="AA454" s="217">
        <f>ROUND(AG454+(INDEX(Ref!F$1:F$9,MATCH($AI454,Ref!$A$1:$A$9,0))*$P454*0.0001),)</f>
        <v>42</v>
      </c>
      <c r="AB454" s="217">
        <f>ROUND(AH454+(INDEX(Ref!G$1:G$9,MATCH($AI454,Ref!$A$1:$A$9,0))*$P454*0.0001),)</f>
        <v>28</v>
      </c>
      <c r="AC454" s="137">
        <v>36</v>
      </c>
      <c r="AD454" s="137">
        <v>23</v>
      </c>
      <c r="AE454" s="137">
        <v>64</v>
      </c>
      <c r="AF454" s="137">
        <v>28</v>
      </c>
      <c r="AG454" s="137">
        <v>32</v>
      </c>
      <c r="AH454" s="137">
        <v>21</v>
      </c>
      <c r="AI454" s="208">
        <v>3</v>
      </c>
      <c r="AJ454" s="172">
        <v>3000</v>
      </c>
      <c r="AK454" s="172">
        <f t="shared" si="58"/>
        <v>30542</v>
      </c>
      <c r="AL454" s="172">
        <v>2000</v>
      </c>
      <c r="AM454" s="172">
        <f t="shared" si="59"/>
        <v>30545</v>
      </c>
      <c r="AN454" s="172">
        <v>0</v>
      </c>
      <c r="AO454" s="172">
        <f t="shared" si="54"/>
        <v>34542</v>
      </c>
      <c r="AP454" s="172">
        <v>0</v>
      </c>
      <c r="AQ454" s="172">
        <f t="shared" si="55"/>
        <v>34545</v>
      </c>
      <c r="AR454" s="172">
        <v>1</v>
      </c>
      <c r="AS454" s="172">
        <v>0</v>
      </c>
      <c r="AT454" s="195">
        <f t="shared" si="57"/>
        <v>78091</v>
      </c>
      <c r="AU454" s="195" t="s">
        <v>1029</v>
      </c>
    </row>
    <row r="455" spans="1:47" x14ac:dyDescent="0.2">
      <c r="A455" s="173">
        <f t="shared" si="56"/>
        <v>55091</v>
      </c>
      <c r="B455" s="174" t="s">
        <v>1007</v>
      </c>
      <c r="C455" s="172">
        <v>86091</v>
      </c>
      <c r="D455" s="172">
        <v>150091</v>
      </c>
      <c r="E455" s="206" t="s">
        <v>1018</v>
      </c>
      <c r="F455" s="208">
        <v>1</v>
      </c>
      <c r="G455" s="172">
        <v>10000</v>
      </c>
      <c r="H455" s="172">
        <v>10000</v>
      </c>
      <c r="I455" s="172">
        <v>10000</v>
      </c>
      <c r="J455" s="172">
        <v>4</v>
      </c>
      <c r="K455" s="190">
        <f>IF($J455=1,INDEX('큐펫&amp;몹 정리(최신)'!P:P,MATCH($E455,'큐펫&amp;몹 정리(최신)'!$B:$B,0))*20,IF($J455=2,INDEX('큐펫&amp;몹 정리(최신)'!P:P,MATCH($E455,'큐펫&amp;몹 정리(최신)'!$B:$B,0))*25,IF($J455=3,INDEX('큐펫&amp;몹 정리(최신)'!P:P,MATCH($E455,'큐펫&amp;몹 정리(최신)'!$B:$B,0))*30,IF($J455=4,INDEX('큐펫&amp;몹 정리(최신)'!P:P,MATCH($E455,'큐펫&amp;몹 정리(최신)'!$B:$B,0))*35,INDEX('큐펫&amp;몹 정리(최신)'!P:P,MATCH($E455,'큐펫&amp;몹 정리(최신)'!$B:$B,0))*40))))</f>
        <v>1400</v>
      </c>
      <c r="L455" s="190">
        <f>IF($J455=1,INDEX('큐펫&amp;몹 정리(최신)'!Q:Q,MATCH($E455,'큐펫&amp;몹 정리(최신)'!$B:$B,0))*20,IF($J455=2,INDEX('큐펫&amp;몹 정리(최신)'!Q:Q,MATCH($E455,'큐펫&amp;몹 정리(최신)'!$B:$B,0))*25,IF($J455=3,INDEX('큐펫&amp;몹 정리(최신)'!Q:Q,MATCH($E455,'큐펫&amp;몹 정리(최신)'!$B:$B,0))*30,IF($J455=4,INDEX('큐펫&amp;몹 정리(최신)'!Q:Q,MATCH($E455,'큐펫&amp;몹 정리(최신)'!$B:$B,0))*35,INDEX('큐펫&amp;몹 정리(최신)'!Q:Q,MATCH($E455,'큐펫&amp;몹 정리(최신)'!$B:$B,0))*40))))</f>
        <v>770</v>
      </c>
      <c r="M455" s="190">
        <f>IF($J455=1,INDEX('큐펫&amp;몹 정리(최신)'!R:R,MATCH($E455,'큐펫&amp;몹 정리(최신)'!$B:$B,0))*20,IF($J455=2,INDEX('큐펫&amp;몹 정리(최신)'!R:R,MATCH($E455,'큐펫&amp;몹 정리(최신)'!$B:$B,0))*25,IF($J455=3,INDEX('큐펫&amp;몹 정리(최신)'!R:R,MATCH($E455,'큐펫&amp;몹 정리(최신)'!$B:$B,0))*30,IF($J455=4,INDEX('큐펫&amp;몹 정리(최신)'!R:R,MATCH($E455,'큐펫&amp;몹 정리(최신)'!$B:$B,0))*35,INDEX('큐펫&amp;몹 정리(최신)'!R:R,MATCH($E455,'큐펫&amp;몹 정리(최신)'!$B:$B,0))*40))))</f>
        <v>175</v>
      </c>
      <c r="N455" s="190">
        <f>IF($J455=1,INDEX('큐펫&amp;몹 정리(최신)'!S:S,MATCH($E455,'큐펫&amp;몹 정리(최신)'!$B:$B,0))*20,IF($J455=2,INDEX('큐펫&amp;몹 정리(최신)'!S:S,MATCH($E455,'큐펫&amp;몹 정리(최신)'!$B:$B,0))*25,IF($J455=3,INDEX('큐펫&amp;몹 정리(최신)'!S:S,MATCH($E455,'큐펫&amp;몹 정리(최신)'!$B:$B,0))*30,IF($J455=4,INDEX('큐펫&amp;몹 정리(최신)'!S:S,MATCH($E455,'큐펫&amp;몹 정리(최신)'!$B:$B,0))*35,INDEX('큐펫&amp;몹 정리(최신)'!S:S,MATCH($E455,'큐펫&amp;몹 정리(최신)'!$B:$B,0))*40))))</f>
        <v>735</v>
      </c>
      <c r="O455" s="190">
        <f>IF($J455=1,INDEX('큐펫&amp;몹 정리(최신)'!T:T,MATCH($E455,'큐펫&amp;몹 정리(최신)'!$B:$B,0))*20,IF($J455=2,INDEX('큐펫&amp;몹 정리(최신)'!T:T,MATCH($E455,'큐펫&amp;몹 정리(최신)'!$B:$B,0))*25,IF($J455=3,INDEX('큐펫&amp;몹 정리(최신)'!T:T,MATCH($E455,'큐펫&amp;몹 정리(최신)'!$B:$B,0))*30,IF($J455=4,INDEX('큐펫&amp;몹 정리(최신)'!T:T,MATCH($E455,'큐펫&amp;몹 정리(최신)'!$B:$B,0))*35,INDEX('큐펫&amp;몹 정리(최신)'!T:T,MATCH($E455,'큐펫&amp;몹 정리(최신)'!$B:$B,0))*40))))</f>
        <v>420</v>
      </c>
      <c r="P455" s="217">
        <v>80</v>
      </c>
      <c r="Q455" s="217">
        <f t="shared" si="60"/>
        <v>217560</v>
      </c>
      <c r="R455" s="217">
        <f t="shared" si="61"/>
        <v>22620</v>
      </c>
      <c r="S455" s="217">
        <f t="shared" si="62"/>
        <v>18646</v>
      </c>
      <c r="T455" s="217">
        <f t="shared" si="63"/>
        <v>3376</v>
      </c>
      <c r="U455" s="217">
        <f t="shared" si="64"/>
        <v>61756</v>
      </c>
      <c r="V455" s="217">
        <f t="shared" si="65"/>
        <v>17683</v>
      </c>
      <c r="W455" s="217">
        <f>ROUND(AC455+(INDEX(Ref!B$1:B$9,MATCH($AI455,Ref!$A$1:$A$9,0))*P455*0.0001),)</f>
        <v>54</v>
      </c>
      <c r="X455" s="217">
        <f>ROUND(AD455+(INDEX(Ref!C$1:C$9,MATCH($AI455,Ref!$A$1:$A$9,0))*$P455*0.0001),)</f>
        <v>36</v>
      </c>
      <c r="Y455" s="217">
        <f>ROUND(AE455+(INDEX(Ref!D$1:D$9,MATCH($AI455,Ref!$A$1:$A$9,0))*$P455*0.0001),)</f>
        <v>88</v>
      </c>
      <c r="Z455" s="217">
        <f>ROUND(AF455+(INDEX(Ref!E$1:E$9,MATCH($AI455,Ref!$A$1:$A$9,0))*$P455*0.0001),)</f>
        <v>43</v>
      </c>
      <c r="AA455" s="217">
        <f>ROUND(AG455+(INDEX(Ref!F$1:F$9,MATCH($AI455,Ref!$A$1:$A$9,0))*$P455*0.0001),)</f>
        <v>49</v>
      </c>
      <c r="AB455" s="217">
        <f>ROUND(AH455+(INDEX(Ref!G$1:G$9,MATCH($AI455,Ref!$A$1:$A$9,0))*$P455*0.0001),)</f>
        <v>34</v>
      </c>
      <c r="AC455" s="137">
        <v>39</v>
      </c>
      <c r="AD455" s="137">
        <v>26</v>
      </c>
      <c r="AE455" s="137">
        <v>69</v>
      </c>
      <c r="AF455" s="137">
        <v>31</v>
      </c>
      <c r="AG455" s="137">
        <v>35</v>
      </c>
      <c r="AH455" s="137">
        <v>24</v>
      </c>
      <c r="AI455" s="208">
        <v>3</v>
      </c>
      <c r="AJ455" s="172">
        <v>3000</v>
      </c>
      <c r="AK455" s="172">
        <f t="shared" si="58"/>
        <v>30543</v>
      </c>
      <c r="AL455" s="172">
        <v>2000</v>
      </c>
      <c r="AM455" s="172">
        <f t="shared" si="59"/>
        <v>30545</v>
      </c>
      <c r="AN455" s="172">
        <v>0</v>
      </c>
      <c r="AO455" s="172">
        <f t="shared" si="54"/>
        <v>34543</v>
      </c>
      <c r="AP455" s="172">
        <v>0</v>
      </c>
      <c r="AQ455" s="172">
        <f t="shared" si="55"/>
        <v>34545</v>
      </c>
      <c r="AR455" s="172">
        <v>1</v>
      </c>
      <c r="AS455" s="172">
        <v>0</v>
      </c>
      <c r="AT455" s="195">
        <f t="shared" si="57"/>
        <v>78091</v>
      </c>
      <c r="AU455" s="195" t="s">
        <v>1029</v>
      </c>
    </row>
    <row r="456" spans="1:47" x14ac:dyDescent="0.2">
      <c r="A456" s="173">
        <f t="shared" si="56"/>
        <v>55091</v>
      </c>
      <c r="B456" s="174" t="s">
        <v>1007</v>
      </c>
      <c r="C456" s="172">
        <v>86091</v>
      </c>
      <c r="D456" s="172">
        <v>150091</v>
      </c>
      <c r="E456" s="206" t="s">
        <v>1018</v>
      </c>
      <c r="F456" s="208">
        <v>1</v>
      </c>
      <c r="G456" s="172">
        <v>10000</v>
      </c>
      <c r="H456" s="172">
        <v>10000</v>
      </c>
      <c r="I456" s="172">
        <v>10000</v>
      </c>
      <c r="J456" s="172">
        <v>5</v>
      </c>
      <c r="K456" s="190">
        <f>IF($J456=1,INDEX('큐펫&amp;몹 정리(최신)'!P:P,MATCH($E456,'큐펫&amp;몹 정리(최신)'!$B:$B,0))*20,IF($J456=2,INDEX('큐펫&amp;몹 정리(최신)'!P:P,MATCH($E456,'큐펫&amp;몹 정리(최신)'!$B:$B,0))*25,IF($J456=3,INDEX('큐펫&amp;몹 정리(최신)'!P:P,MATCH($E456,'큐펫&amp;몹 정리(최신)'!$B:$B,0))*30,IF($J456=4,INDEX('큐펫&amp;몹 정리(최신)'!P:P,MATCH($E456,'큐펫&amp;몹 정리(최신)'!$B:$B,0))*35,INDEX('큐펫&amp;몹 정리(최신)'!P:P,MATCH($E456,'큐펫&amp;몹 정리(최신)'!$B:$B,0))*40))))</f>
        <v>1600</v>
      </c>
      <c r="L456" s="190">
        <f>IF($J456=1,INDEX('큐펫&amp;몹 정리(최신)'!Q:Q,MATCH($E456,'큐펫&amp;몹 정리(최신)'!$B:$B,0))*20,IF($J456=2,INDEX('큐펫&amp;몹 정리(최신)'!Q:Q,MATCH($E456,'큐펫&amp;몹 정리(최신)'!$B:$B,0))*25,IF($J456=3,INDEX('큐펫&amp;몹 정리(최신)'!Q:Q,MATCH($E456,'큐펫&amp;몹 정리(최신)'!$B:$B,0))*30,IF($J456=4,INDEX('큐펫&amp;몹 정리(최신)'!Q:Q,MATCH($E456,'큐펫&amp;몹 정리(최신)'!$B:$B,0))*35,INDEX('큐펫&amp;몹 정리(최신)'!Q:Q,MATCH($E456,'큐펫&amp;몹 정리(최신)'!$B:$B,0))*40))))</f>
        <v>880</v>
      </c>
      <c r="M456" s="190">
        <f>IF($J456=1,INDEX('큐펫&amp;몹 정리(최신)'!R:R,MATCH($E456,'큐펫&amp;몹 정리(최신)'!$B:$B,0))*20,IF($J456=2,INDEX('큐펫&amp;몹 정리(최신)'!R:R,MATCH($E456,'큐펫&amp;몹 정리(최신)'!$B:$B,0))*25,IF($J456=3,INDEX('큐펫&amp;몹 정리(최신)'!R:R,MATCH($E456,'큐펫&amp;몹 정리(최신)'!$B:$B,0))*30,IF($J456=4,INDEX('큐펫&amp;몹 정리(최신)'!R:R,MATCH($E456,'큐펫&amp;몹 정리(최신)'!$B:$B,0))*35,INDEX('큐펫&amp;몹 정리(최신)'!R:R,MATCH($E456,'큐펫&amp;몹 정리(최신)'!$B:$B,0))*40))))</f>
        <v>200</v>
      </c>
      <c r="N456" s="190">
        <f>IF($J456=1,INDEX('큐펫&amp;몹 정리(최신)'!S:S,MATCH($E456,'큐펫&amp;몹 정리(최신)'!$B:$B,0))*20,IF($J456=2,INDEX('큐펫&amp;몹 정리(최신)'!S:S,MATCH($E456,'큐펫&amp;몹 정리(최신)'!$B:$B,0))*25,IF($J456=3,INDEX('큐펫&amp;몹 정리(최신)'!S:S,MATCH($E456,'큐펫&amp;몹 정리(최신)'!$B:$B,0))*30,IF($J456=4,INDEX('큐펫&amp;몹 정리(최신)'!S:S,MATCH($E456,'큐펫&amp;몹 정리(최신)'!$B:$B,0))*35,INDEX('큐펫&amp;몹 정리(최신)'!S:S,MATCH($E456,'큐펫&amp;몹 정리(최신)'!$B:$B,0))*40))))</f>
        <v>840</v>
      </c>
      <c r="O456" s="190">
        <f>IF($J456=1,INDEX('큐펫&amp;몹 정리(최신)'!T:T,MATCH($E456,'큐펫&amp;몹 정리(최신)'!$B:$B,0))*20,IF($J456=2,INDEX('큐펫&amp;몹 정리(최신)'!T:T,MATCH($E456,'큐펫&amp;몹 정리(최신)'!$B:$B,0))*25,IF($J456=3,INDEX('큐펫&amp;몹 정리(최신)'!T:T,MATCH($E456,'큐펫&amp;몹 정리(최신)'!$B:$B,0))*30,IF($J456=4,INDEX('큐펫&amp;몹 정리(최신)'!T:T,MATCH($E456,'큐펫&amp;몹 정리(최신)'!$B:$B,0))*35,INDEX('큐펫&amp;몹 정리(최신)'!T:T,MATCH($E456,'큐펫&amp;몹 정리(최신)'!$B:$B,0))*40))))</f>
        <v>480</v>
      </c>
      <c r="P456" s="217">
        <v>100</v>
      </c>
      <c r="Q456" s="217">
        <f t="shared" si="60"/>
        <v>324800</v>
      </c>
      <c r="R456" s="217">
        <f t="shared" si="61"/>
        <v>34022</v>
      </c>
      <c r="S456" s="217">
        <f t="shared" si="62"/>
        <v>26803</v>
      </c>
      <c r="T456" s="217">
        <f t="shared" si="63"/>
        <v>4966</v>
      </c>
      <c r="U456" s="217">
        <f t="shared" si="64"/>
        <v>83179</v>
      </c>
      <c r="V456" s="217">
        <f t="shared" si="65"/>
        <v>23809</v>
      </c>
      <c r="W456" s="217">
        <f>ROUND(AC456+(INDEX(Ref!B$1:B$9,MATCH($AI456,Ref!$A$1:$A$9,0))*P456*0.0001),)</f>
        <v>62</v>
      </c>
      <c r="X456" s="217">
        <f>ROUND(AD456+(INDEX(Ref!C$1:C$9,MATCH($AI456,Ref!$A$1:$A$9,0))*$P456*0.0001),)</f>
        <v>42</v>
      </c>
      <c r="Y456" s="217">
        <f>ROUND(AE456+(INDEX(Ref!D$1:D$9,MATCH($AI456,Ref!$A$1:$A$9,0))*$P456*0.0001),)</f>
        <v>98</v>
      </c>
      <c r="Z456" s="217">
        <f>ROUND(AF456+(INDEX(Ref!E$1:E$9,MATCH($AI456,Ref!$A$1:$A$9,0))*$P456*0.0001),)</f>
        <v>49</v>
      </c>
      <c r="AA456" s="217">
        <f>ROUND(AG456+(INDEX(Ref!F$1:F$9,MATCH($AI456,Ref!$A$1:$A$9,0))*$P456*0.0001),)</f>
        <v>55</v>
      </c>
      <c r="AB456" s="217">
        <f>ROUND(AH456+(INDEX(Ref!G$1:G$9,MATCH($AI456,Ref!$A$1:$A$9,0))*$P456*0.0001),)</f>
        <v>38</v>
      </c>
      <c r="AC456" s="137">
        <v>43</v>
      </c>
      <c r="AD456" s="137">
        <v>29</v>
      </c>
      <c r="AE456" s="137">
        <v>74</v>
      </c>
      <c r="AF456" s="137">
        <v>34</v>
      </c>
      <c r="AG456" s="137">
        <v>38</v>
      </c>
      <c r="AH456" s="137">
        <v>26</v>
      </c>
      <c r="AI456" s="208">
        <v>3</v>
      </c>
      <c r="AJ456" s="172">
        <v>3000</v>
      </c>
      <c r="AK456" s="172">
        <f t="shared" si="58"/>
        <v>30543</v>
      </c>
      <c r="AL456" s="172">
        <v>2000</v>
      </c>
      <c r="AM456" s="172">
        <f t="shared" si="59"/>
        <v>30546</v>
      </c>
      <c r="AN456" s="172">
        <v>0</v>
      </c>
      <c r="AO456" s="172">
        <f t="shared" si="54"/>
        <v>34543</v>
      </c>
      <c r="AP456" s="172">
        <v>0</v>
      </c>
      <c r="AQ456" s="172">
        <f t="shared" si="55"/>
        <v>34546</v>
      </c>
      <c r="AR456" s="172">
        <v>1</v>
      </c>
      <c r="AS456" s="172">
        <v>0</v>
      </c>
      <c r="AT456" s="195">
        <f t="shared" si="57"/>
        <v>78091</v>
      </c>
      <c r="AU456" s="195" t="s">
        <v>1029</v>
      </c>
    </row>
    <row r="457" spans="1:47" x14ac:dyDescent="0.2">
      <c r="A457" s="173">
        <f t="shared" si="56"/>
        <v>55092</v>
      </c>
      <c r="B457" s="174" t="s">
        <v>1008</v>
      </c>
      <c r="C457" s="172">
        <v>86092</v>
      </c>
      <c r="D457" s="172">
        <v>150092</v>
      </c>
      <c r="E457" s="206" t="s">
        <v>1019</v>
      </c>
      <c r="F457" s="208">
        <v>8</v>
      </c>
      <c r="G457" s="173">
        <v>11500</v>
      </c>
      <c r="H457" s="173">
        <v>9500</v>
      </c>
      <c r="I457" s="172">
        <v>10000</v>
      </c>
      <c r="J457" s="172">
        <v>1</v>
      </c>
      <c r="K457" s="190">
        <f>IF($J457=1,INDEX('큐펫&amp;몹 정리(최신)'!P:P,MATCH($E457,'큐펫&amp;몹 정리(최신)'!$B:$B,0))*20,IF($J457=2,INDEX('큐펫&amp;몹 정리(최신)'!P:P,MATCH($E457,'큐펫&amp;몹 정리(최신)'!$B:$B,0))*25,IF($J457=3,INDEX('큐펫&amp;몹 정리(최신)'!P:P,MATCH($E457,'큐펫&amp;몹 정리(최신)'!$B:$B,0))*30,IF($J457=4,INDEX('큐펫&amp;몹 정리(최신)'!P:P,MATCH($E457,'큐펫&amp;몹 정리(최신)'!$B:$B,0))*35,INDEX('큐펫&amp;몹 정리(최신)'!P:P,MATCH($E457,'큐펫&amp;몹 정리(최신)'!$B:$B,0))*40))))</f>
        <v>800</v>
      </c>
      <c r="L457" s="190">
        <f>IF($J457=1,INDEX('큐펫&amp;몹 정리(최신)'!Q:Q,MATCH($E457,'큐펫&amp;몹 정리(최신)'!$B:$B,0))*20,IF($J457=2,INDEX('큐펫&amp;몹 정리(최신)'!Q:Q,MATCH($E457,'큐펫&amp;몹 정리(최신)'!$B:$B,0))*25,IF($J457=3,INDEX('큐펫&amp;몹 정리(최신)'!Q:Q,MATCH($E457,'큐펫&amp;몹 정리(최신)'!$B:$B,0))*30,IF($J457=4,INDEX('큐펫&amp;몹 정리(최신)'!Q:Q,MATCH($E457,'큐펫&amp;몹 정리(최신)'!$B:$B,0))*35,INDEX('큐펫&amp;몹 정리(최신)'!Q:Q,MATCH($E457,'큐펫&amp;몹 정리(최신)'!$B:$B,0))*40))))</f>
        <v>480</v>
      </c>
      <c r="M457" s="190">
        <f>IF($J457=1,INDEX('큐펫&amp;몹 정리(최신)'!R:R,MATCH($E457,'큐펫&amp;몹 정리(최신)'!$B:$B,0))*20,IF($J457=2,INDEX('큐펫&amp;몹 정리(최신)'!R:R,MATCH($E457,'큐펫&amp;몹 정리(최신)'!$B:$B,0))*25,IF($J457=3,INDEX('큐펫&amp;몹 정리(최신)'!R:R,MATCH($E457,'큐펫&amp;몹 정리(최신)'!$B:$B,0))*30,IF($J457=4,INDEX('큐펫&amp;몹 정리(최신)'!R:R,MATCH($E457,'큐펫&amp;몹 정리(최신)'!$B:$B,0))*35,INDEX('큐펫&amp;몹 정리(최신)'!R:R,MATCH($E457,'큐펫&amp;몹 정리(최신)'!$B:$B,0))*40))))</f>
        <v>80</v>
      </c>
      <c r="N457" s="190">
        <f>IF($J457=1,INDEX('큐펫&amp;몹 정리(최신)'!S:S,MATCH($E457,'큐펫&amp;몹 정리(최신)'!$B:$B,0))*20,IF($J457=2,INDEX('큐펫&amp;몹 정리(최신)'!S:S,MATCH($E457,'큐펫&amp;몹 정리(최신)'!$B:$B,0))*25,IF($J457=3,INDEX('큐펫&amp;몹 정리(최신)'!S:S,MATCH($E457,'큐펫&amp;몹 정리(최신)'!$B:$B,0))*30,IF($J457=4,INDEX('큐펫&amp;몹 정리(최신)'!S:S,MATCH($E457,'큐펫&amp;몹 정리(최신)'!$B:$B,0))*35,INDEX('큐펫&amp;몹 정리(최신)'!S:S,MATCH($E457,'큐펫&amp;몹 정리(최신)'!$B:$B,0))*40))))</f>
        <v>340</v>
      </c>
      <c r="O457" s="190">
        <f>IF($J457=1,INDEX('큐펫&amp;몹 정리(최신)'!T:T,MATCH($E457,'큐펫&amp;몹 정리(최신)'!$B:$B,0))*20,IF($J457=2,INDEX('큐펫&amp;몹 정리(최신)'!T:T,MATCH($E457,'큐펫&amp;몹 정리(최신)'!$B:$B,0))*25,IF($J457=3,INDEX('큐펫&amp;몹 정리(최신)'!T:T,MATCH($E457,'큐펫&amp;몹 정리(최신)'!$B:$B,0))*30,IF($J457=4,INDEX('큐펫&amp;몹 정리(최신)'!T:T,MATCH($E457,'큐펫&amp;몹 정리(최신)'!$B:$B,0))*35,INDEX('큐펫&amp;몹 정리(최신)'!T:T,MATCH($E457,'큐펫&amp;몹 정리(최신)'!$B:$B,0))*40))))</f>
        <v>300</v>
      </c>
      <c r="P457" s="217">
        <v>20</v>
      </c>
      <c r="Q457" s="217">
        <f t="shared" si="60"/>
        <v>28320</v>
      </c>
      <c r="R457" s="217">
        <f t="shared" si="61"/>
        <v>8981</v>
      </c>
      <c r="S457" s="217">
        <f t="shared" si="62"/>
        <v>2610</v>
      </c>
      <c r="T457" s="217">
        <f t="shared" si="63"/>
        <v>344</v>
      </c>
      <c r="U457" s="217">
        <f t="shared" si="64"/>
        <v>12252</v>
      </c>
      <c r="V457" s="217">
        <f t="shared" si="65"/>
        <v>5419</v>
      </c>
      <c r="W457" s="217">
        <f>ROUND(AC457+(INDEX(Ref!B$1:B$9,MATCH($AI457,Ref!$A$1:$A$9,0))*P457*0.0001),)</f>
        <v>43</v>
      </c>
      <c r="X457" s="217">
        <f>ROUND(AD457+(INDEX(Ref!C$1:C$9,MATCH($AI457,Ref!$A$1:$A$9,0))*$P457*0.0001),)</f>
        <v>26</v>
      </c>
      <c r="Y457" s="217">
        <f>ROUND(AE457+(INDEX(Ref!D$1:D$9,MATCH($AI457,Ref!$A$1:$A$9,0))*$P457*0.0001),)</f>
        <v>52</v>
      </c>
      <c r="Z457" s="217">
        <f>ROUND(AF457+(INDEX(Ref!E$1:E$9,MATCH($AI457,Ref!$A$1:$A$9,0))*$P457*0.0001),)</f>
        <v>19</v>
      </c>
      <c r="AA457" s="217">
        <f>ROUND(AG457+(INDEX(Ref!F$1:F$9,MATCH($AI457,Ref!$A$1:$A$9,0))*$P457*0.0001),)</f>
        <v>23</v>
      </c>
      <c r="AB457" s="217">
        <f>ROUND(AH457+(INDEX(Ref!G$1:G$9,MATCH($AI457,Ref!$A$1:$A$9,0))*$P457*0.0001),)</f>
        <v>21</v>
      </c>
      <c r="AC457" s="137">
        <v>38</v>
      </c>
      <c r="AD457" s="137">
        <v>23</v>
      </c>
      <c r="AE457" s="137">
        <v>48</v>
      </c>
      <c r="AF457" s="137">
        <v>17</v>
      </c>
      <c r="AG457" s="137">
        <v>20</v>
      </c>
      <c r="AH457" s="137">
        <v>18</v>
      </c>
      <c r="AI457" s="208">
        <v>1</v>
      </c>
      <c r="AJ457" s="172">
        <v>3000</v>
      </c>
      <c r="AK457" s="172">
        <f t="shared" si="58"/>
        <v>30547</v>
      </c>
      <c r="AL457" s="172">
        <v>2000</v>
      </c>
      <c r="AM457" s="172">
        <f t="shared" si="59"/>
        <v>30550</v>
      </c>
      <c r="AN457" s="172">
        <v>0</v>
      </c>
      <c r="AO457" s="172">
        <f t="shared" si="54"/>
        <v>34547</v>
      </c>
      <c r="AP457" s="172">
        <v>0</v>
      </c>
      <c r="AQ457" s="172">
        <f t="shared" si="55"/>
        <v>34550</v>
      </c>
      <c r="AR457" s="172">
        <v>1</v>
      </c>
      <c r="AS457" s="172">
        <v>0</v>
      </c>
      <c r="AT457" s="195">
        <f t="shared" si="57"/>
        <v>78092</v>
      </c>
      <c r="AU457" s="195" t="s">
        <v>1030</v>
      </c>
    </row>
    <row r="458" spans="1:47" x14ac:dyDescent="0.2">
      <c r="A458" s="173">
        <f t="shared" si="56"/>
        <v>55092</v>
      </c>
      <c r="B458" s="174" t="s">
        <v>1008</v>
      </c>
      <c r="C458" s="172">
        <v>86092</v>
      </c>
      <c r="D458" s="172">
        <v>150092</v>
      </c>
      <c r="E458" s="206" t="s">
        <v>1019</v>
      </c>
      <c r="F458" s="208">
        <v>8</v>
      </c>
      <c r="G458" s="173">
        <v>11500</v>
      </c>
      <c r="H458" s="173">
        <v>9500</v>
      </c>
      <c r="I458" s="172">
        <v>10000</v>
      </c>
      <c r="J458" s="172">
        <v>2</v>
      </c>
      <c r="K458" s="190">
        <f>IF($J458=1,INDEX('큐펫&amp;몹 정리(최신)'!P:P,MATCH($E458,'큐펫&amp;몹 정리(최신)'!$B:$B,0))*20,IF($J458=2,INDEX('큐펫&amp;몹 정리(최신)'!P:P,MATCH($E458,'큐펫&amp;몹 정리(최신)'!$B:$B,0))*25,IF($J458=3,INDEX('큐펫&amp;몹 정리(최신)'!P:P,MATCH($E458,'큐펫&amp;몹 정리(최신)'!$B:$B,0))*30,IF($J458=4,INDEX('큐펫&amp;몹 정리(최신)'!P:P,MATCH($E458,'큐펫&amp;몹 정리(최신)'!$B:$B,0))*35,INDEX('큐펫&amp;몹 정리(최신)'!P:P,MATCH($E458,'큐펫&amp;몹 정리(최신)'!$B:$B,0))*40))))</f>
        <v>1000</v>
      </c>
      <c r="L458" s="190">
        <f>IF($J458=1,INDEX('큐펫&amp;몹 정리(최신)'!Q:Q,MATCH($E458,'큐펫&amp;몹 정리(최신)'!$B:$B,0))*20,IF($J458=2,INDEX('큐펫&amp;몹 정리(최신)'!Q:Q,MATCH($E458,'큐펫&amp;몹 정리(최신)'!$B:$B,0))*25,IF($J458=3,INDEX('큐펫&amp;몹 정리(최신)'!Q:Q,MATCH($E458,'큐펫&amp;몹 정리(최신)'!$B:$B,0))*30,IF($J458=4,INDEX('큐펫&amp;몹 정리(최신)'!Q:Q,MATCH($E458,'큐펫&amp;몹 정리(최신)'!$B:$B,0))*35,INDEX('큐펫&amp;몹 정리(최신)'!Q:Q,MATCH($E458,'큐펫&amp;몹 정리(최신)'!$B:$B,0))*40))))</f>
        <v>600</v>
      </c>
      <c r="M458" s="190">
        <f>IF($J458=1,INDEX('큐펫&amp;몹 정리(최신)'!R:R,MATCH($E458,'큐펫&amp;몹 정리(최신)'!$B:$B,0))*20,IF($J458=2,INDEX('큐펫&amp;몹 정리(최신)'!R:R,MATCH($E458,'큐펫&amp;몹 정리(최신)'!$B:$B,0))*25,IF($J458=3,INDEX('큐펫&amp;몹 정리(최신)'!R:R,MATCH($E458,'큐펫&amp;몹 정리(최신)'!$B:$B,0))*30,IF($J458=4,INDEX('큐펫&amp;몹 정리(최신)'!R:R,MATCH($E458,'큐펫&amp;몹 정리(최신)'!$B:$B,0))*35,INDEX('큐펫&amp;몹 정리(최신)'!R:R,MATCH($E458,'큐펫&amp;몹 정리(최신)'!$B:$B,0))*40))))</f>
        <v>100</v>
      </c>
      <c r="N458" s="190">
        <f>IF($J458=1,INDEX('큐펫&amp;몹 정리(최신)'!S:S,MATCH($E458,'큐펫&amp;몹 정리(최신)'!$B:$B,0))*20,IF($J458=2,INDEX('큐펫&amp;몹 정리(최신)'!S:S,MATCH($E458,'큐펫&amp;몹 정리(최신)'!$B:$B,0))*25,IF($J458=3,INDEX('큐펫&amp;몹 정리(최신)'!S:S,MATCH($E458,'큐펫&amp;몹 정리(최신)'!$B:$B,0))*30,IF($J458=4,INDEX('큐펫&amp;몹 정리(최신)'!S:S,MATCH($E458,'큐펫&amp;몹 정리(최신)'!$B:$B,0))*35,INDEX('큐펫&amp;몹 정리(최신)'!S:S,MATCH($E458,'큐펫&amp;몹 정리(최신)'!$B:$B,0))*40))))</f>
        <v>425</v>
      </c>
      <c r="O458" s="190">
        <f>IF($J458=1,INDEX('큐펫&amp;몹 정리(최신)'!T:T,MATCH($E458,'큐펫&amp;몹 정리(최신)'!$B:$B,0))*20,IF($J458=2,INDEX('큐펫&amp;몹 정리(최신)'!T:T,MATCH($E458,'큐펫&amp;몹 정리(최신)'!$B:$B,0))*25,IF($J458=3,INDEX('큐펫&amp;몹 정리(최신)'!T:T,MATCH($E458,'큐펫&amp;몹 정리(최신)'!$B:$B,0))*30,IF($J458=4,INDEX('큐펫&amp;몹 정리(최신)'!T:T,MATCH($E458,'큐펫&amp;몹 정리(최신)'!$B:$B,0))*35,INDEX('큐펫&amp;몹 정리(최신)'!T:T,MATCH($E458,'큐펫&amp;몹 정리(최신)'!$B:$B,0))*40))))</f>
        <v>375</v>
      </c>
      <c r="P458" s="217">
        <v>40</v>
      </c>
      <c r="Q458" s="217">
        <f t="shared" si="60"/>
        <v>69000</v>
      </c>
      <c r="R458" s="217">
        <f t="shared" si="61"/>
        <v>16992</v>
      </c>
      <c r="S458" s="217">
        <f t="shared" si="62"/>
        <v>5142</v>
      </c>
      <c r="T458" s="217">
        <f t="shared" si="63"/>
        <v>654</v>
      </c>
      <c r="U458" s="217">
        <f t="shared" si="64"/>
        <v>21266</v>
      </c>
      <c r="V458" s="217">
        <f t="shared" si="65"/>
        <v>9399</v>
      </c>
      <c r="W458" s="217">
        <f>ROUND(AC458+(INDEX(Ref!B$1:B$9,MATCH($AI458,Ref!$A$1:$A$9,0))*P458*0.0001),)</f>
        <v>53</v>
      </c>
      <c r="X458" s="217">
        <f>ROUND(AD458+(INDEX(Ref!C$1:C$9,MATCH($AI458,Ref!$A$1:$A$9,0))*$P458*0.0001),)</f>
        <v>32</v>
      </c>
      <c r="Y458" s="217">
        <f>ROUND(AE458+(INDEX(Ref!D$1:D$9,MATCH($AI458,Ref!$A$1:$A$9,0))*$P458*0.0001),)</f>
        <v>60</v>
      </c>
      <c r="Z458" s="217">
        <f>ROUND(AF458+(INDEX(Ref!E$1:E$9,MATCH($AI458,Ref!$A$1:$A$9,0))*$P458*0.0001),)</f>
        <v>24</v>
      </c>
      <c r="AA458" s="217">
        <f>ROUND(AG458+(INDEX(Ref!F$1:F$9,MATCH($AI458,Ref!$A$1:$A$9,0))*$P458*0.0001),)</f>
        <v>29</v>
      </c>
      <c r="AB458" s="217">
        <f>ROUND(AH458+(INDEX(Ref!G$1:G$9,MATCH($AI458,Ref!$A$1:$A$9,0))*$P458*0.0001),)</f>
        <v>26</v>
      </c>
      <c r="AC458" s="137">
        <v>43</v>
      </c>
      <c r="AD458" s="137">
        <v>26</v>
      </c>
      <c r="AE458" s="137">
        <v>52</v>
      </c>
      <c r="AF458" s="137">
        <v>19</v>
      </c>
      <c r="AG458" s="137">
        <v>23</v>
      </c>
      <c r="AH458" s="137">
        <v>21</v>
      </c>
      <c r="AI458" s="208">
        <v>1</v>
      </c>
      <c r="AJ458" s="172">
        <v>3000</v>
      </c>
      <c r="AK458" s="172">
        <f t="shared" si="58"/>
        <v>30548</v>
      </c>
      <c r="AL458" s="172">
        <v>2000</v>
      </c>
      <c r="AM458" s="172">
        <f t="shared" si="59"/>
        <v>30550</v>
      </c>
      <c r="AN458" s="172">
        <v>0</v>
      </c>
      <c r="AO458" s="172">
        <f t="shared" si="54"/>
        <v>34548</v>
      </c>
      <c r="AP458" s="172">
        <v>0</v>
      </c>
      <c r="AQ458" s="172">
        <f t="shared" si="55"/>
        <v>34550</v>
      </c>
      <c r="AR458" s="172">
        <v>1</v>
      </c>
      <c r="AS458" s="172">
        <v>0</v>
      </c>
      <c r="AT458" s="195">
        <f t="shared" si="57"/>
        <v>78092</v>
      </c>
      <c r="AU458" s="195" t="s">
        <v>1030</v>
      </c>
    </row>
    <row r="459" spans="1:47" x14ac:dyDescent="0.2">
      <c r="A459" s="173">
        <f t="shared" si="56"/>
        <v>55092</v>
      </c>
      <c r="B459" s="174" t="s">
        <v>1008</v>
      </c>
      <c r="C459" s="172">
        <v>86092</v>
      </c>
      <c r="D459" s="172">
        <v>150092</v>
      </c>
      <c r="E459" s="206" t="s">
        <v>1019</v>
      </c>
      <c r="F459" s="208">
        <v>8</v>
      </c>
      <c r="G459" s="173">
        <v>11500</v>
      </c>
      <c r="H459" s="173">
        <v>9500</v>
      </c>
      <c r="I459" s="172">
        <v>10000</v>
      </c>
      <c r="J459" s="172">
        <v>3</v>
      </c>
      <c r="K459" s="190">
        <f>IF($J459=1,INDEX('큐펫&amp;몹 정리(최신)'!P:P,MATCH($E459,'큐펫&amp;몹 정리(최신)'!$B:$B,0))*20,IF($J459=2,INDEX('큐펫&amp;몹 정리(최신)'!P:P,MATCH($E459,'큐펫&amp;몹 정리(최신)'!$B:$B,0))*25,IF($J459=3,INDEX('큐펫&amp;몹 정리(최신)'!P:P,MATCH($E459,'큐펫&amp;몹 정리(최신)'!$B:$B,0))*30,IF($J459=4,INDEX('큐펫&amp;몹 정리(최신)'!P:P,MATCH($E459,'큐펫&amp;몹 정리(최신)'!$B:$B,0))*35,INDEX('큐펫&amp;몹 정리(최신)'!P:P,MATCH($E459,'큐펫&amp;몹 정리(최신)'!$B:$B,0))*40))))</f>
        <v>1200</v>
      </c>
      <c r="L459" s="190">
        <f>IF($J459=1,INDEX('큐펫&amp;몹 정리(최신)'!Q:Q,MATCH($E459,'큐펫&amp;몹 정리(최신)'!$B:$B,0))*20,IF($J459=2,INDEX('큐펫&amp;몹 정리(최신)'!Q:Q,MATCH($E459,'큐펫&amp;몹 정리(최신)'!$B:$B,0))*25,IF($J459=3,INDEX('큐펫&amp;몹 정리(최신)'!Q:Q,MATCH($E459,'큐펫&amp;몹 정리(최신)'!$B:$B,0))*30,IF($J459=4,INDEX('큐펫&amp;몹 정리(최신)'!Q:Q,MATCH($E459,'큐펫&amp;몹 정리(최신)'!$B:$B,0))*35,INDEX('큐펫&amp;몹 정리(최신)'!Q:Q,MATCH($E459,'큐펫&amp;몹 정리(최신)'!$B:$B,0))*40))))</f>
        <v>720</v>
      </c>
      <c r="M459" s="190">
        <f>IF($J459=1,INDEX('큐펫&amp;몹 정리(최신)'!R:R,MATCH($E459,'큐펫&amp;몹 정리(최신)'!$B:$B,0))*20,IF($J459=2,INDEX('큐펫&amp;몹 정리(최신)'!R:R,MATCH($E459,'큐펫&amp;몹 정리(최신)'!$B:$B,0))*25,IF($J459=3,INDEX('큐펫&amp;몹 정리(최신)'!R:R,MATCH($E459,'큐펫&amp;몹 정리(최신)'!$B:$B,0))*30,IF($J459=4,INDEX('큐펫&amp;몹 정리(최신)'!R:R,MATCH($E459,'큐펫&amp;몹 정리(최신)'!$B:$B,0))*35,INDEX('큐펫&amp;몹 정리(최신)'!R:R,MATCH($E459,'큐펫&amp;몹 정리(최신)'!$B:$B,0))*40))))</f>
        <v>120</v>
      </c>
      <c r="N459" s="190">
        <f>IF($J459=1,INDEX('큐펫&amp;몹 정리(최신)'!S:S,MATCH($E459,'큐펫&amp;몹 정리(최신)'!$B:$B,0))*20,IF($J459=2,INDEX('큐펫&amp;몹 정리(최신)'!S:S,MATCH($E459,'큐펫&amp;몹 정리(최신)'!$B:$B,0))*25,IF($J459=3,INDEX('큐펫&amp;몹 정리(최신)'!S:S,MATCH($E459,'큐펫&amp;몹 정리(최신)'!$B:$B,0))*30,IF($J459=4,INDEX('큐펫&amp;몹 정리(최신)'!S:S,MATCH($E459,'큐펫&amp;몹 정리(최신)'!$B:$B,0))*35,INDEX('큐펫&amp;몹 정리(최신)'!S:S,MATCH($E459,'큐펫&amp;몹 정리(최신)'!$B:$B,0))*40))))</f>
        <v>510</v>
      </c>
      <c r="O459" s="190">
        <f>IF($J459=1,INDEX('큐펫&amp;몹 정리(최신)'!T:T,MATCH($E459,'큐펫&amp;몹 정리(최신)'!$B:$B,0))*20,IF($J459=2,INDEX('큐펫&amp;몹 정리(최신)'!T:T,MATCH($E459,'큐펫&amp;몹 정리(최신)'!$B:$B,0))*25,IF($J459=3,INDEX('큐펫&amp;몹 정리(최신)'!T:T,MATCH($E459,'큐펫&amp;몹 정리(최신)'!$B:$B,0))*30,IF($J459=4,INDEX('큐펫&amp;몹 정리(최신)'!T:T,MATCH($E459,'큐펫&amp;몹 정리(최신)'!$B:$B,0))*35,INDEX('큐펫&amp;몹 정리(최신)'!T:T,MATCH($E459,'큐펫&amp;몹 정리(최신)'!$B:$B,0))*40))))</f>
        <v>450</v>
      </c>
      <c r="P459" s="217">
        <v>60</v>
      </c>
      <c r="Q459" s="217">
        <f t="shared" si="60"/>
        <v>126960</v>
      </c>
      <c r="R459" s="217">
        <f t="shared" si="61"/>
        <v>28747</v>
      </c>
      <c r="S459" s="217">
        <f t="shared" si="62"/>
        <v>8443</v>
      </c>
      <c r="T459" s="217">
        <f t="shared" si="63"/>
        <v>1038</v>
      </c>
      <c r="U459" s="217">
        <f t="shared" si="64"/>
        <v>32659</v>
      </c>
      <c r="V459" s="217">
        <f t="shared" si="65"/>
        <v>14428</v>
      </c>
      <c r="W459" s="217">
        <f>ROUND(AC459+(INDEX(Ref!B$1:B$9,MATCH($AI459,Ref!$A$1:$A$9,0))*P459*0.0001),)</f>
        <v>63</v>
      </c>
      <c r="X459" s="217">
        <f>ROUND(AD459+(INDEX(Ref!C$1:C$9,MATCH($AI459,Ref!$A$1:$A$9,0))*$P459*0.0001),)</f>
        <v>40</v>
      </c>
      <c r="Y459" s="217">
        <f>ROUND(AE459+(INDEX(Ref!D$1:D$9,MATCH($AI459,Ref!$A$1:$A$9,0))*$P459*0.0001),)</f>
        <v>68</v>
      </c>
      <c r="Z459" s="217">
        <f>ROUND(AF459+(INDEX(Ref!E$1:E$9,MATCH($AI459,Ref!$A$1:$A$9,0))*$P459*0.0001),)</f>
        <v>28</v>
      </c>
      <c r="AA459" s="217">
        <f>ROUND(AG459+(INDEX(Ref!F$1:F$9,MATCH($AI459,Ref!$A$1:$A$9,0))*$P459*0.0001),)</f>
        <v>34</v>
      </c>
      <c r="AB459" s="217">
        <f>ROUND(AH459+(INDEX(Ref!G$1:G$9,MATCH($AI459,Ref!$A$1:$A$9,0))*$P459*0.0001),)</f>
        <v>31</v>
      </c>
      <c r="AC459" s="137">
        <v>48.000000000000007</v>
      </c>
      <c r="AD459" s="137">
        <v>30</v>
      </c>
      <c r="AE459" s="137">
        <v>56</v>
      </c>
      <c r="AF459" s="137">
        <v>21</v>
      </c>
      <c r="AG459" s="137">
        <v>26</v>
      </c>
      <c r="AH459" s="137">
        <v>23</v>
      </c>
      <c r="AI459" s="208">
        <v>1</v>
      </c>
      <c r="AJ459" s="172">
        <v>3000</v>
      </c>
      <c r="AK459" s="172">
        <f t="shared" si="58"/>
        <v>30548</v>
      </c>
      <c r="AL459" s="172">
        <v>2000</v>
      </c>
      <c r="AM459" s="172">
        <f t="shared" si="59"/>
        <v>30551</v>
      </c>
      <c r="AN459" s="172">
        <v>0</v>
      </c>
      <c r="AO459" s="172">
        <f t="shared" si="54"/>
        <v>34548</v>
      </c>
      <c r="AP459" s="172">
        <v>0</v>
      </c>
      <c r="AQ459" s="172">
        <f t="shared" si="55"/>
        <v>34551</v>
      </c>
      <c r="AR459" s="172">
        <v>1</v>
      </c>
      <c r="AS459" s="172">
        <v>0</v>
      </c>
      <c r="AT459" s="195">
        <f t="shared" si="57"/>
        <v>78092</v>
      </c>
      <c r="AU459" s="195" t="s">
        <v>1030</v>
      </c>
    </row>
    <row r="460" spans="1:47" x14ac:dyDescent="0.2">
      <c r="A460" s="173">
        <f t="shared" si="56"/>
        <v>55092</v>
      </c>
      <c r="B460" s="174" t="s">
        <v>1008</v>
      </c>
      <c r="C460" s="172">
        <v>86092</v>
      </c>
      <c r="D460" s="172">
        <v>150092</v>
      </c>
      <c r="E460" s="206" t="s">
        <v>1019</v>
      </c>
      <c r="F460" s="208">
        <v>8</v>
      </c>
      <c r="G460" s="173">
        <v>11500</v>
      </c>
      <c r="H460" s="173">
        <v>9500</v>
      </c>
      <c r="I460" s="172">
        <v>10000</v>
      </c>
      <c r="J460" s="172">
        <v>4</v>
      </c>
      <c r="K460" s="190">
        <f>IF($J460=1,INDEX('큐펫&amp;몹 정리(최신)'!P:P,MATCH($E460,'큐펫&amp;몹 정리(최신)'!$B:$B,0))*20,IF($J460=2,INDEX('큐펫&amp;몹 정리(최신)'!P:P,MATCH($E460,'큐펫&amp;몹 정리(최신)'!$B:$B,0))*25,IF($J460=3,INDEX('큐펫&amp;몹 정리(최신)'!P:P,MATCH($E460,'큐펫&amp;몹 정리(최신)'!$B:$B,0))*30,IF($J460=4,INDEX('큐펫&amp;몹 정리(최신)'!P:P,MATCH($E460,'큐펫&amp;몹 정리(최신)'!$B:$B,0))*35,INDEX('큐펫&amp;몹 정리(최신)'!P:P,MATCH($E460,'큐펫&amp;몹 정리(최신)'!$B:$B,0))*40))))</f>
        <v>1400</v>
      </c>
      <c r="L460" s="190">
        <f>IF($J460=1,INDEX('큐펫&amp;몹 정리(최신)'!Q:Q,MATCH($E460,'큐펫&amp;몹 정리(최신)'!$B:$B,0))*20,IF($J460=2,INDEX('큐펫&amp;몹 정리(최신)'!Q:Q,MATCH($E460,'큐펫&amp;몹 정리(최신)'!$B:$B,0))*25,IF($J460=3,INDEX('큐펫&amp;몹 정리(최신)'!Q:Q,MATCH($E460,'큐펫&amp;몹 정리(최신)'!$B:$B,0))*30,IF($J460=4,INDEX('큐펫&amp;몹 정리(최신)'!Q:Q,MATCH($E460,'큐펫&amp;몹 정리(최신)'!$B:$B,0))*35,INDEX('큐펫&amp;몹 정리(최신)'!Q:Q,MATCH($E460,'큐펫&amp;몹 정리(최신)'!$B:$B,0))*40))))</f>
        <v>840</v>
      </c>
      <c r="M460" s="190">
        <f>IF($J460=1,INDEX('큐펫&amp;몹 정리(최신)'!R:R,MATCH($E460,'큐펫&amp;몹 정리(최신)'!$B:$B,0))*20,IF($J460=2,INDEX('큐펫&amp;몹 정리(최신)'!R:R,MATCH($E460,'큐펫&amp;몹 정리(최신)'!$B:$B,0))*25,IF($J460=3,INDEX('큐펫&amp;몹 정리(최신)'!R:R,MATCH($E460,'큐펫&amp;몹 정리(최신)'!$B:$B,0))*30,IF($J460=4,INDEX('큐펫&amp;몹 정리(최신)'!R:R,MATCH($E460,'큐펫&amp;몹 정리(최신)'!$B:$B,0))*35,INDEX('큐펫&amp;몹 정리(최신)'!R:R,MATCH($E460,'큐펫&amp;몹 정리(최신)'!$B:$B,0))*40))))</f>
        <v>140</v>
      </c>
      <c r="N460" s="190">
        <f>IF($J460=1,INDEX('큐펫&amp;몹 정리(최신)'!S:S,MATCH($E460,'큐펫&amp;몹 정리(최신)'!$B:$B,0))*20,IF($J460=2,INDEX('큐펫&amp;몹 정리(최신)'!S:S,MATCH($E460,'큐펫&amp;몹 정리(최신)'!$B:$B,0))*25,IF($J460=3,INDEX('큐펫&amp;몹 정리(최신)'!S:S,MATCH($E460,'큐펫&amp;몹 정리(최신)'!$B:$B,0))*30,IF($J460=4,INDEX('큐펫&amp;몹 정리(최신)'!S:S,MATCH($E460,'큐펫&amp;몹 정리(최신)'!$B:$B,0))*35,INDEX('큐펫&amp;몹 정리(최신)'!S:S,MATCH($E460,'큐펫&amp;몹 정리(최신)'!$B:$B,0))*40))))</f>
        <v>595</v>
      </c>
      <c r="O460" s="190">
        <f>IF($J460=1,INDEX('큐펫&amp;몹 정리(최신)'!T:T,MATCH($E460,'큐펫&amp;몹 정리(최신)'!$B:$B,0))*20,IF($J460=2,INDEX('큐펫&amp;몹 정리(최신)'!T:T,MATCH($E460,'큐펫&amp;몹 정리(최신)'!$B:$B,0))*25,IF($J460=3,INDEX('큐펫&amp;몹 정리(최신)'!T:T,MATCH($E460,'큐펫&amp;몹 정리(최신)'!$B:$B,0))*30,IF($J460=4,INDEX('큐펫&amp;몹 정리(최신)'!T:T,MATCH($E460,'큐펫&amp;몹 정리(최신)'!$B:$B,0))*35,INDEX('큐펫&amp;몹 정리(최신)'!T:T,MATCH($E460,'큐펫&amp;몹 정리(최신)'!$B:$B,0))*40))))</f>
        <v>525</v>
      </c>
      <c r="P460" s="217">
        <v>80</v>
      </c>
      <c r="Q460" s="217">
        <f t="shared" si="60"/>
        <v>204120</v>
      </c>
      <c r="R460" s="217">
        <f t="shared" si="61"/>
        <v>44966</v>
      </c>
      <c r="S460" s="217">
        <f t="shared" si="62"/>
        <v>12919</v>
      </c>
      <c r="T460" s="217">
        <f t="shared" si="63"/>
        <v>1740</v>
      </c>
      <c r="U460" s="217">
        <f t="shared" si="64"/>
        <v>46432</v>
      </c>
      <c r="V460" s="217">
        <f t="shared" si="65"/>
        <v>20509</v>
      </c>
      <c r="W460" s="217">
        <f>ROUND(AC460+(INDEX(Ref!B$1:B$9,MATCH($AI460,Ref!$A$1:$A$9,0))*P460*0.0001),)</f>
        <v>73</v>
      </c>
      <c r="X460" s="217">
        <f>ROUND(AD460+(INDEX(Ref!C$1:C$9,MATCH($AI460,Ref!$A$1:$A$9,0))*$P460*0.0001),)</f>
        <v>46</v>
      </c>
      <c r="Y460" s="217">
        <f>ROUND(AE460+(INDEX(Ref!D$1:D$9,MATCH($AI460,Ref!$A$1:$A$9,0))*$P460*0.0001),)</f>
        <v>76</v>
      </c>
      <c r="Z460" s="217">
        <f>ROUND(AF460+(INDEX(Ref!E$1:E$9,MATCH($AI460,Ref!$A$1:$A$9,0))*$P460*0.0001),)</f>
        <v>34</v>
      </c>
      <c r="AA460" s="217">
        <f>ROUND(AG460+(INDEX(Ref!F$1:F$9,MATCH($AI460,Ref!$A$1:$A$9,0))*$P460*0.0001),)</f>
        <v>39</v>
      </c>
      <c r="AB460" s="217">
        <f>ROUND(AH460+(INDEX(Ref!G$1:G$9,MATCH($AI460,Ref!$A$1:$A$9,0))*$P460*0.0001),)</f>
        <v>36</v>
      </c>
      <c r="AC460" s="137">
        <v>53</v>
      </c>
      <c r="AD460" s="137">
        <v>33</v>
      </c>
      <c r="AE460" s="137">
        <v>60</v>
      </c>
      <c r="AF460" s="137">
        <v>24</v>
      </c>
      <c r="AG460" s="137">
        <v>28</v>
      </c>
      <c r="AH460" s="137">
        <v>26</v>
      </c>
      <c r="AI460" s="208">
        <v>1</v>
      </c>
      <c r="AJ460" s="172">
        <v>3000</v>
      </c>
      <c r="AK460" s="172">
        <f t="shared" si="58"/>
        <v>30549</v>
      </c>
      <c r="AL460" s="172">
        <v>2000</v>
      </c>
      <c r="AM460" s="172">
        <f t="shared" si="59"/>
        <v>30551</v>
      </c>
      <c r="AN460" s="172">
        <v>0</v>
      </c>
      <c r="AO460" s="172">
        <f t="shared" si="54"/>
        <v>34549</v>
      </c>
      <c r="AP460" s="172">
        <v>0</v>
      </c>
      <c r="AQ460" s="172">
        <f t="shared" si="55"/>
        <v>34551</v>
      </c>
      <c r="AR460" s="172">
        <v>1</v>
      </c>
      <c r="AS460" s="172">
        <v>0</v>
      </c>
      <c r="AT460" s="195">
        <f t="shared" si="57"/>
        <v>78092</v>
      </c>
      <c r="AU460" s="195" t="s">
        <v>1030</v>
      </c>
    </row>
    <row r="461" spans="1:47" x14ac:dyDescent="0.2">
      <c r="A461" s="173">
        <f t="shared" si="56"/>
        <v>55092</v>
      </c>
      <c r="B461" s="174" t="s">
        <v>1008</v>
      </c>
      <c r="C461" s="172">
        <v>86092</v>
      </c>
      <c r="D461" s="172">
        <v>150092</v>
      </c>
      <c r="E461" s="206" t="s">
        <v>1019</v>
      </c>
      <c r="F461" s="208">
        <v>8</v>
      </c>
      <c r="G461" s="173">
        <v>11500</v>
      </c>
      <c r="H461" s="173">
        <v>9500</v>
      </c>
      <c r="I461" s="172">
        <v>10000</v>
      </c>
      <c r="J461" s="172">
        <v>5</v>
      </c>
      <c r="K461" s="190">
        <f>IF($J461=1,INDEX('큐펫&amp;몹 정리(최신)'!P:P,MATCH($E461,'큐펫&amp;몹 정리(최신)'!$B:$B,0))*20,IF($J461=2,INDEX('큐펫&amp;몹 정리(최신)'!P:P,MATCH($E461,'큐펫&amp;몹 정리(최신)'!$B:$B,0))*25,IF($J461=3,INDEX('큐펫&amp;몹 정리(최신)'!P:P,MATCH($E461,'큐펫&amp;몹 정리(최신)'!$B:$B,0))*30,IF($J461=4,INDEX('큐펫&amp;몹 정리(최신)'!P:P,MATCH($E461,'큐펫&amp;몹 정리(최신)'!$B:$B,0))*35,INDEX('큐펫&amp;몹 정리(최신)'!P:P,MATCH($E461,'큐펫&amp;몹 정리(최신)'!$B:$B,0))*40))))</f>
        <v>1600</v>
      </c>
      <c r="L461" s="190">
        <f>IF($J461=1,INDEX('큐펫&amp;몹 정리(최신)'!Q:Q,MATCH($E461,'큐펫&amp;몹 정리(최신)'!$B:$B,0))*20,IF($J461=2,INDEX('큐펫&amp;몹 정리(최신)'!Q:Q,MATCH($E461,'큐펫&amp;몹 정리(최신)'!$B:$B,0))*25,IF($J461=3,INDEX('큐펫&amp;몹 정리(최신)'!Q:Q,MATCH($E461,'큐펫&amp;몹 정리(최신)'!$B:$B,0))*30,IF($J461=4,INDEX('큐펫&amp;몹 정리(최신)'!Q:Q,MATCH($E461,'큐펫&amp;몹 정리(최신)'!$B:$B,0))*35,INDEX('큐펫&amp;몹 정리(최신)'!Q:Q,MATCH($E461,'큐펫&amp;몹 정리(최신)'!$B:$B,0))*40))))</f>
        <v>960</v>
      </c>
      <c r="M461" s="190">
        <f>IF($J461=1,INDEX('큐펫&amp;몹 정리(최신)'!R:R,MATCH($E461,'큐펫&amp;몹 정리(최신)'!$B:$B,0))*20,IF($J461=2,INDEX('큐펫&amp;몹 정리(최신)'!R:R,MATCH($E461,'큐펫&amp;몹 정리(최신)'!$B:$B,0))*25,IF($J461=3,INDEX('큐펫&amp;몹 정리(최신)'!R:R,MATCH($E461,'큐펫&amp;몹 정리(최신)'!$B:$B,0))*30,IF($J461=4,INDEX('큐펫&amp;몹 정리(최신)'!R:R,MATCH($E461,'큐펫&amp;몹 정리(최신)'!$B:$B,0))*35,INDEX('큐펫&amp;몹 정리(최신)'!R:R,MATCH($E461,'큐펫&amp;몹 정리(최신)'!$B:$B,0))*40))))</f>
        <v>160</v>
      </c>
      <c r="N461" s="190">
        <f>IF($J461=1,INDEX('큐펫&amp;몹 정리(최신)'!S:S,MATCH($E461,'큐펫&amp;몹 정리(최신)'!$B:$B,0))*20,IF($J461=2,INDEX('큐펫&amp;몹 정리(최신)'!S:S,MATCH($E461,'큐펫&amp;몹 정리(최신)'!$B:$B,0))*25,IF($J461=3,INDEX('큐펫&amp;몹 정리(최신)'!S:S,MATCH($E461,'큐펫&amp;몹 정리(최신)'!$B:$B,0))*30,IF($J461=4,INDEX('큐펫&amp;몹 정리(최신)'!S:S,MATCH($E461,'큐펫&amp;몹 정리(최신)'!$B:$B,0))*35,INDEX('큐펫&amp;몹 정리(최신)'!S:S,MATCH($E461,'큐펫&amp;몹 정리(최신)'!$B:$B,0))*40))))</f>
        <v>680</v>
      </c>
      <c r="O461" s="190">
        <f>IF($J461=1,INDEX('큐펫&amp;몹 정리(최신)'!T:T,MATCH($E461,'큐펫&amp;몹 정리(최신)'!$B:$B,0))*20,IF($J461=2,INDEX('큐펫&amp;몹 정리(최신)'!T:T,MATCH($E461,'큐펫&amp;몹 정리(최신)'!$B:$B,0))*25,IF($J461=3,INDEX('큐펫&amp;몹 정리(최신)'!T:T,MATCH($E461,'큐펫&amp;몹 정리(최신)'!$B:$B,0))*30,IF($J461=4,INDEX('큐펫&amp;몹 정리(최신)'!T:T,MATCH($E461,'큐펫&amp;몹 정리(최신)'!$B:$B,0))*35,INDEX('큐펫&amp;몹 정리(최신)'!T:T,MATCH($E461,'큐펫&amp;몹 정리(최신)'!$B:$B,0))*40))))</f>
        <v>600</v>
      </c>
      <c r="P461" s="217">
        <v>100</v>
      </c>
      <c r="Q461" s="217">
        <f t="shared" si="60"/>
        <v>302400</v>
      </c>
      <c r="R461" s="217">
        <f t="shared" si="61"/>
        <v>66370</v>
      </c>
      <c r="S461" s="217">
        <f t="shared" si="62"/>
        <v>19609</v>
      </c>
      <c r="T461" s="217">
        <f t="shared" si="63"/>
        <v>2452</v>
      </c>
      <c r="U461" s="217">
        <f t="shared" si="64"/>
        <v>62585</v>
      </c>
      <c r="V461" s="217">
        <f t="shared" si="65"/>
        <v>27638</v>
      </c>
      <c r="W461" s="217">
        <f>ROUND(AC461+(INDEX(Ref!B$1:B$9,MATCH($AI461,Ref!$A$1:$A$9,0))*P461*0.0001),)</f>
        <v>83</v>
      </c>
      <c r="X461" s="217">
        <f>ROUND(AD461+(INDEX(Ref!C$1:C$9,MATCH($AI461,Ref!$A$1:$A$9,0))*$P461*0.0001),)</f>
        <v>52</v>
      </c>
      <c r="Y461" s="217">
        <f>ROUND(AE461+(INDEX(Ref!D$1:D$9,MATCH($AI461,Ref!$A$1:$A$9,0))*$P461*0.0001),)</f>
        <v>84</v>
      </c>
      <c r="Z461" s="217">
        <f>ROUND(AF461+(INDEX(Ref!E$1:E$9,MATCH($AI461,Ref!$A$1:$A$9,0))*$P461*0.0001),)</f>
        <v>38</v>
      </c>
      <c r="AA461" s="217">
        <f>ROUND(AG461+(INDEX(Ref!F$1:F$9,MATCH($AI461,Ref!$A$1:$A$9,0))*$P461*0.0001),)</f>
        <v>45</v>
      </c>
      <c r="AB461" s="217">
        <f>ROUND(AH461+(INDEX(Ref!G$1:G$9,MATCH($AI461,Ref!$A$1:$A$9,0))*$P461*0.0001),)</f>
        <v>42</v>
      </c>
      <c r="AC461" s="137">
        <v>58.000000000000007</v>
      </c>
      <c r="AD461" s="137">
        <v>36</v>
      </c>
      <c r="AE461" s="137">
        <v>64</v>
      </c>
      <c r="AF461" s="137">
        <v>26</v>
      </c>
      <c r="AG461" s="137">
        <v>31</v>
      </c>
      <c r="AH461" s="137">
        <v>29</v>
      </c>
      <c r="AI461" s="208">
        <v>1</v>
      </c>
      <c r="AJ461" s="172">
        <v>3000</v>
      </c>
      <c r="AK461" s="172">
        <f t="shared" si="58"/>
        <v>30549</v>
      </c>
      <c r="AL461" s="172">
        <v>2000</v>
      </c>
      <c r="AM461" s="172">
        <f t="shared" si="59"/>
        <v>30552</v>
      </c>
      <c r="AN461" s="172">
        <v>0</v>
      </c>
      <c r="AO461" s="172">
        <f t="shared" ref="AO461:AO481" si="66">AK461+4000</f>
        <v>34549</v>
      </c>
      <c r="AP461" s="172">
        <v>0</v>
      </c>
      <c r="AQ461" s="172">
        <f t="shared" ref="AQ461:AQ481" si="67">AM461+4000</f>
        <v>34552</v>
      </c>
      <c r="AR461" s="172">
        <v>1</v>
      </c>
      <c r="AS461" s="172">
        <v>0</v>
      </c>
      <c r="AT461" s="195">
        <f t="shared" si="57"/>
        <v>78092</v>
      </c>
      <c r="AU461" s="195" t="s">
        <v>1030</v>
      </c>
    </row>
    <row r="462" spans="1:47" x14ac:dyDescent="0.2">
      <c r="A462" s="173">
        <f t="shared" si="56"/>
        <v>55093</v>
      </c>
      <c r="B462" s="174" t="s">
        <v>1009</v>
      </c>
      <c r="C462" s="172">
        <v>86093</v>
      </c>
      <c r="D462" s="172">
        <v>150093</v>
      </c>
      <c r="E462" s="206" t="s">
        <v>1020</v>
      </c>
      <c r="F462" s="208">
        <v>2</v>
      </c>
      <c r="G462" s="173">
        <v>11500</v>
      </c>
      <c r="H462" s="173">
        <v>9500</v>
      </c>
      <c r="I462" s="172">
        <v>10000</v>
      </c>
      <c r="J462" s="172">
        <v>1</v>
      </c>
      <c r="K462" s="190">
        <f>IF($J462=1,INDEX('큐펫&amp;몹 정리(최신)'!P:P,MATCH($E462,'큐펫&amp;몹 정리(최신)'!$B:$B,0))*20,IF($J462=2,INDEX('큐펫&amp;몹 정리(최신)'!P:P,MATCH($E462,'큐펫&amp;몹 정리(최신)'!$B:$B,0))*25,IF($J462=3,INDEX('큐펫&amp;몹 정리(최신)'!P:P,MATCH($E462,'큐펫&amp;몹 정리(최신)'!$B:$B,0))*30,IF($J462=4,INDEX('큐펫&amp;몹 정리(최신)'!P:P,MATCH($E462,'큐펫&amp;몹 정리(최신)'!$B:$B,0))*35,INDEX('큐펫&amp;몹 정리(최신)'!P:P,MATCH($E462,'큐펫&amp;몹 정리(최신)'!$B:$B,0))*40))))</f>
        <v>800</v>
      </c>
      <c r="L462" s="190">
        <f>IF($J462=1,INDEX('큐펫&amp;몹 정리(최신)'!Q:Q,MATCH($E462,'큐펫&amp;몹 정리(최신)'!$B:$B,0))*20,IF($J462=2,INDEX('큐펫&amp;몹 정리(최신)'!Q:Q,MATCH($E462,'큐펫&amp;몹 정리(최신)'!$B:$B,0))*25,IF($J462=3,INDEX('큐펫&amp;몹 정리(최신)'!Q:Q,MATCH($E462,'큐펫&amp;몹 정리(최신)'!$B:$B,0))*30,IF($J462=4,INDEX('큐펫&amp;몹 정리(최신)'!Q:Q,MATCH($E462,'큐펫&amp;몹 정리(최신)'!$B:$B,0))*35,INDEX('큐펫&amp;몹 정리(최신)'!Q:Q,MATCH($E462,'큐펫&amp;몹 정리(최신)'!$B:$B,0))*40))))</f>
        <v>100</v>
      </c>
      <c r="M462" s="190">
        <f>IF($J462=1,INDEX('큐펫&amp;몹 정리(최신)'!R:R,MATCH($E462,'큐펫&amp;몹 정리(최신)'!$B:$B,0))*20,IF($J462=2,INDEX('큐펫&amp;몹 정리(최신)'!R:R,MATCH($E462,'큐펫&amp;몹 정리(최신)'!$B:$B,0))*25,IF($J462=3,INDEX('큐펫&amp;몹 정리(최신)'!R:R,MATCH($E462,'큐펫&amp;몹 정리(최신)'!$B:$B,0))*30,IF($J462=4,INDEX('큐펫&amp;몹 정리(최신)'!R:R,MATCH($E462,'큐펫&amp;몹 정리(최신)'!$B:$B,0))*35,INDEX('큐펫&amp;몹 정리(최신)'!R:R,MATCH($E462,'큐펫&amp;몹 정리(최신)'!$B:$B,0))*40))))</f>
        <v>440</v>
      </c>
      <c r="N462" s="190">
        <f>IF($J462=1,INDEX('큐펫&amp;몹 정리(최신)'!S:S,MATCH($E462,'큐펫&amp;몹 정리(최신)'!$B:$B,0))*20,IF($J462=2,INDEX('큐펫&amp;몹 정리(최신)'!S:S,MATCH($E462,'큐펫&amp;몹 정리(최신)'!$B:$B,0))*25,IF($J462=3,INDEX('큐펫&amp;몹 정리(최신)'!S:S,MATCH($E462,'큐펫&amp;몹 정리(최신)'!$B:$B,0))*30,IF($J462=4,INDEX('큐펫&amp;몹 정리(최신)'!S:S,MATCH($E462,'큐펫&amp;몹 정리(최신)'!$B:$B,0))*35,INDEX('큐펫&amp;몹 정리(최신)'!S:S,MATCH($E462,'큐펫&amp;몹 정리(최신)'!$B:$B,0))*40))))</f>
        <v>240</v>
      </c>
      <c r="O462" s="190">
        <f>IF($J462=1,INDEX('큐펫&amp;몹 정리(최신)'!T:T,MATCH($E462,'큐펫&amp;몹 정리(최신)'!$B:$B,0))*20,IF($J462=2,INDEX('큐펫&amp;몹 정리(최신)'!T:T,MATCH($E462,'큐펫&amp;몹 정리(최신)'!$B:$B,0))*25,IF($J462=3,INDEX('큐펫&amp;몹 정리(최신)'!T:T,MATCH($E462,'큐펫&amp;몹 정리(최신)'!$B:$B,0))*30,IF($J462=4,INDEX('큐펫&amp;몹 정리(최신)'!T:T,MATCH($E462,'큐펫&amp;몹 정리(최신)'!$B:$B,0))*35,INDEX('큐펫&amp;몹 정리(최신)'!T:T,MATCH($E462,'큐펫&amp;몹 정리(최신)'!$B:$B,0))*40))))</f>
        <v>420</v>
      </c>
      <c r="P462" s="217">
        <v>20</v>
      </c>
      <c r="Q462" s="217">
        <f t="shared" si="60"/>
        <v>28320</v>
      </c>
      <c r="R462" s="217">
        <f t="shared" si="61"/>
        <v>418</v>
      </c>
      <c r="S462" s="217">
        <f t="shared" si="62"/>
        <v>593</v>
      </c>
      <c r="T462" s="217">
        <f t="shared" si="63"/>
        <v>8239</v>
      </c>
      <c r="U462" s="217">
        <f t="shared" si="64"/>
        <v>8646</v>
      </c>
      <c r="V462" s="217">
        <f t="shared" si="65"/>
        <v>7603</v>
      </c>
      <c r="W462" s="217">
        <f>ROUND(AC462+(INDEX(Ref!B$1:B$9,MATCH($AI462,Ref!$A$1:$A$9,0))*P462*0.0001),)</f>
        <v>19</v>
      </c>
      <c r="X462" s="217">
        <f>ROUND(AD462+(INDEX(Ref!C$1:C$9,MATCH($AI462,Ref!$A$1:$A$9,0))*$P462*0.0001),)</f>
        <v>26</v>
      </c>
      <c r="Y462" s="217">
        <f>ROUND(AE462+(INDEX(Ref!D$1:D$9,MATCH($AI462,Ref!$A$1:$A$9,0))*$P462*0.0001),)</f>
        <v>52</v>
      </c>
      <c r="Z462" s="217">
        <f>ROUND(AF462+(INDEX(Ref!E$1:E$9,MATCH($AI462,Ref!$A$1:$A$9,0))*$P462*0.0001),)</f>
        <v>43</v>
      </c>
      <c r="AA462" s="217">
        <f>ROUND(AG462+(INDEX(Ref!F$1:F$9,MATCH($AI462,Ref!$A$1:$A$9,0))*$P462*0.0001),)</f>
        <v>23</v>
      </c>
      <c r="AB462" s="217">
        <f>ROUND(AH462+(INDEX(Ref!G$1:G$9,MATCH($AI462,Ref!$A$1:$A$9,0))*$P462*0.0001),)</f>
        <v>21</v>
      </c>
      <c r="AC462" s="137">
        <v>17</v>
      </c>
      <c r="AD462" s="137">
        <v>23</v>
      </c>
      <c r="AE462" s="137">
        <v>48</v>
      </c>
      <c r="AF462" s="137">
        <v>38</v>
      </c>
      <c r="AG462" s="137">
        <v>20</v>
      </c>
      <c r="AH462" s="137">
        <v>18</v>
      </c>
      <c r="AI462" s="208">
        <v>2</v>
      </c>
      <c r="AJ462" s="172">
        <v>3000</v>
      </c>
      <c r="AK462" s="172">
        <f t="shared" si="58"/>
        <v>30553</v>
      </c>
      <c r="AL462" s="172">
        <v>2000</v>
      </c>
      <c r="AM462" s="172">
        <f t="shared" si="59"/>
        <v>30556</v>
      </c>
      <c r="AN462" s="172">
        <v>0</v>
      </c>
      <c r="AO462" s="172">
        <f t="shared" si="66"/>
        <v>34553</v>
      </c>
      <c r="AP462" s="172">
        <v>0</v>
      </c>
      <c r="AQ462" s="172">
        <f t="shared" si="67"/>
        <v>34556</v>
      </c>
      <c r="AR462" s="172">
        <v>1</v>
      </c>
      <c r="AS462" s="172">
        <v>0</v>
      </c>
      <c r="AT462" s="195">
        <f t="shared" si="57"/>
        <v>78093</v>
      </c>
      <c r="AU462" s="195" t="s">
        <v>1031</v>
      </c>
    </row>
    <row r="463" spans="1:47" x14ac:dyDescent="0.2">
      <c r="A463" s="173">
        <f t="shared" si="56"/>
        <v>55093</v>
      </c>
      <c r="B463" s="174" t="s">
        <v>1009</v>
      </c>
      <c r="C463" s="172">
        <v>86093</v>
      </c>
      <c r="D463" s="172">
        <v>150093</v>
      </c>
      <c r="E463" s="206" t="s">
        <v>1020</v>
      </c>
      <c r="F463" s="208">
        <v>2</v>
      </c>
      <c r="G463" s="173">
        <v>11500</v>
      </c>
      <c r="H463" s="173">
        <v>9500</v>
      </c>
      <c r="I463" s="172">
        <v>10000</v>
      </c>
      <c r="J463" s="172">
        <v>2</v>
      </c>
      <c r="K463" s="190">
        <f>IF($J463=1,INDEX('큐펫&amp;몹 정리(최신)'!P:P,MATCH($E463,'큐펫&amp;몹 정리(최신)'!$B:$B,0))*20,IF($J463=2,INDEX('큐펫&amp;몹 정리(최신)'!P:P,MATCH($E463,'큐펫&amp;몹 정리(최신)'!$B:$B,0))*25,IF($J463=3,INDEX('큐펫&amp;몹 정리(최신)'!P:P,MATCH($E463,'큐펫&amp;몹 정리(최신)'!$B:$B,0))*30,IF($J463=4,INDEX('큐펫&amp;몹 정리(최신)'!P:P,MATCH($E463,'큐펫&amp;몹 정리(최신)'!$B:$B,0))*35,INDEX('큐펫&amp;몹 정리(최신)'!P:P,MATCH($E463,'큐펫&amp;몹 정리(최신)'!$B:$B,0))*40))))</f>
        <v>1000</v>
      </c>
      <c r="L463" s="190">
        <f>IF($J463=1,INDEX('큐펫&amp;몹 정리(최신)'!Q:Q,MATCH($E463,'큐펫&amp;몹 정리(최신)'!$B:$B,0))*20,IF($J463=2,INDEX('큐펫&amp;몹 정리(최신)'!Q:Q,MATCH($E463,'큐펫&amp;몹 정리(최신)'!$B:$B,0))*25,IF($J463=3,INDEX('큐펫&amp;몹 정리(최신)'!Q:Q,MATCH($E463,'큐펫&amp;몹 정리(최신)'!$B:$B,0))*30,IF($J463=4,INDEX('큐펫&amp;몹 정리(최신)'!Q:Q,MATCH($E463,'큐펫&amp;몹 정리(최신)'!$B:$B,0))*35,INDEX('큐펫&amp;몹 정리(최신)'!Q:Q,MATCH($E463,'큐펫&amp;몹 정리(최신)'!$B:$B,0))*40))))</f>
        <v>125</v>
      </c>
      <c r="M463" s="190">
        <f>IF($J463=1,INDEX('큐펫&amp;몹 정리(최신)'!R:R,MATCH($E463,'큐펫&amp;몹 정리(최신)'!$B:$B,0))*20,IF($J463=2,INDEX('큐펫&amp;몹 정리(최신)'!R:R,MATCH($E463,'큐펫&amp;몹 정리(최신)'!$B:$B,0))*25,IF($J463=3,INDEX('큐펫&amp;몹 정리(최신)'!R:R,MATCH($E463,'큐펫&amp;몹 정리(최신)'!$B:$B,0))*30,IF($J463=4,INDEX('큐펫&amp;몹 정리(최신)'!R:R,MATCH($E463,'큐펫&amp;몹 정리(최신)'!$B:$B,0))*35,INDEX('큐펫&amp;몹 정리(최신)'!R:R,MATCH($E463,'큐펫&amp;몹 정리(최신)'!$B:$B,0))*40))))</f>
        <v>550</v>
      </c>
      <c r="N463" s="190">
        <f>IF($J463=1,INDEX('큐펫&amp;몹 정리(최신)'!S:S,MATCH($E463,'큐펫&amp;몹 정리(최신)'!$B:$B,0))*20,IF($J463=2,INDEX('큐펫&amp;몹 정리(최신)'!S:S,MATCH($E463,'큐펫&amp;몹 정리(최신)'!$B:$B,0))*25,IF($J463=3,INDEX('큐펫&amp;몹 정리(최신)'!S:S,MATCH($E463,'큐펫&amp;몹 정리(최신)'!$B:$B,0))*30,IF($J463=4,INDEX('큐펫&amp;몹 정리(최신)'!S:S,MATCH($E463,'큐펫&amp;몹 정리(최신)'!$B:$B,0))*35,INDEX('큐펫&amp;몹 정리(최신)'!S:S,MATCH($E463,'큐펫&amp;몹 정리(최신)'!$B:$B,0))*40))))</f>
        <v>300</v>
      </c>
      <c r="O463" s="190">
        <f>IF($J463=1,INDEX('큐펫&amp;몹 정리(최신)'!T:T,MATCH($E463,'큐펫&amp;몹 정리(최신)'!$B:$B,0))*20,IF($J463=2,INDEX('큐펫&amp;몹 정리(최신)'!T:T,MATCH($E463,'큐펫&amp;몹 정리(최신)'!$B:$B,0))*25,IF($J463=3,INDEX('큐펫&amp;몹 정리(최신)'!T:T,MATCH($E463,'큐펫&amp;몹 정리(최신)'!$B:$B,0))*30,IF($J463=4,INDEX('큐펫&amp;몹 정리(최신)'!T:T,MATCH($E463,'큐펫&amp;몹 정리(최신)'!$B:$B,0))*35,INDEX('큐펫&amp;몹 정리(최신)'!T:T,MATCH($E463,'큐펫&amp;몹 정리(최신)'!$B:$B,0))*40))))</f>
        <v>525</v>
      </c>
      <c r="P463" s="217">
        <v>40</v>
      </c>
      <c r="Q463" s="217">
        <f t="shared" si="60"/>
        <v>69000</v>
      </c>
      <c r="R463" s="217">
        <f t="shared" si="61"/>
        <v>800</v>
      </c>
      <c r="S463" s="217">
        <f t="shared" si="62"/>
        <v>1140</v>
      </c>
      <c r="T463" s="217">
        <f t="shared" si="63"/>
        <v>15585</v>
      </c>
      <c r="U463" s="217">
        <f t="shared" si="64"/>
        <v>15009</v>
      </c>
      <c r="V463" s="217">
        <f t="shared" si="65"/>
        <v>13178</v>
      </c>
      <c r="W463" s="217">
        <f>ROUND(AC463+(INDEX(Ref!B$1:B$9,MATCH($AI463,Ref!$A$1:$A$9,0))*P463*0.0001),)</f>
        <v>24</v>
      </c>
      <c r="X463" s="217">
        <f>ROUND(AD463+(INDEX(Ref!C$1:C$9,MATCH($AI463,Ref!$A$1:$A$9,0))*$P463*0.0001),)</f>
        <v>32</v>
      </c>
      <c r="Y463" s="217">
        <f>ROUND(AE463+(INDEX(Ref!D$1:D$9,MATCH($AI463,Ref!$A$1:$A$9,0))*$P463*0.0001),)</f>
        <v>60</v>
      </c>
      <c r="Z463" s="217">
        <f>ROUND(AF463+(INDEX(Ref!E$1:E$9,MATCH($AI463,Ref!$A$1:$A$9,0))*$P463*0.0001),)</f>
        <v>53</v>
      </c>
      <c r="AA463" s="217">
        <f>ROUND(AG463+(INDEX(Ref!F$1:F$9,MATCH($AI463,Ref!$A$1:$A$9,0))*$P463*0.0001),)</f>
        <v>29</v>
      </c>
      <c r="AB463" s="217">
        <f>ROUND(AH463+(INDEX(Ref!G$1:G$9,MATCH($AI463,Ref!$A$1:$A$9,0))*$P463*0.0001),)</f>
        <v>26</v>
      </c>
      <c r="AC463" s="137">
        <v>19</v>
      </c>
      <c r="AD463" s="137">
        <v>26</v>
      </c>
      <c r="AE463" s="137">
        <v>52</v>
      </c>
      <c r="AF463" s="137">
        <v>43</v>
      </c>
      <c r="AG463" s="137">
        <v>23</v>
      </c>
      <c r="AH463" s="137">
        <v>21</v>
      </c>
      <c r="AI463" s="208">
        <v>2</v>
      </c>
      <c r="AJ463" s="172">
        <v>3000</v>
      </c>
      <c r="AK463" s="172">
        <f t="shared" si="58"/>
        <v>30554</v>
      </c>
      <c r="AL463" s="172">
        <v>2000</v>
      </c>
      <c r="AM463" s="172">
        <f t="shared" si="59"/>
        <v>30556</v>
      </c>
      <c r="AN463" s="172">
        <v>0</v>
      </c>
      <c r="AO463" s="172">
        <f t="shared" si="66"/>
        <v>34554</v>
      </c>
      <c r="AP463" s="172">
        <v>0</v>
      </c>
      <c r="AQ463" s="172">
        <f t="shared" si="67"/>
        <v>34556</v>
      </c>
      <c r="AR463" s="172">
        <v>1</v>
      </c>
      <c r="AS463" s="172">
        <v>0</v>
      </c>
      <c r="AT463" s="195">
        <f t="shared" si="57"/>
        <v>78093</v>
      </c>
      <c r="AU463" s="195" t="s">
        <v>1031</v>
      </c>
    </row>
    <row r="464" spans="1:47" x14ac:dyDescent="0.2">
      <c r="A464" s="173">
        <f t="shared" si="56"/>
        <v>55093</v>
      </c>
      <c r="B464" s="174" t="s">
        <v>1009</v>
      </c>
      <c r="C464" s="172">
        <v>86093</v>
      </c>
      <c r="D464" s="172">
        <v>150093</v>
      </c>
      <c r="E464" s="206" t="s">
        <v>1020</v>
      </c>
      <c r="F464" s="208">
        <v>2</v>
      </c>
      <c r="G464" s="173">
        <v>11500</v>
      </c>
      <c r="H464" s="173">
        <v>9500</v>
      </c>
      <c r="I464" s="172">
        <v>10000</v>
      </c>
      <c r="J464" s="172">
        <v>3</v>
      </c>
      <c r="K464" s="190">
        <f>IF($J464=1,INDEX('큐펫&amp;몹 정리(최신)'!P:P,MATCH($E464,'큐펫&amp;몹 정리(최신)'!$B:$B,0))*20,IF($J464=2,INDEX('큐펫&amp;몹 정리(최신)'!P:P,MATCH($E464,'큐펫&amp;몹 정리(최신)'!$B:$B,0))*25,IF($J464=3,INDEX('큐펫&amp;몹 정리(최신)'!P:P,MATCH($E464,'큐펫&amp;몹 정리(최신)'!$B:$B,0))*30,IF($J464=4,INDEX('큐펫&amp;몹 정리(최신)'!P:P,MATCH($E464,'큐펫&amp;몹 정리(최신)'!$B:$B,0))*35,INDEX('큐펫&amp;몹 정리(최신)'!P:P,MATCH($E464,'큐펫&amp;몹 정리(최신)'!$B:$B,0))*40))))</f>
        <v>1200</v>
      </c>
      <c r="L464" s="190">
        <f>IF($J464=1,INDEX('큐펫&amp;몹 정리(최신)'!Q:Q,MATCH($E464,'큐펫&amp;몹 정리(최신)'!$B:$B,0))*20,IF($J464=2,INDEX('큐펫&amp;몹 정리(최신)'!Q:Q,MATCH($E464,'큐펫&amp;몹 정리(최신)'!$B:$B,0))*25,IF($J464=3,INDEX('큐펫&amp;몹 정리(최신)'!Q:Q,MATCH($E464,'큐펫&amp;몹 정리(최신)'!$B:$B,0))*30,IF($J464=4,INDEX('큐펫&amp;몹 정리(최신)'!Q:Q,MATCH($E464,'큐펫&amp;몹 정리(최신)'!$B:$B,0))*35,INDEX('큐펫&amp;몹 정리(최신)'!Q:Q,MATCH($E464,'큐펫&amp;몹 정리(최신)'!$B:$B,0))*40))))</f>
        <v>150</v>
      </c>
      <c r="M464" s="190">
        <f>IF($J464=1,INDEX('큐펫&amp;몹 정리(최신)'!R:R,MATCH($E464,'큐펫&amp;몹 정리(최신)'!$B:$B,0))*20,IF($J464=2,INDEX('큐펫&amp;몹 정리(최신)'!R:R,MATCH($E464,'큐펫&amp;몹 정리(최신)'!$B:$B,0))*25,IF($J464=3,INDEX('큐펫&amp;몹 정리(최신)'!R:R,MATCH($E464,'큐펫&amp;몹 정리(최신)'!$B:$B,0))*30,IF($J464=4,INDEX('큐펫&amp;몹 정리(최신)'!R:R,MATCH($E464,'큐펫&amp;몹 정리(최신)'!$B:$B,0))*35,INDEX('큐펫&amp;몹 정리(최신)'!R:R,MATCH($E464,'큐펫&amp;몹 정리(최신)'!$B:$B,0))*40))))</f>
        <v>660</v>
      </c>
      <c r="N464" s="190">
        <f>IF($J464=1,INDEX('큐펫&amp;몹 정리(최신)'!S:S,MATCH($E464,'큐펫&amp;몹 정리(최신)'!$B:$B,0))*20,IF($J464=2,INDEX('큐펫&amp;몹 정리(최신)'!S:S,MATCH($E464,'큐펫&amp;몹 정리(최신)'!$B:$B,0))*25,IF($J464=3,INDEX('큐펫&amp;몹 정리(최신)'!S:S,MATCH($E464,'큐펫&amp;몹 정리(최신)'!$B:$B,0))*30,IF($J464=4,INDEX('큐펫&amp;몹 정리(최신)'!S:S,MATCH($E464,'큐펫&amp;몹 정리(최신)'!$B:$B,0))*35,INDEX('큐펫&amp;몹 정리(최신)'!S:S,MATCH($E464,'큐펫&amp;몹 정리(최신)'!$B:$B,0))*40))))</f>
        <v>360</v>
      </c>
      <c r="O464" s="190">
        <f>IF($J464=1,INDEX('큐펫&amp;몹 정리(최신)'!T:T,MATCH($E464,'큐펫&amp;몹 정리(최신)'!$B:$B,0))*20,IF($J464=2,INDEX('큐펫&amp;몹 정리(최신)'!T:T,MATCH($E464,'큐펫&amp;몹 정리(최신)'!$B:$B,0))*25,IF($J464=3,INDEX('큐펫&amp;몹 정리(최신)'!T:T,MATCH($E464,'큐펫&amp;몹 정리(최신)'!$B:$B,0))*30,IF($J464=4,INDEX('큐펫&amp;몹 정리(최신)'!T:T,MATCH($E464,'큐펫&amp;몹 정리(최신)'!$B:$B,0))*35,INDEX('큐펫&amp;몹 정리(최신)'!T:T,MATCH($E464,'큐펫&amp;몹 정리(최신)'!$B:$B,0))*40))))</f>
        <v>630</v>
      </c>
      <c r="P464" s="217">
        <v>60</v>
      </c>
      <c r="Q464" s="217">
        <f t="shared" si="60"/>
        <v>126960</v>
      </c>
      <c r="R464" s="217">
        <f t="shared" si="61"/>
        <v>1276</v>
      </c>
      <c r="S464" s="217">
        <f t="shared" si="62"/>
        <v>1845</v>
      </c>
      <c r="T464" s="217">
        <f t="shared" si="63"/>
        <v>26363</v>
      </c>
      <c r="U464" s="217">
        <f t="shared" si="64"/>
        <v>23051</v>
      </c>
      <c r="V464" s="217">
        <f t="shared" si="65"/>
        <v>20223</v>
      </c>
      <c r="W464" s="217">
        <f>ROUND(AC464+(INDEX(Ref!B$1:B$9,MATCH($AI464,Ref!$A$1:$A$9,0))*P464*0.0001),)</f>
        <v>28</v>
      </c>
      <c r="X464" s="217">
        <f>ROUND(AD464+(INDEX(Ref!C$1:C$9,MATCH($AI464,Ref!$A$1:$A$9,0))*$P464*0.0001),)</f>
        <v>40</v>
      </c>
      <c r="Y464" s="217">
        <f>ROUND(AE464+(INDEX(Ref!D$1:D$9,MATCH($AI464,Ref!$A$1:$A$9,0))*$P464*0.0001),)</f>
        <v>68</v>
      </c>
      <c r="Z464" s="217">
        <f>ROUND(AF464+(INDEX(Ref!E$1:E$9,MATCH($AI464,Ref!$A$1:$A$9,0))*$P464*0.0001),)</f>
        <v>63</v>
      </c>
      <c r="AA464" s="217">
        <f>ROUND(AG464+(INDEX(Ref!F$1:F$9,MATCH($AI464,Ref!$A$1:$A$9,0))*$P464*0.0001),)</f>
        <v>34</v>
      </c>
      <c r="AB464" s="217">
        <f>ROUND(AH464+(INDEX(Ref!G$1:G$9,MATCH($AI464,Ref!$A$1:$A$9,0))*$P464*0.0001),)</f>
        <v>31</v>
      </c>
      <c r="AC464" s="137">
        <v>21</v>
      </c>
      <c r="AD464" s="137">
        <v>30</v>
      </c>
      <c r="AE464" s="137">
        <v>56</v>
      </c>
      <c r="AF464" s="137">
        <v>48.000000000000007</v>
      </c>
      <c r="AG464" s="137">
        <v>26</v>
      </c>
      <c r="AH464" s="137">
        <v>23</v>
      </c>
      <c r="AI464" s="208">
        <v>2</v>
      </c>
      <c r="AJ464" s="172">
        <v>3000</v>
      </c>
      <c r="AK464" s="172">
        <f t="shared" si="58"/>
        <v>30554</v>
      </c>
      <c r="AL464" s="172">
        <v>2000</v>
      </c>
      <c r="AM464" s="172">
        <f t="shared" si="59"/>
        <v>30557</v>
      </c>
      <c r="AN464" s="172">
        <v>0</v>
      </c>
      <c r="AO464" s="172">
        <f t="shared" si="66"/>
        <v>34554</v>
      </c>
      <c r="AP464" s="172">
        <v>0</v>
      </c>
      <c r="AQ464" s="172">
        <f t="shared" si="67"/>
        <v>34557</v>
      </c>
      <c r="AR464" s="172">
        <v>1</v>
      </c>
      <c r="AS464" s="172">
        <v>0</v>
      </c>
      <c r="AT464" s="195">
        <f t="shared" si="57"/>
        <v>78093</v>
      </c>
      <c r="AU464" s="195" t="s">
        <v>1031</v>
      </c>
    </row>
    <row r="465" spans="1:47" x14ac:dyDescent="0.2">
      <c r="A465" s="173">
        <f t="shared" si="56"/>
        <v>55093</v>
      </c>
      <c r="B465" s="174" t="s">
        <v>1009</v>
      </c>
      <c r="C465" s="172">
        <v>86093</v>
      </c>
      <c r="D465" s="172">
        <v>150093</v>
      </c>
      <c r="E465" s="206" t="s">
        <v>1020</v>
      </c>
      <c r="F465" s="208">
        <v>2</v>
      </c>
      <c r="G465" s="173">
        <v>11500</v>
      </c>
      <c r="H465" s="173">
        <v>9500</v>
      </c>
      <c r="I465" s="172">
        <v>10000</v>
      </c>
      <c r="J465" s="172">
        <v>4</v>
      </c>
      <c r="K465" s="190">
        <f>IF($J465=1,INDEX('큐펫&amp;몹 정리(최신)'!P:P,MATCH($E465,'큐펫&amp;몹 정리(최신)'!$B:$B,0))*20,IF($J465=2,INDEX('큐펫&amp;몹 정리(최신)'!P:P,MATCH($E465,'큐펫&amp;몹 정리(최신)'!$B:$B,0))*25,IF($J465=3,INDEX('큐펫&amp;몹 정리(최신)'!P:P,MATCH($E465,'큐펫&amp;몹 정리(최신)'!$B:$B,0))*30,IF($J465=4,INDEX('큐펫&amp;몹 정리(최신)'!P:P,MATCH($E465,'큐펫&amp;몹 정리(최신)'!$B:$B,0))*35,INDEX('큐펫&amp;몹 정리(최신)'!P:P,MATCH($E465,'큐펫&amp;몹 정리(최신)'!$B:$B,0))*40))))</f>
        <v>1400</v>
      </c>
      <c r="L465" s="190">
        <f>IF($J465=1,INDEX('큐펫&amp;몹 정리(최신)'!Q:Q,MATCH($E465,'큐펫&amp;몹 정리(최신)'!$B:$B,0))*20,IF($J465=2,INDEX('큐펫&amp;몹 정리(최신)'!Q:Q,MATCH($E465,'큐펫&amp;몹 정리(최신)'!$B:$B,0))*25,IF($J465=3,INDEX('큐펫&amp;몹 정리(최신)'!Q:Q,MATCH($E465,'큐펫&amp;몹 정리(최신)'!$B:$B,0))*30,IF($J465=4,INDEX('큐펫&amp;몹 정리(최신)'!Q:Q,MATCH($E465,'큐펫&amp;몹 정리(최신)'!$B:$B,0))*35,INDEX('큐펫&amp;몹 정리(최신)'!Q:Q,MATCH($E465,'큐펫&amp;몹 정리(최신)'!$B:$B,0))*40))))</f>
        <v>175</v>
      </c>
      <c r="M465" s="190">
        <f>IF($J465=1,INDEX('큐펫&amp;몹 정리(최신)'!R:R,MATCH($E465,'큐펫&amp;몹 정리(최신)'!$B:$B,0))*20,IF($J465=2,INDEX('큐펫&amp;몹 정리(최신)'!R:R,MATCH($E465,'큐펫&amp;몹 정리(최신)'!$B:$B,0))*25,IF($J465=3,INDEX('큐펫&amp;몹 정리(최신)'!R:R,MATCH($E465,'큐펫&amp;몹 정리(최신)'!$B:$B,0))*30,IF($J465=4,INDEX('큐펫&amp;몹 정리(최신)'!R:R,MATCH($E465,'큐펫&amp;몹 정리(최신)'!$B:$B,0))*35,INDEX('큐펫&amp;몹 정리(최신)'!R:R,MATCH($E465,'큐펫&amp;몹 정리(최신)'!$B:$B,0))*40))))</f>
        <v>770</v>
      </c>
      <c r="N465" s="190">
        <f>IF($J465=1,INDEX('큐펫&amp;몹 정리(최신)'!S:S,MATCH($E465,'큐펫&amp;몹 정리(최신)'!$B:$B,0))*20,IF($J465=2,INDEX('큐펫&amp;몹 정리(최신)'!S:S,MATCH($E465,'큐펫&amp;몹 정리(최신)'!$B:$B,0))*25,IF($J465=3,INDEX('큐펫&amp;몹 정리(최신)'!S:S,MATCH($E465,'큐펫&amp;몹 정리(최신)'!$B:$B,0))*30,IF($J465=4,INDEX('큐펫&amp;몹 정리(최신)'!S:S,MATCH($E465,'큐펫&amp;몹 정리(최신)'!$B:$B,0))*35,INDEX('큐펫&amp;몹 정리(최신)'!S:S,MATCH($E465,'큐펫&amp;몹 정리(최신)'!$B:$B,0))*40))))</f>
        <v>420</v>
      </c>
      <c r="O465" s="190">
        <f>IF($J465=1,INDEX('큐펫&amp;몹 정리(최신)'!T:T,MATCH($E465,'큐펫&amp;몹 정리(최신)'!$B:$B,0))*20,IF($J465=2,INDEX('큐펫&amp;몹 정리(최신)'!T:T,MATCH($E465,'큐펫&amp;몹 정리(최신)'!$B:$B,0))*25,IF($J465=3,INDEX('큐펫&amp;몹 정리(최신)'!T:T,MATCH($E465,'큐펫&amp;몹 정리(최신)'!$B:$B,0))*30,IF($J465=4,INDEX('큐펫&amp;몹 정리(최신)'!T:T,MATCH($E465,'큐펫&amp;몹 정리(최신)'!$B:$B,0))*35,INDEX('큐펫&amp;몹 정리(최신)'!T:T,MATCH($E465,'큐펫&amp;몹 정리(최신)'!$B:$B,0))*40))))</f>
        <v>735</v>
      </c>
      <c r="P465" s="217">
        <v>80</v>
      </c>
      <c r="Q465" s="217">
        <f t="shared" si="60"/>
        <v>204120</v>
      </c>
      <c r="R465" s="217">
        <f t="shared" si="61"/>
        <v>2147</v>
      </c>
      <c r="S465" s="217">
        <f t="shared" si="62"/>
        <v>2795</v>
      </c>
      <c r="T465" s="217">
        <f t="shared" si="63"/>
        <v>41233</v>
      </c>
      <c r="U465" s="217">
        <f t="shared" si="64"/>
        <v>32772</v>
      </c>
      <c r="V465" s="217">
        <f t="shared" si="65"/>
        <v>28738</v>
      </c>
      <c r="W465" s="217">
        <f>ROUND(AC465+(INDEX(Ref!B$1:B$9,MATCH($AI465,Ref!$A$1:$A$9,0))*P465*0.0001),)</f>
        <v>34</v>
      </c>
      <c r="X465" s="217">
        <f>ROUND(AD465+(INDEX(Ref!C$1:C$9,MATCH($AI465,Ref!$A$1:$A$9,0))*$P465*0.0001),)</f>
        <v>46</v>
      </c>
      <c r="Y465" s="217">
        <f>ROUND(AE465+(INDEX(Ref!D$1:D$9,MATCH($AI465,Ref!$A$1:$A$9,0))*$P465*0.0001),)</f>
        <v>76</v>
      </c>
      <c r="Z465" s="217">
        <f>ROUND(AF465+(INDEX(Ref!E$1:E$9,MATCH($AI465,Ref!$A$1:$A$9,0))*$P465*0.0001),)</f>
        <v>73</v>
      </c>
      <c r="AA465" s="217">
        <f>ROUND(AG465+(INDEX(Ref!F$1:F$9,MATCH($AI465,Ref!$A$1:$A$9,0))*$P465*0.0001),)</f>
        <v>39</v>
      </c>
      <c r="AB465" s="217">
        <f>ROUND(AH465+(INDEX(Ref!G$1:G$9,MATCH($AI465,Ref!$A$1:$A$9,0))*$P465*0.0001),)</f>
        <v>36</v>
      </c>
      <c r="AC465" s="137">
        <v>24</v>
      </c>
      <c r="AD465" s="137">
        <v>33</v>
      </c>
      <c r="AE465" s="137">
        <v>60</v>
      </c>
      <c r="AF465" s="137">
        <v>53</v>
      </c>
      <c r="AG465" s="137">
        <v>28</v>
      </c>
      <c r="AH465" s="137">
        <v>26</v>
      </c>
      <c r="AI465" s="208">
        <v>2</v>
      </c>
      <c r="AJ465" s="172">
        <v>3000</v>
      </c>
      <c r="AK465" s="172">
        <f t="shared" si="58"/>
        <v>30555</v>
      </c>
      <c r="AL465" s="172">
        <v>2000</v>
      </c>
      <c r="AM465" s="172">
        <f t="shared" si="59"/>
        <v>30557</v>
      </c>
      <c r="AN465" s="172">
        <v>0</v>
      </c>
      <c r="AO465" s="172">
        <f t="shared" si="66"/>
        <v>34555</v>
      </c>
      <c r="AP465" s="172">
        <v>0</v>
      </c>
      <c r="AQ465" s="172">
        <f t="shared" si="67"/>
        <v>34557</v>
      </c>
      <c r="AR465" s="172">
        <v>1</v>
      </c>
      <c r="AS465" s="172">
        <v>0</v>
      </c>
      <c r="AT465" s="195">
        <f t="shared" si="57"/>
        <v>78093</v>
      </c>
      <c r="AU465" s="195" t="s">
        <v>1031</v>
      </c>
    </row>
    <row r="466" spans="1:47" x14ac:dyDescent="0.2">
      <c r="A466" s="173">
        <f t="shared" si="56"/>
        <v>55093</v>
      </c>
      <c r="B466" s="174" t="s">
        <v>1009</v>
      </c>
      <c r="C466" s="172">
        <v>86093</v>
      </c>
      <c r="D466" s="172">
        <v>150093</v>
      </c>
      <c r="E466" s="206" t="s">
        <v>1020</v>
      </c>
      <c r="F466" s="208">
        <v>2</v>
      </c>
      <c r="G466" s="173">
        <v>11500</v>
      </c>
      <c r="H466" s="173">
        <v>9500</v>
      </c>
      <c r="I466" s="172">
        <v>10000</v>
      </c>
      <c r="J466" s="172">
        <v>5</v>
      </c>
      <c r="K466" s="190">
        <f>IF($J466=1,INDEX('큐펫&amp;몹 정리(최신)'!P:P,MATCH($E466,'큐펫&amp;몹 정리(최신)'!$B:$B,0))*20,IF($J466=2,INDEX('큐펫&amp;몹 정리(최신)'!P:P,MATCH($E466,'큐펫&amp;몹 정리(최신)'!$B:$B,0))*25,IF($J466=3,INDEX('큐펫&amp;몹 정리(최신)'!P:P,MATCH($E466,'큐펫&amp;몹 정리(최신)'!$B:$B,0))*30,IF($J466=4,INDEX('큐펫&amp;몹 정리(최신)'!P:P,MATCH($E466,'큐펫&amp;몹 정리(최신)'!$B:$B,0))*35,INDEX('큐펫&amp;몹 정리(최신)'!P:P,MATCH($E466,'큐펫&amp;몹 정리(최신)'!$B:$B,0))*40))))</f>
        <v>1600</v>
      </c>
      <c r="L466" s="190">
        <f>IF($J466=1,INDEX('큐펫&amp;몹 정리(최신)'!Q:Q,MATCH($E466,'큐펫&amp;몹 정리(최신)'!$B:$B,0))*20,IF($J466=2,INDEX('큐펫&amp;몹 정리(최신)'!Q:Q,MATCH($E466,'큐펫&amp;몹 정리(최신)'!$B:$B,0))*25,IF($J466=3,INDEX('큐펫&amp;몹 정리(최신)'!Q:Q,MATCH($E466,'큐펫&amp;몹 정리(최신)'!$B:$B,0))*30,IF($J466=4,INDEX('큐펫&amp;몹 정리(최신)'!Q:Q,MATCH($E466,'큐펫&amp;몹 정리(최신)'!$B:$B,0))*35,INDEX('큐펫&amp;몹 정리(최신)'!Q:Q,MATCH($E466,'큐펫&amp;몹 정리(최신)'!$B:$B,0))*40))))</f>
        <v>200</v>
      </c>
      <c r="M466" s="190">
        <f>IF($J466=1,INDEX('큐펫&amp;몹 정리(최신)'!R:R,MATCH($E466,'큐펫&amp;몹 정리(최신)'!$B:$B,0))*20,IF($J466=2,INDEX('큐펫&amp;몹 정리(최신)'!R:R,MATCH($E466,'큐펫&amp;몹 정리(최신)'!$B:$B,0))*25,IF($J466=3,INDEX('큐펫&amp;몹 정리(최신)'!R:R,MATCH($E466,'큐펫&amp;몹 정리(최신)'!$B:$B,0))*30,IF($J466=4,INDEX('큐펫&amp;몹 정리(최신)'!R:R,MATCH($E466,'큐펫&amp;몹 정리(최신)'!$B:$B,0))*35,INDEX('큐펫&amp;몹 정리(최신)'!R:R,MATCH($E466,'큐펫&amp;몹 정리(최신)'!$B:$B,0))*40))))</f>
        <v>880</v>
      </c>
      <c r="N466" s="190">
        <f>IF($J466=1,INDEX('큐펫&amp;몹 정리(최신)'!S:S,MATCH($E466,'큐펫&amp;몹 정리(최신)'!$B:$B,0))*20,IF($J466=2,INDEX('큐펫&amp;몹 정리(최신)'!S:S,MATCH($E466,'큐펫&amp;몹 정리(최신)'!$B:$B,0))*25,IF($J466=3,INDEX('큐펫&amp;몹 정리(최신)'!S:S,MATCH($E466,'큐펫&amp;몹 정리(최신)'!$B:$B,0))*30,IF($J466=4,INDEX('큐펫&amp;몹 정리(최신)'!S:S,MATCH($E466,'큐펫&amp;몹 정리(최신)'!$B:$B,0))*35,INDEX('큐펫&amp;몹 정리(최신)'!S:S,MATCH($E466,'큐펫&amp;몹 정리(최신)'!$B:$B,0))*40))))</f>
        <v>480</v>
      </c>
      <c r="O466" s="190">
        <f>IF($J466=1,INDEX('큐펫&amp;몹 정리(최신)'!T:T,MATCH($E466,'큐펫&amp;몹 정리(최신)'!$B:$B,0))*20,IF($J466=2,INDEX('큐펫&amp;몹 정리(최신)'!T:T,MATCH($E466,'큐펫&amp;몹 정리(최신)'!$B:$B,0))*25,IF($J466=3,INDEX('큐펫&amp;몹 정리(최신)'!T:T,MATCH($E466,'큐펫&amp;몹 정리(최신)'!$B:$B,0))*30,IF($J466=4,INDEX('큐펫&amp;몹 정리(최신)'!T:T,MATCH($E466,'큐펫&amp;몹 정리(최신)'!$B:$B,0))*35,INDEX('큐펫&amp;몹 정리(최신)'!T:T,MATCH($E466,'큐펫&amp;몹 정리(최신)'!$B:$B,0))*40))))</f>
        <v>840</v>
      </c>
      <c r="P466" s="217">
        <v>100</v>
      </c>
      <c r="Q466" s="217">
        <f t="shared" si="60"/>
        <v>302400</v>
      </c>
      <c r="R466" s="217">
        <f t="shared" si="61"/>
        <v>3033</v>
      </c>
      <c r="S466" s="217">
        <f t="shared" si="62"/>
        <v>4207</v>
      </c>
      <c r="T466" s="217">
        <f t="shared" si="63"/>
        <v>60855</v>
      </c>
      <c r="U466" s="217">
        <f t="shared" si="64"/>
        <v>44174</v>
      </c>
      <c r="V466" s="217">
        <f t="shared" si="65"/>
        <v>38723</v>
      </c>
      <c r="W466" s="217">
        <f>ROUND(AC466+(INDEX(Ref!B$1:B$9,MATCH($AI466,Ref!$A$1:$A$9,0))*P466*0.0001),)</f>
        <v>38</v>
      </c>
      <c r="X466" s="217">
        <f>ROUND(AD466+(INDEX(Ref!C$1:C$9,MATCH($AI466,Ref!$A$1:$A$9,0))*$P466*0.0001),)</f>
        <v>52</v>
      </c>
      <c r="Y466" s="217">
        <f>ROUND(AE466+(INDEX(Ref!D$1:D$9,MATCH($AI466,Ref!$A$1:$A$9,0))*$P466*0.0001),)</f>
        <v>84</v>
      </c>
      <c r="Z466" s="217">
        <f>ROUND(AF466+(INDEX(Ref!E$1:E$9,MATCH($AI466,Ref!$A$1:$A$9,0))*$P466*0.0001),)</f>
        <v>83</v>
      </c>
      <c r="AA466" s="217">
        <f>ROUND(AG466+(INDEX(Ref!F$1:F$9,MATCH($AI466,Ref!$A$1:$A$9,0))*$P466*0.0001),)</f>
        <v>45</v>
      </c>
      <c r="AB466" s="217">
        <f>ROUND(AH466+(INDEX(Ref!G$1:G$9,MATCH($AI466,Ref!$A$1:$A$9,0))*$P466*0.0001),)</f>
        <v>42</v>
      </c>
      <c r="AC466" s="137">
        <v>26</v>
      </c>
      <c r="AD466" s="137">
        <v>36</v>
      </c>
      <c r="AE466" s="137">
        <v>64</v>
      </c>
      <c r="AF466" s="137">
        <v>58.000000000000007</v>
      </c>
      <c r="AG466" s="137">
        <v>31</v>
      </c>
      <c r="AH466" s="137">
        <v>29</v>
      </c>
      <c r="AI466" s="208">
        <v>2</v>
      </c>
      <c r="AJ466" s="172">
        <v>3000</v>
      </c>
      <c r="AK466" s="172">
        <f t="shared" si="58"/>
        <v>30555</v>
      </c>
      <c r="AL466" s="172">
        <v>2000</v>
      </c>
      <c r="AM466" s="172">
        <f t="shared" si="59"/>
        <v>30558</v>
      </c>
      <c r="AN466" s="172">
        <v>0</v>
      </c>
      <c r="AO466" s="172">
        <f t="shared" si="66"/>
        <v>34555</v>
      </c>
      <c r="AP466" s="172">
        <v>0</v>
      </c>
      <c r="AQ466" s="172">
        <f t="shared" si="67"/>
        <v>34558</v>
      </c>
      <c r="AR466" s="172">
        <v>1</v>
      </c>
      <c r="AS466" s="172">
        <v>0</v>
      </c>
      <c r="AT466" s="195">
        <f t="shared" si="57"/>
        <v>78093</v>
      </c>
      <c r="AU466" s="195" t="s">
        <v>1031</v>
      </c>
    </row>
    <row r="467" spans="1:47" x14ac:dyDescent="0.2">
      <c r="A467" s="173">
        <f t="shared" si="56"/>
        <v>55094</v>
      </c>
      <c r="B467" s="174" t="s">
        <v>1010</v>
      </c>
      <c r="C467" s="172">
        <v>86094</v>
      </c>
      <c r="D467" s="172">
        <v>150094</v>
      </c>
      <c r="E467" s="206" t="s">
        <v>1021</v>
      </c>
      <c r="F467" s="208">
        <v>2</v>
      </c>
      <c r="G467" s="172">
        <v>10000</v>
      </c>
      <c r="H467" s="172">
        <v>10000</v>
      </c>
      <c r="I467" s="172">
        <v>10000</v>
      </c>
      <c r="J467" s="172">
        <v>1</v>
      </c>
      <c r="K467" s="190">
        <f>IF($J467=1,INDEX('큐펫&amp;몹 정리(최신)'!P:P,MATCH($E467,'큐펫&amp;몹 정리(최신)'!$B:$B,0))*20,IF($J467=2,INDEX('큐펫&amp;몹 정리(최신)'!P:P,MATCH($E467,'큐펫&amp;몹 정리(최신)'!$B:$B,0))*25,IF($J467=3,INDEX('큐펫&amp;몹 정리(최신)'!P:P,MATCH($E467,'큐펫&amp;몹 정리(최신)'!$B:$B,0))*30,IF($J467=4,INDEX('큐펫&amp;몹 정리(최신)'!P:P,MATCH($E467,'큐펫&amp;몹 정리(최신)'!$B:$B,0))*35,INDEX('큐펫&amp;몹 정리(최신)'!P:P,MATCH($E467,'큐펫&amp;몹 정리(최신)'!$B:$B,0))*40))))</f>
        <v>800</v>
      </c>
      <c r="L467" s="190">
        <f>IF($J467=1,INDEX('큐펫&amp;몹 정리(최신)'!Q:Q,MATCH($E467,'큐펫&amp;몹 정리(최신)'!$B:$B,0))*20,IF($J467=2,INDEX('큐펫&amp;몹 정리(최신)'!Q:Q,MATCH($E467,'큐펫&amp;몹 정리(최신)'!$B:$B,0))*25,IF($J467=3,INDEX('큐펫&amp;몹 정리(최신)'!Q:Q,MATCH($E467,'큐펫&amp;몹 정리(최신)'!$B:$B,0))*30,IF($J467=4,INDEX('큐펫&amp;몹 정리(최신)'!Q:Q,MATCH($E467,'큐펫&amp;몹 정리(최신)'!$B:$B,0))*35,INDEX('큐펫&amp;몹 정리(최신)'!Q:Q,MATCH($E467,'큐펫&amp;몹 정리(최신)'!$B:$B,0))*40))))</f>
        <v>100</v>
      </c>
      <c r="M467" s="190">
        <f>IF($J467=1,INDEX('큐펫&amp;몹 정리(최신)'!R:R,MATCH($E467,'큐펫&amp;몹 정리(최신)'!$B:$B,0))*20,IF($J467=2,INDEX('큐펫&amp;몹 정리(최신)'!R:R,MATCH($E467,'큐펫&amp;몹 정리(최신)'!$B:$B,0))*25,IF($J467=3,INDEX('큐펫&amp;몹 정리(최신)'!R:R,MATCH($E467,'큐펫&amp;몹 정리(최신)'!$B:$B,0))*30,IF($J467=4,INDEX('큐펫&amp;몹 정리(최신)'!R:R,MATCH($E467,'큐펫&amp;몹 정리(최신)'!$B:$B,0))*35,INDEX('큐펫&amp;몹 정리(최신)'!R:R,MATCH($E467,'큐펫&amp;몹 정리(최신)'!$B:$B,0))*40))))</f>
        <v>440</v>
      </c>
      <c r="N467" s="190">
        <f>IF($J467=1,INDEX('큐펫&amp;몹 정리(최신)'!S:S,MATCH($E467,'큐펫&amp;몹 정리(최신)'!$B:$B,0))*20,IF($J467=2,INDEX('큐펫&amp;몹 정리(최신)'!S:S,MATCH($E467,'큐펫&amp;몹 정리(최신)'!$B:$B,0))*25,IF($J467=3,INDEX('큐펫&amp;몹 정리(최신)'!S:S,MATCH($E467,'큐펫&amp;몹 정리(최신)'!$B:$B,0))*30,IF($J467=4,INDEX('큐펫&amp;몹 정리(최신)'!S:S,MATCH($E467,'큐펫&amp;몹 정리(최신)'!$B:$B,0))*35,INDEX('큐펫&amp;몹 정리(최신)'!S:S,MATCH($E467,'큐펫&amp;몹 정리(최신)'!$B:$B,0))*40))))</f>
        <v>240</v>
      </c>
      <c r="O467" s="190">
        <f>IF($J467=1,INDEX('큐펫&amp;몹 정리(최신)'!T:T,MATCH($E467,'큐펫&amp;몹 정리(최신)'!$B:$B,0))*20,IF($J467=2,INDEX('큐펫&amp;몹 정리(최신)'!T:T,MATCH($E467,'큐펫&amp;몹 정리(최신)'!$B:$B,0))*25,IF($J467=3,INDEX('큐펫&amp;몹 정리(최신)'!T:T,MATCH($E467,'큐펫&amp;몹 정리(최신)'!$B:$B,0))*30,IF($J467=4,INDEX('큐펫&amp;몹 정리(최신)'!T:T,MATCH($E467,'큐펫&amp;몹 정리(최신)'!$B:$B,0))*35,INDEX('큐펫&amp;몹 정리(최신)'!T:T,MATCH($E467,'큐펫&amp;몹 정리(최신)'!$B:$B,0))*40))))</f>
        <v>420</v>
      </c>
      <c r="P467" s="217">
        <v>20</v>
      </c>
      <c r="Q467" s="217">
        <f t="shared" si="60"/>
        <v>29440</v>
      </c>
      <c r="R467" s="217">
        <f t="shared" si="61"/>
        <v>695</v>
      </c>
      <c r="S467" s="217">
        <f t="shared" si="62"/>
        <v>860</v>
      </c>
      <c r="T467" s="217">
        <f t="shared" si="63"/>
        <v>4587</v>
      </c>
      <c r="U467" s="217">
        <f t="shared" si="64"/>
        <v>9488</v>
      </c>
      <c r="V467" s="217">
        <f t="shared" si="65"/>
        <v>8327</v>
      </c>
      <c r="W467" s="217">
        <f>ROUND(AC467+(INDEX(Ref!B$1:B$9,MATCH($AI467,Ref!$A$1:$A$9,0))*P467*0.0001),)</f>
        <v>25</v>
      </c>
      <c r="X467" s="217">
        <f>ROUND(AD467+(INDEX(Ref!C$1:C$9,MATCH($AI467,Ref!$A$1:$A$9,0))*$P467*0.0001),)</f>
        <v>21</v>
      </c>
      <c r="Y467" s="217">
        <f>ROUND(AE467+(INDEX(Ref!D$1:D$9,MATCH($AI467,Ref!$A$1:$A$9,0))*$P467*0.0001),)</f>
        <v>59</v>
      </c>
      <c r="Z467" s="217">
        <f>ROUND(AF467+(INDEX(Ref!E$1:E$9,MATCH($AI467,Ref!$A$1:$A$9,0))*$P467*0.0001),)</f>
        <v>32</v>
      </c>
      <c r="AA467" s="217">
        <f>ROUND(AG467+(INDEX(Ref!F$1:F$9,MATCH($AI467,Ref!$A$1:$A$9,0))*$P467*0.0001),)</f>
        <v>28</v>
      </c>
      <c r="AB467" s="217">
        <f>ROUND(AH467+(INDEX(Ref!G$1:G$9,MATCH($AI467,Ref!$A$1:$A$9,0))*$P467*0.0001),)</f>
        <v>19</v>
      </c>
      <c r="AC467" s="137">
        <v>22</v>
      </c>
      <c r="AD467" s="137">
        <v>18</v>
      </c>
      <c r="AE467" s="137">
        <v>54</v>
      </c>
      <c r="AF467" s="137">
        <v>28</v>
      </c>
      <c r="AG467" s="137">
        <v>25</v>
      </c>
      <c r="AH467" s="137">
        <v>17</v>
      </c>
      <c r="AI467" s="208">
        <v>4</v>
      </c>
      <c r="AJ467" s="172">
        <v>3000</v>
      </c>
      <c r="AK467" s="172">
        <f t="shared" si="58"/>
        <v>30559</v>
      </c>
      <c r="AL467" s="172">
        <v>2000</v>
      </c>
      <c r="AM467" s="172">
        <f t="shared" si="59"/>
        <v>30562</v>
      </c>
      <c r="AN467" s="172">
        <v>0</v>
      </c>
      <c r="AO467" s="172">
        <f t="shared" si="66"/>
        <v>34559</v>
      </c>
      <c r="AP467" s="172">
        <v>0</v>
      </c>
      <c r="AQ467" s="172">
        <f t="shared" si="67"/>
        <v>34562</v>
      </c>
      <c r="AR467" s="172">
        <v>1</v>
      </c>
      <c r="AS467" s="172">
        <v>0</v>
      </c>
      <c r="AT467" s="195">
        <f t="shared" si="57"/>
        <v>78094</v>
      </c>
      <c r="AU467" s="195" t="s">
        <v>1032</v>
      </c>
    </row>
    <row r="468" spans="1:47" x14ac:dyDescent="0.2">
      <c r="A468" s="173">
        <f t="shared" si="56"/>
        <v>55094</v>
      </c>
      <c r="B468" s="174" t="s">
        <v>1010</v>
      </c>
      <c r="C468" s="172">
        <v>86094</v>
      </c>
      <c r="D468" s="172">
        <v>150094</v>
      </c>
      <c r="E468" s="206" t="s">
        <v>1021</v>
      </c>
      <c r="F468" s="208">
        <v>2</v>
      </c>
      <c r="G468" s="172">
        <v>10000</v>
      </c>
      <c r="H468" s="172">
        <v>10000</v>
      </c>
      <c r="I468" s="172">
        <v>10000</v>
      </c>
      <c r="J468" s="172">
        <v>2</v>
      </c>
      <c r="K468" s="190">
        <f>IF($J468=1,INDEX('큐펫&amp;몹 정리(최신)'!P:P,MATCH($E468,'큐펫&amp;몹 정리(최신)'!$B:$B,0))*20,IF($J468=2,INDEX('큐펫&amp;몹 정리(최신)'!P:P,MATCH($E468,'큐펫&amp;몹 정리(최신)'!$B:$B,0))*25,IF($J468=3,INDEX('큐펫&amp;몹 정리(최신)'!P:P,MATCH($E468,'큐펫&amp;몹 정리(최신)'!$B:$B,0))*30,IF($J468=4,INDEX('큐펫&amp;몹 정리(최신)'!P:P,MATCH($E468,'큐펫&amp;몹 정리(최신)'!$B:$B,0))*35,INDEX('큐펫&amp;몹 정리(최신)'!P:P,MATCH($E468,'큐펫&amp;몹 정리(최신)'!$B:$B,0))*40))))</f>
        <v>1000</v>
      </c>
      <c r="L468" s="190">
        <f>IF($J468=1,INDEX('큐펫&amp;몹 정리(최신)'!Q:Q,MATCH($E468,'큐펫&amp;몹 정리(최신)'!$B:$B,0))*20,IF($J468=2,INDEX('큐펫&amp;몹 정리(최신)'!Q:Q,MATCH($E468,'큐펫&amp;몹 정리(최신)'!$B:$B,0))*25,IF($J468=3,INDEX('큐펫&amp;몹 정리(최신)'!Q:Q,MATCH($E468,'큐펫&amp;몹 정리(최신)'!$B:$B,0))*30,IF($J468=4,INDEX('큐펫&amp;몹 정리(최신)'!Q:Q,MATCH($E468,'큐펫&amp;몹 정리(최신)'!$B:$B,0))*35,INDEX('큐펫&amp;몹 정리(최신)'!Q:Q,MATCH($E468,'큐펫&amp;몹 정리(최신)'!$B:$B,0))*40))))</f>
        <v>125</v>
      </c>
      <c r="M468" s="190">
        <f>IF($J468=1,INDEX('큐펫&amp;몹 정리(최신)'!R:R,MATCH($E468,'큐펫&amp;몹 정리(최신)'!$B:$B,0))*20,IF($J468=2,INDEX('큐펫&amp;몹 정리(최신)'!R:R,MATCH($E468,'큐펫&amp;몹 정리(최신)'!$B:$B,0))*25,IF($J468=3,INDEX('큐펫&amp;몹 정리(최신)'!R:R,MATCH($E468,'큐펫&amp;몹 정리(최신)'!$B:$B,0))*30,IF($J468=4,INDEX('큐펫&amp;몹 정리(최신)'!R:R,MATCH($E468,'큐펫&amp;몹 정리(최신)'!$B:$B,0))*35,INDEX('큐펫&amp;몹 정리(최신)'!R:R,MATCH($E468,'큐펫&amp;몹 정리(최신)'!$B:$B,0))*40))))</f>
        <v>550</v>
      </c>
      <c r="N468" s="190">
        <f>IF($J468=1,INDEX('큐펫&amp;몹 정리(최신)'!S:S,MATCH($E468,'큐펫&amp;몹 정리(최신)'!$B:$B,0))*20,IF($J468=2,INDEX('큐펫&amp;몹 정리(최신)'!S:S,MATCH($E468,'큐펫&amp;몹 정리(최신)'!$B:$B,0))*25,IF($J468=3,INDEX('큐펫&amp;몹 정리(최신)'!S:S,MATCH($E468,'큐펫&amp;몹 정리(최신)'!$B:$B,0))*30,IF($J468=4,INDEX('큐펫&amp;몹 정리(최신)'!S:S,MATCH($E468,'큐펫&amp;몹 정리(최신)'!$B:$B,0))*35,INDEX('큐펫&amp;몹 정리(최신)'!S:S,MATCH($E468,'큐펫&amp;몹 정리(최신)'!$B:$B,0))*40))))</f>
        <v>300</v>
      </c>
      <c r="O468" s="190">
        <f>IF($J468=1,INDEX('큐펫&amp;몹 정리(최신)'!T:T,MATCH($E468,'큐펫&amp;몹 정리(최신)'!$B:$B,0))*20,IF($J468=2,INDEX('큐펫&amp;몹 정리(최신)'!T:T,MATCH($E468,'큐펫&amp;몹 정리(최신)'!$B:$B,0))*25,IF($J468=3,INDEX('큐펫&amp;몹 정리(최신)'!T:T,MATCH($E468,'큐펫&amp;몹 정리(최신)'!$B:$B,0))*30,IF($J468=4,INDEX('큐펫&amp;몹 정리(최신)'!T:T,MATCH($E468,'큐펫&amp;몹 정리(최신)'!$B:$B,0))*35,INDEX('큐펫&amp;몹 정리(최신)'!T:T,MATCH($E468,'큐펫&amp;몹 정리(최신)'!$B:$B,0))*40))))</f>
        <v>525</v>
      </c>
      <c r="P468" s="217">
        <v>40</v>
      </c>
      <c r="Q468" s="217">
        <f t="shared" si="60"/>
        <v>72600</v>
      </c>
      <c r="R468" s="217">
        <f t="shared" si="61"/>
        <v>1296</v>
      </c>
      <c r="S468" s="217">
        <f t="shared" si="62"/>
        <v>1633</v>
      </c>
      <c r="T468" s="217">
        <f t="shared" si="63"/>
        <v>8910</v>
      </c>
      <c r="U468" s="217">
        <f t="shared" si="64"/>
        <v>16359</v>
      </c>
      <c r="V468" s="217">
        <f t="shared" si="65"/>
        <v>14346</v>
      </c>
      <c r="W468" s="217">
        <f>ROUND(AC468+(INDEX(Ref!B$1:B$9,MATCH($AI468,Ref!$A$1:$A$9,0))*P468*0.0001),)</f>
        <v>31</v>
      </c>
      <c r="X468" s="217">
        <f>ROUND(AD468+(INDEX(Ref!C$1:C$9,MATCH($AI468,Ref!$A$1:$A$9,0))*$P468*0.0001),)</f>
        <v>26</v>
      </c>
      <c r="Y468" s="217">
        <f>ROUND(AE468+(INDEX(Ref!D$1:D$9,MATCH($AI468,Ref!$A$1:$A$9,0))*$P468*0.0001),)</f>
        <v>69</v>
      </c>
      <c r="Z468" s="217">
        <f>ROUND(AF468+(INDEX(Ref!E$1:E$9,MATCH($AI468,Ref!$A$1:$A$9,0))*$P468*0.0001),)</f>
        <v>40</v>
      </c>
      <c r="AA468" s="217">
        <f>ROUND(AG468+(INDEX(Ref!F$1:F$9,MATCH($AI468,Ref!$A$1:$A$9,0))*$P468*0.0001),)</f>
        <v>35</v>
      </c>
      <c r="AB468" s="217">
        <f>ROUND(AH468+(INDEX(Ref!G$1:G$9,MATCH($AI468,Ref!$A$1:$A$9,0))*$P468*0.0001),)</f>
        <v>24</v>
      </c>
      <c r="AC468" s="137">
        <v>25</v>
      </c>
      <c r="AD468" s="137">
        <v>21</v>
      </c>
      <c r="AE468" s="137">
        <v>59</v>
      </c>
      <c r="AF468" s="137">
        <v>32</v>
      </c>
      <c r="AG468" s="137">
        <v>28</v>
      </c>
      <c r="AH468" s="137">
        <v>19</v>
      </c>
      <c r="AI468" s="208">
        <v>4</v>
      </c>
      <c r="AJ468" s="172">
        <v>3000</v>
      </c>
      <c r="AK468" s="172">
        <f t="shared" si="58"/>
        <v>30560</v>
      </c>
      <c r="AL468" s="172">
        <v>2000</v>
      </c>
      <c r="AM468" s="172">
        <f t="shared" si="59"/>
        <v>30562</v>
      </c>
      <c r="AN468" s="172">
        <v>0</v>
      </c>
      <c r="AO468" s="172">
        <f t="shared" si="66"/>
        <v>34560</v>
      </c>
      <c r="AP468" s="172">
        <v>0</v>
      </c>
      <c r="AQ468" s="172">
        <f t="shared" si="67"/>
        <v>34562</v>
      </c>
      <c r="AR468" s="172">
        <v>1</v>
      </c>
      <c r="AS468" s="172">
        <v>0</v>
      </c>
      <c r="AT468" s="195">
        <f t="shared" si="57"/>
        <v>78094</v>
      </c>
      <c r="AU468" s="195" t="s">
        <v>1032</v>
      </c>
    </row>
    <row r="469" spans="1:47" x14ac:dyDescent="0.2">
      <c r="A469" s="173">
        <f t="shared" si="56"/>
        <v>55094</v>
      </c>
      <c r="B469" s="174" t="s">
        <v>1010</v>
      </c>
      <c r="C469" s="172">
        <v>86094</v>
      </c>
      <c r="D469" s="172">
        <v>150094</v>
      </c>
      <c r="E469" s="206" t="s">
        <v>1021</v>
      </c>
      <c r="F469" s="208">
        <v>2</v>
      </c>
      <c r="G469" s="172">
        <v>10000</v>
      </c>
      <c r="H469" s="172">
        <v>10000</v>
      </c>
      <c r="I469" s="172">
        <v>10000</v>
      </c>
      <c r="J469" s="172">
        <v>3</v>
      </c>
      <c r="K469" s="190">
        <f>IF($J469=1,INDEX('큐펫&amp;몹 정리(최신)'!P:P,MATCH($E469,'큐펫&amp;몹 정리(최신)'!$B:$B,0))*20,IF($J469=2,INDEX('큐펫&amp;몹 정리(최신)'!P:P,MATCH($E469,'큐펫&amp;몹 정리(최신)'!$B:$B,0))*25,IF($J469=3,INDEX('큐펫&amp;몹 정리(최신)'!P:P,MATCH($E469,'큐펫&amp;몹 정리(최신)'!$B:$B,0))*30,IF($J469=4,INDEX('큐펫&amp;몹 정리(최신)'!P:P,MATCH($E469,'큐펫&amp;몹 정리(최신)'!$B:$B,0))*35,INDEX('큐펫&amp;몹 정리(최신)'!P:P,MATCH($E469,'큐펫&amp;몹 정리(최신)'!$B:$B,0))*40))))</f>
        <v>1200</v>
      </c>
      <c r="L469" s="190">
        <f>IF($J469=1,INDEX('큐펫&amp;몹 정리(최신)'!Q:Q,MATCH($E469,'큐펫&amp;몹 정리(최신)'!$B:$B,0))*20,IF($J469=2,INDEX('큐펫&amp;몹 정리(최신)'!Q:Q,MATCH($E469,'큐펫&amp;몹 정리(최신)'!$B:$B,0))*25,IF($J469=3,INDEX('큐펫&amp;몹 정리(최신)'!Q:Q,MATCH($E469,'큐펫&amp;몹 정리(최신)'!$B:$B,0))*30,IF($J469=4,INDEX('큐펫&amp;몹 정리(최신)'!Q:Q,MATCH($E469,'큐펫&amp;몹 정리(최신)'!$B:$B,0))*35,INDEX('큐펫&amp;몹 정리(최신)'!Q:Q,MATCH($E469,'큐펫&amp;몹 정리(최신)'!$B:$B,0))*40))))</f>
        <v>150</v>
      </c>
      <c r="M469" s="190">
        <f>IF($J469=1,INDEX('큐펫&amp;몹 정리(최신)'!R:R,MATCH($E469,'큐펫&amp;몹 정리(최신)'!$B:$B,0))*20,IF($J469=2,INDEX('큐펫&amp;몹 정리(최신)'!R:R,MATCH($E469,'큐펫&amp;몹 정리(최신)'!$B:$B,0))*25,IF($J469=3,INDEX('큐펫&amp;몹 정리(최신)'!R:R,MATCH($E469,'큐펫&amp;몹 정리(최신)'!$B:$B,0))*30,IF($J469=4,INDEX('큐펫&amp;몹 정리(최신)'!R:R,MATCH($E469,'큐펫&amp;몹 정리(최신)'!$B:$B,0))*35,INDEX('큐펫&amp;몹 정리(최신)'!R:R,MATCH($E469,'큐펫&amp;몹 정리(최신)'!$B:$B,0))*40))))</f>
        <v>660</v>
      </c>
      <c r="N469" s="190">
        <f>IF($J469=1,INDEX('큐펫&amp;몹 정리(최신)'!S:S,MATCH($E469,'큐펫&amp;몹 정리(최신)'!$B:$B,0))*20,IF($J469=2,INDEX('큐펫&amp;몹 정리(최신)'!S:S,MATCH($E469,'큐펫&amp;몹 정리(최신)'!$B:$B,0))*25,IF($J469=3,INDEX('큐펫&amp;몹 정리(최신)'!S:S,MATCH($E469,'큐펫&amp;몹 정리(최신)'!$B:$B,0))*30,IF($J469=4,INDEX('큐펫&amp;몹 정리(최신)'!S:S,MATCH($E469,'큐펫&amp;몹 정리(최신)'!$B:$B,0))*35,INDEX('큐펫&amp;몹 정리(최신)'!S:S,MATCH($E469,'큐펫&amp;몹 정리(최신)'!$B:$B,0))*40))))</f>
        <v>360</v>
      </c>
      <c r="O469" s="190">
        <f>IF($J469=1,INDEX('큐펫&amp;몹 정리(최신)'!T:T,MATCH($E469,'큐펫&amp;몹 정리(최신)'!$B:$B,0))*20,IF($J469=2,INDEX('큐펫&amp;몹 정리(최신)'!T:T,MATCH($E469,'큐펫&amp;몹 정리(최신)'!$B:$B,0))*25,IF($J469=3,INDEX('큐펫&amp;몹 정리(최신)'!T:T,MATCH($E469,'큐펫&amp;몹 정리(최신)'!$B:$B,0))*30,IF($J469=4,INDEX('큐펫&amp;몹 정리(최신)'!T:T,MATCH($E469,'큐펫&amp;몹 정리(최신)'!$B:$B,0))*35,INDEX('큐펫&amp;몹 정리(최신)'!T:T,MATCH($E469,'큐펫&amp;몹 정리(최신)'!$B:$B,0))*40))))</f>
        <v>630</v>
      </c>
      <c r="P469" s="217">
        <v>60</v>
      </c>
      <c r="Q469" s="217">
        <f t="shared" si="60"/>
        <v>134160</v>
      </c>
      <c r="R469" s="217">
        <f t="shared" si="61"/>
        <v>2062</v>
      </c>
      <c r="S469" s="217">
        <f t="shared" si="62"/>
        <v>2774</v>
      </c>
      <c r="T469" s="217">
        <f t="shared" si="63"/>
        <v>15344</v>
      </c>
      <c r="U469" s="217">
        <f t="shared" si="64"/>
        <v>24852</v>
      </c>
      <c r="V469" s="217">
        <f t="shared" si="65"/>
        <v>21783</v>
      </c>
      <c r="W469" s="217">
        <f>ROUND(AC469+(INDEX(Ref!B$1:B$9,MATCH($AI469,Ref!$A$1:$A$9,0))*P469*0.0001),)</f>
        <v>36</v>
      </c>
      <c r="X469" s="217">
        <f>ROUND(AD469+(INDEX(Ref!C$1:C$9,MATCH($AI469,Ref!$A$1:$A$9,0))*$P469*0.0001),)</f>
        <v>31</v>
      </c>
      <c r="Y469" s="217">
        <f>ROUND(AE469+(INDEX(Ref!D$1:D$9,MATCH($AI469,Ref!$A$1:$A$9,0))*$P469*0.0001),)</f>
        <v>78</v>
      </c>
      <c r="Z469" s="217">
        <f>ROUND(AF469+(INDEX(Ref!E$1:E$9,MATCH($AI469,Ref!$A$1:$A$9,0))*$P469*0.0001),)</f>
        <v>48</v>
      </c>
      <c r="AA469" s="217">
        <f>ROUND(AG469+(INDEX(Ref!F$1:F$9,MATCH($AI469,Ref!$A$1:$A$9,0))*$P469*0.0001),)</f>
        <v>42</v>
      </c>
      <c r="AB469" s="217">
        <f>ROUND(AH469+(INDEX(Ref!G$1:G$9,MATCH($AI469,Ref!$A$1:$A$9,0))*$P469*0.0001),)</f>
        <v>28</v>
      </c>
      <c r="AC469" s="137">
        <v>27</v>
      </c>
      <c r="AD469" s="137">
        <v>23</v>
      </c>
      <c r="AE469" s="137">
        <v>64</v>
      </c>
      <c r="AF469" s="137">
        <v>37</v>
      </c>
      <c r="AG469" s="137">
        <v>32</v>
      </c>
      <c r="AH469" s="137">
        <v>21</v>
      </c>
      <c r="AI469" s="208">
        <v>4</v>
      </c>
      <c r="AJ469" s="172">
        <v>3000</v>
      </c>
      <c r="AK469" s="172">
        <f t="shared" si="58"/>
        <v>30560</v>
      </c>
      <c r="AL469" s="172">
        <v>2000</v>
      </c>
      <c r="AM469" s="172">
        <f t="shared" si="59"/>
        <v>30563</v>
      </c>
      <c r="AN469" s="172">
        <v>0</v>
      </c>
      <c r="AO469" s="172">
        <f t="shared" si="66"/>
        <v>34560</v>
      </c>
      <c r="AP469" s="172">
        <v>0</v>
      </c>
      <c r="AQ469" s="172">
        <f t="shared" si="67"/>
        <v>34563</v>
      </c>
      <c r="AR469" s="172">
        <v>1</v>
      </c>
      <c r="AS469" s="172">
        <v>0</v>
      </c>
      <c r="AT469" s="195">
        <f t="shared" si="57"/>
        <v>78094</v>
      </c>
      <c r="AU469" s="195" t="s">
        <v>1032</v>
      </c>
    </row>
    <row r="470" spans="1:47" x14ac:dyDescent="0.2">
      <c r="A470" s="173">
        <f t="shared" si="56"/>
        <v>55094</v>
      </c>
      <c r="B470" s="174" t="s">
        <v>1010</v>
      </c>
      <c r="C470" s="172">
        <v>86094</v>
      </c>
      <c r="D470" s="172">
        <v>150094</v>
      </c>
      <c r="E470" s="206" t="s">
        <v>1021</v>
      </c>
      <c r="F470" s="208">
        <v>2</v>
      </c>
      <c r="G470" s="172">
        <v>10000</v>
      </c>
      <c r="H470" s="172">
        <v>10000</v>
      </c>
      <c r="I470" s="172">
        <v>10000</v>
      </c>
      <c r="J470" s="172">
        <v>4</v>
      </c>
      <c r="K470" s="190">
        <f>IF($J470=1,INDEX('큐펫&amp;몹 정리(최신)'!P:P,MATCH($E470,'큐펫&amp;몹 정리(최신)'!$B:$B,0))*20,IF($J470=2,INDEX('큐펫&amp;몹 정리(최신)'!P:P,MATCH($E470,'큐펫&amp;몹 정리(최신)'!$B:$B,0))*25,IF($J470=3,INDEX('큐펫&amp;몹 정리(최신)'!P:P,MATCH($E470,'큐펫&amp;몹 정리(최신)'!$B:$B,0))*30,IF($J470=4,INDEX('큐펫&amp;몹 정리(최신)'!P:P,MATCH($E470,'큐펫&amp;몹 정리(최신)'!$B:$B,0))*35,INDEX('큐펫&amp;몹 정리(최신)'!P:P,MATCH($E470,'큐펫&amp;몹 정리(최신)'!$B:$B,0))*40))))</f>
        <v>1400</v>
      </c>
      <c r="L470" s="190">
        <f>IF($J470=1,INDEX('큐펫&amp;몹 정리(최신)'!Q:Q,MATCH($E470,'큐펫&amp;몹 정리(최신)'!$B:$B,0))*20,IF($J470=2,INDEX('큐펫&amp;몹 정리(최신)'!Q:Q,MATCH($E470,'큐펫&amp;몹 정리(최신)'!$B:$B,0))*25,IF($J470=3,INDEX('큐펫&amp;몹 정리(최신)'!Q:Q,MATCH($E470,'큐펫&amp;몹 정리(최신)'!$B:$B,0))*30,IF($J470=4,INDEX('큐펫&amp;몹 정리(최신)'!Q:Q,MATCH($E470,'큐펫&amp;몹 정리(최신)'!$B:$B,0))*35,INDEX('큐펫&amp;몹 정리(최신)'!Q:Q,MATCH($E470,'큐펫&amp;몹 정리(최신)'!$B:$B,0))*40))))</f>
        <v>175</v>
      </c>
      <c r="M470" s="190">
        <f>IF($J470=1,INDEX('큐펫&amp;몹 정리(최신)'!R:R,MATCH($E470,'큐펫&amp;몹 정리(최신)'!$B:$B,0))*20,IF($J470=2,INDEX('큐펫&amp;몹 정리(최신)'!R:R,MATCH($E470,'큐펫&amp;몹 정리(최신)'!$B:$B,0))*25,IF($J470=3,INDEX('큐펫&amp;몹 정리(최신)'!R:R,MATCH($E470,'큐펫&amp;몹 정리(최신)'!$B:$B,0))*30,IF($J470=4,INDEX('큐펫&amp;몹 정리(최신)'!R:R,MATCH($E470,'큐펫&amp;몹 정리(최신)'!$B:$B,0))*35,INDEX('큐펫&amp;몹 정리(최신)'!R:R,MATCH($E470,'큐펫&amp;몹 정리(최신)'!$B:$B,0))*40))))</f>
        <v>770</v>
      </c>
      <c r="N470" s="190">
        <f>IF($J470=1,INDEX('큐펫&amp;몹 정리(최신)'!S:S,MATCH($E470,'큐펫&amp;몹 정리(최신)'!$B:$B,0))*20,IF($J470=2,INDEX('큐펫&amp;몹 정리(최신)'!S:S,MATCH($E470,'큐펫&amp;몹 정리(최신)'!$B:$B,0))*25,IF($J470=3,INDEX('큐펫&amp;몹 정리(최신)'!S:S,MATCH($E470,'큐펫&amp;몹 정리(최신)'!$B:$B,0))*30,IF($J470=4,INDEX('큐펫&amp;몹 정리(최신)'!S:S,MATCH($E470,'큐펫&amp;몹 정리(최신)'!$B:$B,0))*35,INDEX('큐펫&amp;몹 정리(최신)'!S:S,MATCH($E470,'큐펫&amp;몹 정리(최신)'!$B:$B,0))*40))))</f>
        <v>420</v>
      </c>
      <c r="O470" s="190">
        <f>IF($J470=1,INDEX('큐펫&amp;몹 정리(최신)'!T:T,MATCH($E470,'큐펫&amp;몹 정리(최신)'!$B:$B,0))*20,IF($J470=2,INDEX('큐펫&amp;몹 정리(최신)'!T:T,MATCH($E470,'큐펫&amp;몹 정리(최신)'!$B:$B,0))*25,IF($J470=3,INDEX('큐펫&amp;몹 정리(최신)'!T:T,MATCH($E470,'큐펫&amp;몹 정리(최신)'!$B:$B,0))*30,IF($J470=4,INDEX('큐펫&amp;몹 정리(최신)'!T:T,MATCH($E470,'큐펫&amp;몹 정리(최신)'!$B:$B,0))*35,INDEX('큐펫&amp;몹 정리(최신)'!T:T,MATCH($E470,'큐펫&amp;몹 정리(최신)'!$B:$B,0))*40))))</f>
        <v>735</v>
      </c>
      <c r="P470" s="217">
        <v>80</v>
      </c>
      <c r="Q470" s="217">
        <f t="shared" si="60"/>
        <v>217560</v>
      </c>
      <c r="R470" s="217">
        <f t="shared" si="61"/>
        <v>3380</v>
      </c>
      <c r="S470" s="217">
        <f t="shared" si="62"/>
        <v>4357</v>
      </c>
      <c r="T470" s="217">
        <f t="shared" si="63"/>
        <v>22615</v>
      </c>
      <c r="U470" s="217">
        <f t="shared" si="64"/>
        <v>35293</v>
      </c>
      <c r="V470" s="217">
        <f t="shared" si="65"/>
        <v>30924</v>
      </c>
      <c r="W470" s="217">
        <f>ROUND(AC470+(INDEX(Ref!B$1:B$9,MATCH($AI470,Ref!$A$1:$A$9,0))*P470*0.0001),)</f>
        <v>43</v>
      </c>
      <c r="X470" s="217">
        <f>ROUND(AD470+(INDEX(Ref!C$1:C$9,MATCH($AI470,Ref!$A$1:$A$9,0))*$P470*0.0001),)</f>
        <v>36</v>
      </c>
      <c r="Y470" s="217">
        <f>ROUND(AE470+(INDEX(Ref!D$1:D$9,MATCH($AI470,Ref!$A$1:$A$9,0))*$P470*0.0001),)</f>
        <v>88</v>
      </c>
      <c r="Z470" s="217">
        <f>ROUND(AF470+(INDEX(Ref!E$1:E$9,MATCH($AI470,Ref!$A$1:$A$9,0))*$P470*0.0001),)</f>
        <v>54</v>
      </c>
      <c r="AA470" s="217">
        <f>ROUND(AG470+(INDEX(Ref!F$1:F$9,MATCH($AI470,Ref!$A$1:$A$9,0))*$P470*0.0001),)</f>
        <v>49</v>
      </c>
      <c r="AB470" s="217">
        <f>ROUND(AH470+(INDEX(Ref!G$1:G$9,MATCH($AI470,Ref!$A$1:$A$9,0))*$P470*0.0001),)</f>
        <v>34</v>
      </c>
      <c r="AC470" s="137">
        <v>31</v>
      </c>
      <c r="AD470" s="137">
        <v>26</v>
      </c>
      <c r="AE470" s="137">
        <v>69</v>
      </c>
      <c r="AF470" s="137">
        <v>39</v>
      </c>
      <c r="AG470" s="137">
        <v>35</v>
      </c>
      <c r="AH470" s="137">
        <v>24</v>
      </c>
      <c r="AI470" s="208">
        <v>4</v>
      </c>
      <c r="AJ470" s="172">
        <v>3000</v>
      </c>
      <c r="AK470" s="172">
        <f t="shared" si="58"/>
        <v>30561</v>
      </c>
      <c r="AL470" s="172">
        <v>2000</v>
      </c>
      <c r="AM470" s="172">
        <f t="shared" si="59"/>
        <v>30563</v>
      </c>
      <c r="AN470" s="172">
        <v>0</v>
      </c>
      <c r="AO470" s="172">
        <f t="shared" si="66"/>
        <v>34561</v>
      </c>
      <c r="AP470" s="172">
        <v>0</v>
      </c>
      <c r="AQ470" s="172">
        <f t="shared" si="67"/>
        <v>34563</v>
      </c>
      <c r="AR470" s="172">
        <v>1</v>
      </c>
      <c r="AS470" s="172">
        <v>0</v>
      </c>
      <c r="AT470" s="195">
        <f t="shared" si="57"/>
        <v>78094</v>
      </c>
      <c r="AU470" s="195" t="s">
        <v>1032</v>
      </c>
    </row>
    <row r="471" spans="1:47" x14ac:dyDescent="0.2">
      <c r="A471" s="173">
        <f t="shared" si="56"/>
        <v>55094</v>
      </c>
      <c r="B471" s="174" t="s">
        <v>1010</v>
      </c>
      <c r="C471" s="172">
        <v>86094</v>
      </c>
      <c r="D471" s="172">
        <v>150094</v>
      </c>
      <c r="E471" s="206" t="s">
        <v>1021</v>
      </c>
      <c r="F471" s="208">
        <v>2</v>
      </c>
      <c r="G471" s="172">
        <v>10000</v>
      </c>
      <c r="H471" s="172">
        <v>10000</v>
      </c>
      <c r="I471" s="172">
        <v>10000</v>
      </c>
      <c r="J471" s="172">
        <v>5</v>
      </c>
      <c r="K471" s="190">
        <f>IF($J471=1,INDEX('큐펫&amp;몹 정리(최신)'!P:P,MATCH($E471,'큐펫&amp;몹 정리(최신)'!$B:$B,0))*20,IF($J471=2,INDEX('큐펫&amp;몹 정리(최신)'!P:P,MATCH($E471,'큐펫&amp;몹 정리(최신)'!$B:$B,0))*25,IF($J471=3,INDEX('큐펫&amp;몹 정리(최신)'!P:P,MATCH($E471,'큐펫&amp;몹 정리(최신)'!$B:$B,0))*30,IF($J471=4,INDEX('큐펫&amp;몹 정리(최신)'!P:P,MATCH($E471,'큐펫&amp;몹 정리(최신)'!$B:$B,0))*35,INDEX('큐펫&amp;몹 정리(최신)'!P:P,MATCH($E471,'큐펫&amp;몹 정리(최신)'!$B:$B,0))*40))))</f>
        <v>1600</v>
      </c>
      <c r="L471" s="190">
        <f>IF($J471=1,INDEX('큐펫&amp;몹 정리(최신)'!Q:Q,MATCH($E471,'큐펫&amp;몹 정리(최신)'!$B:$B,0))*20,IF($J471=2,INDEX('큐펫&amp;몹 정리(최신)'!Q:Q,MATCH($E471,'큐펫&amp;몹 정리(최신)'!$B:$B,0))*25,IF($J471=3,INDEX('큐펫&amp;몹 정리(최신)'!Q:Q,MATCH($E471,'큐펫&amp;몹 정리(최신)'!$B:$B,0))*30,IF($J471=4,INDEX('큐펫&amp;몹 정리(최신)'!Q:Q,MATCH($E471,'큐펫&amp;몹 정리(최신)'!$B:$B,0))*35,INDEX('큐펫&amp;몹 정리(최신)'!Q:Q,MATCH($E471,'큐펫&amp;몹 정리(최신)'!$B:$B,0))*40))))</f>
        <v>200</v>
      </c>
      <c r="M471" s="190">
        <f>IF($J471=1,INDEX('큐펫&amp;몹 정리(최신)'!R:R,MATCH($E471,'큐펫&amp;몹 정리(최신)'!$B:$B,0))*20,IF($J471=2,INDEX('큐펫&amp;몹 정리(최신)'!R:R,MATCH($E471,'큐펫&amp;몹 정리(최신)'!$B:$B,0))*25,IF($J471=3,INDEX('큐펫&amp;몹 정리(최신)'!R:R,MATCH($E471,'큐펫&amp;몹 정리(최신)'!$B:$B,0))*30,IF($J471=4,INDEX('큐펫&amp;몹 정리(최신)'!R:R,MATCH($E471,'큐펫&amp;몹 정리(최신)'!$B:$B,0))*35,INDEX('큐펫&amp;몹 정리(최신)'!R:R,MATCH($E471,'큐펫&amp;몹 정리(최신)'!$B:$B,0))*40))))</f>
        <v>880</v>
      </c>
      <c r="N471" s="190">
        <f>IF($J471=1,INDEX('큐펫&amp;몹 정리(최신)'!S:S,MATCH($E471,'큐펫&amp;몹 정리(최신)'!$B:$B,0))*20,IF($J471=2,INDEX('큐펫&amp;몹 정리(최신)'!S:S,MATCH($E471,'큐펫&amp;몹 정리(최신)'!$B:$B,0))*25,IF($J471=3,INDEX('큐펫&amp;몹 정리(최신)'!S:S,MATCH($E471,'큐펫&amp;몹 정리(최신)'!$B:$B,0))*30,IF($J471=4,INDEX('큐펫&amp;몹 정리(최신)'!S:S,MATCH($E471,'큐펫&amp;몹 정리(최신)'!$B:$B,0))*35,INDEX('큐펫&amp;몹 정리(최신)'!S:S,MATCH($E471,'큐펫&amp;몹 정리(최신)'!$B:$B,0))*40))))</f>
        <v>480</v>
      </c>
      <c r="O471" s="190">
        <f>IF($J471=1,INDEX('큐펫&amp;몹 정리(최신)'!T:T,MATCH($E471,'큐펫&amp;몹 정리(최신)'!$B:$B,0))*20,IF($J471=2,INDEX('큐펫&amp;몹 정리(최신)'!T:T,MATCH($E471,'큐펫&amp;몹 정리(최신)'!$B:$B,0))*25,IF($J471=3,INDEX('큐펫&amp;몹 정리(최신)'!T:T,MATCH($E471,'큐펫&amp;몹 정리(최신)'!$B:$B,0))*30,IF($J471=4,INDEX('큐펫&amp;몹 정리(최신)'!T:T,MATCH($E471,'큐펫&amp;몹 정리(최신)'!$B:$B,0))*35,INDEX('큐펫&amp;몹 정리(최신)'!T:T,MATCH($E471,'큐펫&amp;몹 정리(최신)'!$B:$B,0))*40))))</f>
        <v>840</v>
      </c>
      <c r="P471" s="217">
        <v>100</v>
      </c>
      <c r="Q471" s="217">
        <f t="shared" si="60"/>
        <v>324800</v>
      </c>
      <c r="R471" s="217">
        <f t="shared" si="61"/>
        <v>4971</v>
      </c>
      <c r="S471" s="217">
        <f t="shared" si="62"/>
        <v>6229</v>
      </c>
      <c r="T471" s="217">
        <f t="shared" si="63"/>
        <v>34017</v>
      </c>
      <c r="U471" s="217">
        <f t="shared" si="64"/>
        <v>47536</v>
      </c>
      <c r="V471" s="217">
        <f t="shared" si="65"/>
        <v>41642</v>
      </c>
      <c r="W471" s="217">
        <f>ROUND(AC471+(INDEX(Ref!B$1:B$9,MATCH($AI471,Ref!$A$1:$A$9,0))*P471*0.0001),)</f>
        <v>49</v>
      </c>
      <c r="X471" s="217">
        <f>ROUND(AD471+(INDEX(Ref!C$1:C$9,MATCH($AI471,Ref!$A$1:$A$9,0))*$P471*0.0001),)</f>
        <v>42</v>
      </c>
      <c r="Y471" s="217">
        <f>ROUND(AE471+(INDEX(Ref!D$1:D$9,MATCH($AI471,Ref!$A$1:$A$9,0))*$P471*0.0001),)</f>
        <v>98</v>
      </c>
      <c r="Z471" s="217">
        <f>ROUND(AF471+(INDEX(Ref!E$1:E$9,MATCH($AI471,Ref!$A$1:$A$9,0))*$P471*0.0001),)</f>
        <v>62</v>
      </c>
      <c r="AA471" s="217">
        <f>ROUND(AG471+(INDEX(Ref!F$1:F$9,MATCH($AI471,Ref!$A$1:$A$9,0))*$P471*0.0001),)</f>
        <v>55</v>
      </c>
      <c r="AB471" s="217">
        <f>ROUND(AH471+(INDEX(Ref!G$1:G$9,MATCH($AI471,Ref!$A$1:$A$9,0))*$P471*0.0001),)</f>
        <v>38</v>
      </c>
      <c r="AC471" s="137">
        <v>34</v>
      </c>
      <c r="AD471" s="137">
        <v>29</v>
      </c>
      <c r="AE471" s="137">
        <v>74</v>
      </c>
      <c r="AF471" s="137">
        <v>43</v>
      </c>
      <c r="AG471" s="137">
        <v>38</v>
      </c>
      <c r="AH471" s="137">
        <v>26</v>
      </c>
      <c r="AI471" s="208">
        <v>4</v>
      </c>
      <c r="AJ471" s="172">
        <v>3000</v>
      </c>
      <c r="AK471" s="172">
        <f t="shared" si="58"/>
        <v>30561</v>
      </c>
      <c r="AL471" s="172">
        <v>2000</v>
      </c>
      <c r="AM471" s="172">
        <f t="shared" si="59"/>
        <v>30564</v>
      </c>
      <c r="AN471" s="172">
        <v>0</v>
      </c>
      <c r="AO471" s="172">
        <f t="shared" si="66"/>
        <v>34561</v>
      </c>
      <c r="AP471" s="172">
        <v>0</v>
      </c>
      <c r="AQ471" s="172">
        <f t="shared" si="67"/>
        <v>34564</v>
      </c>
      <c r="AR471" s="172">
        <v>1</v>
      </c>
      <c r="AS471" s="172">
        <v>0</v>
      </c>
      <c r="AT471" s="195">
        <f t="shared" si="57"/>
        <v>78094</v>
      </c>
      <c r="AU471" s="195" t="s">
        <v>1032</v>
      </c>
    </row>
    <row r="472" spans="1:47" x14ac:dyDescent="0.2">
      <c r="A472" s="173">
        <f t="shared" si="56"/>
        <v>55095</v>
      </c>
      <c r="B472" s="174" t="s">
        <v>1011</v>
      </c>
      <c r="C472" s="172">
        <v>86095</v>
      </c>
      <c r="D472" s="172">
        <v>150095</v>
      </c>
      <c r="E472" s="206" t="s">
        <v>1022</v>
      </c>
      <c r="F472" s="208">
        <v>2</v>
      </c>
      <c r="G472" s="173">
        <v>11500</v>
      </c>
      <c r="H472" s="173">
        <v>9500</v>
      </c>
      <c r="I472" s="172">
        <v>10000</v>
      </c>
      <c r="J472" s="172">
        <v>1</v>
      </c>
      <c r="K472" s="190">
        <f>IF($J472=1,INDEX('큐펫&amp;몹 정리(최신)'!P:P,MATCH($E472,'큐펫&amp;몹 정리(최신)'!$B:$B,0))*20,IF($J472=2,INDEX('큐펫&amp;몹 정리(최신)'!P:P,MATCH($E472,'큐펫&amp;몹 정리(최신)'!$B:$B,0))*25,IF($J472=3,INDEX('큐펫&amp;몹 정리(최신)'!P:P,MATCH($E472,'큐펫&amp;몹 정리(최신)'!$B:$B,0))*30,IF($J472=4,INDEX('큐펫&amp;몹 정리(최신)'!P:P,MATCH($E472,'큐펫&amp;몹 정리(최신)'!$B:$B,0))*35,INDEX('큐펫&amp;몹 정리(최신)'!P:P,MATCH($E472,'큐펫&amp;몹 정리(최신)'!$B:$B,0))*40))))</f>
        <v>800</v>
      </c>
      <c r="L472" s="190">
        <f>IF($J472=1,INDEX('큐펫&amp;몹 정리(최신)'!Q:Q,MATCH($E472,'큐펫&amp;몹 정리(최신)'!$B:$B,0))*20,IF($J472=2,INDEX('큐펫&amp;몹 정리(최신)'!Q:Q,MATCH($E472,'큐펫&amp;몹 정리(최신)'!$B:$B,0))*25,IF($J472=3,INDEX('큐펫&amp;몹 정리(최신)'!Q:Q,MATCH($E472,'큐펫&amp;몹 정리(최신)'!$B:$B,0))*30,IF($J472=4,INDEX('큐펫&amp;몹 정리(최신)'!Q:Q,MATCH($E472,'큐펫&amp;몹 정리(최신)'!$B:$B,0))*35,INDEX('큐펫&amp;몹 정리(최신)'!Q:Q,MATCH($E472,'큐펫&amp;몹 정리(최신)'!$B:$B,0))*40))))</f>
        <v>440</v>
      </c>
      <c r="M472" s="190">
        <f>IF($J472=1,INDEX('큐펫&amp;몹 정리(최신)'!R:R,MATCH($E472,'큐펫&amp;몹 정리(최신)'!$B:$B,0))*20,IF($J472=2,INDEX('큐펫&amp;몹 정리(최신)'!R:R,MATCH($E472,'큐펫&amp;몹 정리(최신)'!$B:$B,0))*25,IF($J472=3,INDEX('큐펫&amp;몹 정리(최신)'!R:R,MATCH($E472,'큐펫&amp;몹 정리(최신)'!$B:$B,0))*30,IF($J472=4,INDEX('큐펫&amp;몹 정리(최신)'!R:R,MATCH($E472,'큐펫&amp;몹 정리(최신)'!$B:$B,0))*35,INDEX('큐펫&amp;몹 정리(최신)'!R:R,MATCH($E472,'큐펫&amp;몹 정리(최신)'!$B:$B,0))*40))))</f>
        <v>100</v>
      </c>
      <c r="N472" s="190">
        <f>IF($J472=1,INDEX('큐펫&amp;몹 정리(최신)'!S:S,MATCH($E472,'큐펫&amp;몹 정리(최신)'!$B:$B,0))*20,IF($J472=2,INDEX('큐펫&amp;몹 정리(최신)'!S:S,MATCH($E472,'큐펫&amp;몹 정리(최신)'!$B:$B,0))*25,IF($J472=3,INDEX('큐펫&amp;몹 정리(최신)'!S:S,MATCH($E472,'큐펫&amp;몹 정리(최신)'!$B:$B,0))*30,IF($J472=4,INDEX('큐펫&amp;몹 정리(최신)'!S:S,MATCH($E472,'큐펫&amp;몹 정리(최신)'!$B:$B,0))*35,INDEX('큐펫&amp;몹 정리(최신)'!S:S,MATCH($E472,'큐펫&amp;몹 정리(최신)'!$B:$B,0))*40))))</f>
        <v>420</v>
      </c>
      <c r="O472" s="190">
        <f>IF($J472=1,INDEX('큐펫&amp;몹 정리(최신)'!T:T,MATCH($E472,'큐펫&amp;몹 정리(최신)'!$B:$B,0))*20,IF($J472=2,INDEX('큐펫&amp;몹 정리(최신)'!T:T,MATCH($E472,'큐펫&amp;몹 정리(최신)'!$B:$B,0))*25,IF($J472=3,INDEX('큐펫&amp;몹 정리(최신)'!T:T,MATCH($E472,'큐펫&amp;몹 정리(최신)'!$B:$B,0))*30,IF($J472=4,INDEX('큐펫&amp;몹 정리(최신)'!T:T,MATCH($E472,'큐펫&amp;몹 정리(최신)'!$B:$B,0))*35,INDEX('큐펫&amp;몹 정리(최신)'!T:T,MATCH($E472,'큐펫&amp;몹 정리(최신)'!$B:$B,0))*40))))</f>
        <v>240</v>
      </c>
      <c r="P472" s="217">
        <v>20</v>
      </c>
      <c r="Q472" s="217">
        <f t="shared" si="60"/>
        <v>28320</v>
      </c>
      <c r="R472" s="217">
        <f t="shared" si="61"/>
        <v>8241</v>
      </c>
      <c r="S472" s="217">
        <f t="shared" si="62"/>
        <v>2398</v>
      </c>
      <c r="T472" s="217">
        <f t="shared" si="63"/>
        <v>417</v>
      </c>
      <c r="U472" s="217">
        <f t="shared" si="64"/>
        <v>15132</v>
      </c>
      <c r="V472" s="217">
        <f t="shared" si="65"/>
        <v>4339</v>
      </c>
      <c r="W472" s="217">
        <f>ROUND(AC472+(INDEX(Ref!B$1:B$9,MATCH($AI472,Ref!$A$1:$A$9,0))*P472*0.0001),)</f>
        <v>43</v>
      </c>
      <c r="X472" s="217">
        <f>ROUND(AD472+(INDEX(Ref!C$1:C$9,MATCH($AI472,Ref!$A$1:$A$9,0))*$P472*0.0001),)</f>
        <v>26</v>
      </c>
      <c r="Y472" s="217">
        <f>ROUND(AE472+(INDEX(Ref!D$1:D$9,MATCH($AI472,Ref!$A$1:$A$9,0))*$P472*0.0001),)</f>
        <v>52</v>
      </c>
      <c r="Z472" s="217">
        <f>ROUND(AF472+(INDEX(Ref!E$1:E$9,MATCH($AI472,Ref!$A$1:$A$9,0))*$P472*0.0001),)</f>
        <v>19</v>
      </c>
      <c r="AA472" s="217">
        <f>ROUND(AG472+(INDEX(Ref!F$1:F$9,MATCH($AI472,Ref!$A$1:$A$9,0))*$P472*0.0001),)</f>
        <v>23</v>
      </c>
      <c r="AB472" s="217">
        <f>ROUND(AH472+(INDEX(Ref!G$1:G$9,MATCH($AI472,Ref!$A$1:$A$9,0))*$P472*0.0001),)</f>
        <v>21</v>
      </c>
      <c r="AC472" s="137">
        <v>38</v>
      </c>
      <c r="AD472" s="137">
        <v>23</v>
      </c>
      <c r="AE472" s="137">
        <v>48</v>
      </c>
      <c r="AF472" s="137">
        <v>17</v>
      </c>
      <c r="AG472" s="137">
        <v>20</v>
      </c>
      <c r="AH472" s="137">
        <v>18</v>
      </c>
      <c r="AI472" s="208">
        <v>1</v>
      </c>
      <c r="AJ472" s="172">
        <v>3000</v>
      </c>
      <c r="AK472" s="172">
        <f t="shared" si="58"/>
        <v>30565</v>
      </c>
      <c r="AL472" s="172">
        <v>2000</v>
      </c>
      <c r="AM472" s="172">
        <f t="shared" si="59"/>
        <v>30568</v>
      </c>
      <c r="AN472" s="172">
        <v>0</v>
      </c>
      <c r="AO472" s="172">
        <f t="shared" si="66"/>
        <v>34565</v>
      </c>
      <c r="AP472" s="172">
        <v>0</v>
      </c>
      <c r="AQ472" s="172">
        <f t="shared" si="67"/>
        <v>34568</v>
      </c>
      <c r="AR472" s="172">
        <v>1</v>
      </c>
      <c r="AS472" s="172">
        <v>0</v>
      </c>
      <c r="AT472" s="195">
        <f t="shared" si="57"/>
        <v>78095</v>
      </c>
      <c r="AU472" s="195" t="s">
        <v>1033</v>
      </c>
    </row>
    <row r="473" spans="1:47" x14ac:dyDescent="0.2">
      <c r="A473" s="173">
        <f t="shared" si="56"/>
        <v>55095</v>
      </c>
      <c r="B473" s="174" t="s">
        <v>1011</v>
      </c>
      <c r="C473" s="172">
        <v>86095</v>
      </c>
      <c r="D473" s="172">
        <v>150095</v>
      </c>
      <c r="E473" s="206" t="s">
        <v>1035</v>
      </c>
      <c r="F473" s="208">
        <v>2</v>
      </c>
      <c r="G473" s="173">
        <v>11500</v>
      </c>
      <c r="H473" s="173">
        <v>9500</v>
      </c>
      <c r="I473" s="172">
        <v>10000</v>
      </c>
      <c r="J473" s="172">
        <v>2</v>
      </c>
      <c r="K473" s="190">
        <f>IF($J473=1,INDEX('큐펫&amp;몹 정리(최신)'!P:P,MATCH($E473,'큐펫&amp;몹 정리(최신)'!$B:$B,0))*20,IF($J473=2,INDEX('큐펫&amp;몹 정리(최신)'!P:P,MATCH($E473,'큐펫&amp;몹 정리(최신)'!$B:$B,0))*25,IF($J473=3,INDEX('큐펫&amp;몹 정리(최신)'!P:P,MATCH($E473,'큐펫&amp;몹 정리(최신)'!$B:$B,0))*30,IF($J473=4,INDEX('큐펫&amp;몹 정리(최신)'!P:P,MATCH($E473,'큐펫&amp;몹 정리(최신)'!$B:$B,0))*35,INDEX('큐펫&amp;몹 정리(최신)'!P:P,MATCH($E473,'큐펫&amp;몹 정리(최신)'!$B:$B,0))*40))))</f>
        <v>1000</v>
      </c>
      <c r="L473" s="190">
        <f>IF($J473=1,INDEX('큐펫&amp;몹 정리(최신)'!Q:Q,MATCH($E473,'큐펫&amp;몹 정리(최신)'!$B:$B,0))*20,IF($J473=2,INDEX('큐펫&amp;몹 정리(최신)'!Q:Q,MATCH($E473,'큐펫&amp;몹 정리(최신)'!$B:$B,0))*25,IF($J473=3,INDEX('큐펫&amp;몹 정리(최신)'!Q:Q,MATCH($E473,'큐펫&amp;몹 정리(최신)'!$B:$B,0))*30,IF($J473=4,INDEX('큐펫&amp;몹 정리(최신)'!Q:Q,MATCH($E473,'큐펫&amp;몹 정리(최신)'!$B:$B,0))*35,INDEX('큐펫&amp;몹 정리(최신)'!Q:Q,MATCH($E473,'큐펫&amp;몹 정리(최신)'!$B:$B,0))*40))))</f>
        <v>550</v>
      </c>
      <c r="M473" s="190">
        <f>IF($J473=1,INDEX('큐펫&amp;몹 정리(최신)'!R:R,MATCH($E473,'큐펫&amp;몹 정리(최신)'!$B:$B,0))*20,IF($J473=2,INDEX('큐펫&amp;몹 정리(최신)'!R:R,MATCH($E473,'큐펫&amp;몹 정리(최신)'!$B:$B,0))*25,IF($J473=3,INDEX('큐펫&amp;몹 정리(최신)'!R:R,MATCH($E473,'큐펫&amp;몹 정리(최신)'!$B:$B,0))*30,IF($J473=4,INDEX('큐펫&amp;몹 정리(최신)'!R:R,MATCH($E473,'큐펫&amp;몹 정리(최신)'!$B:$B,0))*35,INDEX('큐펫&amp;몹 정리(최신)'!R:R,MATCH($E473,'큐펫&amp;몹 정리(최신)'!$B:$B,0))*40))))</f>
        <v>125</v>
      </c>
      <c r="N473" s="190">
        <f>IF($J473=1,INDEX('큐펫&amp;몹 정리(최신)'!S:S,MATCH($E473,'큐펫&amp;몹 정리(최신)'!$B:$B,0))*20,IF($J473=2,INDEX('큐펫&amp;몹 정리(최신)'!S:S,MATCH($E473,'큐펫&amp;몹 정리(최신)'!$B:$B,0))*25,IF($J473=3,INDEX('큐펫&amp;몹 정리(최신)'!S:S,MATCH($E473,'큐펫&amp;몹 정리(최신)'!$B:$B,0))*30,IF($J473=4,INDEX('큐펫&amp;몹 정리(최신)'!S:S,MATCH($E473,'큐펫&amp;몹 정리(최신)'!$B:$B,0))*35,INDEX('큐펫&amp;몹 정리(최신)'!S:S,MATCH($E473,'큐펫&amp;몹 정리(최신)'!$B:$B,0))*40))))</f>
        <v>525</v>
      </c>
      <c r="O473" s="190">
        <f>IF($J473=1,INDEX('큐펫&amp;몹 정리(최신)'!T:T,MATCH($E473,'큐펫&amp;몹 정리(최신)'!$B:$B,0))*20,IF($J473=2,INDEX('큐펫&amp;몹 정리(최신)'!T:T,MATCH($E473,'큐펫&amp;몹 정리(최신)'!$B:$B,0))*25,IF($J473=3,INDEX('큐펫&amp;몹 정리(최신)'!T:T,MATCH($E473,'큐펫&amp;몹 정리(최신)'!$B:$B,0))*30,IF($J473=4,INDEX('큐펫&amp;몹 정리(최신)'!T:T,MATCH($E473,'큐펫&amp;몹 정리(최신)'!$B:$B,0))*35,INDEX('큐펫&amp;몹 정리(최신)'!T:T,MATCH($E473,'큐펫&amp;몹 정리(최신)'!$B:$B,0))*40))))</f>
        <v>300</v>
      </c>
      <c r="P473" s="217">
        <v>40</v>
      </c>
      <c r="Q473" s="217">
        <f t="shared" si="60"/>
        <v>69000</v>
      </c>
      <c r="R473" s="217">
        <f t="shared" si="61"/>
        <v>15587</v>
      </c>
      <c r="S473" s="217">
        <f t="shared" si="62"/>
        <v>4721</v>
      </c>
      <c r="T473" s="217">
        <f t="shared" si="63"/>
        <v>798</v>
      </c>
      <c r="U473" s="217">
        <f t="shared" si="64"/>
        <v>26266</v>
      </c>
      <c r="V473" s="217">
        <f t="shared" si="65"/>
        <v>7524</v>
      </c>
      <c r="W473" s="217">
        <f>ROUND(AC473+(INDEX(Ref!B$1:B$9,MATCH($AI473,Ref!$A$1:$A$9,0))*P473*0.0001),)</f>
        <v>53</v>
      </c>
      <c r="X473" s="217">
        <f>ROUND(AD473+(INDEX(Ref!C$1:C$9,MATCH($AI473,Ref!$A$1:$A$9,0))*$P473*0.0001),)</f>
        <v>32</v>
      </c>
      <c r="Y473" s="217">
        <f>ROUND(AE473+(INDEX(Ref!D$1:D$9,MATCH($AI473,Ref!$A$1:$A$9,0))*$P473*0.0001),)</f>
        <v>60</v>
      </c>
      <c r="Z473" s="217">
        <f>ROUND(AF473+(INDEX(Ref!E$1:E$9,MATCH($AI473,Ref!$A$1:$A$9,0))*$P473*0.0001),)</f>
        <v>24</v>
      </c>
      <c r="AA473" s="217">
        <f>ROUND(AG473+(INDEX(Ref!F$1:F$9,MATCH($AI473,Ref!$A$1:$A$9,0))*$P473*0.0001),)</f>
        <v>29</v>
      </c>
      <c r="AB473" s="217">
        <f>ROUND(AH473+(INDEX(Ref!G$1:G$9,MATCH($AI473,Ref!$A$1:$A$9,0))*$P473*0.0001),)</f>
        <v>26</v>
      </c>
      <c r="AC473" s="137">
        <v>43</v>
      </c>
      <c r="AD473" s="137">
        <v>26</v>
      </c>
      <c r="AE473" s="137">
        <v>52</v>
      </c>
      <c r="AF473" s="137">
        <v>19</v>
      </c>
      <c r="AG473" s="137">
        <v>23</v>
      </c>
      <c r="AH473" s="137">
        <v>21</v>
      </c>
      <c r="AI473" s="208">
        <v>1</v>
      </c>
      <c r="AJ473" s="172">
        <v>3000</v>
      </c>
      <c r="AK473" s="172">
        <f t="shared" si="58"/>
        <v>30566</v>
      </c>
      <c r="AL473" s="172">
        <v>2000</v>
      </c>
      <c r="AM473" s="172">
        <f t="shared" si="59"/>
        <v>30568</v>
      </c>
      <c r="AN473" s="172">
        <v>0</v>
      </c>
      <c r="AO473" s="172">
        <f t="shared" si="66"/>
        <v>34566</v>
      </c>
      <c r="AP473" s="172">
        <v>0</v>
      </c>
      <c r="AQ473" s="172">
        <f t="shared" si="67"/>
        <v>34568</v>
      </c>
      <c r="AR473" s="172">
        <v>1</v>
      </c>
      <c r="AS473" s="172">
        <v>0</v>
      </c>
      <c r="AT473" s="195">
        <f t="shared" si="57"/>
        <v>78095</v>
      </c>
      <c r="AU473" s="195" t="s">
        <v>1033</v>
      </c>
    </row>
    <row r="474" spans="1:47" x14ac:dyDescent="0.2">
      <c r="A474" s="173">
        <f t="shared" si="56"/>
        <v>55095</v>
      </c>
      <c r="B474" s="174" t="s">
        <v>1011</v>
      </c>
      <c r="C474" s="172">
        <v>86095</v>
      </c>
      <c r="D474" s="172">
        <v>150095</v>
      </c>
      <c r="E474" s="206" t="s">
        <v>1035</v>
      </c>
      <c r="F474" s="208">
        <v>2</v>
      </c>
      <c r="G474" s="173">
        <v>11500</v>
      </c>
      <c r="H474" s="173">
        <v>9500</v>
      </c>
      <c r="I474" s="172">
        <v>10000</v>
      </c>
      <c r="J474" s="172">
        <v>3</v>
      </c>
      <c r="K474" s="190">
        <f>IF($J474=1,INDEX('큐펫&amp;몹 정리(최신)'!P:P,MATCH($E474,'큐펫&amp;몹 정리(최신)'!$B:$B,0))*20,IF($J474=2,INDEX('큐펫&amp;몹 정리(최신)'!P:P,MATCH($E474,'큐펫&amp;몹 정리(최신)'!$B:$B,0))*25,IF($J474=3,INDEX('큐펫&amp;몹 정리(최신)'!P:P,MATCH($E474,'큐펫&amp;몹 정리(최신)'!$B:$B,0))*30,IF($J474=4,INDEX('큐펫&amp;몹 정리(최신)'!P:P,MATCH($E474,'큐펫&amp;몹 정리(최신)'!$B:$B,0))*35,INDEX('큐펫&amp;몹 정리(최신)'!P:P,MATCH($E474,'큐펫&amp;몹 정리(최신)'!$B:$B,0))*40))))</f>
        <v>1200</v>
      </c>
      <c r="L474" s="190">
        <f>IF($J474=1,INDEX('큐펫&amp;몹 정리(최신)'!Q:Q,MATCH($E474,'큐펫&amp;몹 정리(최신)'!$B:$B,0))*20,IF($J474=2,INDEX('큐펫&amp;몹 정리(최신)'!Q:Q,MATCH($E474,'큐펫&amp;몹 정리(최신)'!$B:$B,0))*25,IF($J474=3,INDEX('큐펫&amp;몹 정리(최신)'!Q:Q,MATCH($E474,'큐펫&amp;몹 정리(최신)'!$B:$B,0))*30,IF($J474=4,INDEX('큐펫&amp;몹 정리(최신)'!Q:Q,MATCH($E474,'큐펫&amp;몹 정리(최신)'!$B:$B,0))*35,INDEX('큐펫&amp;몹 정리(최신)'!Q:Q,MATCH($E474,'큐펫&amp;몹 정리(최신)'!$B:$B,0))*40))))</f>
        <v>660</v>
      </c>
      <c r="M474" s="190">
        <f>IF($J474=1,INDEX('큐펫&amp;몹 정리(최신)'!R:R,MATCH($E474,'큐펫&amp;몹 정리(최신)'!$B:$B,0))*20,IF($J474=2,INDEX('큐펫&amp;몹 정리(최신)'!R:R,MATCH($E474,'큐펫&amp;몹 정리(최신)'!$B:$B,0))*25,IF($J474=3,INDEX('큐펫&amp;몹 정리(최신)'!R:R,MATCH($E474,'큐펫&amp;몹 정리(최신)'!$B:$B,0))*30,IF($J474=4,INDEX('큐펫&amp;몹 정리(최신)'!R:R,MATCH($E474,'큐펫&amp;몹 정리(최신)'!$B:$B,0))*35,INDEX('큐펫&amp;몹 정리(최신)'!R:R,MATCH($E474,'큐펫&amp;몹 정리(최신)'!$B:$B,0))*40))))</f>
        <v>150</v>
      </c>
      <c r="N474" s="190">
        <f>IF($J474=1,INDEX('큐펫&amp;몹 정리(최신)'!S:S,MATCH($E474,'큐펫&amp;몹 정리(최신)'!$B:$B,0))*20,IF($J474=2,INDEX('큐펫&amp;몹 정리(최신)'!S:S,MATCH($E474,'큐펫&amp;몹 정리(최신)'!$B:$B,0))*25,IF($J474=3,INDEX('큐펫&amp;몹 정리(최신)'!S:S,MATCH($E474,'큐펫&amp;몹 정리(최신)'!$B:$B,0))*30,IF($J474=4,INDEX('큐펫&amp;몹 정리(최신)'!S:S,MATCH($E474,'큐펫&amp;몹 정리(최신)'!$B:$B,0))*35,INDEX('큐펫&amp;몹 정리(최신)'!S:S,MATCH($E474,'큐펫&amp;몹 정리(최신)'!$B:$B,0))*40))))</f>
        <v>630</v>
      </c>
      <c r="O474" s="190">
        <f>IF($J474=1,INDEX('큐펫&amp;몹 정리(최신)'!T:T,MATCH($E474,'큐펫&amp;몹 정리(최신)'!$B:$B,0))*20,IF($J474=2,INDEX('큐펫&amp;몹 정리(최신)'!T:T,MATCH($E474,'큐펫&amp;몹 정리(최신)'!$B:$B,0))*25,IF($J474=3,INDEX('큐펫&amp;몹 정리(최신)'!T:T,MATCH($E474,'큐펫&amp;몹 정리(최신)'!$B:$B,0))*30,IF($J474=4,INDEX('큐펫&amp;몹 정리(최신)'!T:T,MATCH($E474,'큐펫&amp;몹 정리(최신)'!$B:$B,0))*35,INDEX('큐펫&amp;몹 정리(최신)'!T:T,MATCH($E474,'큐펫&amp;몹 정리(최신)'!$B:$B,0))*40))))</f>
        <v>360</v>
      </c>
      <c r="P474" s="217">
        <v>60</v>
      </c>
      <c r="Q474" s="217">
        <f t="shared" si="60"/>
        <v>126960</v>
      </c>
      <c r="R474" s="217">
        <f t="shared" si="61"/>
        <v>26366</v>
      </c>
      <c r="S474" s="217">
        <f t="shared" si="62"/>
        <v>7749</v>
      </c>
      <c r="T474" s="217">
        <f t="shared" si="63"/>
        <v>1274</v>
      </c>
      <c r="U474" s="217">
        <f t="shared" si="64"/>
        <v>40339</v>
      </c>
      <c r="V474" s="217">
        <f t="shared" si="65"/>
        <v>11548</v>
      </c>
      <c r="W474" s="217">
        <f>ROUND(AC474+(INDEX(Ref!B$1:B$9,MATCH($AI474,Ref!$A$1:$A$9,0))*P474*0.0001),)</f>
        <v>63</v>
      </c>
      <c r="X474" s="217">
        <f>ROUND(AD474+(INDEX(Ref!C$1:C$9,MATCH($AI474,Ref!$A$1:$A$9,0))*$P474*0.0001),)</f>
        <v>40</v>
      </c>
      <c r="Y474" s="217">
        <f>ROUND(AE474+(INDEX(Ref!D$1:D$9,MATCH($AI474,Ref!$A$1:$A$9,0))*$P474*0.0001),)</f>
        <v>68</v>
      </c>
      <c r="Z474" s="217">
        <f>ROUND(AF474+(INDEX(Ref!E$1:E$9,MATCH($AI474,Ref!$A$1:$A$9,0))*$P474*0.0001),)</f>
        <v>28</v>
      </c>
      <c r="AA474" s="217">
        <f>ROUND(AG474+(INDEX(Ref!F$1:F$9,MATCH($AI474,Ref!$A$1:$A$9,0))*$P474*0.0001),)</f>
        <v>34</v>
      </c>
      <c r="AB474" s="217">
        <f>ROUND(AH474+(INDEX(Ref!G$1:G$9,MATCH($AI474,Ref!$A$1:$A$9,0))*$P474*0.0001),)</f>
        <v>31</v>
      </c>
      <c r="AC474" s="137">
        <v>48.000000000000007</v>
      </c>
      <c r="AD474" s="137">
        <v>30</v>
      </c>
      <c r="AE474" s="137">
        <v>56</v>
      </c>
      <c r="AF474" s="137">
        <v>21</v>
      </c>
      <c r="AG474" s="137">
        <v>26</v>
      </c>
      <c r="AH474" s="137">
        <v>23</v>
      </c>
      <c r="AI474" s="208">
        <v>1</v>
      </c>
      <c r="AJ474" s="172">
        <v>3000</v>
      </c>
      <c r="AK474" s="172">
        <f t="shared" si="58"/>
        <v>30566</v>
      </c>
      <c r="AL474" s="172">
        <v>2000</v>
      </c>
      <c r="AM474" s="172">
        <f t="shared" si="59"/>
        <v>30569</v>
      </c>
      <c r="AN474" s="172">
        <v>0</v>
      </c>
      <c r="AO474" s="172">
        <f t="shared" si="66"/>
        <v>34566</v>
      </c>
      <c r="AP474" s="172">
        <v>0</v>
      </c>
      <c r="AQ474" s="172">
        <f t="shared" si="67"/>
        <v>34569</v>
      </c>
      <c r="AR474" s="172">
        <v>1</v>
      </c>
      <c r="AS474" s="172">
        <v>0</v>
      </c>
      <c r="AT474" s="195">
        <f t="shared" si="57"/>
        <v>78095</v>
      </c>
      <c r="AU474" s="195" t="s">
        <v>1033</v>
      </c>
    </row>
    <row r="475" spans="1:47" x14ac:dyDescent="0.2">
      <c r="A475" s="173">
        <f t="shared" si="56"/>
        <v>55095</v>
      </c>
      <c r="B475" s="174" t="s">
        <v>1011</v>
      </c>
      <c r="C475" s="172">
        <v>86095</v>
      </c>
      <c r="D475" s="172">
        <v>150095</v>
      </c>
      <c r="E475" s="206" t="s">
        <v>1035</v>
      </c>
      <c r="F475" s="208">
        <v>2</v>
      </c>
      <c r="G475" s="173">
        <v>11500</v>
      </c>
      <c r="H475" s="173">
        <v>9500</v>
      </c>
      <c r="I475" s="172">
        <v>10000</v>
      </c>
      <c r="J475" s="172">
        <v>4</v>
      </c>
      <c r="K475" s="190">
        <f>IF($J475=1,INDEX('큐펫&amp;몹 정리(최신)'!P:P,MATCH($E475,'큐펫&amp;몹 정리(최신)'!$B:$B,0))*20,IF($J475=2,INDEX('큐펫&amp;몹 정리(최신)'!P:P,MATCH($E475,'큐펫&amp;몹 정리(최신)'!$B:$B,0))*25,IF($J475=3,INDEX('큐펫&amp;몹 정리(최신)'!P:P,MATCH($E475,'큐펫&amp;몹 정리(최신)'!$B:$B,0))*30,IF($J475=4,INDEX('큐펫&amp;몹 정리(최신)'!P:P,MATCH($E475,'큐펫&amp;몹 정리(최신)'!$B:$B,0))*35,INDEX('큐펫&amp;몹 정리(최신)'!P:P,MATCH($E475,'큐펫&amp;몹 정리(최신)'!$B:$B,0))*40))))</f>
        <v>1400</v>
      </c>
      <c r="L475" s="190">
        <f>IF($J475=1,INDEX('큐펫&amp;몹 정리(최신)'!Q:Q,MATCH($E475,'큐펫&amp;몹 정리(최신)'!$B:$B,0))*20,IF($J475=2,INDEX('큐펫&amp;몹 정리(최신)'!Q:Q,MATCH($E475,'큐펫&amp;몹 정리(최신)'!$B:$B,0))*25,IF($J475=3,INDEX('큐펫&amp;몹 정리(최신)'!Q:Q,MATCH($E475,'큐펫&amp;몹 정리(최신)'!$B:$B,0))*30,IF($J475=4,INDEX('큐펫&amp;몹 정리(최신)'!Q:Q,MATCH($E475,'큐펫&amp;몹 정리(최신)'!$B:$B,0))*35,INDEX('큐펫&amp;몹 정리(최신)'!Q:Q,MATCH($E475,'큐펫&amp;몹 정리(최신)'!$B:$B,0))*40))))</f>
        <v>770</v>
      </c>
      <c r="M475" s="190">
        <f>IF($J475=1,INDEX('큐펫&amp;몹 정리(최신)'!R:R,MATCH($E475,'큐펫&amp;몹 정리(최신)'!$B:$B,0))*20,IF($J475=2,INDEX('큐펫&amp;몹 정리(최신)'!R:R,MATCH($E475,'큐펫&amp;몹 정리(최신)'!$B:$B,0))*25,IF($J475=3,INDEX('큐펫&amp;몹 정리(최신)'!R:R,MATCH($E475,'큐펫&amp;몹 정리(최신)'!$B:$B,0))*30,IF($J475=4,INDEX('큐펫&amp;몹 정리(최신)'!R:R,MATCH($E475,'큐펫&amp;몹 정리(최신)'!$B:$B,0))*35,INDEX('큐펫&amp;몹 정리(최신)'!R:R,MATCH($E475,'큐펫&amp;몹 정리(최신)'!$B:$B,0))*40))))</f>
        <v>175</v>
      </c>
      <c r="N475" s="190">
        <f>IF($J475=1,INDEX('큐펫&amp;몹 정리(최신)'!S:S,MATCH($E475,'큐펫&amp;몹 정리(최신)'!$B:$B,0))*20,IF($J475=2,INDEX('큐펫&amp;몹 정리(최신)'!S:S,MATCH($E475,'큐펫&amp;몹 정리(최신)'!$B:$B,0))*25,IF($J475=3,INDEX('큐펫&amp;몹 정리(최신)'!S:S,MATCH($E475,'큐펫&amp;몹 정리(최신)'!$B:$B,0))*30,IF($J475=4,INDEX('큐펫&amp;몹 정리(최신)'!S:S,MATCH($E475,'큐펫&amp;몹 정리(최신)'!$B:$B,0))*35,INDEX('큐펫&amp;몹 정리(최신)'!S:S,MATCH($E475,'큐펫&amp;몹 정리(최신)'!$B:$B,0))*40))))</f>
        <v>735</v>
      </c>
      <c r="O475" s="190">
        <f>IF($J475=1,INDEX('큐펫&amp;몹 정리(최신)'!T:T,MATCH($E475,'큐펫&amp;몹 정리(최신)'!$B:$B,0))*20,IF($J475=2,INDEX('큐펫&amp;몹 정리(최신)'!T:T,MATCH($E475,'큐펫&amp;몹 정리(최신)'!$B:$B,0))*25,IF($J475=3,INDEX('큐펫&amp;몹 정리(최신)'!T:T,MATCH($E475,'큐펫&amp;몹 정리(최신)'!$B:$B,0))*30,IF($J475=4,INDEX('큐펫&amp;몹 정리(최신)'!T:T,MATCH($E475,'큐펫&amp;몹 정리(최신)'!$B:$B,0))*35,INDEX('큐펫&amp;몹 정리(최신)'!T:T,MATCH($E475,'큐펫&amp;몹 정리(최신)'!$B:$B,0))*40))))</f>
        <v>420</v>
      </c>
      <c r="P475" s="217">
        <v>80</v>
      </c>
      <c r="Q475" s="217">
        <f t="shared" si="60"/>
        <v>204120</v>
      </c>
      <c r="R475" s="217">
        <f t="shared" si="61"/>
        <v>41236</v>
      </c>
      <c r="S475" s="217">
        <f t="shared" si="62"/>
        <v>11855</v>
      </c>
      <c r="T475" s="217">
        <f t="shared" si="63"/>
        <v>2144</v>
      </c>
      <c r="U475" s="217">
        <f t="shared" si="64"/>
        <v>57352</v>
      </c>
      <c r="V475" s="217">
        <f t="shared" si="65"/>
        <v>16414</v>
      </c>
      <c r="W475" s="217">
        <f>ROUND(AC475+(INDEX(Ref!B$1:B$9,MATCH($AI475,Ref!$A$1:$A$9,0))*P475*0.0001),)</f>
        <v>73</v>
      </c>
      <c r="X475" s="217">
        <f>ROUND(AD475+(INDEX(Ref!C$1:C$9,MATCH($AI475,Ref!$A$1:$A$9,0))*$P475*0.0001),)</f>
        <v>46</v>
      </c>
      <c r="Y475" s="217">
        <f>ROUND(AE475+(INDEX(Ref!D$1:D$9,MATCH($AI475,Ref!$A$1:$A$9,0))*$P475*0.0001),)</f>
        <v>76</v>
      </c>
      <c r="Z475" s="217">
        <f>ROUND(AF475+(INDEX(Ref!E$1:E$9,MATCH($AI475,Ref!$A$1:$A$9,0))*$P475*0.0001),)</f>
        <v>34</v>
      </c>
      <c r="AA475" s="217">
        <f>ROUND(AG475+(INDEX(Ref!F$1:F$9,MATCH($AI475,Ref!$A$1:$A$9,0))*$P475*0.0001),)</f>
        <v>39</v>
      </c>
      <c r="AB475" s="217">
        <f>ROUND(AH475+(INDEX(Ref!G$1:G$9,MATCH($AI475,Ref!$A$1:$A$9,0))*$P475*0.0001),)</f>
        <v>36</v>
      </c>
      <c r="AC475" s="137">
        <v>53</v>
      </c>
      <c r="AD475" s="137">
        <v>33</v>
      </c>
      <c r="AE475" s="137">
        <v>60</v>
      </c>
      <c r="AF475" s="137">
        <v>24</v>
      </c>
      <c r="AG475" s="137">
        <v>28</v>
      </c>
      <c r="AH475" s="137">
        <v>26</v>
      </c>
      <c r="AI475" s="208">
        <v>1</v>
      </c>
      <c r="AJ475" s="172">
        <v>3000</v>
      </c>
      <c r="AK475" s="172">
        <f t="shared" si="58"/>
        <v>30567</v>
      </c>
      <c r="AL475" s="172">
        <v>2000</v>
      </c>
      <c r="AM475" s="172">
        <f t="shared" si="59"/>
        <v>30569</v>
      </c>
      <c r="AN475" s="172">
        <v>0</v>
      </c>
      <c r="AO475" s="172">
        <f t="shared" si="66"/>
        <v>34567</v>
      </c>
      <c r="AP475" s="172">
        <v>0</v>
      </c>
      <c r="AQ475" s="172">
        <f t="shared" si="67"/>
        <v>34569</v>
      </c>
      <c r="AR475" s="172">
        <v>1</v>
      </c>
      <c r="AS475" s="172">
        <v>0</v>
      </c>
      <c r="AT475" s="195">
        <f t="shared" si="57"/>
        <v>78095</v>
      </c>
      <c r="AU475" s="195" t="s">
        <v>1033</v>
      </c>
    </row>
    <row r="476" spans="1:47" x14ac:dyDescent="0.2">
      <c r="A476" s="173">
        <f t="shared" si="56"/>
        <v>55095</v>
      </c>
      <c r="B476" s="174" t="s">
        <v>1011</v>
      </c>
      <c r="C476" s="172">
        <v>86095</v>
      </c>
      <c r="D476" s="172">
        <v>150095</v>
      </c>
      <c r="E476" s="206" t="s">
        <v>1035</v>
      </c>
      <c r="F476" s="208">
        <v>2</v>
      </c>
      <c r="G476" s="173">
        <v>11500</v>
      </c>
      <c r="H476" s="173">
        <v>9500</v>
      </c>
      <c r="I476" s="172">
        <v>10000</v>
      </c>
      <c r="J476" s="172">
        <v>5</v>
      </c>
      <c r="K476" s="190">
        <f>IF($J476=1,INDEX('큐펫&amp;몹 정리(최신)'!P:P,MATCH($E476,'큐펫&amp;몹 정리(최신)'!$B:$B,0))*20,IF($J476=2,INDEX('큐펫&amp;몹 정리(최신)'!P:P,MATCH($E476,'큐펫&amp;몹 정리(최신)'!$B:$B,0))*25,IF($J476=3,INDEX('큐펫&amp;몹 정리(최신)'!P:P,MATCH($E476,'큐펫&amp;몹 정리(최신)'!$B:$B,0))*30,IF($J476=4,INDEX('큐펫&amp;몹 정리(최신)'!P:P,MATCH($E476,'큐펫&amp;몹 정리(최신)'!$B:$B,0))*35,INDEX('큐펫&amp;몹 정리(최신)'!P:P,MATCH($E476,'큐펫&amp;몹 정리(최신)'!$B:$B,0))*40))))</f>
        <v>1600</v>
      </c>
      <c r="L476" s="190">
        <f>IF($J476=1,INDEX('큐펫&amp;몹 정리(최신)'!Q:Q,MATCH($E476,'큐펫&amp;몹 정리(최신)'!$B:$B,0))*20,IF($J476=2,INDEX('큐펫&amp;몹 정리(최신)'!Q:Q,MATCH($E476,'큐펫&amp;몹 정리(최신)'!$B:$B,0))*25,IF($J476=3,INDEX('큐펫&amp;몹 정리(최신)'!Q:Q,MATCH($E476,'큐펫&amp;몹 정리(최신)'!$B:$B,0))*30,IF($J476=4,INDEX('큐펫&amp;몹 정리(최신)'!Q:Q,MATCH($E476,'큐펫&amp;몹 정리(최신)'!$B:$B,0))*35,INDEX('큐펫&amp;몹 정리(최신)'!Q:Q,MATCH($E476,'큐펫&amp;몹 정리(최신)'!$B:$B,0))*40))))</f>
        <v>880</v>
      </c>
      <c r="M476" s="190">
        <f>IF($J476=1,INDEX('큐펫&amp;몹 정리(최신)'!R:R,MATCH($E476,'큐펫&amp;몹 정리(최신)'!$B:$B,0))*20,IF($J476=2,INDEX('큐펫&amp;몹 정리(최신)'!R:R,MATCH($E476,'큐펫&amp;몹 정리(최신)'!$B:$B,0))*25,IF($J476=3,INDEX('큐펫&amp;몹 정리(최신)'!R:R,MATCH($E476,'큐펫&amp;몹 정리(최신)'!$B:$B,0))*30,IF($J476=4,INDEX('큐펫&amp;몹 정리(최신)'!R:R,MATCH($E476,'큐펫&amp;몹 정리(최신)'!$B:$B,0))*35,INDEX('큐펫&amp;몹 정리(최신)'!R:R,MATCH($E476,'큐펫&amp;몹 정리(최신)'!$B:$B,0))*40))))</f>
        <v>200</v>
      </c>
      <c r="N476" s="190">
        <f>IF($J476=1,INDEX('큐펫&amp;몹 정리(최신)'!S:S,MATCH($E476,'큐펫&amp;몹 정리(최신)'!$B:$B,0))*20,IF($J476=2,INDEX('큐펫&amp;몹 정리(최신)'!S:S,MATCH($E476,'큐펫&amp;몹 정리(최신)'!$B:$B,0))*25,IF($J476=3,INDEX('큐펫&amp;몹 정리(최신)'!S:S,MATCH($E476,'큐펫&amp;몹 정리(최신)'!$B:$B,0))*30,IF($J476=4,INDEX('큐펫&amp;몹 정리(최신)'!S:S,MATCH($E476,'큐펫&amp;몹 정리(최신)'!$B:$B,0))*35,INDEX('큐펫&amp;몹 정리(최신)'!S:S,MATCH($E476,'큐펫&amp;몹 정리(최신)'!$B:$B,0))*40))))</f>
        <v>840</v>
      </c>
      <c r="O476" s="190">
        <f>IF($J476=1,INDEX('큐펫&amp;몹 정리(최신)'!T:T,MATCH($E476,'큐펫&amp;몹 정리(최신)'!$B:$B,0))*20,IF($J476=2,INDEX('큐펫&amp;몹 정리(최신)'!T:T,MATCH($E476,'큐펫&amp;몹 정리(최신)'!$B:$B,0))*25,IF($J476=3,INDEX('큐펫&amp;몹 정리(최신)'!T:T,MATCH($E476,'큐펫&amp;몹 정리(최신)'!$B:$B,0))*30,IF($J476=4,INDEX('큐펫&amp;몹 정리(최신)'!T:T,MATCH($E476,'큐펫&amp;몹 정리(최신)'!$B:$B,0))*35,INDEX('큐펫&amp;몹 정리(최신)'!T:T,MATCH($E476,'큐펫&amp;몹 정리(최신)'!$B:$B,0))*40))))</f>
        <v>480</v>
      </c>
      <c r="P476" s="217">
        <v>100</v>
      </c>
      <c r="Q476" s="217">
        <f t="shared" si="60"/>
        <v>302400</v>
      </c>
      <c r="R476" s="217">
        <f t="shared" si="61"/>
        <v>60858</v>
      </c>
      <c r="S476" s="217">
        <f t="shared" si="62"/>
        <v>17989</v>
      </c>
      <c r="T476" s="217">
        <f t="shared" si="63"/>
        <v>3030</v>
      </c>
      <c r="U476" s="217">
        <f t="shared" si="64"/>
        <v>77305</v>
      </c>
      <c r="V476" s="217">
        <f t="shared" si="65"/>
        <v>22118</v>
      </c>
      <c r="W476" s="217">
        <f>ROUND(AC476+(INDEX(Ref!B$1:B$9,MATCH($AI476,Ref!$A$1:$A$9,0))*P476*0.0001),)</f>
        <v>83</v>
      </c>
      <c r="X476" s="217">
        <f>ROUND(AD476+(INDEX(Ref!C$1:C$9,MATCH($AI476,Ref!$A$1:$A$9,0))*$P476*0.0001),)</f>
        <v>52</v>
      </c>
      <c r="Y476" s="217">
        <f>ROUND(AE476+(INDEX(Ref!D$1:D$9,MATCH($AI476,Ref!$A$1:$A$9,0))*$P476*0.0001),)</f>
        <v>84</v>
      </c>
      <c r="Z476" s="217">
        <f>ROUND(AF476+(INDEX(Ref!E$1:E$9,MATCH($AI476,Ref!$A$1:$A$9,0))*$P476*0.0001),)</f>
        <v>38</v>
      </c>
      <c r="AA476" s="217">
        <f>ROUND(AG476+(INDEX(Ref!F$1:F$9,MATCH($AI476,Ref!$A$1:$A$9,0))*$P476*0.0001),)</f>
        <v>45</v>
      </c>
      <c r="AB476" s="217">
        <f>ROUND(AH476+(INDEX(Ref!G$1:G$9,MATCH($AI476,Ref!$A$1:$A$9,0))*$P476*0.0001),)</f>
        <v>42</v>
      </c>
      <c r="AC476" s="137">
        <v>58.000000000000007</v>
      </c>
      <c r="AD476" s="137">
        <v>36</v>
      </c>
      <c r="AE476" s="137">
        <v>64</v>
      </c>
      <c r="AF476" s="137">
        <v>26</v>
      </c>
      <c r="AG476" s="137">
        <v>31</v>
      </c>
      <c r="AH476" s="137">
        <v>29</v>
      </c>
      <c r="AI476" s="208">
        <v>1</v>
      </c>
      <c r="AJ476" s="172">
        <v>3000</v>
      </c>
      <c r="AK476" s="172">
        <f t="shared" si="58"/>
        <v>30567</v>
      </c>
      <c r="AL476" s="172">
        <v>2000</v>
      </c>
      <c r="AM476" s="172">
        <f t="shared" si="59"/>
        <v>30570</v>
      </c>
      <c r="AN476" s="172">
        <v>0</v>
      </c>
      <c r="AO476" s="172">
        <f t="shared" si="66"/>
        <v>34567</v>
      </c>
      <c r="AP476" s="172">
        <v>0</v>
      </c>
      <c r="AQ476" s="172">
        <f t="shared" si="67"/>
        <v>34570</v>
      </c>
      <c r="AR476" s="172">
        <v>1</v>
      </c>
      <c r="AS476" s="172">
        <v>0</v>
      </c>
      <c r="AT476" s="195">
        <f t="shared" si="57"/>
        <v>78095</v>
      </c>
      <c r="AU476" s="195" t="s">
        <v>1033</v>
      </c>
    </row>
    <row r="477" spans="1:47" x14ac:dyDescent="0.2">
      <c r="A477" s="173">
        <f t="shared" si="56"/>
        <v>55096</v>
      </c>
      <c r="B477" s="174" t="s">
        <v>1012</v>
      </c>
      <c r="C477" s="172">
        <v>86096</v>
      </c>
      <c r="D477" s="172">
        <v>150096</v>
      </c>
      <c r="E477" s="206" t="s">
        <v>1036</v>
      </c>
      <c r="F477" s="208">
        <v>2</v>
      </c>
      <c r="G477" s="172">
        <v>10000</v>
      </c>
      <c r="H477" s="172">
        <v>10000</v>
      </c>
      <c r="I477" s="172">
        <v>10000</v>
      </c>
      <c r="J477" s="172">
        <v>1</v>
      </c>
      <c r="K477" s="190">
        <f>IF($J477=1,INDEX('큐펫&amp;몹 정리(최신)'!P:P,MATCH($E477,'큐펫&amp;몹 정리(최신)'!$B:$B,0))*20,IF($J477=2,INDEX('큐펫&amp;몹 정리(최신)'!P:P,MATCH($E477,'큐펫&amp;몹 정리(최신)'!$B:$B,0))*25,IF($J477=3,INDEX('큐펫&amp;몹 정리(최신)'!P:P,MATCH($E477,'큐펫&amp;몹 정리(최신)'!$B:$B,0))*30,IF($J477=4,INDEX('큐펫&amp;몹 정리(최신)'!P:P,MATCH($E477,'큐펫&amp;몹 정리(최신)'!$B:$B,0))*35,INDEX('큐펫&amp;몹 정리(최신)'!P:P,MATCH($E477,'큐펫&amp;몹 정리(최신)'!$B:$B,0))*40))))</f>
        <v>800</v>
      </c>
      <c r="L477" s="190">
        <f>IF($J477=1,INDEX('큐펫&amp;몹 정리(최신)'!Q:Q,MATCH($E477,'큐펫&amp;몹 정리(최신)'!$B:$B,0))*20,IF($J477=2,INDEX('큐펫&amp;몹 정리(최신)'!Q:Q,MATCH($E477,'큐펫&amp;몹 정리(최신)'!$B:$B,0))*25,IF($J477=3,INDEX('큐펫&amp;몹 정리(최신)'!Q:Q,MATCH($E477,'큐펫&amp;몹 정리(최신)'!$B:$B,0))*30,IF($J477=4,INDEX('큐펫&amp;몹 정리(최신)'!Q:Q,MATCH($E477,'큐펫&amp;몹 정리(최신)'!$B:$B,0))*35,INDEX('큐펫&amp;몹 정리(최신)'!Q:Q,MATCH($E477,'큐펫&amp;몹 정리(최신)'!$B:$B,0))*40))))</f>
        <v>100</v>
      </c>
      <c r="M477" s="190">
        <f>IF($J477=1,INDEX('큐펫&amp;몹 정리(최신)'!R:R,MATCH($E477,'큐펫&amp;몹 정리(최신)'!$B:$B,0))*20,IF($J477=2,INDEX('큐펫&amp;몹 정리(최신)'!R:R,MATCH($E477,'큐펫&amp;몹 정리(최신)'!$B:$B,0))*25,IF($J477=3,INDEX('큐펫&amp;몹 정리(최신)'!R:R,MATCH($E477,'큐펫&amp;몹 정리(최신)'!$B:$B,0))*30,IF($J477=4,INDEX('큐펫&amp;몹 정리(최신)'!R:R,MATCH($E477,'큐펫&amp;몹 정리(최신)'!$B:$B,0))*35,INDEX('큐펫&amp;몹 정리(최신)'!R:R,MATCH($E477,'큐펫&amp;몹 정리(최신)'!$B:$B,0))*40))))</f>
        <v>440</v>
      </c>
      <c r="N477" s="190">
        <f>IF($J477=1,INDEX('큐펫&amp;몹 정리(최신)'!S:S,MATCH($E477,'큐펫&amp;몹 정리(최신)'!$B:$B,0))*20,IF($J477=2,INDEX('큐펫&amp;몹 정리(최신)'!S:S,MATCH($E477,'큐펫&amp;몹 정리(최신)'!$B:$B,0))*25,IF($J477=3,INDEX('큐펫&amp;몹 정리(최신)'!S:S,MATCH($E477,'큐펫&amp;몹 정리(최신)'!$B:$B,0))*30,IF($J477=4,INDEX('큐펫&amp;몹 정리(최신)'!S:S,MATCH($E477,'큐펫&amp;몹 정리(최신)'!$B:$B,0))*35,INDEX('큐펫&amp;몹 정리(최신)'!S:S,MATCH($E477,'큐펫&amp;몹 정리(최신)'!$B:$B,0))*40))))</f>
        <v>240</v>
      </c>
      <c r="O477" s="190">
        <f>IF($J477=1,INDEX('큐펫&amp;몹 정리(최신)'!T:T,MATCH($E477,'큐펫&amp;몹 정리(최신)'!$B:$B,0))*20,IF($J477=2,INDEX('큐펫&amp;몹 정리(최신)'!T:T,MATCH($E477,'큐펫&amp;몹 정리(최신)'!$B:$B,0))*25,IF($J477=3,INDEX('큐펫&amp;몹 정리(최신)'!T:T,MATCH($E477,'큐펫&amp;몹 정리(최신)'!$B:$B,0))*30,IF($J477=4,INDEX('큐펫&amp;몹 정리(최신)'!T:T,MATCH($E477,'큐펫&amp;몹 정리(최신)'!$B:$B,0))*35,INDEX('큐펫&amp;몹 정리(최신)'!T:T,MATCH($E477,'큐펫&amp;몹 정리(최신)'!$B:$B,0))*40))))</f>
        <v>420</v>
      </c>
      <c r="P477" s="217">
        <v>20</v>
      </c>
      <c r="Q477" s="217">
        <f t="shared" si="60"/>
        <v>28320</v>
      </c>
      <c r="R477" s="217">
        <f t="shared" si="61"/>
        <v>418</v>
      </c>
      <c r="S477" s="217">
        <f t="shared" si="62"/>
        <v>593</v>
      </c>
      <c r="T477" s="217">
        <f t="shared" si="63"/>
        <v>8239</v>
      </c>
      <c r="U477" s="217">
        <f t="shared" si="64"/>
        <v>8646</v>
      </c>
      <c r="V477" s="217">
        <f t="shared" si="65"/>
        <v>7603</v>
      </c>
      <c r="W477" s="217">
        <f>ROUND(AC477+(INDEX(Ref!B$1:B$9,MATCH($AI477,Ref!$A$1:$A$9,0))*P477*0.0001),)</f>
        <v>19</v>
      </c>
      <c r="X477" s="217">
        <f>ROUND(AD477+(INDEX(Ref!C$1:C$9,MATCH($AI477,Ref!$A$1:$A$9,0))*$P477*0.0001),)</f>
        <v>26</v>
      </c>
      <c r="Y477" s="217">
        <f>ROUND(AE477+(INDEX(Ref!D$1:D$9,MATCH($AI477,Ref!$A$1:$A$9,0))*$P477*0.0001),)</f>
        <v>52</v>
      </c>
      <c r="Z477" s="217">
        <f>ROUND(AF477+(INDEX(Ref!E$1:E$9,MATCH($AI477,Ref!$A$1:$A$9,0))*$P477*0.0001),)</f>
        <v>43</v>
      </c>
      <c r="AA477" s="217">
        <f>ROUND(AG477+(INDEX(Ref!F$1:F$9,MATCH($AI477,Ref!$A$1:$A$9,0))*$P477*0.0001),)</f>
        <v>23</v>
      </c>
      <c r="AB477" s="217">
        <f>ROUND(AH477+(INDEX(Ref!G$1:G$9,MATCH($AI477,Ref!$A$1:$A$9,0))*$P477*0.0001),)</f>
        <v>21</v>
      </c>
      <c r="AC477" s="137">
        <v>17</v>
      </c>
      <c r="AD477" s="137">
        <v>23</v>
      </c>
      <c r="AE477" s="137">
        <v>48</v>
      </c>
      <c r="AF477" s="137">
        <v>38</v>
      </c>
      <c r="AG477" s="137">
        <v>20</v>
      </c>
      <c r="AH477" s="137">
        <v>18</v>
      </c>
      <c r="AI477" s="208">
        <v>2</v>
      </c>
      <c r="AJ477" s="172">
        <v>3000</v>
      </c>
      <c r="AK477" s="172">
        <f t="shared" si="58"/>
        <v>30571</v>
      </c>
      <c r="AL477" s="172">
        <v>2000</v>
      </c>
      <c r="AM477" s="172">
        <f t="shared" si="59"/>
        <v>30574</v>
      </c>
      <c r="AN477" s="172">
        <v>0</v>
      </c>
      <c r="AO477" s="172">
        <f t="shared" si="66"/>
        <v>34571</v>
      </c>
      <c r="AP477" s="172">
        <v>0</v>
      </c>
      <c r="AQ477" s="172">
        <f t="shared" si="67"/>
        <v>34574</v>
      </c>
      <c r="AR477" s="172">
        <v>1</v>
      </c>
      <c r="AS477" s="172">
        <v>0</v>
      </c>
      <c r="AT477" s="195">
        <f t="shared" si="57"/>
        <v>78096</v>
      </c>
      <c r="AU477" s="195" t="s">
        <v>1034</v>
      </c>
    </row>
    <row r="478" spans="1:47" x14ac:dyDescent="0.2">
      <c r="A478" s="173">
        <f t="shared" si="56"/>
        <v>55096</v>
      </c>
      <c r="B478" s="174" t="s">
        <v>1012</v>
      </c>
      <c r="C478" s="172">
        <v>86096</v>
      </c>
      <c r="D478" s="172">
        <v>150096</v>
      </c>
      <c r="E478" s="206" t="s">
        <v>1036</v>
      </c>
      <c r="F478" s="208">
        <v>2</v>
      </c>
      <c r="G478" s="172">
        <v>10000</v>
      </c>
      <c r="H478" s="172">
        <v>10000</v>
      </c>
      <c r="I478" s="172">
        <v>10000</v>
      </c>
      <c r="J478" s="172">
        <v>2</v>
      </c>
      <c r="K478" s="190">
        <f>IF($J478=1,INDEX('큐펫&amp;몹 정리(최신)'!P:P,MATCH($E478,'큐펫&amp;몹 정리(최신)'!$B:$B,0))*20,IF($J478=2,INDEX('큐펫&amp;몹 정리(최신)'!P:P,MATCH($E478,'큐펫&amp;몹 정리(최신)'!$B:$B,0))*25,IF($J478=3,INDEX('큐펫&amp;몹 정리(최신)'!P:P,MATCH($E478,'큐펫&amp;몹 정리(최신)'!$B:$B,0))*30,IF($J478=4,INDEX('큐펫&amp;몹 정리(최신)'!P:P,MATCH($E478,'큐펫&amp;몹 정리(최신)'!$B:$B,0))*35,INDEX('큐펫&amp;몹 정리(최신)'!P:P,MATCH($E478,'큐펫&amp;몹 정리(최신)'!$B:$B,0))*40))))</f>
        <v>1000</v>
      </c>
      <c r="L478" s="190">
        <f>IF($J478=1,INDEX('큐펫&amp;몹 정리(최신)'!Q:Q,MATCH($E478,'큐펫&amp;몹 정리(최신)'!$B:$B,0))*20,IF($J478=2,INDEX('큐펫&amp;몹 정리(최신)'!Q:Q,MATCH($E478,'큐펫&amp;몹 정리(최신)'!$B:$B,0))*25,IF($J478=3,INDEX('큐펫&amp;몹 정리(최신)'!Q:Q,MATCH($E478,'큐펫&amp;몹 정리(최신)'!$B:$B,0))*30,IF($J478=4,INDEX('큐펫&amp;몹 정리(최신)'!Q:Q,MATCH($E478,'큐펫&amp;몹 정리(최신)'!$B:$B,0))*35,INDEX('큐펫&amp;몹 정리(최신)'!Q:Q,MATCH($E478,'큐펫&amp;몹 정리(최신)'!$B:$B,0))*40))))</f>
        <v>125</v>
      </c>
      <c r="M478" s="190">
        <f>IF($J478=1,INDEX('큐펫&amp;몹 정리(최신)'!R:R,MATCH($E478,'큐펫&amp;몹 정리(최신)'!$B:$B,0))*20,IF($J478=2,INDEX('큐펫&amp;몹 정리(최신)'!R:R,MATCH($E478,'큐펫&amp;몹 정리(최신)'!$B:$B,0))*25,IF($J478=3,INDEX('큐펫&amp;몹 정리(최신)'!R:R,MATCH($E478,'큐펫&amp;몹 정리(최신)'!$B:$B,0))*30,IF($J478=4,INDEX('큐펫&amp;몹 정리(최신)'!R:R,MATCH($E478,'큐펫&amp;몹 정리(최신)'!$B:$B,0))*35,INDEX('큐펫&amp;몹 정리(최신)'!R:R,MATCH($E478,'큐펫&amp;몹 정리(최신)'!$B:$B,0))*40))))</f>
        <v>550</v>
      </c>
      <c r="N478" s="190">
        <f>IF($J478=1,INDEX('큐펫&amp;몹 정리(최신)'!S:S,MATCH($E478,'큐펫&amp;몹 정리(최신)'!$B:$B,0))*20,IF($J478=2,INDEX('큐펫&amp;몹 정리(최신)'!S:S,MATCH($E478,'큐펫&amp;몹 정리(최신)'!$B:$B,0))*25,IF($J478=3,INDEX('큐펫&amp;몹 정리(최신)'!S:S,MATCH($E478,'큐펫&amp;몹 정리(최신)'!$B:$B,0))*30,IF($J478=4,INDEX('큐펫&amp;몹 정리(최신)'!S:S,MATCH($E478,'큐펫&amp;몹 정리(최신)'!$B:$B,0))*35,INDEX('큐펫&amp;몹 정리(최신)'!S:S,MATCH($E478,'큐펫&amp;몹 정리(최신)'!$B:$B,0))*40))))</f>
        <v>300</v>
      </c>
      <c r="O478" s="190">
        <f>IF($J478=1,INDEX('큐펫&amp;몹 정리(최신)'!T:T,MATCH($E478,'큐펫&amp;몹 정리(최신)'!$B:$B,0))*20,IF($J478=2,INDEX('큐펫&amp;몹 정리(최신)'!T:T,MATCH($E478,'큐펫&amp;몹 정리(최신)'!$B:$B,0))*25,IF($J478=3,INDEX('큐펫&amp;몹 정리(최신)'!T:T,MATCH($E478,'큐펫&amp;몹 정리(최신)'!$B:$B,0))*30,IF($J478=4,INDEX('큐펫&amp;몹 정리(최신)'!T:T,MATCH($E478,'큐펫&amp;몹 정리(최신)'!$B:$B,0))*35,INDEX('큐펫&amp;몹 정리(최신)'!T:T,MATCH($E478,'큐펫&amp;몹 정리(최신)'!$B:$B,0))*40))))</f>
        <v>525</v>
      </c>
      <c r="P478" s="217">
        <v>40</v>
      </c>
      <c r="Q478" s="217">
        <f t="shared" si="60"/>
        <v>69000</v>
      </c>
      <c r="R478" s="217">
        <f t="shared" si="61"/>
        <v>800</v>
      </c>
      <c r="S478" s="217">
        <f t="shared" si="62"/>
        <v>1140</v>
      </c>
      <c r="T478" s="217">
        <f t="shared" si="63"/>
        <v>15585</v>
      </c>
      <c r="U478" s="217">
        <f t="shared" si="64"/>
        <v>15009</v>
      </c>
      <c r="V478" s="217">
        <f t="shared" si="65"/>
        <v>13178</v>
      </c>
      <c r="W478" s="217">
        <f>ROUND(AC478+(INDEX(Ref!B$1:B$9,MATCH($AI478,Ref!$A$1:$A$9,0))*P478*0.0001),)</f>
        <v>24</v>
      </c>
      <c r="X478" s="217">
        <f>ROUND(AD478+(INDEX(Ref!C$1:C$9,MATCH($AI478,Ref!$A$1:$A$9,0))*$P478*0.0001),)</f>
        <v>32</v>
      </c>
      <c r="Y478" s="217">
        <f>ROUND(AE478+(INDEX(Ref!D$1:D$9,MATCH($AI478,Ref!$A$1:$A$9,0))*$P478*0.0001),)</f>
        <v>60</v>
      </c>
      <c r="Z478" s="217">
        <f>ROUND(AF478+(INDEX(Ref!E$1:E$9,MATCH($AI478,Ref!$A$1:$A$9,0))*$P478*0.0001),)</f>
        <v>53</v>
      </c>
      <c r="AA478" s="217">
        <f>ROUND(AG478+(INDEX(Ref!F$1:F$9,MATCH($AI478,Ref!$A$1:$A$9,0))*$P478*0.0001),)</f>
        <v>29</v>
      </c>
      <c r="AB478" s="217">
        <f>ROUND(AH478+(INDEX(Ref!G$1:G$9,MATCH($AI478,Ref!$A$1:$A$9,0))*$P478*0.0001),)</f>
        <v>26</v>
      </c>
      <c r="AC478" s="137">
        <v>19</v>
      </c>
      <c r="AD478" s="137">
        <v>26</v>
      </c>
      <c r="AE478" s="137">
        <v>52</v>
      </c>
      <c r="AF478" s="137">
        <v>43</v>
      </c>
      <c r="AG478" s="137">
        <v>23</v>
      </c>
      <c r="AH478" s="137">
        <v>21</v>
      </c>
      <c r="AI478" s="208">
        <v>2</v>
      </c>
      <c r="AJ478" s="172">
        <v>3000</v>
      </c>
      <c r="AK478" s="172">
        <f t="shared" si="58"/>
        <v>30572</v>
      </c>
      <c r="AL478" s="172">
        <v>2000</v>
      </c>
      <c r="AM478" s="172">
        <f t="shared" si="59"/>
        <v>30574</v>
      </c>
      <c r="AN478" s="172">
        <v>0</v>
      </c>
      <c r="AO478" s="172">
        <f t="shared" si="66"/>
        <v>34572</v>
      </c>
      <c r="AP478" s="172">
        <v>0</v>
      </c>
      <c r="AQ478" s="172">
        <f t="shared" si="67"/>
        <v>34574</v>
      </c>
      <c r="AR478" s="172">
        <v>1</v>
      </c>
      <c r="AS478" s="172">
        <v>0</v>
      </c>
      <c r="AT478" s="195">
        <f t="shared" si="57"/>
        <v>78096</v>
      </c>
      <c r="AU478" s="195" t="s">
        <v>1034</v>
      </c>
    </row>
    <row r="479" spans="1:47" x14ac:dyDescent="0.2">
      <c r="A479" s="173">
        <f t="shared" si="56"/>
        <v>55096</v>
      </c>
      <c r="B479" s="174" t="s">
        <v>1012</v>
      </c>
      <c r="C479" s="172">
        <v>86096</v>
      </c>
      <c r="D479" s="172">
        <v>150096</v>
      </c>
      <c r="E479" s="206" t="s">
        <v>1036</v>
      </c>
      <c r="F479" s="208">
        <v>2</v>
      </c>
      <c r="G479" s="172">
        <v>10000</v>
      </c>
      <c r="H479" s="172">
        <v>10000</v>
      </c>
      <c r="I479" s="172">
        <v>10000</v>
      </c>
      <c r="J479" s="172">
        <v>3</v>
      </c>
      <c r="K479" s="190">
        <f>IF($J479=1,INDEX('큐펫&amp;몹 정리(최신)'!P:P,MATCH($E479,'큐펫&amp;몹 정리(최신)'!$B:$B,0))*20,IF($J479=2,INDEX('큐펫&amp;몹 정리(최신)'!P:P,MATCH($E479,'큐펫&amp;몹 정리(최신)'!$B:$B,0))*25,IF($J479=3,INDEX('큐펫&amp;몹 정리(최신)'!P:P,MATCH($E479,'큐펫&amp;몹 정리(최신)'!$B:$B,0))*30,IF($J479=4,INDEX('큐펫&amp;몹 정리(최신)'!P:P,MATCH($E479,'큐펫&amp;몹 정리(최신)'!$B:$B,0))*35,INDEX('큐펫&amp;몹 정리(최신)'!P:P,MATCH($E479,'큐펫&amp;몹 정리(최신)'!$B:$B,0))*40))))</f>
        <v>1200</v>
      </c>
      <c r="L479" s="190">
        <f>IF($J479=1,INDEX('큐펫&amp;몹 정리(최신)'!Q:Q,MATCH($E479,'큐펫&amp;몹 정리(최신)'!$B:$B,0))*20,IF($J479=2,INDEX('큐펫&amp;몹 정리(최신)'!Q:Q,MATCH($E479,'큐펫&amp;몹 정리(최신)'!$B:$B,0))*25,IF($J479=3,INDEX('큐펫&amp;몹 정리(최신)'!Q:Q,MATCH($E479,'큐펫&amp;몹 정리(최신)'!$B:$B,0))*30,IF($J479=4,INDEX('큐펫&amp;몹 정리(최신)'!Q:Q,MATCH($E479,'큐펫&amp;몹 정리(최신)'!$B:$B,0))*35,INDEX('큐펫&amp;몹 정리(최신)'!Q:Q,MATCH($E479,'큐펫&amp;몹 정리(최신)'!$B:$B,0))*40))))</f>
        <v>150</v>
      </c>
      <c r="M479" s="190">
        <f>IF($J479=1,INDEX('큐펫&amp;몹 정리(최신)'!R:R,MATCH($E479,'큐펫&amp;몹 정리(최신)'!$B:$B,0))*20,IF($J479=2,INDEX('큐펫&amp;몹 정리(최신)'!R:R,MATCH($E479,'큐펫&amp;몹 정리(최신)'!$B:$B,0))*25,IF($J479=3,INDEX('큐펫&amp;몹 정리(최신)'!R:R,MATCH($E479,'큐펫&amp;몹 정리(최신)'!$B:$B,0))*30,IF($J479=4,INDEX('큐펫&amp;몹 정리(최신)'!R:R,MATCH($E479,'큐펫&amp;몹 정리(최신)'!$B:$B,0))*35,INDEX('큐펫&amp;몹 정리(최신)'!R:R,MATCH($E479,'큐펫&amp;몹 정리(최신)'!$B:$B,0))*40))))</f>
        <v>660</v>
      </c>
      <c r="N479" s="190">
        <f>IF($J479=1,INDEX('큐펫&amp;몹 정리(최신)'!S:S,MATCH($E479,'큐펫&amp;몹 정리(최신)'!$B:$B,0))*20,IF($J479=2,INDEX('큐펫&amp;몹 정리(최신)'!S:S,MATCH($E479,'큐펫&amp;몹 정리(최신)'!$B:$B,0))*25,IF($J479=3,INDEX('큐펫&amp;몹 정리(최신)'!S:S,MATCH($E479,'큐펫&amp;몹 정리(최신)'!$B:$B,0))*30,IF($J479=4,INDEX('큐펫&amp;몹 정리(최신)'!S:S,MATCH($E479,'큐펫&amp;몹 정리(최신)'!$B:$B,0))*35,INDEX('큐펫&amp;몹 정리(최신)'!S:S,MATCH($E479,'큐펫&amp;몹 정리(최신)'!$B:$B,0))*40))))</f>
        <v>360</v>
      </c>
      <c r="O479" s="190">
        <f>IF($J479=1,INDEX('큐펫&amp;몹 정리(최신)'!T:T,MATCH($E479,'큐펫&amp;몹 정리(최신)'!$B:$B,0))*20,IF($J479=2,INDEX('큐펫&amp;몹 정리(최신)'!T:T,MATCH($E479,'큐펫&amp;몹 정리(최신)'!$B:$B,0))*25,IF($J479=3,INDEX('큐펫&amp;몹 정리(최신)'!T:T,MATCH($E479,'큐펫&amp;몹 정리(최신)'!$B:$B,0))*30,IF($J479=4,INDEX('큐펫&amp;몹 정리(최신)'!T:T,MATCH($E479,'큐펫&amp;몹 정리(최신)'!$B:$B,0))*35,INDEX('큐펫&amp;몹 정리(최신)'!T:T,MATCH($E479,'큐펫&amp;몹 정리(최신)'!$B:$B,0))*40))))</f>
        <v>630</v>
      </c>
      <c r="P479" s="217">
        <v>60</v>
      </c>
      <c r="Q479" s="217">
        <f t="shared" si="60"/>
        <v>126960</v>
      </c>
      <c r="R479" s="217">
        <f t="shared" si="61"/>
        <v>1276</v>
      </c>
      <c r="S479" s="217">
        <f t="shared" si="62"/>
        <v>1845</v>
      </c>
      <c r="T479" s="217">
        <f t="shared" si="63"/>
        <v>26363</v>
      </c>
      <c r="U479" s="217">
        <f t="shared" si="64"/>
        <v>23051</v>
      </c>
      <c r="V479" s="217">
        <f t="shared" si="65"/>
        <v>20223</v>
      </c>
      <c r="W479" s="217">
        <f>ROUND(AC479+(INDEX(Ref!B$1:B$9,MATCH($AI479,Ref!$A$1:$A$9,0))*P479*0.0001),)</f>
        <v>28</v>
      </c>
      <c r="X479" s="217">
        <f>ROUND(AD479+(INDEX(Ref!C$1:C$9,MATCH($AI479,Ref!$A$1:$A$9,0))*$P479*0.0001),)</f>
        <v>40</v>
      </c>
      <c r="Y479" s="217">
        <f>ROUND(AE479+(INDEX(Ref!D$1:D$9,MATCH($AI479,Ref!$A$1:$A$9,0))*$P479*0.0001),)</f>
        <v>68</v>
      </c>
      <c r="Z479" s="217">
        <f>ROUND(AF479+(INDEX(Ref!E$1:E$9,MATCH($AI479,Ref!$A$1:$A$9,0))*$P479*0.0001),)</f>
        <v>63</v>
      </c>
      <c r="AA479" s="217">
        <f>ROUND(AG479+(INDEX(Ref!F$1:F$9,MATCH($AI479,Ref!$A$1:$A$9,0))*$P479*0.0001),)</f>
        <v>34</v>
      </c>
      <c r="AB479" s="217">
        <f>ROUND(AH479+(INDEX(Ref!G$1:G$9,MATCH($AI479,Ref!$A$1:$A$9,0))*$P479*0.0001),)</f>
        <v>31</v>
      </c>
      <c r="AC479" s="137">
        <v>21</v>
      </c>
      <c r="AD479" s="137">
        <v>30</v>
      </c>
      <c r="AE479" s="137">
        <v>56</v>
      </c>
      <c r="AF479" s="137">
        <v>48.000000000000007</v>
      </c>
      <c r="AG479" s="137">
        <v>26</v>
      </c>
      <c r="AH479" s="137">
        <v>23</v>
      </c>
      <c r="AI479" s="208">
        <v>2</v>
      </c>
      <c r="AJ479" s="172">
        <v>3000</v>
      </c>
      <c r="AK479" s="172">
        <f t="shared" si="58"/>
        <v>30572</v>
      </c>
      <c r="AL479" s="172">
        <v>2000</v>
      </c>
      <c r="AM479" s="172">
        <f t="shared" si="59"/>
        <v>30575</v>
      </c>
      <c r="AN479" s="172">
        <v>0</v>
      </c>
      <c r="AO479" s="172">
        <f t="shared" si="66"/>
        <v>34572</v>
      </c>
      <c r="AP479" s="172">
        <v>0</v>
      </c>
      <c r="AQ479" s="172">
        <f t="shared" si="67"/>
        <v>34575</v>
      </c>
      <c r="AR479" s="172">
        <v>1</v>
      </c>
      <c r="AS479" s="172">
        <v>0</v>
      </c>
      <c r="AT479" s="195">
        <f t="shared" si="57"/>
        <v>78096</v>
      </c>
      <c r="AU479" s="195" t="s">
        <v>1034</v>
      </c>
    </row>
    <row r="480" spans="1:47" x14ac:dyDescent="0.2">
      <c r="A480" s="173">
        <f t="shared" si="56"/>
        <v>55096</v>
      </c>
      <c r="B480" s="174" t="s">
        <v>1012</v>
      </c>
      <c r="C480" s="172">
        <v>86096</v>
      </c>
      <c r="D480" s="172">
        <v>150096</v>
      </c>
      <c r="E480" s="206" t="s">
        <v>1036</v>
      </c>
      <c r="F480" s="208">
        <v>2</v>
      </c>
      <c r="G480" s="172">
        <v>10000</v>
      </c>
      <c r="H480" s="172">
        <v>10000</v>
      </c>
      <c r="I480" s="172">
        <v>10000</v>
      </c>
      <c r="J480" s="172">
        <v>4</v>
      </c>
      <c r="K480" s="190">
        <f>IF($J480=1,INDEX('큐펫&amp;몹 정리(최신)'!P:P,MATCH($E480,'큐펫&amp;몹 정리(최신)'!$B:$B,0))*20,IF($J480=2,INDEX('큐펫&amp;몹 정리(최신)'!P:P,MATCH($E480,'큐펫&amp;몹 정리(최신)'!$B:$B,0))*25,IF($J480=3,INDEX('큐펫&amp;몹 정리(최신)'!P:P,MATCH($E480,'큐펫&amp;몹 정리(최신)'!$B:$B,0))*30,IF($J480=4,INDEX('큐펫&amp;몹 정리(최신)'!P:P,MATCH($E480,'큐펫&amp;몹 정리(최신)'!$B:$B,0))*35,INDEX('큐펫&amp;몹 정리(최신)'!P:P,MATCH($E480,'큐펫&amp;몹 정리(최신)'!$B:$B,0))*40))))</f>
        <v>1400</v>
      </c>
      <c r="L480" s="190">
        <f>IF($J480=1,INDEX('큐펫&amp;몹 정리(최신)'!Q:Q,MATCH($E480,'큐펫&amp;몹 정리(최신)'!$B:$B,0))*20,IF($J480=2,INDEX('큐펫&amp;몹 정리(최신)'!Q:Q,MATCH($E480,'큐펫&amp;몹 정리(최신)'!$B:$B,0))*25,IF($J480=3,INDEX('큐펫&amp;몹 정리(최신)'!Q:Q,MATCH($E480,'큐펫&amp;몹 정리(최신)'!$B:$B,0))*30,IF($J480=4,INDEX('큐펫&amp;몹 정리(최신)'!Q:Q,MATCH($E480,'큐펫&amp;몹 정리(최신)'!$B:$B,0))*35,INDEX('큐펫&amp;몹 정리(최신)'!Q:Q,MATCH($E480,'큐펫&amp;몹 정리(최신)'!$B:$B,0))*40))))</f>
        <v>175</v>
      </c>
      <c r="M480" s="190">
        <f>IF($J480=1,INDEX('큐펫&amp;몹 정리(최신)'!R:R,MATCH($E480,'큐펫&amp;몹 정리(최신)'!$B:$B,0))*20,IF($J480=2,INDEX('큐펫&amp;몹 정리(최신)'!R:R,MATCH($E480,'큐펫&amp;몹 정리(최신)'!$B:$B,0))*25,IF($J480=3,INDEX('큐펫&amp;몹 정리(최신)'!R:R,MATCH($E480,'큐펫&amp;몹 정리(최신)'!$B:$B,0))*30,IF($J480=4,INDEX('큐펫&amp;몹 정리(최신)'!R:R,MATCH($E480,'큐펫&amp;몹 정리(최신)'!$B:$B,0))*35,INDEX('큐펫&amp;몹 정리(최신)'!R:R,MATCH($E480,'큐펫&amp;몹 정리(최신)'!$B:$B,0))*40))))</f>
        <v>770</v>
      </c>
      <c r="N480" s="190">
        <f>IF($J480=1,INDEX('큐펫&amp;몹 정리(최신)'!S:S,MATCH($E480,'큐펫&amp;몹 정리(최신)'!$B:$B,0))*20,IF($J480=2,INDEX('큐펫&amp;몹 정리(최신)'!S:S,MATCH($E480,'큐펫&amp;몹 정리(최신)'!$B:$B,0))*25,IF($J480=3,INDEX('큐펫&amp;몹 정리(최신)'!S:S,MATCH($E480,'큐펫&amp;몹 정리(최신)'!$B:$B,0))*30,IF($J480=4,INDEX('큐펫&amp;몹 정리(최신)'!S:S,MATCH($E480,'큐펫&amp;몹 정리(최신)'!$B:$B,0))*35,INDEX('큐펫&amp;몹 정리(최신)'!S:S,MATCH($E480,'큐펫&amp;몹 정리(최신)'!$B:$B,0))*40))))</f>
        <v>420</v>
      </c>
      <c r="O480" s="190">
        <f>IF($J480=1,INDEX('큐펫&amp;몹 정리(최신)'!T:T,MATCH($E480,'큐펫&amp;몹 정리(최신)'!$B:$B,0))*20,IF($J480=2,INDEX('큐펫&amp;몹 정리(최신)'!T:T,MATCH($E480,'큐펫&amp;몹 정리(최신)'!$B:$B,0))*25,IF($J480=3,INDEX('큐펫&amp;몹 정리(최신)'!T:T,MATCH($E480,'큐펫&amp;몹 정리(최신)'!$B:$B,0))*30,IF($J480=4,INDEX('큐펫&amp;몹 정리(최신)'!T:T,MATCH($E480,'큐펫&amp;몹 정리(최신)'!$B:$B,0))*35,INDEX('큐펫&amp;몹 정리(최신)'!T:T,MATCH($E480,'큐펫&amp;몹 정리(최신)'!$B:$B,0))*40))))</f>
        <v>735</v>
      </c>
      <c r="P480" s="217">
        <v>80</v>
      </c>
      <c r="Q480" s="217">
        <f t="shared" si="60"/>
        <v>204120</v>
      </c>
      <c r="R480" s="217">
        <f t="shared" si="61"/>
        <v>2147</v>
      </c>
      <c r="S480" s="217">
        <f t="shared" si="62"/>
        <v>2795</v>
      </c>
      <c r="T480" s="217">
        <f t="shared" si="63"/>
        <v>41233</v>
      </c>
      <c r="U480" s="217">
        <f t="shared" si="64"/>
        <v>32772</v>
      </c>
      <c r="V480" s="217">
        <f t="shared" si="65"/>
        <v>28738</v>
      </c>
      <c r="W480" s="217">
        <f>ROUND(AC480+(INDEX(Ref!B$1:B$9,MATCH($AI480,Ref!$A$1:$A$9,0))*P480*0.0001),)</f>
        <v>34</v>
      </c>
      <c r="X480" s="217">
        <f>ROUND(AD480+(INDEX(Ref!C$1:C$9,MATCH($AI480,Ref!$A$1:$A$9,0))*$P480*0.0001),)</f>
        <v>46</v>
      </c>
      <c r="Y480" s="217">
        <f>ROUND(AE480+(INDEX(Ref!D$1:D$9,MATCH($AI480,Ref!$A$1:$A$9,0))*$P480*0.0001),)</f>
        <v>76</v>
      </c>
      <c r="Z480" s="217">
        <f>ROUND(AF480+(INDEX(Ref!E$1:E$9,MATCH($AI480,Ref!$A$1:$A$9,0))*$P480*0.0001),)</f>
        <v>73</v>
      </c>
      <c r="AA480" s="217">
        <f>ROUND(AG480+(INDEX(Ref!F$1:F$9,MATCH($AI480,Ref!$A$1:$A$9,0))*$P480*0.0001),)</f>
        <v>39</v>
      </c>
      <c r="AB480" s="217">
        <f>ROUND(AH480+(INDEX(Ref!G$1:G$9,MATCH($AI480,Ref!$A$1:$A$9,0))*$P480*0.0001),)</f>
        <v>36</v>
      </c>
      <c r="AC480" s="137">
        <v>24</v>
      </c>
      <c r="AD480" s="137">
        <v>33</v>
      </c>
      <c r="AE480" s="137">
        <v>60</v>
      </c>
      <c r="AF480" s="137">
        <v>53</v>
      </c>
      <c r="AG480" s="137">
        <v>28</v>
      </c>
      <c r="AH480" s="137">
        <v>26</v>
      </c>
      <c r="AI480" s="208">
        <v>2</v>
      </c>
      <c r="AJ480" s="172">
        <v>3000</v>
      </c>
      <c r="AK480" s="172">
        <f t="shared" si="58"/>
        <v>30573</v>
      </c>
      <c r="AL480" s="172">
        <v>2000</v>
      </c>
      <c r="AM480" s="172">
        <f t="shared" si="59"/>
        <v>30575</v>
      </c>
      <c r="AN480" s="172">
        <v>0</v>
      </c>
      <c r="AO480" s="172">
        <f t="shared" si="66"/>
        <v>34573</v>
      </c>
      <c r="AP480" s="172">
        <v>0</v>
      </c>
      <c r="AQ480" s="172">
        <f t="shared" si="67"/>
        <v>34575</v>
      </c>
      <c r="AR480" s="172">
        <v>1</v>
      </c>
      <c r="AS480" s="172">
        <v>0</v>
      </c>
      <c r="AT480" s="195">
        <f t="shared" si="57"/>
        <v>78096</v>
      </c>
      <c r="AU480" s="195" t="s">
        <v>1034</v>
      </c>
    </row>
    <row r="481" spans="1:47" x14ac:dyDescent="0.2">
      <c r="A481" s="173">
        <f t="shared" si="56"/>
        <v>55096</v>
      </c>
      <c r="B481" s="174" t="s">
        <v>1012</v>
      </c>
      <c r="C481" s="172">
        <v>86096</v>
      </c>
      <c r="D481" s="172">
        <v>150096</v>
      </c>
      <c r="E481" s="206" t="s">
        <v>1036</v>
      </c>
      <c r="F481" s="208">
        <v>2</v>
      </c>
      <c r="G481" s="172">
        <v>10000</v>
      </c>
      <c r="H481" s="172">
        <v>10000</v>
      </c>
      <c r="I481" s="172">
        <v>10000</v>
      </c>
      <c r="J481" s="172">
        <v>5</v>
      </c>
      <c r="K481" s="190">
        <f>IF($J481=1,INDEX('큐펫&amp;몹 정리(최신)'!P:P,MATCH($E481,'큐펫&amp;몹 정리(최신)'!$B:$B,0))*20,IF($J481=2,INDEX('큐펫&amp;몹 정리(최신)'!P:P,MATCH($E481,'큐펫&amp;몹 정리(최신)'!$B:$B,0))*25,IF($J481=3,INDEX('큐펫&amp;몹 정리(최신)'!P:P,MATCH($E481,'큐펫&amp;몹 정리(최신)'!$B:$B,0))*30,IF($J481=4,INDEX('큐펫&amp;몹 정리(최신)'!P:P,MATCH($E481,'큐펫&amp;몹 정리(최신)'!$B:$B,0))*35,INDEX('큐펫&amp;몹 정리(최신)'!P:P,MATCH($E481,'큐펫&amp;몹 정리(최신)'!$B:$B,0))*40))))</f>
        <v>1600</v>
      </c>
      <c r="L481" s="190">
        <f>IF($J481=1,INDEX('큐펫&amp;몹 정리(최신)'!Q:Q,MATCH($E481,'큐펫&amp;몹 정리(최신)'!$B:$B,0))*20,IF($J481=2,INDEX('큐펫&amp;몹 정리(최신)'!Q:Q,MATCH($E481,'큐펫&amp;몹 정리(최신)'!$B:$B,0))*25,IF($J481=3,INDEX('큐펫&amp;몹 정리(최신)'!Q:Q,MATCH($E481,'큐펫&amp;몹 정리(최신)'!$B:$B,0))*30,IF($J481=4,INDEX('큐펫&amp;몹 정리(최신)'!Q:Q,MATCH($E481,'큐펫&amp;몹 정리(최신)'!$B:$B,0))*35,INDEX('큐펫&amp;몹 정리(최신)'!Q:Q,MATCH($E481,'큐펫&amp;몹 정리(최신)'!$B:$B,0))*40))))</f>
        <v>200</v>
      </c>
      <c r="M481" s="190">
        <f>IF($J481=1,INDEX('큐펫&amp;몹 정리(최신)'!R:R,MATCH($E481,'큐펫&amp;몹 정리(최신)'!$B:$B,0))*20,IF($J481=2,INDEX('큐펫&amp;몹 정리(최신)'!R:R,MATCH($E481,'큐펫&amp;몹 정리(최신)'!$B:$B,0))*25,IF($J481=3,INDEX('큐펫&amp;몹 정리(최신)'!R:R,MATCH($E481,'큐펫&amp;몹 정리(최신)'!$B:$B,0))*30,IF($J481=4,INDEX('큐펫&amp;몹 정리(최신)'!R:R,MATCH($E481,'큐펫&amp;몹 정리(최신)'!$B:$B,0))*35,INDEX('큐펫&amp;몹 정리(최신)'!R:R,MATCH($E481,'큐펫&amp;몹 정리(최신)'!$B:$B,0))*40))))</f>
        <v>880</v>
      </c>
      <c r="N481" s="190">
        <f>IF($J481=1,INDEX('큐펫&amp;몹 정리(최신)'!S:S,MATCH($E481,'큐펫&amp;몹 정리(최신)'!$B:$B,0))*20,IF($J481=2,INDEX('큐펫&amp;몹 정리(최신)'!S:S,MATCH($E481,'큐펫&amp;몹 정리(최신)'!$B:$B,0))*25,IF($J481=3,INDEX('큐펫&amp;몹 정리(최신)'!S:S,MATCH($E481,'큐펫&amp;몹 정리(최신)'!$B:$B,0))*30,IF($J481=4,INDEX('큐펫&amp;몹 정리(최신)'!S:S,MATCH($E481,'큐펫&amp;몹 정리(최신)'!$B:$B,0))*35,INDEX('큐펫&amp;몹 정리(최신)'!S:S,MATCH($E481,'큐펫&amp;몹 정리(최신)'!$B:$B,0))*40))))</f>
        <v>480</v>
      </c>
      <c r="O481" s="190">
        <f>IF($J481=1,INDEX('큐펫&amp;몹 정리(최신)'!T:T,MATCH($E481,'큐펫&amp;몹 정리(최신)'!$B:$B,0))*20,IF($J481=2,INDEX('큐펫&amp;몹 정리(최신)'!T:T,MATCH($E481,'큐펫&amp;몹 정리(최신)'!$B:$B,0))*25,IF($J481=3,INDEX('큐펫&amp;몹 정리(최신)'!T:T,MATCH($E481,'큐펫&amp;몹 정리(최신)'!$B:$B,0))*30,IF($J481=4,INDEX('큐펫&amp;몹 정리(최신)'!T:T,MATCH($E481,'큐펫&amp;몹 정리(최신)'!$B:$B,0))*35,INDEX('큐펫&amp;몹 정리(최신)'!T:T,MATCH($E481,'큐펫&amp;몹 정리(최신)'!$B:$B,0))*40))))</f>
        <v>840</v>
      </c>
      <c r="P481" s="217">
        <v>100</v>
      </c>
      <c r="Q481" s="217">
        <f t="shared" si="60"/>
        <v>302400</v>
      </c>
      <c r="R481" s="217">
        <f t="shared" si="61"/>
        <v>3033</v>
      </c>
      <c r="S481" s="217">
        <f t="shared" si="62"/>
        <v>4207</v>
      </c>
      <c r="T481" s="217">
        <f t="shared" si="63"/>
        <v>60855</v>
      </c>
      <c r="U481" s="217">
        <f t="shared" si="64"/>
        <v>44174</v>
      </c>
      <c r="V481" s="217">
        <f t="shared" si="65"/>
        <v>38723</v>
      </c>
      <c r="W481" s="217">
        <f>ROUND(AC481+(INDEX(Ref!B$1:B$9,MATCH($AI481,Ref!$A$1:$A$9,0))*P481*0.0001),)</f>
        <v>38</v>
      </c>
      <c r="X481" s="217">
        <f>ROUND(AD481+(INDEX(Ref!C$1:C$9,MATCH($AI481,Ref!$A$1:$A$9,0))*$P481*0.0001),)</f>
        <v>52</v>
      </c>
      <c r="Y481" s="217">
        <f>ROUND(AE481+(INDEX(Ref!D$1:D$9,MATCH($AI481,Ref!$A$1:$A$9,0))*$P481*0.0001),)</f>
        <v>84</v>
      </c>
      <c r="Z481" s="217">
        <f>ROUND(AF481+(INDEX(Ref!E$1:E$9,MATCH($AI481,Ref!$A$1:$A$9,0))*$P481*0.0001),)</f>
        <v>83</v>
      </c>
      <c r="AA481" s="217">
        <f>ROUND(AG481+(INDEX(Ref!F$1:F$9,MATCH($AI481,Ref!$A$1:$A$9,0))*$P481*0.0001),)</f>
        <v>45</v>
      </c>
      <c r="AB481" s="217">
        <f>ROUND(AH481+(INDEX(Ref!G$1:G$9,MATCH($AI481,Ref!$A$1:$A$9,0))*$P481*0.0001),)</f>
        <v>42</v>
      </c>
      <c r="AC481" s="137">
        <v>26</v>
      </c>
      <c r="AD481" s="137">
        <v>36</v>
      </c>
      <c r="AE481" s="137">
        <v>64</v>
      </c>
      <c r="AF481" s="137">
        <v>58.000000000000007</v>
      </c>
      <c r="AG481" s="137">
        <v>31</v>
      </c>
      <c r="AH481" s="137">
        <v>29</v>
      </c>
      <c r="AI481" s="208">
        <v>2</v>
      </c>
      <c r="AJ481" s="172">
        <v>3000</v>
      </c>
      <c r="AK481" s="172">
        <f t="shared" si="58"/>
        <v>30573</v>
      </c>
      <c r="AL481" s="172">
        <v>2000</v>
      </c>
      <c r="AM481" s="172">
        <f t="shared" si="59"/>
        <v>30576</v>
      </c>
      <c r="AN481" s="172">
        <v>0</v>
      </c>
      <c r="AO481" s="172">
        <f t="shared" si="66"/>
        <v>34573</v>
      </c>
      <c r="AP481" s="172">
        <v>0</v>
      </c>
      <c r="AQ481" s="172">
        <f t="shared" si="67"/>
        <v>34576</v>
      </c>
      <c r="AR481" s="172">
        <v>1</v>
      </c>
      <c r="AS481" s="172">
        <v>0</v>
      </c>
      <c r="AT481" s="195">
        <f t="shared" si="57"/>
        <v>78096</v>
      </c>
      <c r="AU481" s="195" t="s">
        <v>1034</v>
      </c>
    </row>
    <row r="482" spans="1:47" x14ac:dyDescent="0.2">
      <c r="K482" s="190"/>
      <c r="P482" s="190"/>
    </row>
    <row r="483" spans="1:47" x14ac:dyDescent="0.2">
      <c r="K483" s="190"/>
      <c r="P483" s="190"/>
    </row>
    <row r="484" spans="1:47" x14ac:dyDescent="0.2">
      <c r="K484" s="190"/>
      <c r="P484" s="190"/>
    </row>
    <row r="485" spans="1:47" x14ac:dyDescent="0.2">
      <c r="K485" s="190"/>
      <c r="P485" s="190"/>
    </row>
    <row r="486" spans="1:47" x14ac:dyDescent="0.2">
      <c r="K486" s="190"/>
      <c r="P486" s="190"/>
    </row>
    <row r="487" spans="1:47" x14ac:dyDescent="0.2">
      <c r="K487" s="190"/>
      <c r="P487" s="190"/>
    </row>
    <row r="488" spans="1:47" x14ac:dyDescent="0.2">
      <c r="K488" s="190"/>
      <c r="P488" s="190"/>
    </row>
    <row r="489" spans="1:47" x14ac:dyDescent="0.2">
      <c r="K489" s="190"/>
      <c r="P489" s="190"/>
    </row>
    <row r="490" spans="1:47" x14ac:dyDescent="0.2">
      <c r="K490" s="190"/>
      <c r="P490" s="190"/>
    </row>
    <row r="501" spans="16:16" x14ac:dyDescent="0.2">
      <c r="P501" s="172"/>
    </row>
    <row r="502" spans="16:16" x14ac:dyDescent="0.2">
      <c r="P502" s="172"/>
    </row>
    <row r="503" spans="16:16" x14ac:dyDescent="0.2">
      <c r="P503" s="172"/>
    </row>
    <row r="504" spans="16:16" x14ac:dyDescent="0.2">
      <c r="P504" s="172"/>
    </row>
    <row r="505" spans="16:16" x14ac:dyDescent="0.2">
      <c r="P505" s="172"/>
    </row>
    <row r="506" spans="16:16" x14ac:dyDescent="0.2">
      <c r="P506" s="172"/>
    </row>
    <row r="507" spans="16:16" x14ac:dyDescent="0.2">
      <c r="P507" s="172"/>
    </row>
    <row r="508" spans="16:16" x14ac:dyDescent="0.2">
      <c r="P508" s="172"/>
    </row>
    <row r="509" spans="16:16" x14ac:dyDescent="0.2">
      <c r="P509" s="172"/>
    </row>
    <row r="510" spans="16:16" x14ac:dyDescent="0.2">
      <c r="P510" s="172"/>
    </row>
    <row r="511" spans="16:16" x14ac:dyDescent="0.2">
      <c r="P511" s="172"/>
    </row>
    <row r="512" spans="16:16" x14ac:dyDescent="0.2">
      <c r="P512" s="172"/>
    </row>
    <row r="513" spans="16:16" x14ac:dyDescent="0.2">
      <c r="P513" s="172"/>
    </row>
    <row r="514" spans="16:16" x14ac:dyDescent="0.2">
      <c r="P514" s="172"/>
    </row>
    <row r="515" spans="16:16" x14ac:dyDescent="0.2">
      <c r="P515" s="172"/>
    </row>
    <row r="516" spans="16:16" x14ac:dyDescent="0.2">
      <c r="P516" s="172"/>
    </row>
    <row r="517" spans="16:16" x14ac:dyDescent="0.2">
      <c r="P517" s="172"/>
    </row>
    <row r="518" spans="16:16" x14ac:dyDescent="0.2">
      <c r="P518" s="172"/>
    </row>
    <row r="519" spans="16:16" x14ac:dyDescent="0.2">
      <c r="P519" s="172"/>
    </row>
    <row r="520" spans="16:16" x14ac:dyDescent="0.2">
      <c r="P520" s="172"/>
    </row>
    <row r="521" spans="16:16" x14ac:dyDescent="0.2">
      <c r="P521" s="172"/>
    </row>
    <row r="522" spans="16:16" x14ac:dyDescent="0.2">
      <c r="P522" s="172"/>
    </row>
    <row r="523" spans="16:16" x14ac:dyDescent="0.2">
      <c r="P523" s="172"/>
    </row>
    <row r="524" spans="16:16" x14ac:dyDescent="0.2">
      <c r="P524" s="172"/>
    </row>
    <row r="525" spans="16:16" x14ac:dyDescent="0.2">
      <c r="P525" s="172"/>
    </row>
    <row r="526" spans="16:16" x14ac:dyDescent="0.2">
      <c r="P526" s="172"/>
    </row>
    <row r="527" spans="16:16" x14ac:dyDescent="0.2">
      <c r="P527" s="172"/>
    </row>
    <row r="528" spans="16:16" x14ac:dyDescent="0.2">
      <c r="P528" s="172"/>
    </row>
    <row r="529" spans="16:16" x14ac:dyDescent="0.2">
      <c r="P529" s="172"/>
    </row>
    <row r="530" spans="16:16" x14ac:dyDescent="0.2">
      <c r="P530" s="172"/>
    </row>
    <row r="531" spans="16:16" x14ac:dyDescent="0.2">
      <c r="P531" s="172"/>
    </row>
    <row r="532" spans="16:16" x14ac:dyDescent="0.2">
      <c r="P532" s="172"/>
    </row>
    <row r="533" spans="16:16" x14ac:dyDescent="0.2">
      <c r="P533" s="172"/>
    </row>
    <row r="534" spans="16:16" x14ac:dyDescent="0.2">
      <c r="P534" s="172"/>
    </row>
    <row r="535" spans="16:16" x14ac:dyDescent="0.2">
      <c r="P535" s="172"/>
    </row>
    <row r="536" spans="16:16" x14ac:dyDescent="0.2">
      <c r="P536" s="172"/>
    </row>
    <row r="537" spans="16:16" x14ac:dyDescent="0.2">
      <c r="P537" s="172"/>
    </row>
    <row r="538" spans="16:16" x14ac:dyDescent="0.2">
      <c r="P538" s="172"/>
    </row>
    <row r="539" spans="16:16" x14ac:dyDescent="0.2">
      <c r="P539" s="172"/>
    </row>
    <row r="540" spans="16:16" x14ac:dyDescent="0.2">
      <c r="P540" s="172"/>
    </row>
    <row r="541" spans="16:16" x14ac:dyDescent="0.2">
      <c r="P541" s="172"/>
    </row>
    <row r="542" spans="16:16" x14ac:dyDescent="0.2">
      <c r="P542" s="172"/>
    </row>
    <row r="543" spans="16:16" x14ac:dyDescent="0.2">
      <c r="P543" s="172"/>
    </row>
    <row r="544" spans="16:16" x14ac:dyDescent="0.2">
      <c r="P544" s="172"/>
    </row>
    <row r="545" spans="16:16" x14ac:dyDescent="0.2">
      <c r="P545" s="172"/>
    </row>
    <row r="546" spans="16:16" x14ac:dyDescent="0.2">
      <c r="P546" s="172"/>
    </row>
    <row r="547" spans="16:16" x14ac:dyDescent="0.2">
      <c r="P547" s="172"/>
    </row>
    <row r="548" spans="16:16" x14ac:dyDescent="0.2">
      <c r="P548" s="172"/>
    </row>
    <row r="549" spans="16:16" x14ac:dyDescent="0.2">
      <c r="P549" s="172"/>
    </row>
    <row r="550" spans="16:16" x14ac:dyDescent="0.2">
      <c r="P550" s="172"/>
    </row>
    <row r="551" spans="16:16" x14ac:dyDescent="0.2">
      <c r="P551" s="172"/>
    </row>
    <row r="552" spans="16:16" x14ac:dyDescent="0.2">
      <c r="P552" s="172"/>
    </row>
    <row r="553" spans="16:16" x14ac:dyDescent="0.2">
      <c r="P553" s="172"/>
    </row>
    <row r="554" spans="16:16" x14ac:dyDescent="0.2">
      <c r="P554" s="172"/>
    </row>
    <row r="555" spans="16:16" x14ac:dyDescent="0.2">
      <c r="P555" s="172"/>
    </row>
    <row r="556" spans="16:16" x14ac:dyDescent="0.2">
      <c r="P556" s="172"/>
    </row>
    <row r="557" spans="16:16" x14ac:dyDescent="0.2">
      <c r="P557" s="172"/>
    </row>
    <row r="558" spans="16:16" x14ac:dyDescent="0.2">
      <c r="P558" s="172"/>
    </row>
    <row r="559" spans="16:16" x14ac:dyDescent="0.2">
      <c r="P559" s="172"/>
    </row>
    <row r="560" spans="16:16" x14ac:dyDescent="0.2">
      <c r="P560" s="172"/>
    </row>
    <row r="561" spans="16:16" x14ac:dyDescent="0.2">
      <c r="P561" s="172"/>
    </row>
    <row r="562" spans="16:16" x14ac:dyDescent="0.2">
      <c r="P562" s="172"/>
    </row>
    <row r="563" spans="16:16" x14ac:dyDescent="0.2">
      <c r="P563" s="172"/>
    </row>
    <row r="564" spans="16:16" x14ac:dyDescent="0.2">
      <c r="P564" s="172"/>
    </row>
    <row r="565" spans="16:16" x14ac:dyDescent="0.2">
      <c r="P565" s="172"/>
    </row>
    <row r="566" spans="16:16" x14ac:dyDescent="0.2">
      <c r="P566" s="172"/>
    </row>
    <row r="567" spans="16:16" x14ac:dyDescent="0.2">
      <c r="P567" s="172"/>
    </row>
    <row r="568" spans="16:16" x14ac:dyDescent="0.2">
      <c r="P568" s="172"/>
    </row>
    <row r="569" spans="16:16" x14ac:dyDescent="0.2">
      <c r="P569" s="172"/>
    </row>
    <row r="570" spans="16:16" x14ac:dyDescent="0.2">
      <c r="P570" s="172"/>
    </row>
    <row r="571" spans="16:16" x14ac:dyDescent="0.2">
      <c r="P571" s="172"/>
    </row>
    <row r="572" spans="16:16" x14ac:dyDescent="0.2">
      <c r="P572" s="172"/>
    </row>
    <row r="573" spans="16:16" x14ac:dyDescent="0.2">
      <c r="P573" s="172"/>
    </row>
    <row r="574" spans="16:16" x14ac:dyDescent="0.2">
      <c r="P574" s="172"/>
    </row>
    <row r="575" spans="16:16" x14ac:dyDescent="0.2">
      <c r="P575" s="172"/>
    </row>
    <row r="576" spans="16:16" x14ac:dyDescent="0.2">
      <c r="P576" s="172"/>
    </row>
    <row r="577" spans="16:16" x14ac:dyDescent="0.2">
      <c r="P577" s="172"/>
    </row>
    <row r="578" spans="16:16" x14ac:dyDescent="0.2">
      <c r="P578" s="172"/>
    </row>
    <row r="579" spans="16:16" x14ac:dyDescent="0.2">
      <c r="P579" s="172"/>
    </row>
    <row r="580" spans="16:16" x14ac:dyDescent="0.2">
      <c r="P580" s="172"/>
    </row>
    <row r="581" spans="16:16" x14ac:dyDescent="0.2">
      <c r="P581" s="172"/>
    </row>
    <row r="582" spans="16:16" x14ac:dyDescent="0.2">
      <c r="P582" s="172"/>
    </row>
    <row r="583" spans="16:16" x14ac:dyDescent="0.2">
      <c r="P583" s="172"/>
    </row>
    <row r="584" spans="16:16" x14ac:dyDescent="0.2">
      <c r="P584" s="172"/>
    </row>
    <row r="585" spans="16:16" x14ac:dyDescent="0.2">
      <c r="P585" s="172"/>
    </row>
    <row r="586" spans="16:16" x14ac:dyDescent="0.2">
      <c r="P586" s="172"/>
    </row>
  </sheetData>
  <autoFilter ref="A1:BD490" xr:uid="{F60965C3-4A6E-41A3-A603-5BF1900B1C7D}"/>
  <mergeCells count="2">
    <mergeCell ref="AX2:AZ2"/>
    <mergeCell ref="BB24:BC24"/>
  </mergeCells>
  <phoneticPr fontId="3" type="noConversion"/>
  <conditionalFormatting sqref="U2:V1048576">
    <cfRule type="expression" dxfId="100" priority="8">
      <formula>MOD(#REF!,2)</formula>
    </cfRule>
  </conditionalFormatting>
  <conditionalFormatting sqref="S1">
    <cfRule type="expression" dxfId="99" priority="6">
      <formula>MOD(#REF!,2)</formula>
    </cfRule>
  </conditionalFormatting>
  <conditionalFormatting sqref="P1:R1 T1:V1">
    <cfRule type="expression" dxfId="98" priority="7">
      <formula>MOD(#REF!,2)</formula>
    </cfRule>
  </conditionalFormatting>
  <conditionalFormatting sqref="Y1">
    <cfRule type="expression" dxfId="97" priority="2">
      <formula>MOD(#REF!,2)</formula>
    </cfRule>
  </conditionalFormatting>
  <conditionalFormatting sqref="W1:X1 Z1:AB1">
    <cfRule type="expression" dxfId="96" priority="3">
      <formula>MOD(#REF!,2)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6B9F-858B-4E77-808E-A8C7F0F59C37}">
  <sheetPr>
    <tabColor rgb="FF66FFCC"/>
  </sheetPr>
  <dimension ref="A1:AI102"/>
  <sheetViews>
    <sheetView topLeftCell="A63" zoomScaleNormal="100" workbookViewId="0">
      <selection activeCell="Q78" sqref="Q78"/>
    </sheetView>
    <sheetView workbookViewId="1">
      <selection sqref="A1:G1"/>
    </sheetView>
  </sheetViews>
  <sheetFormatPr defaultRowHeight="16.5" x14ac:dyDescent="0.3"/>
  <sheetData>
    <row r="1" spans="1:35" x14ac:dyDescent="0.3">
      <c r="A1" s="225">
        <v>1</v>
      </c>
      <c r="B1" s="225"/>
      <c r="C1" s="225"/>
      <c r="D1" s="225"/>
      <c r="E1" s="225"/>
      <c r="F1" s="225"/>
      <c r="G1" s="225"/>
      <c r="H1" s="226">
        <v>2</v>
      </c>
      <c r="I1" s="226"/>
      <c r="J1" s="226"/>
      <c r="K1" s="226"/>
      <c r="L1" s="226"/>
      <c r="M1" s="226"/>
      <c r="N1" s="226"/>
      <c r="O1" s="225">
        <v>3</v>
      </c>
      <c r="P1" s="225"/>
      <c r="Q1" s="225"/>
      <c r="R1" s="225"/>
      <c r="S1" s="225"/>
      <c r="T1" s="225"/>
      <c r="U1" s="225"/>
      <c r="V1" s="225">
        <v>4</v>
      </c>
      <c r="W1" s="225"/>
      <c r="X1" s="225"/>
      <c r="Y1" s="225"/>
      <c r="Z1" s="225"/>
      <c r="AA1" s="225"/>
      <c r="AB1" s="225"/>
      <c r="AC1" s="225">
        <v>5</v>
      </c>
      <c r="AD1" s="225"/>
      <c r="AE1" s="225"/>
      <c r="AF1" s="225"/>
      <c r="AG1" s="225"/>
      <c r="AH1" s="225"/>
      <c r="AI1" s="225"/>
    </row>
    <row r="2" spans="1:35" x14ac:dyDescent="0.2">
      <c r="A2" s="218" t="s">
        <v>1127</v>
      </c>
      <c r="B2" s="218" t="s">
        <v>1128</v>
      </c>
      <c r="C2" s="218" t="s">
        <v>1129</v>
      </c>
      <c r="D2" s="218" t="s">
        <v>1130</v>
      </c>
      <c r="E2" s="218" t="s">
        <v>1131</v>
      </c>
      <c r="F2" s="218" t="s">
        <v>1132</v>
      </c>
      <c r="G2" s="218" t="s">
        <v>1133</v>
      </c>
      <c r="H2" s="218" t="s">
        <v>1127</v>
      </c>
      <c r="I2" s="218" t="s">
        <v>1128</v>
      </c>
      <c r="J2" s="218" t="s">
        <v>1129</v>
      </c>
      <c r="K2" s="218" t="s">
        <v>1130</v>
      </c>
      <c r="L2" s="218" t="s">
        <v>1131</v>
      </c>
      <c r="M2" s="218" t="s">
        <v>1132</v>
      </c>
      <c r="N2" s="218" t="s">
        <v>1133</v>
      </c>
      <c r="O2" s="218" t="s">
        <v>1127</v>
      </c>
      <c r="P2" s="218" t="s">
        <v>1128</v>
      </c>
      <c r="Q2" s="218" t="s">
        <v>1129</v>
      </c>
      <c r="R2" s="218" t="s">
        <v>1130</v>
      </c>
      <c r="S2" s="218" t="s">
        <v>1131</v>
      </c>
      <c r="T2" s="218" t="s">
        <v>1132</v>
      </c>
      <c r="U2" s="218" t="s">
        <v>1133</v>
      </c>
      <c r="V2" s="218" t="s">
        <v>1127</v>
      </c>
      <c r="W2" s="218" t="s">
        <v>1128</v>
      </c>
      <c r="X2" s="218" t="s">
        <v>1129</v>
      </c>
      <c r="Y2" s="218" t="s">
        <v>1130</v>
      </c>
      <c r="Z2" s="218" t="s">
        <v>1131</v>
      </c>
      <c r="AA2" s="218" t="s">
        <v>1132</v>
      </c>
      <c r="AB2" s="218" t="s">
        <v>1133</v>
      </c>
      <c r="AC2" s="218" t="s">
        <v>1127</v>
      </c>
      <c r="AD2" s="218" t="s">
        <v>1128</v>
      </c>
      <c r="AE2" s="218" t="s">
        <v>1129</v>
      </c>
      <c r="AF2" s="218" t="s">
        <v>1130</v>
      </c>
      <c r="AG2" s="218" t="s">
        <v>1131</v>
      </c>
      <c r="AH2" s="218" t="s">
        <v>1132</v>
      </c>
      <c r="AI2" s="218" t="s">
        <v>1133</v>
      </c>
    </row>
    <row r="3" spans="1:35" x14ac:dyDescent="0.2">
      <c r="A3" s="217">
        <v>1</v>
      </c>
      <c r="B3" s="217">
        <v>4452</v>
      </c>
      <c r="C3" s="217">
        <v>268</v>
      </c>
      <c r="D3" s="217">
        <v>336</v>
      </c>
      <c r="E3" s="217">
        <v>2506</v>
      </c>
      <c r="F3" s="217">
        <v>7793</v>
      </c>
      <c r="G3" s="217">
        <v>5882</v>
      </c>
      <c r="H3" s="217">
        <v>1</v>
      </c>
      <c r="I3" s="217">
        <v>5516</v>
      </c>
      <c r="J3" s="217">
        <v>410</v>
      </c>
      <c r="K3" s="217">
        <v>504</v>
      </c>
      <c r="L3" s="217">
        <v>4027</v>
      </c>
      <c r="M3" s="217">
        <v>10547</v>
      </c>
      <c r="N3" s="217">
        <v>7941</v>
      </c>
      <c r="O3" s="217">
        <v>1</v>
      </c>
      <c r="P3" s="217">
        <v>7340</v>
      </c>
      <c r="Q3" s="217">
        <v>654</v>
      </c>
      <c r="R3" s="217">
        <v>791</v>
      </c>
      <c r="S3" s="217">
        <v>6622</v>
      </c>
      <c r="T3" s="217">
        <v>14949</v>
      </c>
      <c r="U3" s="217">
        <v>11247</v>
      </c>
      <c r="V3" s="217">
        <v>1</v>
      </c>
      <c r="W3" s="217">
        <v>10068</v>
      </c>
      <c r="X3" s="217">
        <v>1157</v>
      </c>
      <c r="Y3" s="217">
        <v>1370</v>
      </c>
      <c r="Z3" s="217">
        <v>11066</v>
      </c>
      <c r="AA3" s="217">
        <v>21338</v>
      </c>
      <c r="AB3" s="217">
        <v>16048</v>
      </c>
      <c r="AC3" s="217">
        <v>1</v>
      </c>
      <c r="AD3" s="217">
        <v>12429</v>
      </c>
      <c r="AE3" s="217">
        <v>1660</v>
      </c>
      <c r="AF3" s="217">
        <v>1940</v>
      </c>
      <c r="AG3" s="217">
        <v>16278</v>
      </c>
      <c r="AH3" s="217">
        <v>27802</v>
      </c>
      <c r="AI3" s="217">
        <v>20912</v>
      </c>
    </row>
    <row r="4" spans="1:35" x14ac:dyDescent="0.2">
      <c r="A4" s="217">
        <v>2</v>
      </c>
      <c r="B4" s="217">
        <v>5404</v>
      </c>
      <c r="C4" s="217">
        <v>268</v>
      </c>
      <c r="D4" s="217">
        <v>337</v>
      </c>
      <c r="E4" s="217">
        <v>2506</v>
      </c>
      <c r="F4" s="217">
        <v>8004</v>
      </c>
      <c r="G4" s="217">
        <v>6040</v>
      </c>
      <c r="H4" s="217">
        <v>2</v>
      </c>
      <c r="I4" s="217">
        <v>6732</v>
      </c>
      <c r="J4" s="217">
        <v>411</v>
      </c>
      <c r="K4" s="217">
        <v>505</v>
      </c>
      <c r="L4" s="217">
        <v>4027</v>
      </c>
      <c r="M4" s="217">
        <v>10810</v>
      </c>
      <c r="N4" s="217">
        <v>8138</v>
      </c>
      <c r="O4" s="217">
        <v>2</v>
      </c>
      <c r="P4" s="217">
        <v>8980</v>
      </c>
      <c r="Q4" s="217">
        <v>655</v>
      </c>
      <c r="R4" s="217">
        <v>792</v>
      </c>
      <c r="S4" s="217">
        <v>6622</v>
      </c>
      <c r="T4" s="217">
        <v>15297</v>
      </c>
      <c r="U4" s="217">
        <v>11508</v>
      </c>
      <c r="V4" s="217">
        <v>2</v>
      </c>
      <c r="W4" s="217">
        <v>12336</v>
      </c>
      <c r="X4" s="217">
        <v>1158</v>
      </c>
      <c r="Y4" s="217">
        <v>1370</v>
      </c>
      <c r="Z4" s="217">
        <v>11067</v>
      </c>
      <c r="AA4" s="217">
        <v>21812</v>
      </c>
      <c r="AB4" s="217">
        <v>16404</v>
      </c>
      <c r="AC4" s="217">
        <v>2</v>
      </c>
      <c r="AD4" s="217">
        <v>15259</v>
      </c>
      <c r="AE4" s="217">
        <v>1660</v>
      </c>
      <c r="AF4" s="217">
        <v>1941</v>
      </c>
      <c r="AG4" s="217">
        <v>16278</v>
      </c>
      <c r="AH4" s="217">
        <v>28381</v>
      </c>
      <c r="AI4" s="217">
        <v>21346</v>
      </c>
    </row>
    <row r="5" spans="1:35" x14ac:dyDescent="0.2">
      <c r="A5" s="217">
        <v>3</v>
      </c>
      <c r="B5" s="217">
        <v>6356</v>
      </c>
      <c r="C5" s="217">
        <v>269</v>
      </c>
      <c r="D5" s="217">
        <v>337</v>
      </c>
      <c r="E5" s="217">
        <v>2645</v>
      </c>
      <c r="F5" s="217">
        <v>8214</v>
      </c>
      <c r="G5" s="217">
        <v>6199</v>
      </c>
      <c r="H5" s="217">
        <v>3</v>
      </c>
      <c r="I5" s="217">
        <v>7948</v>
      </c>
      <c r="J5" s="217">
        <v>411</v>
      </c>
      <c r="K5" s="217">
        <v>506</v>
      </c>
      <c r="L5" s="217">
        <v>4224</v>
      </c>
      <c r="M5" s="217">
        <v>11074</v>
      </c>
      <c r="N5" s="217">
        <v>8337</v>
      </c>
      <c r="O5" s="217">
        <v>3</v>
      </c>
      <c r="P5" s="217">
        <v>10620</v>
      </c>
      <c r="Q5" s="217">
        <v>655</v>
      </c>
      <c r="R5" s="217">
        <v>792</v>
      </c>
      <c r="S5" s="217">
        <v>6912</v>
      </c>
      <c r="T5" s="217">
        <v>15644</v>
      </c>
      <c r="U5" s="217">
        <v>11769</v>
      </c>
      <c r="V5" s="217">
        <v>3</v>
      </c>
      <c r="W5" s="217">
        <v>14604</v>
      </c>
      <c r="X5" s="217">
        <v>1159</v>
      </c>
      <c r="Y5" s="217">
        <v>1371</v>
      </c>
      <c r="Z5" s="217">
        <v>11503</v>
      </c>
      <c r="AA5" s="217">
        <v>22287</v>
      </c>
      <c r="AB5" s="217">
        <v>16760</v>
      </c>
      <c r="AC5" s="217">
        <v>3</v>
      </c>
      <c r="AD5" s="217">
        <v>18089</v>
      </c>
      <c r="AE5" s="217">
        <v>1661</v>
      </c>
      <c r="AF5" s="217">
        <v>1941</v>
      </c>
      <c r="AG5" s="217">
        <v>16863</v>
      </c>
      <c r="AH5" s="217">
        <v>28960</v>
      </c>
      <c r="AI5" s="217">
        <v>21782</v>
      </c>
    </row>
    <row r="6" spans="1:35" x14ac:dyDescent="0.2">
      <c r="A6" s="217">
        <v>4</v>
      </c>
      <c r="B6" s="217">
        <v>7336</v>
      </c>
      <c r="C6" s="217">
        <v>270</v>
      </c>
      <c r="D6" s="217">
        <v>338</v>
      </c>
      <c r="E6" s="217">
        <v>2646</v>
      </c>
      <c r="F6" s="217">
        <v>8635</v>
      </c>
      <c r="G6" s="217">
        <v>6515</v>
      </c>
      <c r="H6" s="217">
        <v>4</v>
      </c>
      <c r="I6" s="217">
        <v>9200</v>
      </c>
      <c r="J6" s="217">
        <v>412</v>
      </c>
      <c r="K6" s="217">
        <v>506</v>
      </c>
      <c r="L6" s="217">
        <v>4225</v>
      </c>
      <c r="M6" s="217">
        <v>11601</v>
      </c>
      <c r="N6" s="217">
        <v>8732</v>
      </c>
      <c r="O6" s="217">
        <v>4</v>
      </c>
      <c r="P6" s="217">
        <v>12306</v>
      </c>
      <c r="Q6" s="217">
        <v>656</v>
      </c>
      <c r="R6" s="217">
        <v>793</v>
      </c>
      <c r="S6" s="217">
        <v>6912</v>
      </c>
      <c r="T6" s="217">
        <v>16339</v>
      </c>
      <c r="U6" s="217">
        <v>12290</v>
      </c>
      <c r="V6" s="217">
        <v>4</v>
      </c>
      <c r="W6" s="217">
        <v>16935</v>
      </c>
      <c r="X6" s="217">
        <v>1159</v>
      </c>
      <c r="Y6" s="217">
        <v>1372</v>
      </c>
      <c r="Z6" s="217">
        <v>11504</v>
      </c>
      <c r="AA6" s="217">
        <v>23235</v>
      </c>
      <c r="AB6" s="217">
        <v>17471</v>
      </c>
      <c r="AC6" s="217">
        <v>4</v>
      </c>
      <c r="AD6" s="217">
        <v>20996</v>
      </c>
      <c r="AE6" s="217">
        <v>1661</v>
      </c>
      <c r="AF6" s="217">
        <v>1942</v>
      </c>
      <c r="AG6" s="217">
        <v>16863</v>
      </c>
      <c r="AH6" s="217">
        <v>30118</v>
      </c>
      <c r="AI6" s="217">
        <v>22651</v>
      </c>
    </row>
    <row r="7" spans="1:35" x14ac:dyDescent="0.2">
      <c r="A7" s="217">
        <v>5</v>
      </c>
      <c r="B7" s="217">
        <v>8295</v>
      </c>
      <c r="C7" s="217">
        <v>304</v>
      </c>
      <c r="D7" s="217">
        <v>376</v>
      </c>
      <c r="E7" s="217">
        <v>2647</v>
      </c>
      <c r="F7" s="217">
        <v>8847</v>
      </c>
      <c r="G7" s="217">
        <v>6673</v>
      </c>
      <c r="H7" s="217">
        <v>5</v>
      </c>
      <c r="I7" s="217">
        <v>10425</v>
      </c>
      <c r="J7" s="217">
        <v>459</v>
      </c>
      <c r="K7" s="217">
        <v>558</v>
      </c>
      <c r="L7" s="217">
        <v>4226</v>
      </c>
      <c r="M7" s="217">
        <v>11864</v>
      </c>
      <c r="N7" s="217">
        <v>8929</v>
      </c>
      <c r="O7" s="217">
        <v>5</v>
      </c>
      <c r="P7" s="217">
        <v>13958</v>
      </c>
      <c r="Q7" s="217">
        <v>724</v>
      </c>
      <c r="R7" s="217">
        <v>867</v>
      </c>
      <c r="S7" s="217">
        <v>6913</v>
      </c>
      <c r="T7" s="217">
        <v>16688</v>
      </c>
      <c r="U7" s="217">
        <v>12551</v>
      </c>
      <c r="V7" s="217">
        <v>5</v>
      </c>
      <c r="W7" s="217">
        <v>19218</v>
      </c>
      <c r="X7" s="217">
        <v>1264</v>
      </c>
      <c r="Y7" s="217">
        <v>1486</v>
      </c>
      <c r="Z7" s="217">
        <v>11504</v>
      </c>
      <c r="AA7" s="217">
        <v>23709</v>
      </c>
      <c r="AB7" s="217">
        <v>17827</v>
      </c>
      <c r="AC7" s="217">
        <v>5</v>
      </c>
      <c r="AD7" s="217">
        <v>23845</v>
      </c>
      <c r="AE7" s="217">
        <v>1800</v>
      </c>
      <c r="AF7" s="217">
        <v>2091</v>
      </c>
      <c r="AG7" s="217">
        <v>16864</v>
      </c>
      <c r="AH7" s="217">
        <v>30697</v>
      </c>
      <c r="AI7" s="217">
        <v>23085</v>
      </c>
    </row>
    <row r="8" spans="1:35" x14ac:dyDescent="0.2">
      <c r="A8" s="217">
        <v>6</v>
      </c>
      <c r="B8" s="217">
        <v>9254</v>
      </c>
      <c r="C8" s="217">
        <v>304</v>
      </c>
      <c r="D8" s="217">
        <v>376</v>
      </c>
      <c r="E8" s="217">
        <v>2647</v>
      </c>
      <c r="F8" s="217">
        <v>9057</v>
      </c>
      <c r="G8" s="217">
        <v>6831</v>
      </c>
      <c r="H8" s="217">
        <v>6</v>
      </c>
      <c r="I8" s="217">
        <v>11650</v>
      </c>
      <c r="J8" s="217">
        <v>459</v>
      </c>
      <c r="K8" s="217">
        <v>558</v>
      </c>
      <c r="L8" s="217">
        <v>4226</v>
      </c>
      <c r="M8" s="217">
        <v>12128</v>
      </c>
      <c r="N8" s="217">
        <v>9127</v>
      </c>
      <c r="O8" s="217">
        <v>6</v>
      </c>
      <c r="P8" s="217">
        <v>15609</v>
      </c>
      <c r="Q8" s="217">
        <v>724</v>
      </c>
      <c r="R8" s="217">
        <v>868</v>
      </c>
      <c r="S8" s="217">
        <v>6913</v>
      </c>
      <c r="T8" s="217">
        <v>17035</v>
      </c>
      <c r="U8" s="217">
        <v>12811</v>
      </c>
      <c r="V8" s="217">
        <v>6</v>
      </c>
      <c r="W8" s="217">
        <v>21502</v>
      </c>
      <c r="X8" s="217">
        <v>1265</v>
      </c>
      <c r="Y8" s="217">
        <v>1486</v>
      </c>
      <c r="Z8" s="217">
        <v>11505</v>
      </c>
      <c r="AA8" s="217">
        <v>24183</v>
      </c>
      <c r="AB8" s="217">
        <v>18182</v>
      </c>
      <c r="AC8" s="217">
        <v>6</v>
      </c>
      <c r="AD8" s="217">
        <v>26694</v>
      </c>
      <c r="AE8" s="217">
        <v>1800</v>
      </c>
      <c r="AF8" s="217">
        <v>2092</v>
      </c>
      <c r="AG8" s="217">
        <v>16864</v>
      </c>
      <c r="AH8" s="217">
        <v>31276</v>
      </c>
      <c r="AI8" s="217">
        <v>23520</v>
      </c>
    </row>
    <row r="9" spans="1:35" x14ac:dyDescent="0.2">
      <c r="A9" s="217">
        <v>7</v>
      </c>
      <c r="B9" s="217">
        <v>10213</v>
      </c>
      <c r="C9" s="217">
        <v>305</v>
      </c>
      <c r="D9" s="217">
        <v>377</v>
      </c>
      <c r="E9" s="217">
        <v>2790</v>
      </c>
      <c r="F9" s="217">
        <v>9268</v>
      </c>
      <c r="G9" s="217">
        <v>6990</v>
      </c>
      <c r="H9" s="217">
        <v>7</v>
      </c>
      <c r="I9" s="217">
        <v>12875</v>
      </c>
      <c r="J9" s="217">
        <v>460</v>
      </c>
      <c r="K9" s="217">
        <v>559</v>
      </c>
      <c r="L9" s="217">
        <v>4427</v>
      </c>
      <c r="M9" s="217">
        <v>12391</v>
      </c>
      <c r="N9" s="217">
        <v>9325</v>
      </c>
      <c r="O9" s="217">
        <v>7</v>
      </c>
      <c r="P9" s="217">
        <v>17261</v>
      </c>
      <c r="Q9" s="217">
        <v>725</v>
      </c>
      <c r="R9" s="217">
        <v>868</v>
      </c>
      <c r="S9" s="217">
        <v>7208</v>
      </c>
      <c r="T9" s="217">
        <v>17383</v>
      </c>
      <c r="U9" s="217">
        <v>13073</v>
      </c>
      <c r="V9" s="217">
        <v>7</v>
      </c>
      <c r="W9" s="217">
        <v>23786</v>
      </c>
      <c r="X9" s="217">
        <v>1265</v>
      </c>
      <c r="Y9" s="217">
        <v>1487</v>
      </c>
      <c r="Z9" s="217">
        <v>11949</v>
      </c>
      <c r="AA9" s="217">
        <v>24657</v>
      </c>
      <c r="AB9" s="217">
        <v>18539</v>
      </c>
      <c r="AC9" s="217">
        <v>7</v>
      </c>
      <c r="AD9" s="217">
        <v>29543</v>
      </c>
      <c r="AE9" s="217">
        <v>1801</v>
      </c>
      <c r="AF9" s="217">
        <v>2092</v>
      </c>
      <c r="AG9" s="217">
        <v>17459</v>
      </c>
      <c r="AH9" s="217">
        <v>31855</v>
      </c>
      <c r="AI9" s="217">
        <v>23955</v>
      </c>
    </row>
    <row r="10" spans="1:35" x14ac:dyDescent="0.2">
      <c r="A10" s="217">
        <v>8</v>
      </c>
      <c r="B10" s="217">
        <v>11172</v>
      </c>
      <c r="C10" s="217">
        <v>305</v>
      </c>
      <c r="D10" s="217">
        <v>378</v>
      </c>
      <c r="E10" s="217">
        <v>2791</v>
      </c>
      <c r="F10" s="217">
        <v>9479</v>
      </c>
      <c r="G10" s="217">
        <v>7148</v>
      </c>
      <c r="H10" s="217">
        <v>8</v>
      </c>
      <c r="I10" s="217">
        <v>14100</v>
      </c>
      <c r="J10" s="217">
        <v>460</v>
      </c>
      <c r="K10" s="217">
        <v>560</v>
      </c>
      <c r="L10" s="217">
        <v>4428</v>
      </c>
      <c r="M10" s="217">
        <v>12655</v>
      </c>
      <c r="N10" s="217">
        <v>9523</v>
      </c>
      <c r="O10" s="217">
        <v>8</v>
      </c>
      <c r="P10" s="217">
        <v>18913</v>
      </c>
      <c r="Q10" s="217">
        <v>725</v>
      </c>
      <c r="R10" s="217">
        <v>869</v>
      </c>
      <c r="S10" s="217">
        <v>7209</v>
      </c>
      <c r="T10" s="217">
        <v>17730</v>
      </c>
      <c r="U10" s="217">
        <v>13333</v>
      </c>
      <c r="V10" s="217">
        <v>8</v>
      </c>
      <c r="W10" s="217">
        <v>26070</v>
      </c>
      <c r="X10" s="217">
        <v>1266</v>
      </c>
      <c r="Y10" s="217">
        <v>1487</v>
      </c>
      <c r="Z10" s="217">
        <v>11950</v>
      </c>
      <c r="AA10" s="217">
        <v>25131</v>
      </c>
      <c r="AB10" s="217">
        <v>18894</v>
      </c>
      <c r="AC10" s="217">
        <v>8</v>
      </c>
      <c r="AD10" s="217">
        <v>32392</v>
      </c>
      <c r="AE10" s="217">
        <v>1802</v>
      </c>
      <c r="AF10" s="217">
        <v>2093</v>
      </c>
      <c r="AG10" s="217">
        <v>17460</v>
      </c>
      <c r="AH10" s="217">
        <v>32434</v>
      </c>
      <c r="AI10" s="217">
        <v>24390</v>
      </c>
    </row>
    <row r="11" spans="1:35" x14ac:dyDescent="0.2">
      <c r="A11" s="217">
        <v>9</v>
      </c>
      <c r="B11" s="217">
        <v>12131</v>
      </c>
      <c r="C11" s="217">
        <v>306</v>
      </c>
      <c r="D11" s="217">
        <v>378</v>
      </c>
      <c r="E11" s="217">
        <v>2791</v>
      </c>
      <c r="F11" s="217">
        <v>9690</v>
      </c>
      <c r="G11" s="217">
        <v>7306</v>
      </c>
      <c r="H11" s="217">
        <v>9</v>
      </c>
      <c r="I11" s="217">
        <v>15325</v>
      </c>
      <c r="J11" s="217">
        <v>461</v>
      </c>
      <c r="K11" s="217">
        <v>560</v>
      </c>
      <c r="L11" s="217">
        <v>4429</v>
      </c>
      <c r="M11" s="217">
        <v>12918</v>
      </c>
      <c r="N11" s="217">
        <v>9720</v>
      </c>
      <c r="O11" s="217">
        <v>9</v>
      </c>
      <c r="P11" s="217">
        <v>20564</v>
      </c>
      <c r="Q11" s="217">
        <v>726</v>
      </c>
      <c r="R11" s="217">
        <v>870</v>
      </c>
      <c r="S11" s="217">
        <v>7210</v>
      </c>
      <c r="T11" s="217">
        <v>18078</v>
      </c>
      <c r="U11" s="217">
        <v>13594</v>
      </c>
      <c r="V11" s="217">
        <v>9</v>
      </c>
      <c r="W11" s="217">
        <v>28353</v>
      </c>
      <c r="X11" s="217">
        <v>1266</v>
      </c>
      <c r="Y11" s="217">
        <v>1488</v>
      </c>
      <c r="Z11" s="217">
        <v>11951</v>
      </c>
      <c r="AA11" s="217">
        <v>25605</v>
      </c>
      <c r="AB11" s="217">
        <v>19250</v>
      </c>
      <c r="AC11" s="217">
        <v>9</v>
      </c>
      <c r="AD11" s="217">
        <v>35241</v>
      </c>
      <c r="AE11" s="217">
        <v>1802</v>
      </c>
      <c r="AF11" s="217">
        <v>2094</v>
      </c>
      <c r="AG11" s="217">
        <v>17460</v>
      </c>
      <c r="AH11" s="217">
        <v>33013</v>
      </c>
      <c r="AI11" s="217">
        <v>24824</v>
      </c>
    </row>
    <row r="12" spans="1:35" x14ac:dyDescent="0.2">
      <c r="A12" s="217">
        <v>10</v>
      </c>
      <c r="B12" s="217">
        <v>13090</v>
      </c>
      <c r="C12" s="217">
        <v>306</v>
      </c>
      <c r="D12" s="217">
        <v>379</v>
      </c>
      <c r="E12" s="217">
        <v>2792</v>
      </c>
      <c r="F12" s="217">
        <v>9900</v>
      </c>
      <c r="G12" s="217">
        <v>7464</v>
      </c>
      <c r="H12" s="217">
        <v>10</v>
      </c>
      <c r="I12" s="217">
        <v>16550</v>
      </c>
      <c r="J12" s="217">
        <v>461</v>
      </c>
      <c r="K12" s="217">
        <v>561</v>
      </c>
      <c r="L12" s="217">
        <v>4429</v>
      </c>
      <c r="M12" s="217">
        <v>13182</v>
      </c>
      <c r="N12" s="217">
        <v>9918</v>
      </c>
      <c r="O12" s="217">
        <v>10</v>
      </c>
      <c r="P12" s="217">
        <v>22216</v>
      </c>
      <c r="Q12" s="217">
        <v>726</v>
      </c>
      <c r="R12" s="217">
        <v>870</v>
      </c>
      <c r="S12" s="217">
        <v>7210</v>
      </c>
      <c r="T12" s="217">
        <v>18425</v>
      </c>
      <c r="U12" s="217">
        <v>13854</v>
      </c>
      <c r="V12" s="217">
        <v>10</v>
      </c>
      <c r="W12" s="217">
        <v>30637</v>
      </c>
      <c r="X12" s="217">
        <v>1267</v>
      </c>
      <c r="Y12" s="217">
        <v>1488</v>
      </c>
      <c r="Z12" s="217">
        <v>11951</v>
      </c>
      <c r="AA12" s="217">
        <v>26079</v>
      </c>
      <c r="AB12" s="217">
        <v>19605</v>
      </c>
      <c r="AC12" s="217">
        <v>10</v>
      </c>
      <c r="AD12" s="217">
        <v>38090</v>
      </c>
      <c r="AE12" s="217">
        <v>1803</v>
      </c>
      <c r="AF12" s="217">
        <v>2094</v>
      </c>
      <c r="AG12" s="217">
        <v>17461</v>
      </c>
      <c r="AH12" s="217">
        <v>33592</v>
      </c>
      <c r="AI12" s="217">
        <v>25259</v>
      </c>
    </row>
    <row r="13" spans="1:35" x14ac:dyDescent="0.2">
      <c r="A13" s="217">
        <v>11</v>
      </c>
      <c r="B13" s="217">
        <v>14049</v>
      </c>
      <c r="C13" s="217">
        <v>307</v>
      </c>
      <c r="D13" s="217">
        <v>379</v>
      </c>
      <c r="E13" s="217">
        <v>2938</v>
      </c>
      <c r="F13" s="217">
        <v>10111</v>
      </c>
      <c r="G13" s="217">
        <v>7623</v>
      </c>
      <c r="H13" s="217">
        <v>11</v>
      </c>
      <c r="I13" s="217">
        <v>17775</v>
      </c>
      <c r="J13" s="217">
        <v>462</v>
      </c>
      <c r="K13" s="217">
        <v>561</v>
      </c>
      <c r="L13" s="217">
        <v>4635</v>
      </c>
      <c r="M13" s="217">
        <v>13445</v>
      </c>
      <c r="N13" s="217">
        <v>10116</v>
      </c>
      <c r="O13" s="217">
        <v>11</v>
      </c>
      <c r="P13" s="217">
        <v>23868</v>
      </c>
      <c r="Q13" s="217">
        <v>727</v>
      </c>
      <c r="R13" s="217">
        <v>871</v>
      </c>
      <c r="S13" s="217">
        <v>7511</v>
      </c>
      <c r="T13" s="217">
        <v>18773</v>
      </c>
      <c r="U13" s="217">
        <v>14116</v>
      </c>
      <c r="V13" s="217">
        <v>11</v>
      </c>
      <c r="W13" s="217">
        <v>32921</v>
      </c>
      <c r="X13" s="217">
        <v>1267</v>
      </c>
      <c r="Y13" s="217">
        <v>1489</v>
      </c>
      <c r="Z13" s="217">
        <v>12404</v>
      </c>
      <c r="AA13" s="217">
        <v>26553</v>
      </c>
      <c r="AB13" s="217">
        <v>19962</v>
      </c>
      <c r="AC13" s="217">
        <v>11</v>
      </c>
      <c r="AD13" s="217">
        <v>40939</v>
      </c>
      <c r="AE13" s="217">
        <v>1803</v>
      </c>
      <c r="AF13" s="217">
        <v>2095</v>
      </c>
      <c r="AG13" s="217">
        <v>18066</v>
      </c>
      <c r="AH13" s="217">
        <v>34171</v>
      </c>
      <c r="AI13" s="217">
        <v>25694</v>
      </c>
    </row>
    <row r="14" spans="1:35" x14ac:dyDescent="0.2">
      <c r="A14" s="217">
        <v>12</v>
      </c>
      <c r="B14" s="217">
        <v>15092</v>
      </c>
      <c r="C14" s="217">
        <v>308</v>
      </c>
      <c r="D14" s="217">
        <v>380</v>
      </c>
      <c r="E14" s="217">
        <v>2939</v>
      </c>
      <c r="F14" s="217">
        <v>10532</v>
      </c>
      <c r="G14" s="217">
        <v>7939</v>
      </c>
      <c r="H14" s="217">
        <v>12</v>
      </c>
      <c r="I14" s="217">
        <v>19105</v>
      </c>
      <c r="J14" s="217">
        <v>463</v>
      </c>
      <c r="K14" s="217">
        <v>562</v>
      </c>
      <c r="L14" s="217">
        <v>4636</v>
      </c>
      <c r="M14" s="217">
        <v>13972</v>
      </c>
      <c r="N14" s="217">
        <v>10511</v>
      </c>
      <c r="O14" s="217">
        <v>12</v>
      </c>
      <c r="P14" s="217">
        <v>25658</v>
      </c>
      <c r="Q14" s="217">
        <v>728</v>
      </c>
      <c r="R14" s="217">
        <v>871</v>
      </c>
      <c r="S14" s="217">
        <v>7512</v>
      </c>
      <c r="T14" s="217">
        <v>19468</v>
      </c>
      <c r="U14" s="217">
        <v>14637</v>
      </c>
      <c r="V14" s="217">
        <v>12</v>
      </c>
      <c r="W14" s="217">
        <v>35394</v>
      </c>
      <c r="X14" s="217">
        <v>1268</v>
      </c>
      <c r="Y14" s="217">
        <v>1489</v>
      </c>
      <c r="Z14" s="217">
        <v>12405</v>
      </c>
      <c r="AA14" s="217">
        <v>27501</v>
      </c>
      <c r="AB14" s="217">
        <v>20673</v>
      </c>
      <c r="AC14" s="217">
        <v>12</v>
      </c>
      <c r="AD14" s="217">
        <v>44019</v>
      </c>
      <c r="AE14" s="217">
        <v>1804</v>
      </c>
      <c r="AF14" s="217">
        <v>2095</v>
      </c>
      <c r="AG14" s="217">
        <v>18067</v>
      </c>
      <c r="AH14" s="217">
        <v>35329</v>
      </c>
      <c r="AI14" s="217">
        <v>26563</v>
      </c>
    </row>
    <row r="15" spans="1:35" x14ac:dyDescent="0.2">
      <c r="A15" s="217">
        <v>13</v>
      </c>
      <c r="B15" s="217">
        <v>16058</v>
      </c>
      <c r="C15" s="217">
        <v>308</v>
      </c>
      <c r="D15" s="217">
        <v>420</v>
      </c>
      <c r="E15" s="217">
        <v>2939</v>
      </c>
      <c r="F15" s="217">
        <v>10742</v>
      </c>
      <c r="G15" s="217">
        <v>8097</v>
      </c>
      <c r="H15" s="217">
        <v>13</v>
      </c>
      <c r="I15" s="217">
        <v>20338</v>
      </c>
      <c r="J15" s="217">
        <v>463</v>
      </c>
      <c r="K15" s="217">
        <v>616</v>
      </c>
      <c r="L15" s="217">
        <v>4637</v>
      </c>
      <c r="M15" s="217">
        <v>14236</v>
      </c>
      <c r="N15" s="217">
        <v>10709</v>
      </c>
      <c r="O15" s="217">
        <v>13</v>
      </c>
      <c r="P15" s="217">
        <v>27321</v>
      </c>
      <c r="Q15" s="217">
        <v>728</v>
      </c>
      <c r="R15" s="217">
        <v>949</v>
      </c>
      <c r="S15" s="217">
        <v>7513</v>
      </c>
      <c r="T15" s="217">
        <v>19815</v>
      </c>
      <c r="U15" s="217">
        <v>14897</v>
      </c>
      <c r="V15" s="217">
        <v>13</v>
      </c>
      <c r="W15" s="217">
        <v>37693</v>
      </c>
      <c r="X15" s="217">
        <v>1269</v>
      </c>
      <c r="Y15" s="217">
        <v>1608</v>
      </c>
      <c r="Z15" s="217">
        <v>12405</v>
      </c>
      <c r="AA15" s="217">
        <v>27975</v>
      </c>
      <c r="AB15" s="217">
        <v>21028</v>
      </c>
      <c r="AC15" s="217">
        <v>13</v>
      </c>
      <c r="AD15" s="217">
        <v>46887</v>
      </c>
      <c r="AE15" s="217">
        <v>1804</v>
      </c>
      <c r="AF15" s="217">
        <v>2250</v>
      </c>
      <c r="AG15" s="217">
        <v>18067</v>
      </c>
      <c r="AH15" s="217">
        <v>35908</v>
      </c>
      <c r="AI15" s="217">
        <v>26998</v>
      </c>
    </row>
    <row r="16" spans="1:35" x14ac:dyDescent="0.2">
      <c r="A16" s="217">
        <v>14</v>
      </c>
      <c r="B16" s="217">
        <v>17024</v>
      </c>
      <c r="C16" s="217">
        <v>344</v>
      </c>
      <c r="D16" s="217">
        <v>420</v>
      </c>
      <c r="E16" s="217">
        <v>2940</v>
      </c>
      <c r="F16" s="217">
        <v>10953</v>
      </c>
      <c r="G16" s="217">
        <v>8255</v>
      </c>
      <c r="H16" s="217">
        <v>14</v>
      </c>
      <c r="I16" s="217">
        <v>21572</v>
      </c>
      <c r="J16" s="217">
        <v>512</v>
      </c>
      <c r="K16" s="217">
        <v>617</v>
      </c>
      <c r="L16" s="217">
        <v>4637</v>
      </c>
      <c r="M16" s="217">
        <v>14499</v>
      </c>
      <c r="N16" s="217">
        <v>10906</v>
      </c>
      <c r="O16" s="217">
        <v>14</v>
      </c>
      <c r="P16" s="217">
        <v>28984</v>
      </c>
      <c r="Q16" s="217">
        <v>799</v>
      </c>
      <c r="R16" s="217">
        <v>950</v>
      </c>
      <c r="S16" s="217">
        <v>7513</v>
      </c>
      <c r="T16" s="217">
        <v>20163</v>
      </c>
      <c r="U16" s="217">
        <v>15158</v>
      </c>
      <c r="V16" s="217">
        <v>14</v>
      </c>
      <c r="W16" s="217">
        <v>39993</v>
      </c>
      <c r="X16" s="217">
        <v>1378</v>
      </c>
      <c r="Y16" s="217">
        <v>1608</v>
      </c>
      <c r="Z16" s="217">
        <v>12406</v>
      </c>
      <c r="AA16" s="217">
        <v>28450</v>
      </c>
      <c r="AB16" s="217">
        <v>21384</v>
      </c>
      <c r="AC16" s="217">
        <v>14</v>
      </c>
      <c r="AD16" s="217">
        <v>49755</v>
      </c>
      <c r="AE16" s="217">
        <v>1948</v>
      </c>
      <c r="AF16" s="217">
        <v>2251</v>
      </c>
      <c r="AG16" s="217">
        <v>18068</v>
      </c>
      <c r="AH16" s="217">
        <v>36487</v>
      </c>
      <c r="AI16" s="217">
        <v>27432</v>
      </c>
    </row>
    <row r="17" spans="1:35" x14ac:dyDescent="0.2">
      <c r="A17" s="217">
        <v>15</v>
      </c>
      <c r="B17" s="217">
        <v>17990</v>
      </c>
      <c r="C17" s="217">
        <v>345</v>
      </c>
      <c r="D17" s="217">
        <v>421</v>
      </c>
      <c r="E17" s="217">
        <v>3090</v>
      </c>
      <c r="F17" s="217">
        <v>11163</v>
      </c>
      <c r="G17" s="217">
        <v>8414</v>
      </c>
      <c r="H17" s="217">
        <v>15</v>
      </c>
      <c r="I17" s="217">
        <v>22806</v>
      </c>
      <c r="J17" s="217">
        <v>513</v>
      </c>
      <c r="K17" s="217">
        <v>617</v>
      </c>
      <c r="L17" s="217">
        <v>4848</v>
      </c>
      <c r="M17" s="217">
        <v>14763</v>
      </c>
      <c r="N17" s="217">
        <v>11105</v>
      </c>
      <c r="O17" s="217">
        <v>15</v>
      </c>
      <c r="P17" s="217">
        <v>30648</v>
      </c>
      <c r="Q17" s="217">
        <v>800</v>
      </c>
      <c r="R17" s="217">
        <v>950</v>
      </c>
      <c r="S17" s="217">
        <v>7821</v>
      </c>
      <c r="T17" s="217">
        <v>20510</v>
      </c>
      <c r="U17" s="217">
        <v>15419</v>
      </c>
      <c r="V17" s="217">
        <v>15</v>
      </c>
      <c r="W17" s="217">
        <v>42292</v>
      </c>
      <c r="X17" s="217">
        <v>1378</v>
      </c>
      <c r="Y17" s="217">
        <v>1609</v>
      </c>
      <c r="Z17" s="217">
        <v>12867</v>
      </c>
      <c r="AA17" s="217">
        <v>28924</v>
      </c>
      <c r="AB17" s="217">
        <v>21740</v>
      </c>
      <c r="AC17" s="217">
        <v>15</v>
      </c>
      <c r="AD17" s="217">
        <v>52623</v>
      </c>
      <c r="AE17" s="217">
        <v>1949</v>
      </c>
      <c r="AF17" s="217">
        <v>2251</v>
      </c>
      <c r="AG17" s="217">
        <v>18683</v>
      </c>
      <c r="AH17" s="217">
        <v>37066</v>
      </c>
      <c r="AI17" s="217">
        <v>27868</v>
      </c>
    </row>
    <row r="18" spans="1:35" x14ac:dyDescent="0.2">
      <c r="A18" s="217">
        <v>16</v>
      </c>
      <c r="B18" s="217">
        <v>18956</v>
      </c>
      <c r="C18" s="217">
        <v>345</v>
      </c>
      <c r="D18" s="217">
        <v>421</v>
      </c>
      <c r="E18" s="217">
        <v>3091</v>
      </c>
      <c r="F18" s="217">
        <v>11374</v>
      </c>
      <c r="G18" s="217">
        <v>8572</v>
      </c>
      <c r="H18" s="217">
        <v>16</v>
      </c>
      <c r="I18" s="217">
        <v>24040</v>
      </c>
      <c r="J18" s="217">
        <v>513</v>
      </c>
      <c r="K18" s="217">
        <v>618</v>
      </c>
      <c r="L18" s="217">
        <v>4848</v>
      </c>
      <c r="M18" s="217">
        <v>15026</v>
      </c>
      <c r="N18" s="217">
        <v>11302</v>
      </c>
      <c r="O18" s="217">
        <v>16</v>
      </c>
      <c r="P18" s="217">
        <v>32311</v>
      </c>
      <c r="Q18" s="217">
        <v>800</v>
      </c>
      <c r="R18" s="217">
        <v>951</v>
      </c>
      <c r="S18" s="217">
        <v>7821</v>
      </c>
      <c r="T18" s="217">
        <v>20858</v>
      </c>
      <c r="U18" s="217">
        <v>15680</v>
      </c>
      <c r="V18" s="217">
        <v>16</v>
      </c>
      <c r="W18" s="217">
        <v>44592</v>
      </c>
      <c r="X18" s="217">
        <v>1379</v>
      </c>
      <c r="Y18" s="217">
        <v>1609</v>
      </c>
      <c r="Z18" s="217">
        <v>12868</v>
      </c>
      <c r="AA18" s="217">
        <v>29398</v>
      </c>
      <c r="AB18" s="217">
        <v>22096</v>
      </c>
      <c r="AC18" s="217">
        <v>16</v>
      </c>
      <c r="AD18" s="217">
        <v>55492</v>
      </c>
      <c r="AE18" s="217">
        <v>1949</v>
      </c>
      <c r="AF18" s="217">
        <v>2252</v>
      </c>
      <c r="AG18" s="217">
        <v>18684</v>
      </c>
      <c r="AH18" s="217">
        <v>37645</v>
      </c>
      <c r="AI18" s="217">
        <v>28302</v>
      </c>
    </row>
    <row r="19" spans="1:35" x14ac:dyDescent="0.2">
      <c r="A19" s="217">
        <v>17</v>
      </c>
      <c r="B19" s="217">
        <v>19922</v>
      </c>
      <c r="C19" s="217">
        <v>346</v>
      </c>
      <c r="D19" s="217">
        <v>422</v>
      </c>
      <c r="E19" s="217">
        <v>3091</v>
      </c>
      <c r="F19" s="217">
        <v>11584</v>
      </c>
      <c r="G19" s="217">
        <v>8730</v>
      </c>
      <c r="H19" s="217">
        <v>17</v>
      </c>
      <c r="I19" s="217">
        <v>25273</v>
      </c>
      <c r="J19" s="217">
        <v>514</v>
      </c>
      <c r="K19" s="217">
        <v>618</v>
      </c>
      <c r="L19" s="217">
        <v>4849</v>
      </c>
      <c r="M19" s="217">
        <v>15290</v>
      </c>
      <c r="N19" s="217">
        <v>11500</v>
      </c>
      <c r="O19" s="217">
        <v>17</v>
      </c>
      <c r="P19" s="217">
        <v>33974</v>
      </c>
      <c r="Q19" s="217">
        <v>801</v>
      </c>
      <c r="R19" s="217">
        <v>951</v>
      </c>
      <c r="S19" s="217">
        <v>7822</v>
      </c>
      <c r="T19" s="217">
        <v>21205</v>
      </c>
      <c r="U19" s="217">
        <v>15940</v>
      </c>
      <c r="V19" s="217">
        <v>17</v>
      </c>
      <c r="W19" s="217">
        <v>46891</v>
      </c>
      <c r="X19" s="217">
        <v>1380</v>
      </c>
      <c r="Y19" s="217">
        <v>1610</v>
      </c>
      <c r="Z19" s="217">
        <v>12869</v>
      </c>
      <c r="AA19" s="217">
        <v>29872</v>
      </c>
      <c r="AB19" s="217">
        <v>22451</v>
      </c>
      <c r="AC19" s="217">
        <v>17</v>
      </c>
      <c r="AD19" s="217">
        <v>58360</v>
      </c>
      <c r="AE19" s="217">
        <v>1950</v>
      </c>
      <c r="AF19" s="217">
        <v>2253</v>
      </c>
      <c r="AG19" s="217">
        <v>18685</v>
      </c>
      <c r="AH19" s="217">
        <v>38224</v>
      </c>
      <c r="AI19" s="217">
        <v>28737</v>
      </c>
    </row>
    <row r="20" spans="1:35" x14ac:dyDescent="0.2">
      <c r="A20" s="217">
        <v>18</v>
      </c>
      <c r="B20" s="217">
        <v>20888</v>
      </c>
      <c r="C20" s="217">
        <v>346</v>
      </c>
      <c r="D20" s="217">
        <v>423</v>
      </c>
      <c r="E20" s="217">
        <v>3092</v>
      </c>
      <c r="F20" s="217">
        <v>11795</v>
      </c>
      <c r="G20" s="217">
        <v>8888</v>
      </c>
      <c r="H20" s="217">
        <v>18</v>
      </c>
      <c r="I20" s="217">
        <v>26507</v>
      </c>
      <c r="J20" s="217">
        <v>515</v>
      </c>
      <c r="K20" s="217">
        <v>619</v>
      </c>
      <c r="L20" s="217">
        <v>4850</v>
      </c>
      <c r="M20" s="217">
        <v>15553</v>
      </c>
      <c r="N20" s="217">
        <v>11697</v>
      </c>
      <c r="O20" s="217">
        <v>18</v>
      </c>
      <c r="P20" s="217">
        <v>35637</v>
      </c>
      <c r="Q20" s="217">
        <v>802</v>
      </c>
      <c r="R20" s="217">
        <v>952</v>
      </c>
      <c r="S20" s="217">
        <v>7822</v>
      </c>
      <c r="T20" s="217">
        <v>21553</v>
      </c>
      <c r="U20" s="217">
        <v>16201</v>
      </c>
      <c r="V20" s="217">
        <v>18</v>
      </c>
      <c r="W20" s="217">
        <v>49191</v>
      </c>
      <c r="X20" s="217">
        <v>1380</v>
      </c>
      <c r="Y20" s="217">
        <v>1611</v>
      </c>
      <c r="Z20" s="217">
        <v>12869</v>
      </c>
      <c r="AA20" s="217">
        <v>30346</v>
      </c>
      <c r="AB20" s="217">
        <v>22807</v>
      </c>
      <c r="AC20" s="217">
        <v>18</v>
      </c>
      <c r="AD20" s="217">
        <v>61228</v>
      </c>
      <c r="AE20" s="217">
        <v>1950</v>
      </c>
      <c r="AF20" s="217">
        <v>2253</v>
      </c>
      <c r="AG20" s="217">
        <v>18685</v>
      </c>
      <c r="AH20" s="217">
        <v>38803</v>
      </c>
      <c r="AI20" s="217">
        <v>29171</v>
      </c>
    </row>
    <row r="21" spans="1:35" x14ac:dyDescent="0.2">
      <c r="A21" s="217">
        <v>19</v>
      </c>
      <c r="B21" s="217">
        <v>21854</v>
      </c>
      <c r="C21" s="217">
        <v>347</v>
      </c>
      <c r="D21" s="217">
        <v>423</v>
      </c>
      <c r="E21" s="217">
        <v>3246</v>
      </c>
      <c r="F21" s="217">
        <v>12005</v>
      </c>
      <c r="G21" s="217">
        <v>9047</v>
      </c>
      <c r="H21" s="217">
        <v>19</v>
      </c>
      <c r="I21" s="217">
        <v>27741</v>
      </c>
      <c r="J21" s="217">
        <v>515</v>
      </c>
      <c r="K21" s="217">
        <v>619</v>
      </c>
      <c r="L21" s="217">
        <v>5065</v>
      </c>
      <c r="M21" s="217">
        <v>15817</v>
      </c>
      <c r="N21" s="217">
        <v>11896</v>
      </c>
      <c r="O21" s="217">
        <v>19</v>
      </c>
      <c r="P21" s="217">
        <v>37300</v>
      </c>
      <c r="Q21" s="217">
        <v>802</v>
      </c>
      <c r="R21" s="217">
        <v>952</v>
      </c>
      <c r="S21" s="217">
        <v>8136</v>
      </c>
      <c r="T21" s="217">
        <v>21901</v>
      </c>
      <c r="U21" s="217">
        <v>16462</v>
      </c>
      <c r="V21" s="217">
        <v>19</v>
      </c>
      <c r="W21" s="217">
        <v>51490</v>
      </c>
      <c r="X21" s="217">
        <v>1381</v>
      </c>
      <c r="Y21" s="217">
        <v>1611</v>
      </c>
      <c r="Z21" s="217">
        <v>13339</v>
      </c>
      <c r="AA21" s="217">
        <v>30820</v>
      </c>
      <c r="AB21" s="217">
        <v>23163</v>
      </c>
      <c r="AC21" s="217">
        <v>19</v>
      </c>
      <c r="AD21" s="217">
        <v>64096</v>
      </c>
      <c r="AE21" s="217">
        <v>1951</v>
      </c>
      <c r="AF21" s="217">
        <v>2254</v>
      </c>
      <c r="AG21" s="217">
        <v>19311</v>
      </c>
      <c r="AH21" s="217">
        <v>39382</v>
      </c>
      <c r="AI21" s="217">
        <v>29607</v>
      </c>
    </row>
    <row r="22" spans="1:35" x14ac:dyDescent="0.2">
      <c r="A22" s="217">
        <v>20</v>
      </c>
      <c r="B22" s="217">
        <v>22960</v>
      </c>
      <c r="C22" s="217">
        <v>347</v>
      </c>
      <c r="D22" s="217">
        <v>424</v>
      </c>
      <c r="E22" s="217">
        <v>3246</v>
      </c>
      <c r="F22" s="217">
        <v>12426</v>
      </c>
      <c r="G22" s="217">
        <v>9363</v>
      </c>
      <c r="H22" s="217">
        <v>20</v>
      </c>
      <c r="I22" s="217">
        <v>29150</v>
      </c>
      <c r="J22" s="217">
        <v>516</v>
      </c>
      <c r="K22" s="217">
        <v>620</v>
      </c>
      <c r="L22" s="217">
        <v>5066</v>
      </c>
      <c r="M22" s="217">
        <v>16344</v>
      </c>
      <c r="N22" s="217">
        <v>12291</v>
      </c>
      <c r="O22" s="217">
        <v>20</v>
      </c>
      <c r="P22" s="217">
        <v>39195</v>
      </c>
      <c r="Q22" s="217">
        <v>803</v>
      </c>
      <c r="R22" s="217">
        <v>953</v>
      </c>
      <c r="S22" s="217">
        <v>8136</v>
      </c>
      <c r="T22" s="217">
        <v>22596</v>
      </c>
      <c r="U22" s="217">
        <v>16983</v>
      </c>
      <c r="V22" s="217">
        <v>20</v>
      </c>
      <c r="W22" s="217">
        <v>54105</v>
      </c>
      <c r="X22" s="217">
        <v>1381</v>
      </c>
      <c r="Y22" s="217">
        <v>1612</v>
      </c>
      <c r="Z22" s="217">
        <v>13339</v>
      </c>
      <c r="AA22" s="217">
        <v>31768</v>
      </c>
      <c r="AB22" s="217">
        <v>23874</v>
      </c>
      <c r="AC22" s="217">
        <v>20</v>
      </c>
      <c r="AD22" s="217">
        <v>67350</v>
      </c>
      <c r="AE22" s="217">
        <v>1951</v>
      </c>
      <c r="AF22" s="217">
        <v>2254</v>
      </c>
      <c r="AG22" s="217">
        <v>19311</v>
      </c>
      <c r="AH22" s="217">
        <v>40540</v>
      </c>
      <c r="AI22" s="217">
        <v>30476</v>
      </c>
    </row>
    <row r="23" spans="1:35" x14ac:dyDescent="0.2">
      <c r="H23" s="217">
        <v>21</v>
      </c>
      <c r="I23" s="217">
        <v>30392</v>
      </c>
      <c r="J23" s="217">
        <v>516</v>
      </c>
      <c r="K23" s="217">
        <v>677</v>
      </c>
      <c r="L23" s="217">
        <v>5066</v>
      </c>
      <c r="M23" s="217">
        <v>16607</v>
      </c>
      <c r="N23" s="217">
        <v>12488</v>
      </c>
      <c r="O23" s="217">
        <v>21</v>
      </c>
      <c r="P23" s="217">
        <v>40869</v>
      </c>
      <c r="Q23" s="217">
        <v>803</v>
      </c>
      <c r="R23" s="217">
        <v>1034</v>
      </c>
      <c r="S23" s="217">
        <v>8137</v>
      </c>
      <c r="T23" s="217">
        <v>22944</v>
      </c>
      <c r="U23" s="217">
        <v>17244</v>
      </c>
      <c r="V23" s="217">
        <v>21</v>
      </c>
      <c r="W23" s="217">
        <v>56420</v>
      </c>
      <c r="X23" s="217">
        <v>1382</v>
      </c>
      <c r="Y23" s="217">
        <v>1734</v>
      </c>
      <c r="Z23" s="217">
        <v>13340</v>
      </c>
      <c r="AA23" s="217">
        <v>32242</v>
      </c>
      <c r="AB23" s="217">
        <v>24230</v>
      </c>
      <c r="AC23" s="217">
        <v>21</v>
      </c>
      <c r="AD23" s="217">
        <v>70237</v>
      </c>
      <c r="AE23" s="217">
        <v>1952</v>
      </c>
      <c r="AF23" s="217">
        <v>2414</v>
      </c>
      <c r="AG23" s="217">
        <v>19312</v>
      </c>
      <c r="AH23" s="217">
        <v>41119</v>
      </c>
      <c r="AI23" s="217">
        <v>30910</v>
      </c>
    </row>
    <row r="24" spans="1:35" x14ac:dyDescent="0.2">
      <c r="H24" s="217">
        <v>22</v>
      </c>
      <c r="I24" s="217">
        <v>31635</v>
      </c>
      <c r="J24" s="217">
        <v>517</v>
      </c>
      <c r="K24" s="217">
        <v>677</v>
      </c>
      <c r="L24" s="217">
        <v>5067</v>
      </c>
      <c r="M24" s="217">
        <v>16871</v>
      </c>
      <c r="N24" s="217">
        <v>12686</v>
      </c>
      <c r="O24" s="217">
        <v>22</v>
      </c>
      <c r="P24" s="217">
        <v>42544</v>
      </c>
      <c r="Q24" s="217">
        <v>804</v>
      </c>
      <c r="R24" s="217">
        <v>1035</v>
      </c>
      <c r="S24" s="217">
        <v>8138</v>
      </c>
      <c r="T24" s="217">
        <v>23291</v>
      </c>
      <c r="U24" s="217">
        <v>17504</v>
      </c>
      <c r="V24" s="217">
        <v>22</v>
      </c>
      <c r="W24" s="217">
        <v>58735</v>
      </c>
      <c r="X24" s="217">
        <v>1383</v>
      </c>
      <c r="Y24" s="217">
        <v>1735</v>
      </c>
      <c r="Z24" s="217">
        <v>13341</v>
      </c>
      <c r="AA24" s="217">
        <v>32716</v>
      </c>
      <c r="AB24" s="217">
        <v>24585</v>
      </c>
      <c r="AC24" s="217">
        <v>22</v>
      </c>
      <c r="AD24" s="217">
        <v>73125</v>
      </c>
      <c r="AE24" s="217">
        <v>1953</v>
      </c>
      <c r="AF24" s="217">
        <v>2415</v>
      </c>
      <c r="AG24" s="217">
        <v>19313</v>
      </c>
      <c r="AH24" s="217">
        <v>41698</v>
      </c>
      <c r="AI24" s="217">
        <v>31345</v>
      </c>
    </row>
    <row r="25" spans="1:35" x14ac:dyDescent="0.2">
      <c r="H25" s="217">
        <v>23</v>
      </c>
      <c r="I25" s="217">
        <v>32877</v>
      </c>
      <c r="J25" s="217">
        <v>569</v>
      </c>
      <c r="K25" s="217">
        <v>678</v>
      </c>
      <c r="L25" s="217">
        <v>5287</v>
      </c>
      <c r="M25" s="217">
        <v>17135</v>
      </c>
      <c r="N25" s="217">
        <v>12884</v>
      </c>
      <c r="O25" s="217">
        <v>23</v>
      </c>
      <c r="P25" s="217">
        <v>44219</v>
      </c>
      <c r="Q25" s="217">
        <v>878</v>
      </c>
      <c r="R25" s="217">
        <v>1035</v>
      </c>
      <c r="S25" s="217">
        <v>8458</v>
      </c>
      <c r="T25" s="217">
        <v>23639</v>
      </c>
      <c r="U25" s="217">
        <v>17766</v>
      </c>
      <c r="V25" s="217">
        <v>23</v>
      </c>
      <c r="W25" s="217">
        <v>61050</v>
      </c>
      <c r="X25" s="217">
        <v>1496</v>
      </c>
      <c r="Y25" s="217">
        <v>1736</v>
      </c>
      <c r="Z25" s="217">
        <v>13819</v>
      </c>
      <c r="AA25" s="217">
        <v>33190</v>
      </c>
      <c r="AB25" s="217">
        <v>24942</v>
      </c>
      <c r="AC25" s="217">
        <v>23</v>
      </c>
      <c r="AD25" s="217">
        <v>76012</v>
      </c>
      <c r="AE25" s="217">
        <v>2102</v>
      </c>
      <c r="AF25" s="217">
        <v>2416</v>
      </c>
      <c r="AG25" s="217">
        <v>19948</v>
      </c>
      <c r="AH25" s="217">
        <v>42277</v>
      </c>
      <c r="AI25" s="217">
        <v>31780</v>
      </c>
    </row>
    <row r="26" spans="1:35" x14ac:dyDescent="0.2">
      <c r="H26" s="217">
        <v>24</v>
      </c>
      <c r="I26" s="217">
        <v>34120</v>
      </c>
      <c r="J26" s="217">
        <v>569</v>
      </c>
      <c r="K26" s="217">
        <v>679</v>
      </c>
      <c r="L26" s="217">
        <v>5288</v>
      </c>
      <c r="M26" s="217">
        <v>17399</v>
      </c>
      <c r="N26" s="217">
        <v>13082</v>
      </c>
      <c r="O26" s="217">
        <v>24</v>
      </c>
      <c r="P26" s="217">
        <v>45894</v>
      </c>
      <c r="Q26" s="217">
        <v>879</v>
      </c>
      <c r="R26" s="217">
        <v>1036</v>
      </c>
      <c r="S26" s="217">
        <v>8458</v>
      </c>
      <c r="T26" s="217">
        <v>23986</v>
      </c>
      <c r="U26" s="217">
        <v>18026</v>
      </c>
      <c r="V26" s="217">
        <v>24</v>
      </c>
      <c r="W26" s="217">
        <v>63366</v>
      </c>
      <c r="X26" s="217">
        <v>1497</v>
      </c>
      <c r="Y26" s="217">
        <v>1736</v>
      </c>
      <c r="Z26" s="217">
        <v>13819</v>
      </c>
      <c r="AA26" s="217">
        <v>33664</v>
      </c>
      <c r="AB26" s="217">
        <v>25297</v>
      </c>
      <c r="AC26" s="217">
        <v>24</v>
      </c>
      <c r="AD26" s="217">
        <v>78900</v>
      </c>
      <c r="AE26" s="217">
        <v>2103</v>
      </c>
      <c r="AF26" s="217">
        <v>2416</v>
      </c>
      <c r="AG26" s="217">
        <v>19949</v>
      </c>
      <c r="AH26" s="217">
        <v>42856</v>
      </c>
      <c r="AI26" s="217">
        <v>32215</v>
      </c>
    </row>
    <row r="27" spans="1:35" x14ac:dyDescent="0.2">
      <c r="H27" s="217">
        <v>25</v>
      </c>
      <c r="I27" s="217">
        <v>35362</v>
      </c>
      <c r="J27" s="217">
        <v>570</v>
      </c>
      <c r="K27" s="217">
        <v>679</v>
      </c>
      <c r="L27" s="217">
        <v>5288</v>
      </c>
      <c r="M27" s="217">
        <v>17662</v>
      </c>
      <c r="N27" s="217">
        <v>13279</v>
      </c>
      <c r="O27" s="217">
        <v>25</v>
      </c>
      <c r="P27" s="217">
        <v>47568</v>
      </c>
      <c r="Q27" s="217">
        <v>879</v>
      </c>
      <c r="R27" s="217">
        <v>1036</v>
      </c>
      <c r="S27" s="217">
        <v>8459</v>
      </c>
      <c r="T27" s="217">
        <v>24334</v>
      </c>
      <c r="U27" s="217">
        <v>18287</v>
      </c>
      <c r="V27" s="217">
        <v>25</v>
      </c>
      <c r="W27" s="217">
        <v>65681</v>
      </c>
      <c r="X27" s="217">
        <v>1497</v>
      </c>
      <c r="Y27" s="217">
        <v>1737</v>
      </c>
      <c r="Z27" s="217">
        <v>13820</v>
      </c>
      <c r="AA27" s="217">
        <v>34138</v>
      </c>
      <c r="AB27" s="217">
        <v>25653</v>
      </c>
      <c r="AC27" s="217">
        <v>25</v>
      </c>
      <c r="AD27" s="217">
        <v>81787</v>
      </c>
      <c r="AE27" s="217">
        <v>2103</v>
      </c>
      <c r="AF27" s="217">
        <v>2417</v>
      </c>
      <c r="AG27" s="217">
        <v>19949</v>
      </c>
      <c r="AH27" s="217">
        <v>43435</v>
      </c>
      <c r="AI27" s="217">
        <v>32649</v>
      </c>
    </row>
    <row r="28" spans="1:35" x14ac:dyDescent="0.2">
      <c r="H28" s="217">
        <v>26</v>
      </c>
      <c r="I28" s="217">
        <v>36605</v>
      </c>
      <c r="J28" s="217">
        <v>570</v>
      </c>
      <c r="K28" s="217">
        <v>680</v>
      </c>
      <c r="L28" s="217">
        <v>5289</v>
      </c>
      <c r="M28" s="217">
        <v>17926</v>
      </c>
      <c r="N28" s="217">
        <v>13477</v>
      </c>
      <c r="O28" s="217">
        <v>26</v>
      </c>
      <c r="P28" s="217">
        <v>49243</v>
      </c>
      <c r="Q28" s="217">
        <v>880</v>
      </c>
      <c r="R28" s="217">
        <v>1037</v>
      </c>
      <c r="S28" s="217">
        <v>8459</v>
      </c>
      <c r="T28" s="217">
        <v>24681</v>
      </c>
      <c r="U28" s="217">
        <v>18547</v>
      </c>
      <c r="V28" s="217">
        <v>26</v>
      </c>
      <c r="W28" s="217">
        <v>67996</v>
      </c>
      <c r="X28" s="217">
        <v>1498</v>
      </c>
      <c r="Y28" s="217">
        <v>1737</v>
      </c>
      <c r="Z28" s="217">
        <v>13820</v>
      </c>
      <c r="AA28" s="217">
        <v>34612</v>
      </c>
      <c r="AB28" s="217">
        <v>26008</v>
      </c>
      <c r="AC28" s="217">
        <v>26</v>
      </c>
      <c r="AD28" s="217">
        <v>84675</v>
      </c>
      <c r="AE28" s="217">
        <v>2104</v>
      </c>
      <c r="AF28" s="217">
        <v>2417</v>
      </c>
      <c r="AG28" s="217">
        <v>19950</v>
      </c>
      <c r="AH28" s="217">
        <v>44014</v>
      </c>
      <c r="AI28" s="217">
        <v>33084</v>
      </c>
    </row>
    <row r="29" spans="1:35" x14ac:dyDescent="0.2">
      <c r="H29" s="217">
        <v>27</v>
      </c>
      <c r="I29" s="217">
        <v>38083</v>
      </c>
      <c r="J29" s="217">
        <v>571</v>
      </c>
      <c r="K29" s="217">
        <v>680</v>
      </c>
      <c r="L29" s="217">
        <v>5289</v>
      </c>
      <c r="M29" s="217">
        <v>18453</v>
      </c>
      <c r="N29" s="217">
        <v>13872</v>
      </c>
      <c r="O29" s="217">
        <v>27</v>
      </c>
      <c r="P29" s="217">
        <v>51230</v>
      </c>
      <c r="Q29" s="217">
        <v>880</v>
      </c>
      <c r="R29" s="217">
        <v>1038</v>
      </c>
      <c r="S29" s="217">
        <v>8460</v>
      </c>
      <c r="T29" s="217">
        <v>25376</v>
      </c>
      <c r="U29" s="217">
        <v>19068</v>
      </c>
      <c r="V29" s="217">
        <v>27</v>
      </c>
      <c r="W29" s="217">
        <v>70737</v>
      </c>
      <c r="X29" s="217">
        <v>1499</v>
      </c>
      <c r="Y29" s="217">
        <v>1738</v>
      </c>
      <c r="Z29" s="217">
        <v>13821</v>
      </c>
      <c r="AA29" s="217">
        <v>35560</v>
      </c>
      <c r="AB29" s="217">
        <v>26719</v>
      </c>
      <c r="AC29" s="217">
        <v>27</v>
      </c>
      <c r="AD29" s="217">
        <v>88082</v>
      </c>
      <c r="AE29" s="217">
        <v>2104</v>
      </c>
      <c r="AF29" s="217">
        <v>2418</v>
      </c>
      <c r="AG29" s="217">
        <v>19951</v>
      </c>
      <c r="AH29" s="217">
        <v>45172</v>
      </c>
      <c r="AI29" s="217">
        <v>33953</v>
      </c>
    </row>
    <row r="30" spans="1:35" x14ac:dyDescent="0.2">
      <c r="H30" s="217">
        <v>28</v>
      </c>
      <c r="I30" s="217">
        <v>39335</v>
      </c>
      <c r="J30" s="217">
        <v>571</v>
      </c>
      <c r="K30" s="217">
        <v>681</v>
      </c>
      <c r="L30" s="217">
        <v>5514</v>
      </c>
      <c r="M30" s="217">
        <v>18716</v>
      </c>
      <c r="N30" s="217">
        <v>14070</v>
      </c>
      <c r="O30" s="217">
        <v>28</v>
      </c>
      <c r="P30" s="217">
        <v>52916</v>
      </c>
      <c r="Q30" s="217">
        <v>881</v>
      </c>
      <c r="R30" s="217">
        <v>1038</v>
      </c>
      <c r="S30" s="217">
        <v>8786</v>
      </c>
      <c r="T30" s="217">
        <v>25724</v>
      </c>
      <c r="U30" s="217">
        <v>19330</v>
      </c>
      <c r="V30" s="217">
        <v>28</v>
      </c>
      <c r="W30" s="217">
        <v>73068</v>
      </c>
      <c r="X30" s="217">
        <v>1499</v>
      </c>
      <c r="Y30" s="217">
        <v>1739</v>
      </c>
      <c r="Z30" s="217">
        <v>14308</v>
      </c>
      <c r="AA30" s="217">
        <v>36034</v>
      </c>
      <c r="AB30" s="217">
        <v>27076</v>
      </c>
      <c r="AC30" s="217">
        <v>28</v>
      </c>
      <c r="AD30" s="217">
        <v>90989</v>
      </c>
      <c r="AE30" s="217">
        <v>2105</v>
      </c>
      <c r="AF30" s="217">
        <v>2419</v>
      </c>
      <c r="AG30" s="217">
        <v>20597</v>
      </c>
      <c r="AH30" s="217">
        <v>45751</v>
      </c>
      <c r="AI30" s="217">
        <v>34388</v>
      </c>
    </row>
    <row r="31" spans="1:35" x14ac:dyDescent="0.2">
      <c r="H31" s="217">
        <v>29</v>
      </c>
      <c r="I31" s="217">
        <v>40586</v>
      </c>
      <c r="J31" s="217">
        <v>572</v>
      </c>
      <c r="K31" s="217">
        <v>681</v>
      </c>
      <c r="L31" s="217">
        <v>5515</v>
      </c>
      <c r="M31" s="217">
        <v>18980</v>
      </c>
      <c r="N31" s="217">
        <v>14268</v>
      </c>
      <c r="O31" s="217">
        <v>29</v>
      </c>
      <c r="P31" s="217">
        <v>54602</v>
      </c>
      <c r="Q31" s="217">
        <v>881</v>
      </c>
      <c r="R31" s="217">
        <v>1039</v>
      </c>
      <c r="S31" s="217">
        <v>8786</v>
      </c>
      <c r="T31" s="217">
        <v>26071</v>
      </c>
      <c r="U31" s="217">
        <v>19590</v>
      </c>
      <c r="V31" s="217">
        <v>29</v>
      </c>
      <c r="W31" s="217">
        <v>75399</v>
      </c>
      <c r="X31" s="217">
        <v>1500</v>
      </c>
      <c r="Y31" s="217">
        <v>1739</v>
      </c>
      <c r="Z31" s="217">
        <v>14308</v>
      </c>
      <c r="AA31" s="217">
        <v>36508</v>
      </c>
      <c r="AB31" s="217">
        <v>27431</v>
      </c>
      <c r="AC31" s="217">
        <v>29</v>
      </c>
      <c r="AD31" s="217">
        <v>93895</v>
      </c>
      <c r="AE31" s="217">
        <v>2105</v>
      </c>
      <c r="AF31" s="217">
        <v>2419</v>
      </c>
      <c r="AG31" s="217">
        <v>20597</v>
      </c>
      <c r="AH31" s="217">
        <v>46330</v>
      </c>
      <c r="AI31" s="217">
        <v>34823</v>
      </c>
    </row>
    <row r="32" spans="1:35" x14ac:dyDescent="0.2">
      <c r="H32" s="217">
        <v>30</v>
      </c>
      <c r="I32" s="217">
        <v>41837</v>
      </c>
      <c r="J32" s="217">
        <v>573</v>
      </c>
      <c r="K32" s="217">
        <v>740</v>
      </c>
      <c r="L32" s="217">
        <v>5515</v>
      </c>
      <c r="M32" s="217">
        <v>19243</v>
      </c>
      <c r="N32" s="217">
        <v>14465</v>
      </c>
      <c r="O32" s="217">
        <v>30</v>
      </c>
      <c r="P32" s="217">
        <v>56289</v>
      </c>
      <c r="Q32" s="217">
        <v>882</v>
      </c>
      <c r="R32" s="217">
        <v>1123</v>
      </c>
      <c r="S32" s="217">
        <v>8787</v>
      </c>
      <c r="T32" s="217">
        <v>26419</v>
      </c>
      <c r="U32" s="217">
        <v>19851</v>
      </c>
      <c r="V32" s="217">
        <v>30</v>
      </c>
      <c r="W32" s="217">
        <v>77730</v>
      </c>
      <c r="X32" s="217">
        <v>1500</v>
      </c>
      <c r="Y32" s="217">
        <v>1866</v>
      </c>
      <c r="Z32" s="217">
        <v>14309</v>
      </c>
      <c r="AA32" s="217">
        <v>36982</v>
      </c>
      <c r="AB32" s="217">
        <v>27787</v>
      </c>
      <c r="AC32" s="217">
        <v>30</v>
      </c>
      <c r="AD32" s="217">
        <v>96802</v>
      </c>
      <c r="AE32" s="217">
        <v>2106</v>
      </c>
      <c r="AF32" s="217">
        <v>2585</v>
      </c>
      <c r="AG32" s="217">
        <v>20598</v>
      </c>
      <c r="AH32" s="217">
        <v>46909</v>
      </c>
      <c r="AI32" s="217">
        <v>35257</v>
      </c>
    </row>
    <row r="33" spans="8:35" x14ac:dyDescent="0.2">
      <c r="H33" s="217">
        <v>31</v>
      </c>
      <c r="I33" s="217">
        <v>43088</v>
      </c>
      <c r="J33" s="217">
        <v>573</v>
      </c>
      <c r="K33" s="217">
        <v>741</v>
      </c>
      <c r="L33" s="217">
        <v>5516</v>
      </c>
      <c r="M33" s="217">
        <v>19507</v>
      </c>
      <c r="N33" s="217">
        <v>14663</v>
      </c>
      <c r="O33" s="217">
        <v>31</v>
      </c>
      <c r="P33" s="217">
        <v>57975</v>
      </c>
      <c r="Q33" s="217">
        <v>883</v>
      </c>
      <c r="R33" s="217">
        <v>1124</v>
      </c>
      <c r="S33" s="217">
        <v>8788</v>
      </c>
      <c r="T33" s="217">
        <v>26766</v>
      </c>
      <c r="U33" s="217">
        <v>20111</v>
      </c>
      <c r="V33" s="217">
        <v>31</v>
      </c>
      <c r="W33" s="217">
        <v>80061</v>
      </c>
      <c r="X33" s="217">
        <v>1501</v>
      </c>
      <c r="Y33" s="217">
        <v>1867</v>
      </c>
      <c r="Z33" s="217">
        <v>14310</v>
      </c>
      <c r="AA33" s="217">
        <v>37456</v>
      </c>
      <c r="AB33" s="217">
        <v>28142</v>
      </c>
      <c r="AC33" s="217">
        <v>31</v>
      </c>
      <c r="AD33" s="217">
        <v>99709</v>
      </c>
      <c r="AE33" s="217">
        <v>2107</v>
      </c>
      <c r="AF33" s="217">
        <v>2586</v>
      </c>
      <c r="AG33" s="217">
        <v>20599</v>
      </c>
      <c r="AH33" s="217">
        <v>47488</v>
      </c>
      <c r="AI33" s="217">
        <v>35692</v>
      </c>
    </row>
    <row r="34" spans="8:35" x14ac:dyDescent="0.2">
      <c r="H34" s="217">
        <v>32</v>
      </c>
      <c r="I34" s="217">
        <v>44340</v>
      </c>
      <c r="J34" s="217">
        <v>628</v>
      </c>
      <c r="K34" s="217">
        <v>742</v>
      </c>
      <c r="L34" s="217">
        <v>5745</v>
      </c>
      <c r="M34" s="217">
        <v>19770</v>
      </c>
      <c r="N34" s="217">
        <v>14861</v>
      </c>
      <c r="O34" s="217">
        <v>32</v>
      </c>
      <c r="P34" s="217">
        <v>59661</v>
      </c>
      <c r="Q34" s="217">
        <v>961</v>
      </c>
      <c r="R34" s="217">
        <v>1124</v>
      </c>
      <c r="S34" s="217">
        <v>9120</v>
      </c>
      <c r="T34" s="217">
        <v>27114</v>
      </c>
      <c r="U34" s="217">
        <v>20373</v>
      </c>
      <c r="V34" s="217">
        <v>32</v>
      </c>
      <c r="W34" s="217">
        <v>82392</v>
      </c>
      <c r="X34" s="217">
        <v>1619</v>
      </c>
      <c r="Y34" s="217">
        <v>1868</v>
      </c>
      <c r="Z34" s="217">
        <v>14805</v>
      </c>
      <c r="AA34" s="217">
        <v>37930</v>
      </c>
      <c r="AB34" s="217">
        <v>28499</v>
      </c>
      <c r="AC34" s="217">
        <v>32</v>
      </c>
      <c r="AD34" s="217">
        <v>102616</v>
      </c>
      <c r="AE34" s="217">
        <v>2262</v>
      </c>
      <c r="AF34" s="217">
        <v>2587</v>
      </c>
      <c r="AG34" s="217">
        <v>21255</v>
      </c>
      <c r="AH34" s="217">
        <v>48068</v>
      </c>
      <c r="AI34" s="217">
        <v>36127</v>
      </c>
    </row>
    <row r="35" spans="8:35" x14ac:dyDescent="0.2">
      <c r="H35" s="217">
        <v>33</v>
      </c>
      <c r="I35" s="217">
        <v>45591</v>
      </c>
      <c r="J35" s="217">
        <v>628</v>
      </c>
      <c r="K35" s="217">
        <v>742</v>
      </c>
      <c r="L35" s="217">
        <v>5746</v>
      </c>
      <c r="M35" s="217">
        <v>20034</v>
      </c>
      <c r="N35" s="217">
        <v>15059</v>
      </c>
      <c r="O35" s="217">
        <v>33</v>
      </c>
      <c r="P35" s="217">
        <v>61347</v>
      </c>
      <c r="Q35" s="217">
        <v>961</v>
      </c>
      <c r="R35" s="217">
        <v>1125</v>
      </c>
      <c r="S35" s="217">
        <v>9120</v>
      </c>
      <c r="T35" s="217">
        <v>27461</v>
      </c>
      <c r="U35" s="217">
        <v>20633</v>
      </c>
      <c r="V35" s="217">
        <v>33</v>
      </c>
      <c r="W35" s="217">
        <v>84723</v>
      </c>
      <c r="X35" s="217">
        <v>1620</v>
      </c>
      <c r="Y35" s="217">
        <v>1868</v>
      </c>
      <c r="Z35" s="217">
        <v>14805</v>
      </c>
      <c r="AA35" s="217">
        <v>38404</v>
      </c>
      <c r="AB35" s="217">
        <v>28854</v>
      </c>
      <c r="AC35" s="217">
        <v>33</v>
      </c>
      <c r="AD35" s="217">
        <v>105522</v>
      </c>
      <c r="AE35" s="217">
        <v>2262</v>
      </c>
      <c r="AF35" s="217">
        <v>2587</v>
      </c>
      <c r="AG35" s="217">
        <v>21256</v>
      </c>
      <c r="AH35" s="217">
        <v>48647</v>
      </c>
      <c r="AI35" s="217">
        <v>36562</v>
      </c>
    </row>
    <row r="36" spans="8:35" x14ac:dyDescent="0.2">
      <c r="H36" s="217">
        <v>34</v>
      </c>
      <c r="I36" s="217">
        <v>46842</v>
      </c>
      <c r="J36" s="217">
        <v>629</v>
      </c>
      <c r="K36" s="217">
        <v>743</v>
      </c>
      <c r="L36" s="217">
        <v>5746</v>
      </c>
      <c r="M36" s="217">
        <v>20297</v>
      </c>
      <c r="N36" s="217">
        <v>15256</v>
      </c>
      <c r="O36" s="217">
        <v>34</v>
      </c>
      <c r="P36" s="217">
        <v>63034</v>
      </c>
      <c r="Q36" s="217">
        <v>962</v>
      </c>
      <c r="R36" s="217">
        <v>1125</v>
      </c>
      <c r="S36" s="217">
        <v>9121</v>
      </c>
      <c r="T36" s="217">
        <v>27809</v>
      </c>
      <c r="U36" s="217">
        <v>20894</v>
      </c>
      <c r="V36" s="217">
        <v>34</v>
      </c>
      <c r="W36" s="217">
        <v>87054</v>
      </c>
      <c r="X36" s="217">
        <v>1620</v>
      </c>
      <c r="Y36" s="217">
        <v>1869</v>
      </c>
      <c r="Z36" s="217">
        <v>14806</v>
      </c>
      <c r="AA36" s="217">
        <v>38878</v>
      </c>
      <c r="AB36" s="217">
        <v>29210</v>
      </c>
      <c r="AC36" s="217">
        <v>34</v>
      </c>
      <c r="AD36" s="217">
        <v>108429</v>
      </c>
      <c r="AE36" s="217">
        <v>2263</v>
      </c>
      <c r="AF36" s="217">
        <v>2588</v>
      </c>
      <c r="AG36" s="217">
        <v>21256</v>
      </c>
      <c r="AH36" s="217">
        <v>49226</v>
      </c>
      <c r="AI36" s="217">
        <v>36996</v>
      </c>
    </row>
    <row r="37" spans="8:35" x14ac:dyDescent="0.2">
      <c r="H37" s="217">
        <v>35</v>
      </c>
      <c r="I37" s="217">
        <v>48400</v>
      </c>
      <c r="J37" s="217">
        <v>629</v>
      </c>
      <c r="K37" s="217">
        <v>743</v>
      </c>
      <c r="L37" s="217">
        <v>5747</v>
      </c>
      <c r="M37" s="217">
        <v>20824</v>
      </c>
      <c r="N37" s="217">
        <v>15651</v>
      </c>
      <c r="O37" s="217">
        <v>35</v>
      </c>
      <c r="P37" s="217">
        <v>65124</v>
      </c>
      <c r="Q37" s="217">
        <v>962</v>
      </c>
      <c r="R37" s="217">
        <v>1126</v>
      </c>
      <c r="S37" s="217">
        <v>9121</v>
      </c>
      <c r="T37" s="217">
        <v>28504</v>
      </c>
      <c r="U37" s="217">
        <v>21415</v>
      </c>
      <c r="V37" s="217">
        <v>35</v>
      </c>
      <c r="W37" s="217">
        <v>89936</v>
      </c>
      <c r="X37" s="217">
        <v>1621</v>
      </c>
      <c r="Y37" s="217">
        <v>1869</v>
      </c>
      <c r="Z37" s="217">
        <v>14806</v>
      </c>
      <c r="AA37" s="217">
        <v>39826</v>
      </c>
      <c r="AB37" s="217">
        <v>29921</v>
      </c>
      <c r="AC37" s="217">
        <v>35</v>
      </c>
      <c r="AD37" s="217">
        <v>112010</v>
      </c>
      <c r="AE37" s="217">
        <v>2263</v>
      </c>
      <c r="AF37" s="217">
        <v>2588</v>
      </c>
      <c r="AG37" s="217">
        <v>21257</v>
      </c>
      <c r="AH37" s="217">
        <v>50385</v>
      </c>
      <c r="AI37" s="217">
        <v>37865</v>
      </c>
    </row>
    <row r="38" spans="8:35" x14ac:dyDescent="0.2">
      <c r="H38" s="217">
        <v>36</v>
      </c>
      <c r="I38" s="217">
        <v>49660</v>
      </c>
      <c r="J38" s="217">
        <v>630</v>
      </c>
      <c r="K38" s="217">
        <v>744</v>
      </c>
      <c r="L38" s="217">
        <v>5981</v>
      </c>
      <c r="M38" s="217">
        <v>21088</v>
      </c>
      <c r="N38" s="217">
        <v>15850</v>
      </c>
      <c r="O38" s="217">
        <v>36</v>
      </c>
      <c r="P38" s="217">
        <v>66822</v>
      </c>
      <c r="Q38" s="217">
        <v>963</v>
      </c>
      <c r="R38" s="217">
        <v>1127</v>
      </c>
      <c r="S38" s="217">
        <v>9460</v>
      </c>
      <c r="T38" s="217">
        <v>28851</v>
      </c>
      <c r="U38" s="217">
        <v>21676</v>
      </c>
      <c r="V38" s="217">
        <v>36</v>
      </c>
      <c r="W38" s="217">
        <v>92283</v>
      </c>
      <c r="X38" s="217">
        <v>1621</v>
      </c>
      <c r="Y38" s="217">
        <v>1870</v>
      </c>
      <c r="Z38" s="217">
        <v>15310</v>
      </c>
      <c r="AA38" s="217">
        <v>40300</v>
      </c>
      <c r="AB38" s="217">
        <v>30277</v>
      </c>
      <c r="AC38" s="217">
        <v>36</v>
      </c>
      <c r="AD38" s="217">
        <v>114936</v>
      </c>
      <c r="AE38" s="217">
        <v>2264</v>
      </c>
      <c r="AF38" s="217">
        <v>2589</v>
      </c>
      <c r="AG38" s="217">
        <v>21924</v>
      </c>
      <c r="AH38" s="217">
        <v>50964</v>
      </c>
      <c r="AI38" s="217">
        <v>38301</v>
      </c>
    </row>
    <row r="39" spans="8:35" x14ac:dyDescent="0.2">
      <c r="H39" s="217">
        <v>37</v>
      </c>
      <c r="I39" s="217">
        <v>50920</v>
      </c>
      <c r="J39" s="217">
        <v>630</v>
      </c>
      <c r="K39" s="217">
        <v>745</v>
      </c>
      <c r="L39" s="217">
        <v>5982</v>
      </c>
      <c r="M39" s="217">
        <v>21351</v>
      </c>
      <c r="N39" s="217">
        <v>16047</v>
      </c>
      <c r="O39" s="217">
        <v>37</v>
      </c>
      <c r="P39" s="217">
        <v>68520</v>
      </c>
      <c r="Q39" s="217">
        <v>963</v>
      </c>
      <c r="R39" s="217">
        <v>1127</v>
      </c>
      <c r="S39" s="217">
        <v>9460</v>
      </c>
      <c r="T39" s="217">
        <v>29199</v>
      </c>
      <c r="U39" s="217">
        <v>21937</v>
      </c>
      <c r="V39" s="217">
        <v>37</v>
      </c>
      <c r="W39" s="217">
        <v>94629</v>
      </c>
      <c r="X39" s="217">
        <v>1622</v>
      </c>
      <c r="Y39" s="217">
        <v>1871</v>
      </c>
      <c r="Z39" s="217">
        <v>15311</v>
      </c>
      <c r="AA39" s="217">
        <v>40774</v>
      </c>
      <c r="AB39" s="217">
        <v>30633</v>
      </c>
      <c r="AC39" s="217">
        <v>37</v>
      </c>
      <c r="AD39" s="217">
        <v>117862</v>
      </c>
      <c r="AE39" s="217">
        <v>2264</v>
      </c>
      <c r="AF39" s="217">
        <v>2589</v>
      </c>
      <c r="AG39" s="217">
        <v>21925</v>
      </c>
      <c r="AH39" s="217">
        <v>51543</v>
      </c>
      <c r="AI39" s="217">
        <v>38735</v>
      </c>
    </row>
    <row r="40" spans="8:35" x14ac:dyDescent="0.2">
      <c r="H40" s="217">
        <v>38</v>
      </c>
      <c r="I40" s="217">
        <v>52180</v>
      </c>
      <c r="J40" s="217">
        <v>631</v>
      </c>
      <c r="K40" s="217">
        <v>806</v>
      </c>
      <c r="L40" s="217">
        <v>5983</v>
      </c>
      <c r="M40" s="217">
        <v>21615</v>
      </c>
      <c r="N40" s="217">
        <v>16245</v>
      </c>
      <c r="O40" s="217">
        <v>38</v>
      </c>
      <c r="P40" s="217">
        <v>70218</v>
      </c>
      <c r="Q40" s="217">
        <v>964</v>
      </c>
      <c r="R40" s="217">
        <v>1215</v>
      </c>
      <c r="S40" s="217">
        <v>9461</v>
      </c>
      <c r="T40" s="217">
        <v>29546</v>
      </c>
      <c r="U40" s="217">
        <v>22197</v>
      </c>
      <c r="V40" s="217">
        <v>38</v>
      </c>
      <c r="W40" s="217">
        <v>96976</v>
      </c>
      <c r="X40" s="217">
        <v>1623</v>
      </c>
      <c r="Y40" s="217">
        <v>2002</v>
      </c>
      <c r="Z40" s="217">
        <v>15311</v>
      </c>
      <c r="AA40" s="217">
        <v>41248</v>
      </c>
      <c r="AB40" s="217">
        <v>30988</v>
      </c>
      <c r="AC40" s="217">
        <v>38</v>
      </c>
      <c r="AD40" s="217">
        <v>120788</v>
      </c>
      <c r="AE40" s="217">
        <v>2265</v>
      </c>
      <c r="AF40" s="217">
        <v>2761</v>
      </c>
      <c r="AG40" s="217">
        <v>21925</v>
      </c>
      <c r="AH40" s="217">
        <v>52122</v>
      </c>
      <c r="AI40" s="217">
        <v>39170</v>
      </c>
    </row>
    <row r="41" spans="8:35" x14ac:dyDescent="0.2">
      <c r="H41" s="217">
        <v>39</v>
      </c>
      <c r="I41" s="217">
        <v>53440</v>
      </c>
      <c r="J41" s="217">
        <v>631</v>
      </c>
      <c r="K41" s="217">
        <v>807</v>
      </c>
      <c r="L41" s="217">
        <v>5983</v>
      </c>
      <c r="M41" s="217">
        <v>21878</v>
      </c>
      <c r="N41" s="217">
        <v>16442</v>
      </c>
      <c r="O41" s="217">
        <v>39</v>
      </c>
      <c r="P41" s="217">
        <v>71916</v>
      </c>
      <c r="Q41" s="217">
        <v>965</v>
      </c>
      <c r="R41" s="217">
        <v>1215</v>
      </c>
      <c r="S41" s="217">
        <v>9461</v>
      </c>
      <c r="T41" s="217">
        <v>29894</v>
      </c>
      <c r="U41" s="217">
        <v>22458</v>
      </c>
      <c r="V41" s="217">
        <v>39</v>
      </c>
      <c r="W41" s="217">
        <v>99323</v>
      </c>
      <c r="X41" s="217">
        <v>1623</v>
      </c>
      <c r="Y41" s="217">
        <v>2003</v>
      </c>
      <c r="Z41" s="217">
        <v>15312</v>
      </c>
      <c r="AA41" s="217">
        <v>41722</v>
      </c>
      <c r="AB41" s="217">
        <v>31344</v>
      </c>
      <c r="AC41" s="217">
        <v>39</v>
      </c>
      <c r="AD41" s="217">
        <v>123714</v>
      </c>
      <c r="AE41" s="217">
        <v>2266</v>
      </c>
      <c r="AF41" s="217">
        <v>2761</v>
      </c>
      <c r="AG41" s="217">
        <v>21926</v>
      </c>
      <c r="AH41" s="217">
        <v>52701</v>
      </c>
      <c r="AI41" s="217">
        <v>39604</v>
      </c>
    </row>
    <row r="42" spans="8:35" x14ac:dyDescent="0.2">
      <c r="H42" s="217">
        <v>40</v>
      </c>
      <c r="I42" s="217">
        <v>54700</v>
      </c>
      <c r="J42" s="217">
        <v>632</v>
      </c>
      <c r="K42" s="217">
        <v>807</v>
      </c>
      <c r="L42" s="217">
        <v>6222</v>
      </c>
      <c r="M42" s="217">
        <v>22143</v>
      </c>
      <c r="N42" s="217">
        <v>16641</v>
      </c>
      <c r="O42" s="217">
        <v>40</v>
      </c>
      <c r="P42" s="217">
        <v>73614</v>
      </c>
      <c r="Q42" s="217">
        <v>965</v>
      </c>
      <c r="R42" s="217">
        <v>1216</v>
      </c>
      <c r="S42" s="217">
        <v>9806</v>
      </c>
      <c r="T42" s="217">
        <v>30241</v>
      </c>
      <c r="U42" s="217">
        <v>22719</v>
      </c>
      <c r="V42" s="217">
        <v>40</v>
      </c>
      <c r="W42" s="217">
        <v>101670</v>
      </c>
      <c r="X42" s="217">
        <v>1624</v>
      </c>
      <c r="Y42" s="217">
        <v>2003</v>
      </c>
      <c r="Z42" s="217">
        <v>15824</v>
      </c>
      <c r="AA42" s="217">
        <v>42196</v>
      </c>
      <c r="AB42" s="217">
        <v>31700</v>
      </c>
      <c r="AC42" s="217">
        <v>40</v>
      </c>
      <c r="AD42" s="217">
        <v>126640</v>
      </c>
      <c r="AE42" s="217">
        <v>2266</v>
      </c>
      <c r="AF42" s="217">
        <v>2762</v>
      </c>
      <c r="AG42" s="217">
        <v>22603</v>
      </c>
      <c r="AH42" s="217">
        <v>53280</v>
      </c>
      <c r="AI42" s="217">
        <v>40040</v>
      </c>
    </row>
    <row r="43" spans="8:35" x14ac:dyDescent="0.2">
      <c r="O43" s="217">
        <v>41</v>
      </c>
      <c r="P43" s="217">
        <v>75311</v>
      </c>
      <c r="Q43" s="217">
        <v>1046</v>
      </c>
      <c r="R43" s="217">
        <v>1217</v>
      </c>
      <c r="S43" s="217">
        <v>9806</v>
      </c>
      <c r="T43" s="217">
        <v>30590</v>
      </c>
      <c r="U43" s="217">
        <v>22980</v>
      </c>
      <c r="V43" s="217">
        <v>41</v>
      </c>
      <c r="W43" s="217">
        <v>104016</v>
      </c>
      <c r="X43" s="217">
        <v>1747</v>
      </c>
      <c r="Y43" s="217">
        <v>2004</v>
      </c>
      <c r="Z43" s="217">
        <v>15824</v>
      </c>
      <c r="AA43" s="217">
        <v>42670</v>
      </c>
      <c r="AB43" s="217">
        <v>32056</v>
      </c>
      <c r="AC43" s="217">
        <v>41</v>
      </c>
      <c r="AD43" s="217">
        <v>129566</v>
      </c>
      <c r="AE43" s="217">
        <v>2427</v>
      </c>
      <c r="AF43" s="217">
        <v>2763</v>
      </c>
      <c r="AG43" s="217">
        <v>22604</v>
      </c>
      <c r="AH43" s="217">
        <v>53859</v>
      </c>
      <c r="AI43" s="217">
        <v>40474</v>
      </c>
    </row>
    <row r="44" spans="8:35" x14ac:dyDescent="0.2">
      <c r="O44" s="217">
        <v>42</v>
      </c>
      <c r="P44" s="217">
        <v>77009</v>
      </c>
      <c r="Q44" s="217">
        <v>1047</v>
      </c>
      <c r="R44" s="217">
        <v>1217</v>
      </c>
      <c r="S44" s="217">
        <v>9807</v>
      </c>
      <c r="T44" s="217">
        <v>30937</v>
      </c>
      <c r="U44" s="217">
        <v>23240</v>
      </c>
      <c r="V44" s="217">
        <v>42</v>
      </c>
      <c r="W44" s="217">
        <v>106363</v>
      </c>
      <c r="X44" s="217">
        <v>1747</v>
      </c>
      <c r="Y44" s="217">
        <v>2005</v>
      </c>
      <c r="Z44" s="217">
        <v>15825</v>
      </c>
      <c r="AA44" s="217">
        <v>43144</v>
      </c>
      <c r="AB44" s="217">
        <v>32411</v>
      </c>
      <c r="AC44" s="217">
        <v>42</v>
      </c>
      <c r="AD44" s="217">
        <v>132492</v>
      </c>
      <c r="AE44" s="217">
        <v>2427</v>
      </c>
      <c r="AF44" s="217">
        <v>2763</v>
      </c>
      <c r="AG44" s="217">
        <v>22604</v>
      </c>
      <c r="AH44" s="217">
        <v>54438</v>
      </c>
      <c r="AI44" s="217">
        <v>40909</v>
      </c>
    </row>
    <row r="45" spans="8:35" x14ac:dyDescent="0.2">
      <c r="O45" s="217">
        <v>43</v>
      </c>
      <c r="P45" s="217">
        <v>79204</v>
      </c>
      <c r="Q45" s="217">
        <v>1047</v>
      </c>
      <c r="R45" s="217">
        <v>1218</v>
      </c>
      <c r="S45" s="217">
        <v>9807</v>
      </c>
      <c r="T45" s="217">
        <v>31632</v>
      </c>
      <c r="U45" s="217">
        <v>23761</v>
      </c>
      <c r="V45" s="217">
        <v>43</v>
      </c>
      <c r="W45" s="217">
        <v>109387</v>
      </c>
      <c r="X45" s="217">
        <v>1748</v>
      </c>
      <c r="Y45" s="217">
        <v>2005</v>
      </c>
      <c r="Z45" s="217">
        <v>15825</v>
      </c>
      <c r="AA45" s="217">
        <v>44092</v>
      </c>
      <c r="AB45" s="217">
        <v>33122</v>
      </c>
      <c r="AC45" s="217">
        <v>43</v>
      </c>
      <c r="AD45" s="217">
        <v>136245</v>
      </c>
      <c r="AE45" s="217">
        <v>2428</v>
      </c>
      <c r="AF45" s="217">
        <v>2764</v>
      </c>
      <c r="AG45" s="217">
        <v>22605</v>
      </c>
      <c r="AH45" s="217">
        <v>55596</v>
      </c>
      <c r="AI45" s="217">
        <v>41778</v>
      </c>
    </row>
    <row r="46" spans="8:35" x14ac:dyDescent="0.2">
      <c r="O46" s="217">
        <v>44</v>
      </c>
      <c r="P46" s="217">
        <v>80913</v>
      </c>
      <c r="Q46" s="217">
        <v>1048</v>
      </c>
      <c r="R46" s="217">
        <v>1218</v>
      </c>
      <c r="S46" s="217">
        <v>10158</v>
      </c>
      <c r="T46" s="217">
        <v>31980</v>
      </c>
      <c r="U46" s="217">
        <v>24023</v>
      </c>
      <c r="V46" s="217">
        <v>44</v>
      </c>
      <c r="W46" s="217">
        <v>111750</v>
      </c>
      <c r="X46" s="217">
        <v>1748</v>
      </c>
      <c r="Y46" s="217">
        <v>2006</v>
      </c>
      <c r="Z46" s="217">
        <v>16346</v>
      </c>
      <c r="AA46" s="217">
        <v>44566</v>
      </c>
      <c r="AB46" s="217">
        <v>33479</v>
      </c>
      <c r="AC46" s="217">
        <v>44</v>
      </c>
      <c r="AD46" s="217">
        <v>139191</v>
      </c>
      <c r="AE46" s="217">
        <v>2428</v>
      </c>
      <c r="AF46" s="217">
        <v>2764</v>
      </c>
      <c r="AG46" s="217">
        <v>23292</v>
      </c>
      <c r="AH46" s="217">
        <v>56175</v>
      </c>
      <c r="AI46" s="217">
        <v>42213</v>
      </c>
    </row>
    <row r="47" spans="8:35" x14ac:dyDescent="0.2">
      <c r="O47" s="217">
        <v>45</v>
      </c>
      <c r="P47" s="217">
        <v>82623</v>
      </c>
      <c r="Q47" s="217">
        <v>1048</v>
      </c>
      <c r="R47" s="217">
        <v>1219</v>
      </c>
      <c r="S47" s="217">
        <v>10158</v>
      </c>
      <c r="T47" s="217">
        <v>32327</v>
      </c>
      <c r="U47" s="217">
        <v>24283</v>
      </c>
      <c r="V47" s="217">
        <v>45</v>
      </c>
      <c r="W47" s="217">
        <v>114112</v>
      </c>
      <c r="X47" s="217">
        <v>1749</v>
      </c>
      <c r="Y47" s="217">
        <v>2006</v>
      </c>
      <c r="Z47" s="217">
        <v>16346</v>
      </c>
      <c r="AA47" s="217">
        <v>45040</v>
      </c>
      <c r="AB47" s="217">
        <v>33834</v>
      </c>
      <c r="AC47" s="217">
        <v>45</v>
      </c>
      <c r="AD47" s="217">
        <v>142136</v>
      </c>
      <c r="AE47" s="217">
        <v>2429</v>
      </c>
      <c r="AF47" s="217">
        <v>2765</v>
      </c>
      <c r="AG47" s="217">
        <v>23292</v>
      </c>
      <c r="AH47" s="217">
        <v>56754</v>
      </c>
      <c r="AI47" s="217">
        <v>42648</v>
      </c>
    </row>
    <row r="48" spans="8:35" x14ac:dyDescent="0.2">
      <c r="O48" s="217">
        <v>46</v>
      </c>
      <c r="P48" s="217">
        <v>84332</v>
      </c>
      <c r="Q48" s="217">
        <v>1049</v>
      </c>
      <c r="R48" s="217">
        <v>1310</v>
      </c>
      <c r="S48" s="217">
        <v>10159</v>
      </c>
      <c r="T48" s="217">
        <v>32675</v>
      </c>
      <c r="U48" s="217">
        <v>24544</v>
      </c>
      <c r="V48" s="217">
        <v>46</v>
      </c>
      <c r="W48" s="217">
        <v>116475</v>
      </c>
      <c r="X48" s="217">
        <v>1750</v>
      </c>
      <c r="Y48" s="217">
        <v>2143</v>
      </c>
      <c r="Z48" s="217">
        <v>16347</v>
      </c>
      <c r="AA48" s="217">
        <v>45514</v>
      </c>
      <c r="AB48" s="217">
        <v>34190</v>
      </c>
      <c r="AC48" s="217">
        <v>46</v>
      </c>
      <c r="AD48" s="217">
        <v>145081</v>
      </c>
      <c r="AE48" s="217">
        <v>2430</v>
      </c>
      <c r="AF48" s="217">
        <v>2942</v>
      </c>
      <c r="AG48" s="217">
        <v>23293</v>
      </c>
      <c r="AH48" s="217">
        <v>57333</v>
      </c>
      <c r="AI48" s="217">
        <v>43082</v>
      </c>
    </row>
    <row r="49" spans="15:35" x14ac:dyDescent="0.2">
      <c r="O49" s="217">
        <v>47</v>
      </c>
      <c r="P49" s="217">
        <v>86041</v>
      </c>
      <c r="Q49" s="217">
        <v>1050</v>
      </c>
      <c r="R49" s="217">
        <v>1310</v>
      </c>
      <c r="S49" s="217">
        <v>10160</v>
      </c>
      <c r="T49" s="217">
        <v>33022</v>
      </c>
      <c r="U49" s="217">
        <v>24804</v>
      </c>
      <c r="V49" s="217">
        <v>47</v>
      </c>
      <c r="W49" s="217">
        <v>118837</v>
      </c>
      <c r="X49" s="217">
        <v>1750</v>
      </c>
      <c r="Y49" s="217">
        <v>2144</v>
      </c>
      <c r="Z49" s="217">
        <v>16347</v>
      </c>
      <c r="AA49" s="217">
        <v>45988</v>
      </c>
      <c r="AB49" s="217">
        <v>34545</v>
      </c>
      <c r="AC49" s="217">
        <v>47</v>
      </c>
      <c r="AD49" s="217">
        <v>148026</v>
      </c>
      <c r="AE49" s="217">
        <v>2430</v>
      </c>
      <c r="AF49" s="217">
        <v>2942</v>
      </c>
      <c r="AG49" s="217">
        <v>23294</v>
      </c>
      <c r="AH49" s="217">
        <v>57912</v>
      </c>
      <c r="AI49" s="217">
        <v>43517</v>
      </c>
    </row>
    <row r="50" spans="15:35" x14ac:dyDescent="0.2">
      <c r="O50" s="217">
        <v>48</v>
      </c>
      <c r="P50" s="217">
        <v>87751</v>
      </c>
      <c r="Q50" s="217">
        <v>1050</v>
      </c>
      <c r="R50" s="217">
        <v>1311</v>
      </c>
      <c r="S50" s="217">
        <v>10516</v>
      </c>
      <c r="T50" s="217">
        <v>33370</v>
      </c>
      <c r="U50" s="217">
        <v>25066</v>
      </c>
      <c r="V50" s="217">
        <v>48</v>
      </c>
      <c r="W50" s="217">
        <v>121200</v>
      </c>
      <c r="X50" s="217">
        <v>1751</v>
      </c>
      <c r="Y50" s="217">
        <v>2144</v>
      </c>
      <c r="Z50" s="217">
        <v>16876</v>
      </c>
      <c r="AA50" s="217">
        <v>46462</v>
      </c>
      <c r="AB50" s="217">
        <v>34902</v>
      </c>
      <c r="AC50" s="217">
        <v>48</v>
      </c>
      <c r="AD50" s="217">
        <v>150972</v>
      </c>
      <c r="AE50" s="217">
        <v>2431</v>
      </c>
      <c r="AF50" s="217">
        <v>2943</v>
      </c>
      <c r="AG50" s="217">
        <v>23992</v>
      </c>
      <c r="AH50" s="217">
        <v>58491</v>
      </c>
      <c r="AI50" s="217">
        <v>43952</v>
      </c>
    </row>
    <row r="51" spans="15:35" x14ac:dyDescent="0.2">
      <c r="O51" s="217">
        <v>49</v>
      </c>
      <c r="P51" s="217">
        <v>89460</v>
      </c>
      <c r="Q51" s="217">
        <v>1051</v>
      </c>
      <c r="R51" s="217">
        <v>1311</v>
      </c>
      <c r="S51" s="217">
        <v>10517</v>
      </c>
      <c r="T51" s="217">
        <v>33717</v>
      </c>
      <c r="U51" s="217">
        <v>25326</v>
      </c>
      <c r="V51" s="217">
        <v>49</v>
      </c>
      <c r="W51" s="217">
        <v>123562</v>
      </c>
      <c r="X51" s="217">
        <v>1751</v>
      </c>
      <c r="Y51" s="217">
        <v>2145</v>
      </c>
      <c r="Z51" s="217">
        <v>16877</v>
      </c>
      <c r="AA51" s="217">
        <v>46936</v>
      </c>
      <c r="AB51" s="217">
        <v>35257</v>
      </c>
      <c r="AC51" s="217">
        <v>49</v>
      </c>
      <c r="AD51" s="217">
        <v>153917</v>
      </c>
      <c r="AE51" s="217">
        <v>2431</v>
      </c>
      <c r="AF51" s="217">
        <v>2943</v>
      </c>
      <c r="AG51" s="217">
        <v>23992</v>
      </c>
      <c r="AH51" s="217">
        <v>59070</v>
      </c>
      <c r="AI51" s="217">
        <v>44387</v>
      </c>
    </row>
    <row r="52" spans="15:35" x14ac:dyDescent="0.2">
      <c r="O52" s="217">
        <v>50</v>
      </c>
      <c r="P52" s="217">
        <v>91747</v>
      </c>
      <c r="Q52" s="217">
        <v>1135</v>
      </c>
      <c r="R52" s="217">
        <v>1312</v>
      </c>
      <c r="S52" s="217">
        <v>10518</v>
      </c>
      <c r="T52" s="217">
        <v>34412</v>
      </c>
      <c r="U52" s="217">
        <v>25847</v>
      </c>
      <c r="V52" s="217">
        <v>50</v>
      </c>
      <c r="W52" s="217">
        <v>126712</v>
      </c>
      <c r="X52" s="217">
        <v>1879</v>
      </c>
      <c r="Y52" s="217">
        <v>2146</v>
      </c>
      <c r="Z52" s="217">
        <v>16877</v>
      </c>
      <c r="AA52" s="217">
        <v>47885</v>
      </c>
      <c r="AB52" s="217">
        <v>35968</v>
      </c>
      <c r="AC52" s="217">
        <v>50</v>
      </c>
      <c r="AD52" s="217">
        <v>157825</v>
      </c>
      <c r="AE52" s="217">
        <v>2597</v>
      </c>
      <c r="AF52" s="217">
        <v>2944</v>
      </c>
      <c r="AG52" s="217">
        <v>23993</v>
      </c>
      <c r="AH52" s="217">
        <v>60228</v>
      </c>
      <c r="AI52" s="217">
        <v>45256</v>
      </c>
    </row>
    <row r="53" spans="15:35" x14ac:dyDescent="0.2">
      <c r="O53" s="217">
        <v>51</v>
      </c>
      <c r="P53" s="217">
        <v>93468</v>
      </c>
      <c r="Q53" s="217">
        <v>1136</v>
      </c>
      <c r="R53" s="217">
        <v>1313</v>
      </c>
      <c r="S53" s="217">
        <v>10518</v>
      </c>
      <c r="T53" s="217">
        <v>34760</v>
      </c>
      <c r="U53" s="217">
        <v>26108</v>
      </c>
      <c r="V53" s="217">
        <v>51</v>
      </c>
      <c r="W53" s="217">
        <v>129090</v>
      </c>
      <c r="X53" s="217">
        <v>1879</v>
      </c>
      <c r="Y53" s="217">
        <v>2146</v>
      </c>
      <c r="Z53" s="217">
        <v>16878</v>
      </c>
      <c r="AA53" s="217">
        <v>48359</v>
      </c>
      <c r="AB53" s="217">
        <v>36324</v>
      </c>
      <c r="AC53" s="217">
        <v>51</v>
      </c>
      <c r="AD53" s="217">
        <v>160789</v>
      </c>
      <c r="AE53" s="217">
        <v>2598</v>
      </c>
      <c r="AF53" s="217">
        <v>2945</v>
      </c>
      <c r="AG53" s="217">
        <v>23993</v>
      </c>
      <c r="AH53" s="217">
        <v>60807</v>
      </c>
      <c r="AI53" s="217">
        <v>45690</v>
      </c>
    </row>
    <row r="54" spans="15:35" x14ac:dyDescent="0.2">
      <c r="O54" s="217">
        <v>52</v>
      </c>
      <c r="P54" s="217">
        <v>95189</v>
      </c>
      <c r="Q54" s="217">
        <v>1136</v>
      </c>
      <c r="R54" s="217">
        <v>1313</v>
      </c>
      <c r="S54" s="217">
        <v>10519</v>
      </c>
      <c r="T54" s="217">
        <v>35107</v>
      </c>
      <c r="U54" s="217">
        <v>26368</v>
      </c>
      <c r="V54" s="217">
        <v>52</v>
      </c>
      <c r="W54" s="217">
        <v>131469</v>
      </c>
      <c r="X54" s="217">
        <v>1880</v>
      </c>
      <c r="Y54" s="217">
        <v>2147</v>
      </c>
      <c r="Z54" s="217">
        <v>16878</v>
      </c>
      <c r="AA54" s="217">
        <v>48833</v>
      </c>
      <c r="AB54" s="217">
        <v>36679</v>
      </c>
      <c r="AC54" s="217">
        <v>52</v>
      </c>
      <c r="AD54" s="217">
        <v>163754</v>
      </c>
      <c r="AE54" s="217">
        <v>2598</v>
      </c>
      <c r="AF54" s="217">
        <v>2945</v>
      </c>
      <c r="AG54" s="217">
        <v>23994</v>
      </c>
      <c r="AH54" s="217">
        <v>61386</v>
      </c>
      <c r="AI54" s="217">
        <v>46125</v>
      </c>
    </row>
    <row r="55" spans="15:35" x14ac:dyDescent="0.2">
      <c r="O55" s="217">
        <v>53</v>
      </c>
      <c r="P55" s="217">
        <v>96910</v>
      </c>
      <c r="Q55" s="217">
        <v>1137</v>
      </c>
      <c r="R55" s="217">
        <v>1314</v>
      </c>
      <c r="S55" s="217">
        <v>10882</v>
      </c>
      <c r="T55" s="217">
        <v>35455</v>
      </c>
      <c r="U55" s="217">
        <v>26630</v>
      </c>
      <c r="V55" s="217">
        <v>53</v>
      </c>
      <c r="W55" s="217">
        <v>133847</v>
      </c>
      <c r="X55" s="217">
        <v>1880</v>
      </c>
      <c r="Y55" s="217">
        <v>2147</v>
      </c>
      <c r="Z55" s="217">
        <v>17416</v>
      </c>
      <c r="AA55" s="217">
        <v>49307</v>
      </c>
      <c r="AB55" s="217">
        <v>37036</v>
      </c>
      <c r="AC55" s="217">
        <v>53</v>
      </c>
      <c r="AD55" s="217">
        <v>166718</v>
      </c>
      <c r="AE55" s="217">
        <v>2599</v>
      </c>
      <c r="AF55" s="217">
        <v>2946</v>
      </c>
      <c r="AG55" s="217">
        <v>24702</v>
      </c>
      <c r="AH55" s="217">
        <v>61965</v>
      </c>
      <c r="AI55" s="217">
        <v>46560</v>
      </c>
    </row>
    <row r="56" spans="15:35" x14ac:dyDescent="0.2">
      <c r="O56" s="217">
        <v>54</v>
      </c>
      <c r="P56" s="217">
        <v>98631</v>
      </c>
      <c r="Q56" s="217">
        <v>1137</v>
      </c>
      <c r="R56" s="217">
        <v>1314</v>
      </c>
      <c r="S56" s="217">
        <v>10882</v>
      </c>
      <c r="T56" s="217">
        <v>35802</v>
      </c>
      <c r="U56" s="217">
        <v>26890</v>
      </c>
      <c r="V56" s="217">
        <v>54</v>
      </c>
      <c r="W56" s="217">
        <v>136225</v>
      </c>
      <c r="X56" s="217">
        <v>1881</v>
      </c>
      <c r="Y56" s="217">
        <v>2148</v>
      </c>
      <c r="Z56" s="217">
        <v>17416</v>
      </c>
      <c r="AA56" s="217">
        <v>49781</v>
      </c>
      <c r="AB56" s="217">
        <v>37391</v>
      </c>
      <c r="AC56" s="217">
        <v>54</v>
      </c>
      <c r="AD56" s="217">
        <v>169683</v>
      </c>
      <c r="AE56" s="217">
        <v>2599</v>
      </c>
      <c r="AF56" s="217">
        <v>2946</v>
      </c>
      <c r="AG56" s="217">
        <v>24702</v>
      </c>
      <c r="AH56" s="217">
        <v>62544</v>
      </c>
      <c r="AI56" s="217">
        <v>46995</v>
      </c>
    </row>
    <row r="57" spans="15:35" x14ac:dyDescent="0.2">
      <c r="O57" s="217">
        <v>55</v>
      </c>
      <c r="P57" s="217">
        <v>100352</v>
      </c>
      <c r="Q57" s="217">
        <v>1138</v>
      </c>
      <c r="R57" s="217">
        <v>1409</v>
      </c>
      <c r="S57" s="217">
        <v>10883</v>
      </c>
      <c r="T57" s="217">
        <v>36150</v>
      </c>
      <c r="U57" s="217">
        <v>27151</v>
      </c>
      <c r="V57" s="217">
        <v>55</v>
      </c>
      <c r="W57" s="217">
        <v>138603</v>
      </c>
      <c r="X57" s="217">
        <v>1882</v>
      </c>
      <c r="Y57" s="217">
        <v>2289</v>
      </c>
      <c r="Z57" s="217">
        <v>17417</v>
      </c>
      <c r="AA57" s="217">
        <v>50255</v>
      </c>
      <c r="AB57" s="217">
        <v>37747</v>
      </c>
      <c r="AC57" s="217">
        <v>55</v>
      </c>
      <c r="AD57" s="217">
        <v>172647</v>
      </c>
      <c r="AE57" s="217">
        <v>2600</v>
      </c>
      <c r="AF57" s="217">
        <v>3129</v>
      </c>
      <c r="AG57" s="217">
        <v>24703</v>
      </c>
      <c r="AH57" s="217">
        <v>63123</v>
      </c>
      <c r="AI57" s="217">
        <v>47429</v>
      </c>
    </row>
    <row r="58" spans="15:35" x14ac:dyDescent="0.2">
      <c r="O58" s="217">
        <v>56</v>
      </c>
      <c r="P58" s="217">
        <v>102073</v>
      </c>
      <c r="Q58" s="217">
        <v>1139</v>
      </c>
      <c r="R58" s="217">
        <v>1409</v>
      </c>
      <c r="S58" s="217">
        <v>10883</v>
      </c>
      <c r="T58" s="217">
        <v>36497</v>
      </c>
      <c r="U58" s="217">
        <v>27411</v>
      </c>
      <c r="V58" s="217">
        <v>56</v>
      </c>
      <c r="W58" s="217">
        <v>140982</v>
      </c>
      <c r="X58" s="217">
        <v>1882</v>
      </c>
      <c r="Y58" s="217">
        <v>2289</v>
      </c>
      <c r="Z58" s="217">
        <v>17418</v>
      </c>
      <c r="AA58" s="217">
        <v>50730</v>
      </c>
      <c r="AB58" s="217">
        <v>38102</v>
      </c>
      <c r="AC58" s="217">
        <v>56</v>
      </c>
      <c r="AD58" s="217">
        <v>175612</v>
      </c>
      <c r="AE58" s="217">
        <v>2601</v>
      </c>
      <c r="AF58" s="217">
        <v>3130</v>
      </c>
      <c r="AG58" s="217">
        <v>24704</v>
      </c>
      <c r="AH58" s="217">
        <v>63702</v>
      </c>
      <c r="AI58" s="217">
        <v>47864</v>
      </c>
    </row>
    <row r="59" spans="15:35" x14ac:dyDescent="0.2">
      <c r="O59" s="217">
        <v>57</v>
      </c>
      <c r="P59" s="217">
        <v>103794</v>
      </c>
      <c r="Q59" s="217">
        <v>1139</v>
      </c>
      <c r="R59" s="217">
        <v>1410</v>
      </c>
      <c r="S59" s="217">
        <v>11253</v>
      </c>
      <c r="T59" s="217">
        <v>36845</v>
      </c>
      <c r="U59" s="217">
        <v>27673</v>
      </c>
      <c r="V59" s="217">
        <v>57</v>
      </c>
      <c r="W59" s="217">
        <v>143360</v>
      </c>
      <c r="X59" s="217">
        <v>1883</v>
      </c>
      <c r="Y59" s="217">
        <v>2290</v>
      </c>
      <c r="Z59" s="217">
        <v>17963</v>
      </c>
      <c r="AA59" s="217">
        <v>51204</v>
      </c>
      <c r="AB59" s="217">
        <v>38459</v>
      </c>
      <c r="AC59" s="217">
        <v>57</v>
      </c>
      <c r="AD59" s="217">
        <v>178576</v>
      </c>
      <c r="AE59" s="217">
        <v>2601</v>
      </c>
      <c r="AF59" s="217">
        <v>3130</v>
      </c>
      <c r="AG59" s="217">
        <v>25422</v>
      </c>
      <c r="AH59" s="217">
        <v>64281</v>
      </c>
      <c r="AI59" s="217">
        <v>48299</v>
      </c>
    </row>
    <row r="60" spans="15:35" x14ac:dyDescent="0.2">
      <c r="O60" s="217">
        <v>58</v>
      </c>
      <c r="P60" s="217">
        <v>106185</v>
      </c>
      <c r="Q60" s="217">
        <v>1140</v>
      </c>
      <c r="R60" s="217">
        <v>1410</v>
      </c>
      <c r="S60" s="217">
        <v>11253</v>
      </c>
      <c r="T60" s="217">
        <v>37540</v>
      </c>
      <c r="U60" s="217">
        <v>28194</v>
      </c>
      <c r="V60" s="217">
        <v>58</v>
      </c>
      <c r="W60" s="217">
        <v>146652</v>
      </c>
      <c r="X60" s="217">
        <v>1883</v>
      </c>
      <c r="Y60" s="217">
        <v>2290</v>
      </c>
      <c r="Z60" s="217">
        <v>17964</v>
      </c>
      <c r="AA60" s="217">
        <v>52152</v>
      </c>
      <c r="AB60" s="217">
        <v>39170</v>
      </c>
      <c r="AC60" s="217">
        <v>58</v>
      </c>
      <c r="AD60" s="217">
        <v>182657</v>
      </c>
      <c r="AE60" s="217">
        <v>2602</v>
      </c>
      <c r="AF60" s="217">
        <v>3131</v>
      </c>
      <c r="AG60" s="217">
        <v>25423</v>
      </c>
      <c r="AH60" s="217">
        <v>65439</v>
      </c>
      <c r="AI60" s="217">
        <v>49168</v>
      </c>
    </row>
    <row r="61" spans="15:35" x14ac:dyDescent="0.2">
      <c r="O61" s="217">
        <v>59</v>
      </c>
      <c r="P61" s="217">
        <v>107917</v>
      </c>
      <c r="Q61" s="217">
        <v>1140</v>
      </c>
      <c r="R61" s="217">
        <v>1411</v>
      </c>
      <c r="S61" s="217">
        <v>11254</v>
      </c>
      <c r="T61" s="217">
        <v>37887</v>
      </c>
      <c r="U61" s="217">
        <v>28454</v>
      </c>
      <c r="V61" s="217">
        <v>59</v>
      </c>
      <c r="W61" s="217">
        <v>149046</v>
      </c>
      <c r="X61" s="217">
        <v>1884</v>
      </c>
      <c r="Y61" s="217">
        <v>2291</v>
      </c>
      <c r="Z61" s="217">
        <v>17964</v>
      </c>
      <c r="AA61" s="217">
        <v>52626</v>
      </c>
      <c r="AB61" s="217">
        <v>39525</v>
      </c>
      <c r="AC61" s="217">
        <v>59</v>
      </c>
      <c r="AD61" s="217">
        <v>185641</v>
      </c>
      <c r="AE61" s="217">
        <v>2602</v>
      </c>
      <c r="AF61" s="217">
        <v>3131</v>
      </c>
      <c r="AG61" s="217">
        <v>25423</v>
      </c>
      <c r="AH61" s="217">
        <v>66018</v>
      </c>
      <c r="AI61" s="217">
        <v>49603</v>
      </c>
    </row>
    <row r="62" spans="15:35" x14ac:dyDescent="0.2">
      <c r="O62" s="217">
        <v>60</v>
      </c>
      <c r="P62" s="217">
        <v>109650</v>
      </c>
      <c r="Q62" s="217">
        <v>1228</v>
      </c>
      <c r="R62" s="217">
        <v>1412</v>
      </c>
      <c r="S62" s="217">
        <v>11254</v>
      </c>
      <c r="T62" s="217">
        <v>38235</v>
      </c>
      <c r="U62" s="217">
        <v>28715</v>
      </c>
      <c r="V62" s="217">
        <v>60</v>
      </c>
      <c r="W62" s="217">
        <v>151440</v>
      </c>
      <c r="X62" s="217">
        <v>2016</v>
      </c>
      <c r="Y62" s="217">
        <v>2292</v>
      </c>
      <c r="Z62" s="217">
        <v>17965</v>
      </c>
      <c r="AA62" s="217">
        <v>53100</v>
      </c>
      <c r="AB62" s="217">
        <v>39881</v>
      </c>
      <c r="AC62" s="217">
        <v>60</v>
      </c>
      <c r="AD62" s="217">
        <v>188625</v>
      </c>
      <c r="AE62" s="217">
        <v>2774</v>
      </c>
      <c r="AF62" s="217">
        <v>3132</v>
      </c>
      <c r="AG62" s="217">
        <v>25424</v>
      </c>
      <c r="AH62" s="217">
        <v>66597</v>
      </c>
      <c r="AI62" s="217">
        <v>50037</v>
      </c>
    </row>
    <row r="63" spans="15:35" x14ac:dyDescent="0.2">
      <c r="V63" s="217">
        <v>61</v>
      </c>
      <c r="W63" s="217">
        <v>153834</v>
      </c>
      <c r="X63" s="217">
        <v>2016</v>
      </c>
      <c r="Y63" s="217">
        <v>2292</v>
      </c>
      <c r="Z63" s="217">
        <v>18519</v>
      </c>
      <c r="AA63" s="217">
        <v>53574</v>
      </c>
      <c r="AB63" s="217">
        <v>40237</v>
      </c>
      <c r="AC63" s="217">
        <v>61</v>
      </c>
      <c r="AD63" s="217">
        <v>191608</v>
      </c>
      <c r="AE63" s="217">
        <v>2774</v>
      </c>
      <c r="AF63" s="217">
        <v>3132</v>
      </c>
      <c r="AG63" s="217">
        <v>26153</v>
      </c>
      <c r="AH63" s="217">
        <v>67176</v>
      </c>
      <c r="AI63" s="217">
        <v>50473</v>
      </c>
    </row>
    <row r="64" spans="15:35" x14ac:dyDescent="0.2">
      <c r="V64" s="217">
        <v>62</v>
      </c>
      <c r="W64" s="217">
        <v>156228</v>
      </c>
      <c r="X64" s="217">
        <v>2017</v>
      </c>
      <c r="Y64" s="217">
        <v>2293</v>
      </c>
      <c r="Z64" s="217">
        <v>18519</v>
      </c>
      <c r="AA64" s="217">
        <v>54048</v>
      </c>
      <c r="AB64" s="217">
        <v>40593</v>
      </c>
      <c r="AC64" s="217">
        <v>62</v>
      </c>
      <c r="AD64" s="217">
        <v>194592</v>
      </c>
      <c r="AE64" s="217">
        <v>2775</v>
      </c>
      <c r="AF64" s="217">
        <v>3133</v>
      </c>
      <c r="AG64" s="217">
        <v>26153</v>
      </c>
      <c r="AH64" s="217">
        <v>67755</v>
      </c>
      <c r="AI64" s="217">
        <v>50907</v>
      </c>
    </row>
    <row r="65" spans="22:35" x14ac:dyDescent="0.2">
      <c r="V65" s="217">
        <v>63</v>
      </c>
      <c r="W65" s="217">
        <v>158622</v>
      </c>
      <c r="X65" s="217">
        <v>2017</v>
      </c>
      <c r="Y65" s="217">
        <v>2438</v>
      </c>
      <c r="Z65" s="217">
        <v>18520</v>
      </c>
      <c r="AA65" s="217">
        <v>54522</v>
      </c>
      <c r="AB65" s="217">
        <v>40948</v>
      </c>
      <c r="AC65" s="217">
        <v>63</v>
      </c>
      <c r="AD65" s="217">
        <v>197576</v>
      </c>
      <c r="AE65" s="217">
        <v>2776</v>
      </c>
      <c r="AF65" s="217">
        <v>3321</v>
      </c>
      <c r="AG65" s="217">
        <v>26154</v>
      </c>
      <c r="AH65" s="217">
        <v>68334</v>
      </c>
      <c r="AI65" s="217">
        <v>51342</v>
      </c>
    </row>
    <row r="66" spans="22:35" x14ac:dyDescent="0.2">
      <c r="V66" s="217">
        <v>64</v>
      </c>
      <c r="W66" s="217">
        <v>161016</v>
      </c>
      <c r="X66" s="217">
        <v>2018</v>
      </c>
      <c r="Y66" s="217">
        <v>2439</v>
      </c>
      <c r="Z66" s="217">
        <v>18521</v>
      </c>
      <c r="AA66" s="217">
        <v>54996</v>
      </c>
      <c r="AB66" s="217">
        <v>41304</v>
      </c>
      <c r="AC66" s="217">
        <v>64</v>
      </c>
      <c r="AD66" s="217">
        <v>200560</v>
      </c>
      <c r="AE66" s="217">
        <v>2776</v>
      </c>
      <c r="AF66" s="217">
        <v>3322</v>
      </c>
      <c r="AG66" s="217">
        <v>26154</v>
      </c>
      <c r="AH66" s="217">
        <v>68913</v>
      </c>
      <c r="AI66" s="217">
        <v>51776</v>
      </c>
    </row>
    <row r="67" spans="22:35" x14ac:dyDescent="0.2">
      <c r="V67" s="217">
        <v>65</v>
      </c>
      <c r="W67" s="217">
        <v>163410</v>
      </c>
      <c r="X67" s="217">
        <v>2019</v>
      </c>
      <c r="Y67" s="217">
        <v>2439</v>
      </c>
      <c r="Z67" s="217">
        <v>19083</v>
      </c>
      <c r="AA67" s="217">
        <v>55470</v>
      </c>
      <c r="AB67" s="217">
        <v>41660</v>
      </c>
      <c r="AC67" s="217">
        <v>65</v>
      </c>
      <c r="AD67" s="217">
        <v>203543</v>
      </c>
      <c r="AE67" s="217">
        <v>2777</v>
      </c>
      <c r="AF67" s="217">
        <v>3322</v>
      </c>
      <c r="AG67" s="217">
        <v>26893</v>
      </c>
      <c r="AH67" s="217">
        <v>69492</v>
      </c>
      <c r="AI67" s="217">
        <v>52212</v>
      </c>
    </row>
    <row r="68" spans="22:35" x14ac:dyDescent="0.2">
      <c r="V68" s="217">
        <v>66</v>
      </c>
      <c r="W68" s="217">
        <v>166843</v>
      </c>
      <c r="X68" s="217">
        <v>2019</v>
      </c>
      <c r="Y68" s="217">
        <v>2440</v>
      </c>
      <c r="Z68" s="217">
        <v>19084</v>
      </c>
      <c r="AA68" s="217">
        <v>56418</v>
      </c>
      <c r="AB68" s="217">
        <v>42371</v>
      </c>
      <c r="AC68" s="217">
        <v>66</v>
      </c>
      <c r="AD68" s="217">
        <v>207798</v>
      </c>
      <c r="AE68" s="217">
        <v>2777</v>
      </c>
      <c r="AF68" s="217">
        <v>3323</v>
      </c>
      <c r="AG68" s="217">
        <v>26894</v>
      </c>
      <c r="AH68" s="217">
        <v>70650</v>
      </c>
      <c r="AI68" s="217">
        <v>53081</v>
      </c>
    </row>
    <row r="69" spans="22:35" x14ac:dyDescent="0.2">
      <c r="V69" s="217">
        <v>67</v>
      </c>
      <c r="W69" s="217">
        <v>169253</v>
      </c>
      <c r="X69" s="217">
        <v>2020</v>
      </c>
      <c r="Y69" s="217">
        <v>2440</v>
      </c>
      <c r="Z69" s="217">
        <v>19084</v>
      </c>
      <c r="AA69" s="217">
        <v>56892</v>
      </c>
      <c r="AB69" s="217">
        <v>42727</v>
      </c>
      <c r="AC69" s="217">
        <v>67</v>
      </c>
      <c r="AD69" s="217">
        <v>210801</v>
      </c>
      <c r="AE69" s="217">
        <v>2778</v>
      </c>
      <c r="AF69" s="217">
        <v>3323</v>
      </c>
      <c r="AG69" s="217">
        <v>26894</v>
      </c>
      <c r="AH69" s="217">
        <v>71229</v>
      </c>
      <c r="AI69" s="217">
        <v>53515</v>
      </c>
    </row>
    <row r="70" spans="22:35" x14ac:dyDescent="0.2">
      <c r="V70" s="217">
        <v>68</v>
      </c>
      <c r="W70" s="217">
        <v>171663</v>
      </c>
      <c r="X70" s="217">
        <v>2020</v>
      </c>
      <c r="Y70" s="217">
        <v>2441</v>
      </c>
      <c r="Z70" s="217">
        <v>19085</v>
      </c>
      <c r="AA70" s="217">
        <v>57366</v>
      </c>
      <c r="AB70" s="217">
        <v>43082</v>
      </c>
      <c r="AC70" s="217">
        <v>68</v>
      </c>
      <c r="AD70" s="217">
        <v>213804</v>
      </c>
      <c r="AE70" s="217">
        <v>2778</v>
      </c>
      <c r="AF70" s="217">
        <v>3324</v>
      </c>
      <c r="AG70" s="217">
        <v>26895</v>
      </c>
      <c r="AH70" s="217">
        <v>71808</v>
      </c>
      <c r="AI70" s="217">
        <v>53950</v>
      </c>
    </row>
    <row r="71" spans="22:35" x14ac:dyDescent="0.2">
      <c r="V71" s="217">
        <v>69</v>
      </c>
      <c r="W71" s="217">
        <v>174072</v>
      </c>
      <c r="X71" s="217">
        <v>2157</v>
      </c>
      <c r="Y71" s="217">
        <v>2442</v>
      </c>
      <c r="Z71" s="217">
        <v>19656</v>
      </c>
      <c r="AA71" s="217">
        <v>57840</v>
      </c>
      <c r="AB71" s="217">
        <v>43439</v>
      </c>
      <c r="AC71" s="217">
        <v>69</v>
      </c>
      <c r="AD71" s="217">
        <v>216807</v>
      </c>
      <c r="AE71" s="217">
        <v>2955</v>
      </c>
      <c r="AF71" s="217">
        <v>3325</v>
      </c>
      <c r="AG71" s="217">
        <v>27644</v>
      </c>
      <c r="AH71" s="217">
        <v>72388</v>
      </c>
      <c r="AI71" s="217">
        <v>54385</v>
      </c>
    </row>
    <row r="72" spans="22:35" x14ac:dyDescent="0.2">
      <c r="V72" s="217">
        <v>70</v>
      </c>
      <c r="W72" s="217">
        <v>176482</v>
      </c>
      <c r="X72" s="217">
        <v>2157</v>
      </c>
      <c r="Y72" s="217">
        <v>2442</v>
      </c>
      <c r="Z72" s="217">
        <v>19656</v>
      </c>
      <c r="AA72" s="217">
        <v>58314</v>
      </c>
      <c r="AB72" s="217">
        <v>43794</v>
      </c>
      <c r="AC72" s="217">
        <v>70</v>
      </c>
      <c r="AD72" s="217">
        <v>219810</v>
      </c>
      <c r="AE72" s="217">
        <v>2956</v>
      </c>
      <c r="AF72" s="217">
        <v>3325</v>
      </c>
      <c r="AG72" s="217">
        <v>27645</v>
      </c>
      <c r="AH72" s="217">
        <v>72967</v>
      </c>
      <c r="AI72" s="217">
        <v>54820</v>
      </c>
    </row>
    <row r="73" spans="22:35" x14ac:dyDescent="0.2">
      <c r="V73" s="217">
        <v>71</v>
      </c>
      <c r="W73" s="217">
        <v>178892</v>
      </c>
      <c r="X73" s="217">
        <v>2158</v>
      </c>
      <c r="Y73" s="217">
        <v>2592</v>
      </c>
      <c r="Z73" s="217">
        <v>19657</v>
      </c>
      <c r="AA73" s="217">
        <v>58788</v>
      </c>
      <c r="AB73" s="217">
        <v>44150</v>
      </c>
      <c r="AC73" s="217">
        <v>71</v>
      </c>
      <c r="AD73" s="217">
        <v>222813</v>
      </c>
      <c r="AE73" s="217">
        <v>2957</v>
      </c>
      <c r="AF73" s="217">
        <v>3519</v>
      </c>
      <c r="AG73" s="217">
        <v>27645</v>
      </c>
      <c r="AH73" s="217">
        <v>73546</v>
      </c>
      <c r="AI73" s="217">
        <v>55254</v>
      </c>
    </row>
    <row r="74" spans="22:35" x14ac:dyDescent="0.2">
      <c r="V74" s="217">
        <v>72</v>
      </c>
      <c r="W74" s="217">
        <v>181302</v>
      </c>
      <c r="X74" s="217">
        <v>2159</v>
      </c>
      <c r="Y74" s="217">
        <v>2593</v>
      </c>
      <c r="Z74" s="217">
        <v>19657</v>
      </c>
      <c r="AA74" s="217">
        <v>59262</v>
      </c>
      <c r="AB74" s="217">
        <v>44505</v>
      </c>
      <c r="AC74" s="217">
        <v>72</v>
      </c>
      <c r="AD74" s="217">
        <v>225816</v>
      </c>
      <c r="AE74" s="217">
        <v>2957</v>
      </c>
      <c r="AF74" s="217">
        <v>3519</v>
      </c>
      <c r="AG74" s="217">
        <v>27646</v>
      </c>
      <c r="AH74" s="217">
        <v>74125</v>
      </c>
      <c r="AI74" s="217">
        <v>55689</v>
      </c>
    </row>
    <row r="75" spans="22:35" x14ac:dyDescent="0.2">
      <c r="V75" s="217">
        <v>73</v>
      </c>
      <c r="W75" s="217">
        <v>183711</v>
      </c>
      <c r="X75" s="217">
        <v>2159</v>
      </c>
      <c r="Y75" s="217">
        <v>2593</v>
      </c>
      <c r="Z75" s="217">
        <v>20237</v>
      </c>
      <c r="AA75" s="217">
        <v>59736</v>
      </c>
      <c r="AB75" s="217">
        <v>44862</v>
      </c>
      <c r="AC75" s="217">
        <v>73</v>
      </c>
      <c r="AD75" s="217">
        <v>228819</v>
      </c>
      <c r="AE75" s="217">
        <v>2958</v>
      </c>
      <c r="AF75" s="217">
        <v>3520</v>
      </c>
      <c r="AG75" s="217">
        <v>28406</v>
      </c>
      <c r="AH75" s="217">
        <v>74704</v>
      </c>
      <c r="AI75" s="217">
        <v>56124</v>
      </c>
    </row>
    <row r="76" spans="22:35" x14ac:dyDescent="0.2">
      <c r="V76" s="217">
        <v>74</v>
      </c>
      <c r="W76" s="217">
        <v>187287</v>
      </c>
      <c r="X76" s="217">
        <v>2160</v>
      </c>
      <c r="Y76" s="217">
        <v>2594</v>
      </c>
      <c r="Z76" s="217">
        <v>20237</v>
      </c>
      <c r="AA76" s="217">
        <v>60684</v>
      </c>
      <c r="AB76" s="217">
        <v>45573</v>
      </c>
      <c r="AC76" s="217">
        <v>74</v>
      </c>
      <c r="AD76" s="217">
        <v>233246</v>
      </c>
      <c r="AE76" s="217">
        <v>2959</v>
      </c>
      <c r="AF76" s="217">
        <v>3521</v>
      </c>
      <c r="AG76" s="217">
        <v>28406</v>
      </c>
      <c r="AH76" s="217">
        <v>75862</v>
      </c>
      <c r="AI76" s="217">
        <v>56993</v>
      </c>
    </row>
    <row r="77" spans="22:35" x14ac:dyDescent="0.2">
      <c r="V77" s="217">
        <v>75</v>
      </c>
      <c r="W77" s="217">
        <v>189712</v>
      </c>
      <c r="X77" s="217">
        <v>2160</v>
      </c>
      <c r="Y77" s="217">
        <v>2595</v>
      </c>
      <c r="Z77" s="217">
        <v>20238</v>
      </c>
      <c r="AA77" s="217">
        <v>61158</v>
      </c>
      <c r="AB77" s="217">
        <v>45928</v>
      </c>
      <c r="AC77" s="217">
        <v>75</v>
      </c>
      <c r="AD77" s="217">
        <v>236268</v>
      </c>
      <c r="AE77" s="217">
        <v>2959</v>
      </c>
      <c r="AF77" s="217">
        <v>3521</v>
      </c>
      <c r="AG77" s="217">
        <v>28407</v>
      </c>
      <c r="AH77" s="217">
        <v>76441</v>
      </c>
      <c r="AI77" s="217">
        <v>57428</v>
      </c>
    </row>
    <row r="78" spans="22:35" x14ac:dyDescent="0.2">
      <c r="V78" s="217">
        <v>76</v>
      </c>
      <c r="W78" s="217">
        <v>192138</v>
      </c>
      <c r="X78" s="217">
        <v>2161</v>
      </c>
      <c r="Y78" s="217">
        <v>2595</v>
      </c>
      <c r="Z78" s="217">
        <v>20238</v>
      </c>
      <c r="AA78" s="217">
        <v>61632</v>
      </c>
      <c r="AB78" s="217">
        <v>46284</v>
      </c>
      <c r="AC78" s="217">
        <v>76</v>
      </c>
      <c r="AD78" s="217">
        <v>239291</v>
      </c>
      <c r="AE78" s="217">
        <v>2960</v>
      </c>
      <c r="AF78" s="217">
        <v>3522</v>
      </c>
      <c r="AG78" s="217">
        <v>28407</v>
      </c>
      <c r="AH78" s="217">
        <v>77020</v>
      </c>
      <c r="AI78" s="217">
        <v>57862</v>
      </c>
    </row>
    <row r="79" spans="22:35" x14ac:dyDescent="0.2">
      <c r="V79" s="217">
        <v>77</v>
      </c>
      <c r="W79" s="217">
        <v>194563</v>
      </c>
      <c r="X79" s="217">
        <v>2161</v>
      </c>
      <c r="Y79" s="217">
        <v>2596</v>
      </c>
      <c r="Z79" s="217">
        <v>20239</v>
      </c>
      <c r="AA79" s="217">
        <v>62106</v>
      </c>
      <c r="AB79" s="217">
        <v>46639</v>
      </c>
      <c r="AC79" s="217">
        <v>77</v>
      </c>
      <c r="AD79" s="217">
        <v>242313</v>
      </c>
      <c r="AE79" s="217">
        <v>2960</v>
      </c>
      <c r="AF79" s="217">
        <v>3522</v>
      </c>
      <c r="AG79" s="217">
        <v>28408</v>
      </c>
      <c r="AH79" s="217">
        <v>77599</v>
      </c>
      <c r="AI79" s="217">
        <v>58297</v>
      </c>
    </row>
    <row r="80" spans="22:35" x14ac:dyDescent="0.2">
      <c r="V80" s="217">
        <v>78</v>
      </c>
      <c r="W80" s="217">
        <v>196989</v>
      </c>
      <c r="X80" s="217">
        <v>2302</v>
      </c>
      <c r="Y80" s="217">
        <v>2596</v>
      </c>
      <c r="Z80" s="217">
        <v>20827</v>
      </c>
      <c r="AA80" s="217">
        <v>62580</v>
      </c>
      <c r="AB80" s="217">
        <v>46996</v>
      </c>
      <c r="AC80" s="217">
        <v>78</v>
      </c>
      <c r="AD80" s="217">
        <v>245335</v>
      </c>
      <c r="AE80" s="217">
        <v>3143</v>
      </c>
      <c r="AF80" s="217">
        <v>3523</v>
      </c>
      <c r="AG80" s="217">
        <v>29178</v>
      </c>
      <c r="AH80" s="217">
        <v>78178</v>
      </c>
      <c r="AI80" s="217">
        <v>58732</v>
      </c>
    </row>
    <row r="81" spans="22:35" x14ac:dyDescent="0.2">
      <c r="V81" s="217">
        <v>79</v>
      </c>
      <c r="W81" s="217">
        <v>199414</v>
      </c>
      <c r="X81" s="217">
        <v>2303</v>
      </c>
      <c r="Y81" s="217">
        <v>2597</v>
      </c>
      <c r="Z81" s="217">
        <v>20827</v>
      </c>
      <c r="AA81" s="217">
        <v>63054</v>
      </c>
      <c r="AB81" s="217">
        <v>47351</v>
      </c>
      <c r="AC81" s="217">
        <v>79</v>
      </c>
      <c r="AD81" s="217">
        <v>248357</v>
      </c>
      <c r="AE81" s="217">
        <v>3143</v>
      </c>
      <c r="AF81" s="217">
        <v>3524</v>
      </c>
      <c r="AG81" s="217">
        <v>29178</v>
      </c>
      <c r="AH81" s="217">
        <v>78757</v>
      </c>
      <c r="AI81" s="217">
        <v>59167</v>
      </c>
    </row>
    <row r="82" spans="22:35" x14ac:dyDescent="0.2">
      <c r="V82" s="217">
        <v>80</v>
      </c>
      <c r="W82" s="217">
        <v>201840</v>
      </c>
      <c r="X82" s="217">
        <v>2304</v>
      </c>
      <c r="Y82" s="217">
        <v>2752</v>
      </c>
      <c r="Z82" s="217">
        <v>20828</v>
      </c>
      <c r="AA82" s="217">
        <v>63528</v>
      </c>
      <c r="AB82" s="217">
        <v>47707</v>
      </c>
      <c r="AC82" s="217">
        <v>80</v>
      </c>
      <c r="AD82" s="217">
        <v>251380</v>
      </c>
      <c r="AE82" s="217">
        <v>3144</v>
      </c>
      <c r="AF82" s="217">
        <v>3723</v>
      </c>
      <c r="AG82" s="217">
        <v>29179</v>
      </c>
      <c r="AH82" s="217">
        <v>79336</v>
      </c>
      <c r="AI82" s="217">
        <v>59601</v>
      </c>
    </row>
    <row r="83" spans="22:35" x14ac:dyDescent="0.2">
      <c r="AC83" s="217">
        <v>81</v>
      </c>
      <c r="AD83" s="217">
        <v>255961</v>
      </c>
      <c r="AE83" s="217">
        <v>3145</v>
      </c>
      <c r="AF83" s="217">
        <v>3723</v>
      </c>
      <c r="AG83" s="217">
        <v>29180</v>
      </c>
      <c r="AH83" s="217">
        <v>80494</v>
      </c>
      <c r="AI83" s="217">
        <v>60470</v>
      </c>
    </row>
    <row r="84" spans="22:35" x14ac:dyDescent="0.2">
      <c r="AC84" s="217">
        <v>82</v>
      </c>
      <c r="AD84" s="217">
        <v>259003</v>
      </c>
      <c r="AE84" s="217">
        <v>3145</v>
      </c>
      <c r="AF84" s="217">
        <v>3724</v>
      </c>
      <c r="AG84" s="217">
        <v>29960</v>
      </c>
      <c r="AH84" s="217">
        <v>81073</v>
      </c>
      <c r="AI84" s="217">
        <v>60906</v>
      </c>
    </row>
    <row r="85" spans="22:35" x14ac:dyDescent="0.2">
      <c r="AC85" s="217">
        <v>83</v>
      </c>
      <c r="AD85" s="217">
        <v>262044</v>
      </c>
      <c r="AE85" s="217">
        <v>3146</v>
      </c>
      <c r="AF85" s="217">
        <v>3724</v>
      </c>
      <c r="AG85" s="217">
        <v>29960</v>
      </c>
      <c r="AH85" s="217">
        <v>81652</v>
      </c>
      <c r="AI85" s="217">
        <v>61340</v>
      </c>
    </row>
    <row r="86" spans="22:35" x14ac:dyDescent="0.2">
      <c r="AC86" s="217">
        <v>84</v>
      </c>
      <c r="AD86" s="217">
        <v>265086</v>
      </c>
      <c r="AE86" s="217">
        <v>3146</v>
      </c>
      <c r="AF86" s="217">
        <v>3725</v>
      </c>
      <c r="AG86" s="217">
        <v>29961</v>
      </c>
      <c r="AH86" s="217">
        <v>82231</v>
      </c>
      <c r="AI86" s="217">
        <v>61775</v>
      </c>
    </row>
    <row r="87" spans="22:35" x14ac:dyDescent="0.2">
      <c r="AC87" s="217">
        <v>85</v>
      </c>
      <c r="AD87" s="217">
        <v>268127</v>
      </c>
      <c r="AE87" s="217">
        <v>3147</v>
      </c>
      <c r="AF87" s="217">
        <v>3725</v>
      </c>
      <c r="AG87" s="217">
        <v>29961</v>
      </c>
      <c r="AH87" s="217">
        <v>82810</v>
      </c>
      <c r="AI87" s="217">
        <v>62209</v>
      </c>
    </row>
    <row r="88" spans="22:35" x14ac:dyDescent="0.2">
      <c r="AC88" s="217">
        <v>86</v>
      </c>
      <c r="AD88" s="217">
        <v>271169</v>
      </c>
      <c r="AE88" s="217">
        <v>3147</v>
      </c>
      <c r="AF88" s="217">
        <v>3726</v>
      </c>
      <c r="AG88" s="217">
        <v>30752</v>
      </c>
      <c r="AH88" s="217">
        <v>83389</v>
      </c>
      <c r="AI88" s="217">
        <v>62645</v>
      </c>
    </row>
    <row r="89" spans="22:35" x14ac:dyDescent="0.2">
      <c r="AC89" s="217">
        <v>87</v>
      </c>
      <c r="AD89" s="217">
        <v>274210</v>
      </c>
      <c r="AE89" s="217">
        <v>3335</v>
      </c>
      <c r="AF89" s="217">
        <v>3727</v>
      </c>
      <c r="AG89" s="217">
        <v>30752</v>
      </c>
      <c r="AH89" s="217">
        <v>83969</v>
      </c>
      <c r="AI89" s="217">
        <v>63079</v>
      </c>
    </row>
    <row r="90" spans="22:35" x14ac:dyDescent="0.2">
      <c r="AC90" s="217">
        <v>88</v>
      </c>
      <c r="AD90" s="217">
        <v>277252</v>
      </c>
      <c r="AE90" s="217">
        <v>3336</v>
      </c>
      <c r="AF90" s="217">
        <v>3931</v>
      </c>
      <c r="AG90" s="217">
        <v>30753</v>
      </c>
      <c r="AH90" s="217">
        <v>84548</v>
      </c>
      <c r="AI90" s="217">
        <v>63514</v>
      </c>
    </row>
    <row r="91" spans="22:35" x14ac:dyDescent="0.2">
      <c r="AC91" s="217">
        <v>89</v>
      </c>
      <c r="AD91" s="217">
        <v>282006</v>
      </c>
      <c r="AE91" s="217">
        <v>3337</v>
      </c>
      <c r="AF91" s="217">
        <v>3932</v>
      </c>
      <c r="AG91" s="217">
        <v>30754</v>
      </c>
      <c r="AH91" s="217">
        <v>85706</v>
      </c>
      <c r="AI91" s="217">
        <v>64383</v>
      </c>
    </row>
    <row r="92" spans="22:35" x14ac:dyDescent="0.2">
      <c r="AC92" s="217">
        <v>90</v>
      </c>
      <c r="AD92" s="217">
        <v>285067</v>
      </c>
      <c r="AE92" s="217">
        <v>3337</v>
      </c>
      <c r="AF92" s="217">
        <v>3933</v>
      </c>
      <c r="AG92" s="217">
        <v>31554</v>
      </c>
      <c r="AH92" s="217">
        <v>86285</v>
      </c>
      <c r="AI92" s="217">
        <v>64818</v>
      </c>
    </row>
    <row r="93" spans="22:35" x14ac:dyDescent="0.2">
      <c r="AC93" s="217">
        <v>91</v>
      </c>
      <c r="AD93" s="217">
        <v>288128</v>
      </c>
      <c r="AE93" s="217">
        <v>3338</v>
      </c>
      <c r="AF93" s="217">
        <v>3933</v>
      </c>
      <c r="AG93" s="217">
        <v>31555</v>
      </c>
      <c r="AH93" s="217">
        <v>86864</v>
      </c>
      <c r="AI93" s="217">
        <v>65253</v>
      </c>
    </row>
    <row r="94" spans="22:35" x14ac:dyDescent="0.2">
      <c r="AC94" s="217">
        <v>92</v>
      </c>
      <c r="AD94" s="217">
        <v>291189</v>
      </c>
      <c r="AE94" s="217">
        <v>3338</v>
      </c>
      <c r="AF94" s="217">
        <v>3934</v>
      </c>
      <c r="AG94" s="217">
        <v>31555</v>
      </c>
      <c r="AH94" s="217">
        <v>87443</v>
      </c>
      <c r="AI94" s="217">
        <v>65687</v>
      </c>
    </row>
    <row r="95" spans="22:35" x14ac:dyDescent="0.2">
      <c r="AC95" s="217">
        <v>93</v>
      </c>
      <c r="AD95" s="217">
        <v>294249</v>
      </c>
      <c r="AE95" s="217">
        <v>3339</v>
      </c>
      <c r="AF95" s="217">
        <v>3934</v>
      </c>
      <c r="AG95" s="217">
        <v>31556</v>
      </c>
      <c r="AH95" s="217">
        <v>88022</v>
      </c>
      <c r="AI95" s="217">
        <v>66122</v>
      </c>
    </row>
    <row r="96" spans="22:35" x14ac:dyDescent="0.2">
      <c r="AC96" s="217">
        <v>94</v>
      </c>
      <c r="AD96" s="217">
        <v>297310</v>
      </c>
      <c r="AE96" s="217">
        <v>3339</v>
      </c>
      <c r="AF96" s="217">
        <v>3935</v>
      </c>
      <c r="AG96" s="217">
        <v>32367</v>
      </c>
      <c r="AH96" s="217">
        <v>88601</v>
      </c>
      <c r="AI96" s="217">
        <v>66557</v>
      </c>
    </row>
    <row r="97" spans="29:35" x14ac:dyDescent="0.2">
      <c r="AC97" s="217">
        <v>95</v>
      </c>
      <c r="AD97" s="217">
        <v>300371</v>
      </c>
      <c r="AE97" s="217">
        <v>3340</v>
      </c>
      <c r="AF97" s="217">
        <v>3935</v>
      </c>
      <c r="AG97" s="217">
        <v>32368</v>
      </c>
      <c r="AH97" s="217">
        <v>89180</v>
      </c>
      <c r="AI97" s="217">
        <v>66992</v>
      </c>
    </row>
    <row r="98" spans="29:35" x14ac:dyDescent="0.2">
      <c r="AC98" s="217">
        <v>96</v>
      </c>
      <c r="AD98" s="217">
        <v>303432</v>
      </c>
      <c r="AE98" s="217">
        <v>3534</v>
      </c>
      <c r="AF98" s="217">
        <v>4146</v>
      </c>
      <c r="AG98" s="217">
        <v>32368</v>
      </c>
      <c r="AH98" s="217">
        <v>89759</v>
      </c>
      <c r="AI98" s="217">
        <v>67426</v>
      </c>
    </row>
    <row r="99" spans="29:35" x14ac:dyDescent="0.2">
      <c r="AC99" s="217">
        <v>97</v>
      </c>
      <c r="AD99" s="217">
        <v>308360</v>
      </c>
      <c r="AE99" s="217">
        <v>3534</v>
      </c>
      <c r="AF99" s="217">
        <v>4146</v>
      </c>
      <c r="AG99" s="217">
        <v>32369</v>
      </c>
      <c r="AH99" s="217">
        <v>90917</v>
      </c>
      <c r="AI99" s="217">
        <v>68295</v>
      </c>
    </row>
    <row r="100" spans="29:35" x14ac:dyDescent="0.2">
      <c r="AC100" s="217">
        <v>98</v>
      </c>
      <c r="AD100" s="217">
        <v>311440</v>
      </c>
      <c r="AE100" s="217">
        <v>3535</v>
      </c>
      <c r="AF100" s="217">
        <v>4147</v>
      </c>
      <c r="AG100" s="217">
        <v>33191</v>
      </c>
      <c r="AH100" s="217">
        <v>91496</v>
      </c>
      <c r="AI100" s="217">
        <v>68731</v>
      </c>
    </row>
    <row r="101" spans="29:35" x14ac:dyDescent="0.2">
      <c r="AC101" s="217">
        <v>99</v>
      </c>
      <c r="AD101" s="217">
        <v>314520</v>
      </c>
      <c r="AE101" s="217">
        <v>3536</v>
      </c>
      <c r="AF101" s="217">
        <v>4147</v>
      </c>
      <c r="AG101" s="217">
        <v>33191</v>
      </c>
      <c r="AH101" s="217">
        <v>92075</v>
      </c>
      <c r="AI101" s="217">
        <v>69165</v>
      </c>
    </row>
    <row r="102" spans="29:35" x14ac:dyDescent="0.2">
      <c r="AC102" s="217">
        <v>100</v>
      </c>
      <c r="AD102" s="217">
        <v>317600</v>
      </c>
      <c r="AE102" s="217">
        <v>3536</v>
      </c>
      <c r="AF102" s="217">
        <v>4148</v>
      </c>
      <c r="AG102" s="217">
        <v>33192</v>
      </c>
      <c r="AH102" s="217">
        <v>92654</v>
      </c>
      <c r="AI102" s="217">
        <v>69600</v>
      </c>
    </row>
  </sheetData>
  <mergeCells count="5">
    <mergeCell ref="A1:G1"/>
    <mergeCell ref="H1:N1"/>
    <mergeCell ref="O1:U1"/>
    <mergeCell ref="V1:AB1"/>
    <mergeCell ref="AC1:AI1"/>
  </mergeCells>
  <phoneticPr fontId="3" type="noConversion"/>
  <conditionalFormatting sqref="F3:G22 M3:N42 AH3:AI102 AA3:AB82">
    <cfRule type="expression" dxfId="95" priority="18">
      <formula>MOD(#REF!,2)</formula>
    </cfRule>
  </conditionalFormatting>
  <conditionalFormatting sqref="T3:U62">
    <cfRule type="expression" dxfId="94" priority="9">
      <formula>MOD(#REF!,2)</formula>
    </cfRule>
  </conditionalFormatting>
  <conditionalFormatting sqref="D2">
    <cfRule type="expression" dxfId="93" priority="10">
      <formula>MOD(#REF!,2)</formula>
    </cfRule>
  </conditionalFormatting>
  <conditionalFormatting sqref="A2:C2 E2:G2">
    <cfRule type="expression" dxfId="92" priority="11">
      <formula>MOD(#REF!,2)</formula>
    </cfRule>
  </conditionalFormatting>
  <conditionalFormatting sqref="K2">
    <cfRule type="expression" dxfId="91" priority="7">
      <formula>MOD(#REF!,2)</formula>
    </cfRule>
  </conditionalFormatting>
  <conditionalFormatting sqref="H2:J2 L2:N2">
    <cfRule type="expression" dxfId="90" priority="8">
      <formula>MOD(#REF!,2)</formula>
    </cfRule>
  </conditionalFormatting>
  <conditionalFormatting sqref="R2">
    <cfRule type="expression" dxfId="89" priority="5">
      <formula>MOD(#REF!,2)</formula>
    </cfRule>
  </conditionalFormatting>
  <conditionalFormatting sqref="O2:Q2 S2:U2">
    <cfRule type="expression" dxfId="88" priority="6">
      <formula>MOD(#REF!,2)</formula>
    </cfRule>
  </conditionalFormatting>
  <conditionalFormatting sqref="Y2">
    <cfRule type="expression" dxfId="87" priority="3">
      <formula>MOD(#REF!,2)</formula>
    </cfRule>
  </conditionalFormatting>
  <conditionalFormatting sqref="V2:X2 Z2:AB2">
    <cfRule type="expression" dxfId="86" priority="4">
      <formula>MOD(#REF!,2)</formula>
    </cfRule>
  </conditionalFormatting>
  <conditionalFormatting sqref="AF2">
    <cfRule type="expression" dxfId="85" priority="1">
      <formula>MOD(#REF!,2)</formula>
    </cfRule>
  </conditionalFormatting>
  <conditionalFormatting sqref="AC2:AE2 AG2:AI2">
    <cfRule type="expression" dxfId="84" priority="2">
      <formula>MOD(#REF!,2)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>
    <tabColor rgb="FF66FFCC"/>
  </sheetPr>
  <dimension ref="A1:AC44"/>
  <sheetViews>
    <sheetView topLeftCell="F1" workbookViewId="0">
      <selection activeCell="L44" sqref="L44"/>
    </sheetView>
    <sheetView workbookViewId="1"/>
  </sheetViews>
  <sheetFormatPr defaultRowHeight="12" x14ac:dyDescent="0.2"/>
  <cols>
    <col min="1" max="1" width="3.25" style="168" bestFit="1" customWidth="1"/>
    <col min="2" max="2" width="7.5" style="168" bestFit="1" customWidth="1"/>
    <col min="3" max="3" width="6.75" style="168" bestFit="1" customWidth="1"/>
    <col min="4" max="4" width="12.75" style="184" bestFit="1" customWidth="1"/>
    <col min="5" max="5" width="23.875" style="184" bestFit="1" customWidth="1"/>
    <col min="6" max="6" width="9" style="168" bestFit="1" customWidth="1"/>
    <col min="7" max="10" width="9.125" style="168" bestFit="1" customWidth="1"/>
    <col min="11" max="11" width="10" style="168" bestFit="1" customWidth="1"/>
    <col min="12" max="12" width="17.25" style="168" bestFit="1" customWidth="1"/>
    <col min="13" max="14" width="8.625" style="168" bestFit="1" customWidth="1"/>
    <col min="15" max="15" width="17.25" style="168" bestFit="1" customWidth="1"/>
    <col min="16" max="17" width="8.625" style="168" bestFit="1" customWidth="1"/>
    <col min="18" max="18" width="17.25" style="168" bestFit="1" customWidth="1"/>
    <col min="19" max="20" width="8.625" style="168" bestFit="1" customWidth="1"/>
    <col min="21" max="21" width="17.25" style="168" bestFit="1" customWidth="1"/>
    <col min="22" max="23" width="8.625" style="168" bestFit="1" customWidth="1"/>
    <col min="24" max="24" width="9" style="2"/>
    <col min="25" max="25" width="2" style="3" customWidth="1"/>
    <col min="26" max="26" width="16.125" style="3" bestFit="1" customWidth="1"/>
    <col min="27" max="27" width="11.75" style="3" bestFit="1" customWidth="1"/>
    <col min="28" max="28" width="6" style="3" customWidth="1"/>
    <col min="29" max="29" width="8.875" style="3" customWidth="1"/>
    <col min="30" max="16384" width="9" style="3"/>
  </cols>
  <sheetData>
    <row r="1" spans="1:29" x14ac:dyDescent="0.2">
      <c r="A1" s="185" t="s">
        <v>35</v>
      </c>
      <c r="B1" s="185" t="s">
        <v>3</v>
      </c>
      <c r="C1" s="185" t="s">
        <v>315</v>
      </c>
      <c r="D1" s="185" t="s">
        <v>4</v>
      </c>
      <c r="E1" s="185" t="s">
        <v>316</v>
      </c>
      <c r="F1" s="186" t="s">
        <v>29</v>
      </c>
      <c r="G1" s="186" t="s">
        <v>317</v>
      </c>
      <c r="H1" s="186" t="s">
        <v>318</v>
      </c>
      <c r="I1" s="186" t="s">
        <v>319</v>
      </c>
      <c r="J1" s="186" t="s">
        <v>320</v>
      </c>
      <c r="K1" s="185" t="s">
        <v>321</v>
      </c>
      <c r="L1" s="185" t="s">
        <v>322</v>
      </c>
      <c r="M1" s="185" t="s">
        <v>323</v>
      </c>
      <c r="N1" s="185" t="s">
        <v>324</v>
      </c>
      <c r="O1" s="185" t="s">
        <v>325</v>
      </c>
      <c r="P1" s="185" t="s">
        <v>326</v>
      </c>
      <c r="Q1" s="185" t="s">
        <v>327</v>
      </c>
      <c r="R1" s="185" t="s">
        <v>328</v>
      </c>
      <c r="S1" s="185" t="s">
        <v>329</v>
      </c>
      <c r="T1" s="185" t="s">
        <v>330</v>
      </c>
      <c r="U1" s="185" t="s">
        <v>331</v>
      </c>
      <c r="V1" s="185" t="s">
        <v>332</v>
      </c>
      <c r="W1" s="185" t="s">
        <v>333</v>
      </c>
    </row>
    <row r="2" spans="1:29" x14ac:dyDescent="0.2">
      <c r="A2" s="168">
        <v>1</v>
      </c>
      <c r="B2" s="168">
        <v>130001</v>
      </c>
      <c r="C2" s="210">
        <v>130001</v>
      </c>
      <c r="D2" s="184" t="s">
        <v>423</v>
      </c>
      <c r="E2" s="184" t="s">
        <v>424</v>
      </c>
      <c r="F2" s="168">
        <v>0</v>
      </c>
      <c r="G2" s="168">
        <v>55001</v>
      </c>
      <c r="H2" s="168">
        <v>55002</v>
      </c>
      <c r="I2" s="168">
        <v>55003</v>
      </c>
      <c r="J2" s="168">
        <v>55004</v>
      </c>
      <c r="K2" s="168">
        <v>1</v>
      </c>
      <c r="L2" s="168">
        <v>112</v>
      </c>
      <c r="M2" s="168">
        <v>50</v>
      </c>
      <c r="N2" s="168">
        <v>0</v>
      </c>
      <c r="O2" s="168">
        <v>0</v>
      </c>
      <c r="P2" s="168">
        <v>0</v>
      </c>
      <c r="Q2" s="168">
        <v>0</v>
      </c>
      <c r="R2" s="168">
        <v>0</v>
      </c>
      <c r="S2" s="168">
        <v>0</v>
      </c>
      <c r="T2" s="168">
        <v>0</v>
      </c>
      <c r="U2" s="168">
        <v>0</v>
      </c>
      <c r="V2" s="168">
        <v>0</v>
      </c>
      <c r="W2" s="168">
        <v>0</v>
      </c>
      <c r="Z2" s="227" t="s">
        <v>1121</v>
      </c>
      <c r="AA2" s="227"/>
      <c r="AB2" s="227"/>
    </row>
    <row r="3" spans="1:29" x14ac:dyDescent="0.2">
      <c r="A3" s="168">
        <v>2</v>
      </c>
      <c r="B3" s="168">
        <v>130002</v>
      </c>
      <c r="C3" s="210">
        <v>130002</v>
      </c>
      <c r="D3" s="184" t="s">
        <v>425</v>
      </c>
      <c r="E3" s="184" t="s">
        <v>426</v>
      </c>
      <c r="F3" s="168">
        <v>0</v>
      </c>
      <c r="G3" s="168">
        <v>55003</v>
      </c>
      <c r="H3" s="168">
        <v>55007</v>
      </c>
      <c r="I3" s="168">
        <v>0</v>
      </c>
      <c r="J3" s="168">
        <v>0</v>
      </c>
      <c r="K3" s="168">
        <v>1</v>
      </c>
      <c r="L3" s="168">
        <v>114</v>
      </c>
      <c r="M3" s="168">
        <v>0</v>
      </c>
      <c r="N3" s="168">
        <v>5</v>
      </c>
      <c r="O3" s="168">
        <v>120</v>
      </c>
      <c r="P3" s="168">
        <v>0</v>
      </c>
      <c r="Q3" s="168">
        <v>5</v>
      </c>
      <c r="R3" s="168">
        <v>0</v>
      </c>
      <c r="S3" s="168">
        <v>0</v>
      </c>
      <c r="T3" s="168">
        <v>0</v>
      </c>
      <c r="U3" s="168">
        <v>0</v>
      </c>
      <c r="V3" s="168">
        <v>0</v>
      </c>
      <c r="W3" s="168">
        <v>0</v>
      </c>
      <c r="Z3" s="18" t="s">
        <v>35</v>
      </c>
      <c r="AA3" s="18" t="s">
        <v>334</v>
      </c>
      <c r="AB3" s="18" t="s">
        <v>41</v>
      </c>
      <c r="AC3" s="6"/>
    </row>
    <row r="4" spans="1:29" x14ac:dyDescent="0.2">
      <c r="A4" s="168">
        <v>3</v>
      </c>
      <c r="B4" s="168">
        <v>130003</v>
      </c>
      <c r="C4" s="210">
        <v>130003</v>
      </c>
      <c r="D4" s="184" t="s">
        <v>427</v>
      </c>
      <c r="E4" s="184" t="s">
        <v>428</v>
      </c>
      <c r="F4" s="168">
        <v>0</v>
      </c>
      <c r="G4" s="168">
        <v>55001</v>
      </c>
      <c r="H4" s="168">
        <v>55036</v>
      </c>
      <c r="I4" s="168">
        <v>55060</v>
      </c>
      <c r="J4" s="168">
        <v>55081</v>
      </c>
      <c r="K4" s="168">
        <v>2</v>
      </c>
      <c r="L4" s="168">
        <v>121</v>
      </c>
      <c r="M4" s="168">
        <v>0</v>
      </c>
      <c r="N4" s="168">
        <v>5</v>
      </c>
      <c r="O4" s="168">
        <v>0</v>
      </c>
      <c r="P4" s="168">
        <v>0</v>
      </c>
      <c r="Q4" s="168">
        <v>0</v>
      </c>
      <c r="R4" s="168">
        <v>0</v>
      </c>
      <c r="S4" s="168">
        <v>0</v>
      </c>
      <c r="T4" s="168">
        <v>0</v>
      </c>
      <c r="U4" s="168">
        <v>0</v>
      </c>
      <c r="V4" s="168">
        <v>0</v>
      </c>
      <c r="W4" s="168">
        <v>0</v>
      </c>
      <c r="Z4" s="187" t="s">
        <v>3</v>
      </c>
      <c r="AA4" s="187" t="s">
        <v>335</v>
      </c>
      <c r="AB4" s="187" t="s">
        <v>336</v>
      </c>
      <c r="AC4" s="6"/>
    </row>
    <row r="5" spans="1:29" x14ac:dyDescent="0.2">
      <c r="A5" s="168">
        <v>4</v>
      </c>
      <c r="B5" s="168">
        <v>130004</v>
      </c>
      <c r="C5" s="210">
        <v>130004</v>
      </c>
      <c r="D5" s="184" t="s">
        <v>429</v>
      </c>
      <c r="E5" s="184" t="s">
        <v>430</v>
      </c>
      <c r="F5" s="168">
        <v>0</v>
      </c>
      <c r="G5" s="168">
        <v>55002</v>
      </c>
      <c r="H5" s="168">
        <v>55005</v>
      </c>
      <c r="I5" s="168">
        <v>55006</v>
      </c>
      <c r="J5" s="168">
        <v>55016</v>
      </c>
      <c r="K5" s="168">
        <v>1</v>
      </c>
      <c r="L5" s="168">
        <v>111</v>
      </c>
      <c r="M5" s="168">
        <v>50</v>
      </c>
      <c r="N5" s="168">
        <v>0</v>
      </c>
      <c r="O5" s="168">
        <v>0</v>
      </c>
      <c r="P5" s="168">
        <v>0</v>
      </c>
      <c r="Q5" s="168">
        <v>0</v>
      </c>
      <c r="R5" s="168">
        <v>0</v>
      </c>
      <c r="S5" s="168">
        <v>0</v>
      </c>
      <c r="T5" s="168">
        <v>0</v>
      </c>
      <c r="U5" s="168">
        <v>0</v>
      </c>
      <c r="V5" s="168">
        <v>0</v>
      </c>
      <c r="W5" s="168">
        <v>0</v>
      </c>
      <c r="Z5" s="189" t="s">
        <v>319</v>
      </c>
      <c r="AA5" s="189" t="s">
        <v>337</v>
      </c>
      <c r="AB5" s="187" t="s">
        <v>41</v>
      </c>
      <c r="AC5" s="6"/>
    </row>
    <row r="6" spans="1:29" x14ac:dyDescent="0.2">
      <c r="A6" s="168">
        <v>5</v>
      </c>
      <c r="B6" s="168">
        <v>130005</v>
      </c>
      <c r="C6" s="210">
        <v>130005</v>
      </c>
      <c r="D6" s="184" t="s">
        <v>431</v>
      </c>
      <c r="E6" s="184" t="s">
        <v>432</v>
      </c>
      <c r="F6" s="168">
        <v>0</v>
      </c>
      <c r="G6" s="168">
        <v>55009</v>
      </c>
      <c r="H6" s="168">
        <v>55062</v>
      </c>
      <c r="I6" s="168">
        <v>0</v>
      </c>
      <c r="J6" s="168">
        <v>0</v>
      </c>
      <c r="K6" s="168">
        <v>1</v>
      </c>
      <c r="L6" s="168">
        <v>130</v>
      </c>
      <c r="M6" s="168">
        <v>0</v>
      </c>
      <c r="N6" s="168">
        <v>10</v>
      </c>
      <c r="O6" s="168">
        <v>0</v>
      </c>
      <c r="P6" s="168">
        <v>0</v>
      </c>
      <c r="Q6" s="168">
        <v>0</v>
      </c>
      <c r="R6" s="168">
        <v>0</v>
      </c>
      <c r="S6" s="168">
        <v>0</v>
      </c>
      <c r="T6" s="168">
        <v>0</v>
      </c>
      <c r="U6" s="168">
        <v>0</v>
      </c>
      <c r="V6" s="168">
        <v>0</v>
      </c>
      <c r="W6" s="168">
        <v>0</v>
      </c>
      <c r="Z6" s="189" t="s">
        <v>320</v>
      </c>
      <c r="AA6" s="189" t="s">
        <v>337</v>
      </c>
      <c r="AB6" s="187" t="s">
        <v>41</v>
      </c>
      <c r="AC6" s="6"/>
    </row>
    <row r="7" spans="1:29" x14ac:dyDescent="0.2">
      <c r="A7" s="168">
        <v>6</v>
      </c>
      <c r="B7" s="168">
        <v>130006</v>
      </c>
      <c r="C7" s="210">
        <v>130006</v>
      </c>
      <c r="D7" s="184" t="s">
        <v>433</v>
      </c>
      <c r="E7" s="184" t="s">
        <v>434</v>
      </c>
      <c r="F7" s="168">
        <v>0</v>
      </c>
      <c r="G7" s="168">
        <v>55008</v>
      </c>
      <c r="H7" s="168">
        <v>55010</v>
      </c>
      <c r="I7" s="168">
        <v>55011</v>
      </c>
      <c r="J7" s="168">
        <v>0</v>
      </c>
      <c r="K7" s="168">
        <v>1</v>
      </c>
      <c r="L7" s="168">
        <v>107</v>
      </c>
      <c r="M7" s="168">
        <v>0</v>
      </c>
      <c r="N7" s="168">
        <v>1</v>
      </c>
      <c r="O7" s="168">
        <v>108</v>
      </c>
      <c r="P7" s="168">
        <v>0</v>
      </c>
      <c r="Q7" s="168">
        <v>50</v>
      </c>
      <c r="R7" s="168">
        <v>0</v>
      </c>
      <c r="S7" s="168">
        <v>0</v>
      </c>
      <c r="T7" s="168">
        <v>0</v>
      </c>
      <c r="U7" s="168">
        <v>0</v>
      </c>
      <c r="V7" s="168">
        <v>0</v>
      </c>
      <c r="W7" s="168">
        <v>0</v>
      </c>
      <c r="Z7" s="187" t="s">
        <v>321</v>
      </c>
      <c r="AA7" s="187" t="s">
        <v>338</v>
      </c>
      <c r="AB7" s="187" t="s">
        <v>339</v>
      </c>
      <c r="AC7" s="6"/>
    </row>
    <row r="8" spans="1:29" x14ac:dyDescent="0.2">
      <c r="A8" s="168">
        <v>7</v>
      </c>
      <c r="B8" s="168">
        <v>130007</v>
      </c>
      <c r="C8" s="210">
        <v>130007</v>
      </c>
      <c r="D8" s="184" t="s">
        <v>435</v>
      </c>
      <c r="E8" s="184" t="s">
        <v>436</v>
      </c>
      <c r="F8" s="168">
        <v>0</v>
      </c>
      <c r="G8" s="168">
        <v>55004</v>
      </c>
      <c r="H8" s="168">
        <v>55037</v>
      </c>
      <c r="I8" s="168">
        <v>55038</v>
      </c>
      <c r="J8" s="168">
        <v>0</v>
      </c>
      <c r="K8" s="168">
        <v>1</v>
      </c>
      <c r="L8" s="168">
        <v>101</v>
      </c>
      <c r="M8" s="168">
        <v>0</v>
      </c>
      <c r="N8" s="168">
        <v>25</v>
      </c>
      <c r="O8" s="168">
        <v>0</v>
      </c>
      <c r="P8" s="168">
        <v>0</v>
      </c>
      <c r="Q8" s="168">
        <v>0</v>
      </c>
      <c r="R8" s="168">
        <v>0</v>
      </c>
      <c r="S8" s="168">
        <v>0</v>
      </c>
      <c r="T8" s="168">
        <v>0</v>
      </c>
      <c r="U8" s="168">
        <v>0</v>
      </c>
      <c r="V8" s="168">
        <v>0</v>
      </c>
      <c r="W8" s="168">
        <v>0</v>
      </c>
      <c r="Z8" s="187" t="s">
        <v>322</v>
      </c>
      <c r="AA8" s="187" t="s">
        <v>340</v>
      </c>
      <c r="AB8" s="187" t="s">
        <v>339</v>
      </c>
      <c r="AC8" s="7"/>
    </row>
    <row r="9" spans="1:29" x14ac:dyDescent="0.2">
      <c r="A9" s="168">
        <v>8</v>
      </c>
      <c r="B9" s="168">
        <v>130008</v>
      </c>
      <c r="C9" s="210">
        <v>130008</v>
      </c>
      <c r="D9" s="184" t="s">
        <v>437</v>
      </c>
      <c r="E9" s="184" t="s">
        <v>438</v>
      </c>
      <c r="F9" s="168">
        <v>0</v>
      </c>
      <c r="G9" s="168">
        <v>55019</v>
      </c>
      <c r="H9" s="168">
        <v>55039</v>
      </c>
      <c r="I9" s="168">
        <v>0</v>
      </c>
      <c r="J9" s="168">
        <v>0</v>
      </c>
      <c r="K9" s="168">
        <v>1</v>
      </c>
      <c r="L9" s="168">
        <v>104</v>
      </c>
      <c r="M9" s="168">
        <v>0</v>
      </c>
      <c r="N9" s="168">
        <v>15</v>
      </c>
      <c r="O9" s="168">
        <v>0</v>
      </c>
      <c r="P9" s="168">
        <v>0</v>
      </c>
      <c r="Q9" s="168">
        <v>0</v>
      </c>
      <c r="R9" s="168">
        <v>0</v>
      </c>
      <c r="S9" s="168">
        <v>0</v>
      </c>
      <c r="T9" s="168">
        <v>0</v>
      </c>
      <c r="U9" s="168">
        <v>0</v>
      </c>
      <c r="V9" s="168">
        <v>0</v>
      </c>
      <c r="W9" s="168">
        <v>0</v>
      </c>
      <c r="Z9" s="187" t="s">
        <v>323</v>
      </c>
      <c r="AA9" s="187" t="s">
        <v>341</v>
      </c>
      <c r="AB9" s="188" t="s">
        <v>89</v>
      </c>
      <c r="AC9" s="8"/>
    </row>
    <row r="10" spans="1:29" x14ac:dyDescent="0.2">
      <c r="A10" s="168">
        <v>9</v>
      </c>
      <c r="B10" s="168">
        <v>130009</v>
      </c>
      <c r="C10" s="210">
        <v>130009</v>
      </c>
      <c r="D10" s="184" t="s">
        <v>439</v>
      </c>
      <c r="E10" s="184" t="s">
        <v>440</v>
      </c>
      <c r="F10" s="168">
        <v>0</v>
      </c>
      <c r="G10" s="168">
        <v>55015</v>
      </c>
      <c r="H10" s="168">
        <v>55017</v>
      </c>
      <c r="I10" s="168">
        <v>0</v>
      </c>
      <c r="J10" s="168">
        <v>0</v>
      </c>
      <c r="K10" s="168">
        <v>1</v>
      </c>
      <c r="L10" s="168">
        <v>105</v>
      </c>
      <c r="M10" s="168">
        <v>0</v>
      </c>
      <c r="N10" s="168">
        <v>15</v>
      </c>
      <c r="O10" s="168">
        <v>0</v>
      </c>
      <c r="P10" s="168">
        <v>0</v>
      </c>
      <c r="Q10" s="168">
        <v>0</v>
      </c>
      <c r="R10" s="168">
        <v>0</v>
      </c>
      <c r="S10" s="168">
        <v>0</v>
      </c>
      <c r="T10" s="168">
        <v>0</v>
      </c>
      <c r="U10" s="168">
        <v>0</v>
      </c>
      <c r="V10" s="168">
        <v>0</v>
      </c>
      <c r="W10" s="168">
        <v>0</v>
      </c>
      <c r="Z10" s="187" t="s">
        <v>324</v>
      </c>
      <c r="AA10" s="187" t="s">
        <v>342</v>
      </c>
      <c r="AB10" s="187" t="s">
        <v>89</v>
      </c>
      <c r="AC10" s="7"/>
    </row>
    <row r="11" spans="1:29" x14ac:dyDescent="0.2">
      <c r="A11" s="168">
        <v>10</v>
      </c>
      <c r="B11" s="168">
        <v>130010</v>
      </c>
      <c r="C11" s="210">
        <v>130010</v>
      </c>
      <c r="D11" s="184" t="s">
        <v>441</v>
      </c>
      <c r="E11" s="184" t="s">
        <v>442</v>
      </c>
      <c r="F11" s="168">
        <v>0</v>
      </c>
      <c r="G11" s="168">
        <v>55008</v>
      </c>
      <c r="H11" s="168">
        <v>55059</v>
      </c>
      <c r="I11" s="168">
        <v>55082</v>
      </c>
      <c r="J11" s="168">
        <v>0</v>
      </c>
      <c r="K11" s="168">
        <v>2</v>
      </c>
      <c r="L11" s="168">
        <v>131</v>
      </c>
      <c r="M11" s="168">
        <v>0</v>
      </c>
      <c r="N11" s="168">
        <v>10</v>
      </c>
      <c r="O11" s="168">
        <v>132</v>
      </c>
      <c r="P11" s="168">
        <v>0</v>
      </c>
      <c r="Q11" s="168">
        <v>10</v>
      </c>
      <c r="R11" s="168">
        <v>0</v>
      </c>
      <c r="S11" s="168">
        <v>0</v>
      </c>
      <c r="T11" s="168">
        <v>0</v>
      </c>
      <c r="U11" s="168">
        <v>0</v>
      </c>
      <c r="V11" s="168">
        <v>0</v>
      </c>
      <c r="W11" s="168">
        <v>0</v>
      </c>
      <c r="Z11" s="187" t="s">
        <v>325</v>
      </c>
      <c r="AA11" s="187" t="s">
        <v>340</v>
      </c>
      <c r="AB11" s="187" t="s">
        <v>339</v>
      </c>
      <c r="AC11" s="7"/>
    </row>
    <row r="12" spans="1:29" x14ac:dyDescent="0.2">
      <c r="A12" s="168">
        <v>11</v>
      </c>
      <c r="B12" s="168">
        <v>130011</v>
      </c>
      <c r="C12" s="210">
        <v>130011</v>
      </c>
      <c r="D12" s="184" t="s">
        <v>443</v>
      </c>
      <c r="E12" s="184" t="s">
        <v>444</v>
      </c>
      <c r="F12" s="168">
        <v>0</v>
      </c>
      <c r="G12" s="168">
        <v>55022</v>
      </c>
      <c r="H12" s="168">
        <v>55027</v>
      </c>
      <c r="I12" s="168">
        <v>55028</v>
      </c>
      <c r="J12" s="168">
        <v>0</v>
      </c>
      <c r="K12" s="168">
        <v>2</v>
      </c>
      <c r="L12" s="168">
        <v>0</v>
      </c>
      <c r="M12" s="168">
        <v>0</v>
      </c>
      <c r="N12" s="168">
        <v>0</v>
      </c>
      <c r="O12" s="168">
        <v>0</v>
      </c>
      <c r="P12" s="168">
        <v>0</v>
      </c>
      <c r="Q12" s="168">
        <v>0</v>
      </c>
      <c r="R12" s="168">
        <v>0</v>
      </c>
      <c r="S12" s="168">
        <v>0</v>
      </c>
      <c r="T12" s="168">
        <v>0</v>
      </c>
      <c r="U12" s="168">
        <v>0</v>
      </c>
      <c r="V12" s="168">
        <v>0</v>
      </c>
      <c r="W12" s="168">
        <v>0</v>
      </c>
      <c r="Z12" s="187" t="s">
        <v>326</v>
      </c>
      <c r="AA12" s="187" t="s">
        <v>341</v>
      </c>
      <c r="AB12" s="187" t="s">
        <v>89</v>
      </c>
      <c r="AC12" s="7"/>
    </row>
    <row r="13" spans="1:29" x14ac:dyDescent="0.2">
      <c r="A13" s="168">
        <v>12</v>
      </c>
      <c r="B13" s="168">
        <v>130012</v>
      </c>
      <c r="C13" s="210">
        <v>130012</v>
      </c>
      <c r="D13" s="184" t="s">
        <v>445</v>
      </c>
      <c r="E13" s="184" t="s">
        <v>446</v>
      </c>
      <c r="F13" s="168">
        <v>0</v>
      </c>
      <c r="G13" s="168">
        <v>55054</v>
      </c>
      <c r="H13" s="168">
        <v>55056</v>
      </c>
      <c r="I13" s="168">
        <v>55057</v>
      </c>
      <c r="J13" s="168">
        <v>0</v>
      </c>
      <c r="K13" s="168">
        <v>2</v>
      </c>
      <c r="L13" s="168">
        <v>0</v>
      </c>
      <c r="M13" s="168">
        <v>0</v>
      </c>
      <c r="N13" s="168">
        <v>0</v>
      </c>
      <c r="O13" s="168">
        <v>0</v>
      </c>
      <c r="P13" s="168">
        <v>0</v>
      </c>
      <c r="Q13" s="168">
        <v>0</v>
      </c>
      <c r="R13" s="168">
        <v>0</v>
      </c>
      <c r="S13" s="168">
        <v>0</v>
      </c>
      <c r="T13" s="168">
        <v>0</v>
      </c>
      <c r="U13" s="168">
        <v>0</v>
      </c>
      <c r="V13" s="168">
        <v>0</v>
      </c>
      <c r="W13" s="168">
        <v>0</v>
      </c>
      <c r="Z13" s="187" t="s">
        <v>327</v>
      </c>
      <c r="AA13" s="187" t="s">
        <v>342</v>
      </c>
      <c r="AB13" s="187" t="s">
        <v>89</v>
      </c>
      <c r="AC13" s="7"/>
    </row>
    <row r="14" spans="1:29" x14ac:dyDescent="0.2">
      <c r="A14" s="168">
        <v>13</v>
      </c>
      <c r="B14" s="168">
        <v>130013</v>
      </c>
      <c r="C14" s="210">
        <v>130013</v>
      </c>
      <c r="D14" s="184" t="s">
        <v>447</v>
      </c>
      <c r="E14" s="184" t="s">
        <v>448</v>
      </c>
      <c r="F14" s="168">
        <v>0</v>
      </c>
      <c r="G14" s="168">
        <v>55066</v>
      </c>
      <c r="H14" s="168">
        <v>55034</v>
      </c>
      <c r="I14" s="168">
        <v>55058</v>
      </c>
      <c r="J14" s="168">
        <v>0</v>
      </c>
      <c r="K14" s="168">
        <v>2</v>
      </c>
      <c r="L14" s="168">
        <v>0</v>
      </c>
      <c r="M14" s="168">
        <v>0</v>
      </c>
      <c r="N14" s="168">
        <v>0</v>
      </c>
      <c r="O14" s="168">
        <v>0</v>
      </c>
      <c r="P14" s="168">
        <v>0</v>
      </c>
      <c r="Q14" s="168">
        <v>0</v>
      </c>
      <c r="R14" s="168">
        <v>0</v>
      </c>
      <c r="S14" s="168">
        <v>0</v>
      </c>
      <c r="T14" s="168">
        <v>0</v>
      </c>
      <c r="U14" s="168">
        <v>0</v>
      </c>
      <c r="V14" s="168">
        <v>0</v>
      </c>
      <c r="W14" s="168">
        <v>0</v>
      </c>
      <c r="Z14" s="187" t="s">
        <v>328</v>
      </c>
      <c r="AA14" s="187" t="s">
        <v>340</v>
      </c>
      <c r="AB14" s="188" t="s">
        <v>339</v>
      </c>
      <c r="AC14" s="8"/>
    </row>
    <row r="15" spans="1:29" x14ac:dyDescent="0.2">
      <c r="A15" s="168">
        <v>14</v>
      </c>
      <c r="B15" s="168">
        <v>130014</v>
      </c>
      <c r="C15" s="210">
        <v>130014</v>
      </c>
      <c r="D15" s="184" t="s">
        <v>449</v>
      </c>
      <c r="E15" s="184" t="s">
        <v>450</v>
      </c>
      <c r="F15" s="168">
        <v>0</v>
      </c>
      <c r="G15" s="168">
        <v>55014</v>
      </c>
      <c r="H15" s="168">
        <v>55055</v>
      </c>
      <c r="I15" s="168">
        <v>55065</v>
      </c>
      <c r="J15" s="168">
        <v>0</v>
      </c>
      <c r="K15" s="168">
        <v>2</v>
      </c>
      <c r="L15" s="168">
        <v>0</v>
      </c>
      <c r="M15" s="168">
        <v>0</v>
      </c>
      <c r="N15" s="168">
        <v>0</v>
      </c>
      <c r="O15" s="168">
        <v>0</v>
      </c>
      <c r="P15" s="168">
        <v>0</v>
      </c>
      <c r="Q15" s="168">
        <v>0</v>
      </c>
      <c r="R15" s="168">
        <v>0</v>
      </c>
      <c r="S15" s="168">
        <v>0</v>
      </c>
      <c r="T15" s="168">
        <v>0</v>
      </c>
      <c r="U15" s="168">
        <v>0</v>
      </c>
      <c r="V15" s="168">
        <v>0</v>
      </c>
      <c r="W15" s="168">
        <v>0</v>
      </c>
      <c r="Z15" s="187" t="s">
        <v>329</v>
      </c>
      <c r="AA15" s="187" t="s">
        <v>341</v>
      </c>
      <c r="AB15" s="187" t="s">
        <v>89</v>
      </c>
      <c r="AC15" s="7"/>
    </row>
    <row r="16" spans="1:29" x14ac:dyDescent="0.2">
      <c r="A16" s="168">
        <v>15</v>
      </c>
      <c r="B16" s="168">
        <v>130015</v>
      </c>
      <c r="C16" s="210">
        <v>130015</v>
      </c>
      <c r="D16" s="184" t="s">
        <v>451</v>
      </c>
      <c r="E16" s="184" t="s">
        <v>452</v>
      </c>
      <c r="F16" s="168">
        <v>0</v>
      </c>
      <c r="G16" s="168">
        <v>55036</v>
      </c>
      <c r="H16" s="168">
        <v>55040</v>
      </c>
      <c r="I16" s="168">
        <v>55041</v>
      </c>
      <c r="J16" s="168">
        <v>0</v>
      </c>
      <c r="K16" s="168">
        <v>2</v>
      </c>
      <c r="L16" s="168">
        <v>141</v>
      </c>
      <c r="M16" s="168">
        <v>0</v>
      </c>
      <c r="N16" s="168">
        <v>10</v>
      </c>
      <c r="O16" s="168">
        <v>142</v>
      </c>
      <c r="P16" s="168">
        <v>0</v>
      </c>
      <c r="Q16" s="168">
        <v>10</v>
      </c>
      <c r="R16" s="168">
        <v>0</v>
      </c>
      <c r="S16" s="168">
        <v>0</v>
      </c>
      <c r="T16" s="168">
        <v>0</v>
      </c>
      <c r="U16" s="168">
        <v>0</v>
      </c>
      <c r="V16" s="168">
        <v>0</v>
      </c>
      <c r="W16" s="168">
        <v>0</v>
      </c>
      <c r="Z16" s="187" t="s">
        <v>330</v>
      </c>
      <c r="AA16" s="187" t="s">
        <v>342</v>
      </c>
      <c r="AB16" s="187" t="s">
        <v>89</v>
      </c>
      <c r="AC16" s="7"/>
    </row>
    <row r="17" spans="1:29" x14ac:dyDescent="0.2">
      <c r="A17" s="168">
        <v>16</v>
      </c>
      <c r="B17" s="168">
        <v>130016</v>
      </c>
      <c r="C17" s="210">
        <v>130016</v>
      </c>
      <c r="D17" s="184" t="s">
        <v>453</v>
      </c>
      <c r="E17" s="184" t="s">
        <v>454</v>
      </c>
      <c r="F17" s="168">
        <v>0</v>
      </c>
      <c r="G17" s="168">
        <v>55018</v>
      </c>
      <c r="H17" s="168">
        <v>55070</v>
      </c>
      <c r="I17" s="168">
        <v>0</v>
      </c>
      <c r="J17" s="168">
        <v>0</v>
      </c>
      <c r="K17" s="168">
        <v>2</v>
      </c>
      <c r="L17" s="168">
        <v>145</v>
      </c>
      <c r="M17" s="168">
        <v>0</v>
      </c>
      <c r="N17" s="168">
        <v>6</v>
      </c>
      <c r="O17" s="168">
        <v>146</v>
      </c>
      <c r="P17" s="168">
        <v>0</v>
      </c>
      <c r="Q17" s="168">
        <v>6</v>
      </c>
      <c r="R17" s="168">
        <v>0</v>
      </c>
      <c r="S17" s="168">
        <v>0</v>
      </c>
      <c r="T17" s="168">
        <v>0</v>
      </c>
      <c r="U17" s="168">
        <v>0</v>
      </c>
      <c r="V17" s="168">
        <v>0</v>
      </c>
      <c r="W17" s="168">
        <v>0</v>
      </c>
      <c r="Z17" s="187" t="s">
        <v>331</v>
      </c>
      <c r="AA17" s="187" t="s">
        <v>340</v>
      </c>
      <c r="AB17" s="187" t="s">
        <v>339</v>
      </c>
      <c r="AC17" s="7"/>
    </row>
    <row r="18" spans="1:29" x14ac:dyDescent="0.2">
      <c r="A18" s="168">
        <v>17</v>
      </c>
      <c r="B18" s="168">
        <v>130017</v>
      </c>
      <c r="C18" s="210">
        <v>130017</v>
      </c>
      <c r="D18" s="184" t="s">
        <v>455</v>
      </c>
      <c r="E18" s="184" t="s">
        <v>456</v>
      </c>
      <c r="F18" s="168">
        <v>0</v>
      </c>
      <c r="G18" s="168">
        <v>55068</v>
      </c>
      <c r="H18" s="168">
        <v>55069</v>
      </c>
      <c r="I18" s="168">
        <v>0</v>
      </c>
      <c r="J18" s="168">
        <v>0</v>
      </c>
      <c r="K18" s="168">
        <v>2</v>
      </c>
      <c r="L18" s="168">
        <v>0</v>
      </c>
      <c r="M18" s="168">
        <v>0</v>
      </c>
      <c r="N18" s="168">
        <v>0</v>
      </c>
      <c r="O18" s="168">
        <v>0</v>
      </c>
      <c r="P18" s="168">
        <v>0</v>
      </c>
      <c r="Q18" s="168">
        <v>0</v>
      </c>
      <c r="R18" s="168">
        <v>0</v>
      </c>
      <c r="S18" s="168">
        <v>0</v>
      </c>
      <c r="T18" s="168">
        <v>0</v>
      </c>
      <c r="U18" s="168">
        <v>0</v>
      </c>
      <c r="V18" s="168">
        <v>0</v>
      </c>
      <c r="W18" s="168">
        <v>0</v>
      </c>
      <c r="Z18" s="187" t="s">
        <v>332</v>
      </c>
      <c r="AA18" s="187" t="s">
        <v>341</v>
      </c>
      <c r="AB18" s="187" t="s">
        <v>89</v>
      </c>
      <c r="AC18" s="7"/>
    </row>
    <row r="19" spans="1:29" x14ac:dyDescent="0.2">
      <c r="A19" s="168">
        <v>18</v>
      </c>
      <c r="B19" s="168">
        <v>130018</v>
      </c>
      <c r="C19" s="210">
        <v>130018</v>
      </c>
      <c r="D19" s="184" t="s">
        <v>457</v>
      </c>
      <c r="E19" s="184" t="s">
        <v>458</v>
      </c>
      <c r="F19" s="168">
        <v>0</v>
      </c>
      <c r="G19" s="168">
        <v>55024</v>
      </c>
      <c r="H19" s="168">
        <v>55025</v>
      </c>
      <c r="I19" s="168">
        <v>55034</v>
      </c>
      <c r="J19" s="168">
        <v>0</v>
      </c>
      <c r="K19" s="168">
        <v>1</v>
      </c>
      <c r="L19" s="168">
        <v>120</v>
      </c>
      <c r="M19" s="168">
        <v>0</v>
      </c>
      <c r="N19" s="168">
        <v>10</v>
      </c>
      <c r="O19" s="168">
        <v>0</v>
      </c>
      <c r="P19" s="168">
        <v>0</v>
      </c>
      <c r="Q19" s="168">
        <v>0</v>
      </c>
      <c r="R19" s="168">
        <v>0</v>
      </c>
      <c r="S19" s="168">
        <v>0</v>
      </c>
      <c r="T19" s="168">
        <v>0</v>
      </c>
      <c r="U19" s="168">
        <v>0</v>
      </c>
      <c r="V19" s="168">
        <v>0</v>
      </c>
      <c r="W19" s="168">
        <v>0</v>
      </c>
      <c r="Z19" s="187" t="s">
        <v>333</v>
      </c>
      <c r="AA19" s="187" t="s">
        <v>342</v>
      </c>
      <c r="AB19" s="188" t="s">
        <v>89</v>
      </c>
      <c r="AC19" s="8"/>
    </row>
    <row r="20" spans="1:29" x14ac:dyDescent="0.2">
      <c r="A20" s="168">
        <v>19</v>
      </c>
      <c r="B20" s="168">
        <v>130019</v>
      </c>
      <c r="C20" s="210">
        <v>130019</v>
      </c>
      <c r="D20" s="184" t="s">
        <v>459</v>
      </c>
      <c r="E20" s="184" t="s">
        <v>460</v>
      </c>
      <c r="F20" s="168">
        <v>0</v>
      </c>
      <c r="G20" s="168">
        <v>55026</v>
      </c>
      <c r="H20" s="168">
        <v>55029</v>
      </c>
      <c r="I20" s="168">
        <v>55063</v>
      </c>
      <c r="J20" s="168">
        <v>55067</v>
      </c>
      <c r="K20" s="168">
        <v>1</v>
      </c>
      <c r="L20" s="168">
        <v>116</v>
      </c>
      <c r="M20" s="168">
        <v>0</v>
      </c>
      <c r="N20" s="168">
        <v>10</v>
      </c>
      <c r="O20" s="168">
        <v>118</v>
      </c>
      <c r="P20" s="168">
        <v>0</v>
      </c>
      <c r="Q20" s="168">
        <v>10</v>
      </c>
      <c r="R20" s="168">
        <v>0</v>
      </c>
      <c r="S20" s="168">
        <v>0</v>
      </c>
      <c r="T20" s="168">
        <v>0</v>
      </c>
      <c r="U20" s="168">
        <v>0</v>
      </c>
      <c r="V20" s="168">
        <v>0</v>
      </c>
      <c r="W20" s="168">
        <v>0</v>
      </c>
    </row>
    <row r="21" spans="1:29" x14ac:dyDescent="0.2">
      <c r="A21" s="168">
        <v>20</v>
      </c>
      <c r="B21" s="168">
        <v>130020</v>
      </c>
      <c r="C21" s="210">
        <v>130020</v>
      </c>
      <c r="D21" s="184" t="s">
        <v>461</v>
      </c>
      <c r="E21" s="184" t="s">
        <v>462</v>
      </c>
      <c r="F21" s="168">
        <v>0</v>
      </c>
      <c r="G21" s="168">
        <v>55052</v>
      </c>
      <c r="H21" s="168">
        <v>55053</v>
      </c>
      <c r="I21" s="168">
        <v>0</v>
      </c>
      <c r="J21" s="168">
        <v>0</v>
      </c>
      <c r="K21" s="168">
        <v>1</v>
      </c>
      <c r="L21" s="168">
        <v>113</v>
      </c>
      <c r="M21" s="168">
        <v>0</v>
      </c>
      <c r="N21" s="168">
        <v>5</v>
      </c>
      <c r="O21" s="168">
        <v>114</v>
      </c>
      <c r="P21" s="168">
        <v>0</v>
      </c>
      <c r="Q21" s="168">
        <v>5</v>
      </c>
      <c r="R21" s="168">
        <v>0</v>
      </c>
      <c r="S21" s="168">
        <v>0</v>
      </c>
      <c r="T21" s="168">
        <v>0</v>
      </c>
      <c r="U21" s="168">
        <v>0</v>
      </c>
      <c r="V21" s="168">
        <v>0</v>
      </c>
      <c r="W21" s="168">
        <v>0</v>
      </c>
    </row>
    <row r="22" spans="1:29" x14ac:dyDescent="0.2">
      <c r="A22" s="168">
        <v>21</v>
      </c>
      <c r="B22" s="168">
        <v>130021</v>
      </c>
      <c r="C22" s="210">
        <v>130021</v>
      </c>
      <c r="D22" s="184" t="s">
        <v>463</v>
      </c>
      <c r="E22" s="184" t="s">
        <v>464</v>
      </c>
      <c r="F22" s="168">
        <v>0</v>
      </c>
      <c r="G22" s="168">
        <v>55042</v>
      </c>
      <c r="H22" s="168">
        <v>55043</v>
      </c>
      <c r="I22" s="168">
        <v>55044</v>
      </c>
      <c r="J22" s="168">
        <v>55045</v>
      </c>
      <c r="K22" s="168">
        <v>1</v>
      </c>
      <c r="L22" s="168">
        <v>115</v>
      </c>
      <c r="M22" s="168">
        <v>0</v>
      </c>
      <c r="N22" s="168">
        <v>10</v>
      </c>
      <c r="O22" s="168">
        <v>0</v>
      </c>
      <c r="P22" s="168">
        <v>0</v>
      </c>
      <c r="Q22" s="168">
        <v>0</v>
      </c>
      <c r="R22" s="168">
        <v>0</v>
      </c>
      <c r="S22" s="168">
        <v>0</v>
      </c>
      <c r="T22" s="168">
        <v>0</v>
      </c>
      <c r="U22" s="168">
        <v>0</v>
      </c>
      <c r="V22" s="168">
        <v>0</v>
      </c>
      <c r="W22" s="168">
        <v>0</v>
      </c>
    </row>
    <row r="23" spans="1:29" x14ac:dyDescent="0.2">
      <c r="A23" s="168">
        <v>22</v>
      </c>
      <c r="B23" s="168">
        <v>130022</v>
      </c>
      <c r="C23" s="210">
        <v>130022</v>
      </c>
      <c r="D23" s="184" t="s">
        <v>465</v>
      </c>
      <c r="E23" s="184" t="s">
        <v>466</v>
      </c>
      <c r="F23" s="168">
        <v>0</v>
      </c>
      <c r="G23" s="168">
        <v>55072</v>
      </c>
      <c r="H23" s="168">
        <v>55073</v>
      </c>
      <c r="I23" s="168">
        <v>55074</v>
      </c>
      <c r="J23" s="168">
        <v>0</v>
      </c>
      <c r="K23" s="168">
        <v>1</v>
      </c>
      <c r="L23" s="168">
        <v>109</v>
      </c>
      <c r="M23" s="168">
        <v>0</v>
      </c>
      <c r="N23" s="168">
        <v>5</v>
      </c>
      <c r="O23" s="168">
        <v>110</v>
      </c>
      <c r="P23" s="168">
        <v>0</v>
      </c>
      <c r="Q23" s="168">
        <v>5</v>
      </c>
      <c r="R23" s="168">
        <v>0</v>
      </c>
      <c r="S23" s="168">
        <v>0</v>
      </c>
      <c r="T23" s="168">
        <v>0</v>
      </c>
      <c r="U23" s="168">
        <v>0</v>
      </c>
      <c r="V23" s="168">
        <v>0</v>
      </c>
      <c r="W23" s="168">
        <v>0</v>
      </c>
      <c r="Z23" s="228" t="s">
        <v>343</v>
      </c>
      <c r="AA23" s="228"/>
      <c r="AB23" s="228"/>
      <c r="AC23" s="9"/>
    </row>
    <row r="24" spans="1:29" x14ac:dyDescent="0.2">
      <c r="Z24" s="10" t="s">
        <v>35</v>
      </c>
      <c r="AA24" s="11">
        <v>10000</v>
      </c>
      <c r="AB24" s="12" t="s">
        <v>86</v>
      </c>
    </row>
    <row r="25" spans="1:29" x14ac:dyDescent="0.2">
      <c r="Z25" s="5" t="s">
        <v>3</v>
      </c>
      <c r="AA25" s="13" t="s">
        <v>344</v>
      </c>
      <c r="AB25" s="12" t="s">
        <v>86</v>
      </c>
    </row>
    <row r="26" spans="1:29" x14ac:dyDescent="0.2">
      <c r="Z26" s="5" t="s">
        <v>315</v>
      </c>
      <c r="AA26" s="13" t="s">
        <v>86</v>
      </c>
      <c r="AB26" s="12" t="s">
        <v>86</v>
      </c>
    </row>
    <row r="27" spans="1:29" x14ac:dyDescent="0.2">
      <c r="Z27" s="5" t="s">
        <v>345</v>
      </c>
      <c r="AA27" s="13" t="s">
        <v>86</v>
      </c>
      <c r="AB27" s="12" t="s">
        <v>86</v>
      </c>
    </row>
    <row r="28" spans="1:29" x14ac:dyDescent="0.2">
      <c r="Z28" s="14" t="s">
        <v>346</v>
      </c>
      <c r="AA28" s="13" t="s">
        <v>347</v>
      </c>
      <c r="AB28" s="12" t="s">
        <v>86</v>
      </c>
    </row>
    <row r="29" spans="1:29" x14ac:dyDescent="0.2">
      <c r="Z29" s="14" t="s">
        <v>348</v>
      </c>
      <c r="AA29" s="13" t="s">
        <v>349</v>
      </c>
      <c r="AB29" s="12" t="s">
        <v>86</v>
      </c>
    </row>
    <row r="30" spans="1:29" x14ac:dyDescent="0.2">
      <c r="Z30" s="14" t="s">
        <v>319</v>
      </c>
      <c r="AA30" s="13" t="s">
        <v>350</v>
      </c>
      <c r="AB30" s="12" t="s">
        <v>86</v>
      </c>
    </row>
    <row r="31" spans="1:29" x14ac:dyDescent="0.2">
      <c r="Z31" s="14" t="s">
        <v>320</v>
      </c>
      <c r="AA31" s="13" t="s">
        <v>351</v>
      </c>
      <c r="AB31" s="12" t="s">
        <v>86</v>
      </c>
    </row>
    <row r="32" spans="1:29" x14ac:dyDescent="0.2">
      <c r="Z32" s="5" t="s">
        <v>321</v>
      </c>
      <c r="AA32" s="13" t="s">
        <v>352</v>
      </c>
      <c r="AB32" s="12" t="s">
        <v>86</v>
      </c>
    </row>
    <row r="33" spans="26:28" x14ac:dyDescent="0.2">
      <c r="Z33" s="5" t="s">
        <v>353</v>
      </c>
      <c r="AA33" s="13" t="s">
        <v>354</v>
      </c>
      <c r="AB33" s="12" t="s">
        <v>86</v>
      </c>
    </row>
    <row r="34" spans="26:28" x14ac:dyDescent="0.2">
      <c r="Z34" s="5" t="s">
        <v>323</v>
      </c>
      <c r="AA34" s="13">
        <v>50</v>
      </c>
      <c r="AB34" s="12" t="s">
        <v>86</v>
      </c>
    </row>
    <row r="35" spans="26:28" x14ac:dyDescent="0.2">
      <c r="Z35" s="5" t="s">
        <v>324</v>
      </c>
      <c r="AA35" s="13" t="s">
        <v>86</v>
      </c>
      <c r="AB35" s="12" t="s">
        <v>86</v>
      </c>
    </row>
    <row r="36" spans="26:28" x14ac:dyDescent="0.2">
      <c r="Z36" s="5" t="s">
        <v>325</v>
      </c>
      <c r="AA36" s="13" t="s">
        <v>86</v>
      </c>
      <c r="AB36" s="12" t="s">
        <v>86</v>
      </c>
    </row>
    <row r="37" spans="26:28" x14ac:dyDescent="0.2">
      <c r="Z37" s="5" t="s">
        <v>326</v>
      </c>
      <c r="AA37" s="13" t="s">
        <v>86</v>
      </c>
      <c r="AB37" s="12" t="s">
        <v>86</v>
      </c>
    </row>
    <row r="38" spans="26:28" x14ac:dyDescent="0.2">
      <c r="Z38" s="5" t="s">
        <v>327</v>
      </c>
      <c r="AA38" s="13" t="s">
        <v>86</v>
      </c>
      <c r="AB38" s="12" t="s">
        <v>86</v>
      </c>
    </row>
    <row r="39" spans="26:28" x14ac:dyDescent="0.2">
      <c r="Z39" s="5" t="s">
        <v>328</v>
      </c>
      <c r="AA39" s="13" t="s">
        <v>86</v>
      </c>
      <c r="AB39" s="12" t="s">
        <v>86</v>
      </c>
    </row>
    <row r="40" spans="26:28" x14ac:dyDescent="0.2">
      <c r="Z40" s="5" t="s">
        <v>329</v>
      </c>
      <c r="AA40" s="13" t="s">
        <v>86</v>
      </c>
      <c r="AB40" s="12" t="s">
        <v>86</v>
      </c>
    </row>
    <row r="41" spans="26:28" x14ac:dyDescent="0.2">
      <c r="Z41" s="5" t="s">
        <v>330</v>
      </c>
      <c r="AA41" s="13" t="s">
        <v>86</v>
      </c>
      <c r="AB41" s="12" t="s">
        <v>86</v>
      </c>
    </row>
    <row r="42" spans="26:28" x14ac:dyDescent="0.2">
      <c r="Z42" s="5" t="s">
        <v>331</v>
      </c>
      <c r="AA42" s="13" t="s">
        <v>86</v>
      </c>
      <c r="AB42" s="12" t="s">
        <v>86</v>
      </c>
    </row>
    <row r="43" spans="26:28" x14ac:dyDescent="0.2">
      <c r="Z43" s="5" t="s">
        <v>332</v>
      </c>
      <c r="AA43" s="13" t="s">
        <v>86</v>
      </c>
      <c r="AB43" s="12" t="s">
        <v>86</v>
      </c>
    </row>
    <row r="44" spans="26:28" x14ac:dyDescent="0.2">
      <c r="Z44" s="5" t="s">
        <v>333</v>
      </c>
      <c r="AA44" s="13" t="s">
        <v>86</v>
      </c>
      <c r="AB44" s="12" t="s">
        <v>86</v>
      </c>
    </row>
  </sheetData>
  <mergeCells count="2">
    <mergeCell ref="Z2:AB2"/>
    <mergeCell ref="Z23:AB23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rgb="FF66FFCC"/>
  </sheetPr>
  <dimension ref="A1:Q218"/>
  <sheetViews>
    <sheetView workbookViewId="0"/>
    <sheetView workbookViewId="1"/>
  </sheetViews>
  <sheetFormatPr defaultRowHeight="12" x14ac:dyDescent="0.2"/>
  <cols>
    <col min="1" max="1" width="4.125" style="5" bestFit="1" customWidth="1"/>
    <col min="2" max="2" width="5.875" style="5" bestFit="1" customWidth="1"/>
    <col min="3" max="3" width="4.5" style="5" bestFit="1" customWidth="1"/>
    <col min="4" max="4" width="15.5" style="5" bestFit="1" customWidth="1"/>
    <col min="5" max="6" width="6.125" style="5" bestFit="1" customWidth="1"/>
    <col min="7" max="7" width="9" style="2" customWidth="1"/>
    <col min="8" max="8" width="6" style="5" bestFit="1" customWidth="1"/>
    <col min="9" max="9" width="2" style="4" customWidth="1"/>
    <col min="10" max="10" width="15.5" style="4" bestFit="1" customWidth="1"/>
    <col min="11" max="11" width="18.875" style="4" bestFit="1" customWidth="1"/>
    <col min="12" max="12" width="4.5" style="4" bestFit="1" customWidth="1"/>
    <col min="13" max="13" width="9" style="4" customWidth="1"/>
    <col min="14" max="14" width="5.5" style="4" bestFit="1" customWidth="1"/>
    <col min="15" max="15" width="35.25" style="4" bestFit="1" customWidth="1"/>
    <col min="16" max="17" width="6" style="4" bestFit="1" customWidth="1"/>
    <col min="18" max="16384" width="9" style="4"/>
  </cols>
  <sheetData>
    <row r="1" spans="1:17" x14ac:dyDescent="0.2">
      <c r="A1" s="15" t="s">
        <v>0</v>
      </c>
      <c r="B1" s="15" t="s">
        <v>355</v>
      </c>
      <c r="C1" s="15" t="s">
        <v>356</v>
      </c>
      <c r="D1" s="16" t="s">
        <v>357</v>
      </c>
      <c r="E1" s="16" t="s">
        <v>358</v>
      </c>
      <c r="F1" s="16" t="s">
        <v>359</v>
      </c>
      <c r="G1" s="17"/>
      <c r="H1" s="18" t="s">
        <v>360</v>
      </c>
      <c r="I1" s="19"/>
      <c r="M1" s="19"/>
      <c r="N1" s="20" t="s">
        <v>361</v>
      </c>
      <c r="O1" s="229" t="s">
        <v>362</v>
      </c>
      <c r="P1" s="230"/>
      <c r="Q1" s="231"/>
    </row>
    <row r="2" spans="1:17" x14ac:dyDescent="0.2">
      <c r="A2" s="5">
        <v>1</v>
      </c>
      <c r="B2" s="5">
        <v>1</v>
      </c>
      <c r="C2" s="5">
        <v>10</v>
      </c>
      <c r="D2" s="21">
        <v>100</v>
      </c>
      <c r="E2" s="5">
        <v>5</v>
      </c>
      <c r="F2" s="5">
        <v>0</v>
      </c>
      <c r="H2" s="5">
        <f>IFERROR(VLOOKUP(D2,#REF!,3,FALSE),0)</f>
        <v>0</v>
      </c>
      <c r="J2" s="19"/>
      <c r="K2" s="19"/>
      <c r="L2" s="19"/>
      <c r="N2" s="21">
        <v>100</v>
      </c>
      <c r="O2" s="22" t="s">
        <v>363</v>
      </c>
      <c r="P2" s="23" t="s">
        <v>364</v>
      </c>
      <c r="Q2" s="24">
        <v>0</v>
      </c>
    </row>
    <row r="3" spans="1:17" x14ac:dyDescent="0.2">
      <c r="A3" s="5">
        <v>2</v>
      </c>
      <c r="B3" s="5">
        <v>1</v>
      </c>
      <c r="C3" s="5">
        <v>5</v>
      </c>
      <c r="D3" s="21">
        <v>100</v>
      </c>
      <c r="E3" s="5">
        <v>10</v>
      </c>
      <c r="F3" s="5">
        <v>0</v>
      </c>
      <c r="H3" s="5">
        <f>IFERROR(VLOOKUP(D3,#REF!,3,FALSE),0)</f>
        <v>0</v>
      </c>
      <c r="J3" s="1" t="s">
        <v>361</v>
      </c>
      <c r="K3" s="1" t="s">
        <v>33</v>
      </c>
      <c r="L3" s="1" t="s">
        <v>365</v>
      </c>
      <c r="N3" s="25">
        <v>101</v>
      </c>
      <c r="O3" s="22" t="s">
        <v>366</v>
      </c>
      <c r="P3" s="23" t="s">
        <v>364</v>
      </c>
      <c r="Q3" s="24">
        <v>0</v>
      </c>
    </row>
    <row r="4" spans="1:17" x14ac:dyDescent="0.2">
      <c r="A4" s="5">
        <v>3</v>
      </c>
      <c r="B4" s="5">
        <v>1</v>
      </c>
      <c r="C4" s="5">
        <v>1</v>
      </c>
      <c r="D4" s="21">
        <v>100</v>
      </c>
      <c r="E4" s="5">
        <v>15</v>
      </c>
      <c r="F4" s="5">
        <v>0</v>
      </c>
      <c r="H4" s="5">
        <f>IFERROR(VLOOKUP(D4,#REF!,3,FALSE),0)</f>
        <v>0</v>
      </c>
      <c r="J4" s="15" t="s">
        <v>0</v>
      </c>
      <c r="K4" s="5" t="s">
        <v>334</v>
      </c>
      <c r="L4" s="5"/>
      <c r="N4" s="21">
        <v>102</v>
      </c>
      <c r="O4" s="22" t="s">
        <v>367</v>
      </c>
      <c r="P4" s="23" t="s">
        <v>364</v>
      </c>
      <c r="Q4" s="24">
        <v>0</v>
      </c>
    </row>
    <row r="5" spans="1:17" x14ac:dyDescent="0.2">
      <c r="A5" s="5">
        <v>4</v>
      </c>
      <c r="B5" s="5">
        <v>1</v>
      </c>
      <c r="C5" s="5">
        <v>10</v>
      </c>
      <c r="D5" s="25">
        <v>101</v>
      </c>
      <c r="E5" s="5">
        <v>10</v>
      </c>
      <c r="F5" s="5">
        <v>0</v>
      </c>
      <c r="H5" s="5">
        <f>IFERROR(VLOOKUP(D5,#REF!,3,FALSE),0)</f>
        <v>0</v>
      </c>
      <c r="J5" s="15" t="s">
        <v>355</v>
      </c>
      <c r="K5" s="5" t="s">
        <v>368</v>
      </c>
      <c r="L5" s="5"/>
      <c r="N5" s="25">
        <v>103</v>
      </c>
      <c r="O5" s="22" t="s">
        <v>369</v>
      </c>
      <c r="P5" s="23" t="s">
        <v>364</v>
      </c>
      <c r="Q5" s="24">
        <v>0</v>
      </c>
    </row>
    <row r="6" spans="1:17" x14ac:dyDescent="0.2">
      <c r="A6" s="5">
        <v>5</v>
      </c>
      <c r="B6" s="5">
        <v>1</v>
      </c>
      <c r="C6" s="5">
        <v>5</v>
      </c>
      <c r="D6" s="25">
        <v>101</v>
      </c>
      <c r="E6" s="5">
        <v>20</v>
      </c>
      <c r="F6" s="5">
        <v>0</v>
      </c>
      <c r="H6" s="5">
        <f>IFERROR(VLOOKUP(D6,#REF!,3,FALSE),0)</f>
        <v>0</v>
      </c>
      <c r="J6" s="15" t="s">
        <v>356</v>
      </c>
      <c r="K6" s="5" t="s">
        <v>370</v>
      </c>
      <c r="L6" s="5"/>
      <c r="N6" s="21">
        <v>104</v>
      </c>
      <c r="O6" s="22" t="s">
        <v>371</v>
      </c>
      <c r="P6" s="23" t="s">
        <v>364</v>
      </c>
      <c r="Q6" s="24">
        <v>0</v>
      </c>
    </row>
    <row r="7" spans="1:17" x14ac:dyDescent="0.2">
      <c r="A7" s="5">
        <v>6</v>
      </c>
      <c r="B7" s="5">
        <v>1</v>
      </c>
      <c r="C7" s="5">
        <v>1</v>
      </c>
      <c r="D7" s="25">
        <v>101</v>
      </c>
      <c r="E7" s="5">
        <v>30</v>
      </c>
      <c r="F7" s="5">
        <v>0</v>
      </c>
      <c r="H7" s="5">
        <f>IFERROR(VLOOKUP(D7,#REF!,3,FALSE),0)</f>
        <v>0</v>
      </c>
      <c r="J7" s="16" t="s">
        <v>357</v>
      </c>
      <c r="K7" s="5" t="s">
        <v>360</v>
      </c>
      <c r="L7" s="5"/>
      <c r="N7" s="25">
        <v>105</v>
      </c>
      <c r="O7" s="22" t="s">
        <v>372</v>
      </c>
      <c r="P7" s="23" t="s">
        <v>364</v>
      </c>
      <c r="Q7" s="24">
        <v>0</v>
      </c>
    </row>
    <row r="8" spans="1:17" x14ac:dyDescent="0.2">
      <c r="A8" s="5">
        <v>7</v>
      </c>
      <c r="B8" s="5">
        <v>1</v>
      </c>
      <c r="C8" s="5">
        <v>10</v>
      </c>
      <c r="D8" s="21">
        <v>102</v>
      </c>
      <c r="E8" s="5">
        <v>10</v>
      </c>
      <c r="F8" s="5">
        <v>0</v>
      </c>
      <c r="H8" s="5">
        <f>IFERROR(VLOOKUP(D8,#REF!,3,FALSE),0)</f>
        <v>0</v>
      </c>
      <c r="J8" s="16" t="s">
        <v>358</v>
      </c>
      <c r="K8" s="5" t="s">
        <v>373</v>
      </c>
      <c r="L8" s="5"/>
      <c r="N8" s="21">
        <v>106</v>
      </c>
      <c r="O8" s="22" t="s">
        <v>374</v>
      </c>
      <c r="P8" s="23" t="s">
        <v>364</v>
      </c>
      <c r="Q8" s="24">
        <v>0</v>
      </c>
    </row>
    <row r="9" spans="1:17" x14ac:dyDescent="0.2">
      <c r="A9" s="5">
        <v>8</v>
      </c>
      <c r="B9" s="5">
        <v>1</v>
      </c>
      <c r="C9" s="5">
        <v>5</v>
      </c>
      <c r="D9" s="21">
        <v>102</v>
      </c>
      <c r="E9" s="5">
        <v>20</v>
      </c>
      <c r="F9" s="5">
        <v>0</v>
      </c>
      <c r="H9" s="5">
        <f>IFERROR(VLOOKUP(D9,#REF!,3,FALSE),0)</f>
        <v>0</v>
      </c>
      <c r="J9" s="16" t="s">
        <v>359</v>
      </c>
      <c r="K9" s="5" t="s">
        <v>375</v>
      </c>
      <c r="L9" s="5"/>
      <c r="N9" s="25">
        <v>107</v>
      </c>
      <c r="O9" s="22" t="s">
        <v>376</v>
      </c>
      <c r="P9" s="23" t="s">
        <v>364</v>
      </c>
      <c r="Q9" s="23" t="s">
        <v>377</v>
      </c>
    </row>
    <row r="10" spans="1:17" x14ac:dyDescent="0.2">
      <c r="A10" s="5">
        <v>9</v>
      </c>
      <c r="B10" s="5">
        <v>1</v>
      </c>
      <c r="C10" s="5">
        <v>1</v>
      </c>
      <c r="D10" s="21">
        <v>102</v>
      </c>
      <c r="E10" s="5">
        <v>30</v>
      </c>
      <c r="F10" s="5">
        <v>0</v>
      </c>
      <c r="H10" s="5">
        <f>IFERROR(VLOOKUP(D10,#REF!,3,FALSE),0)</f>
        <v>0</v>
      </c>
      <c r="N10" s="21">
        <v>108</v>
      </c>
      <c r="O10" s="22" t="s">
        <v>378</v>
      </c>
      <c r="P10" s="23" t="s">
        <v>364</v>
      </c>
      <c r="Q10" s="23" t="s">
        <v>377</v>
      </c>
    </row>
    <row r="11" spans="1:17" x14ac:dyDescent="0.2">
      <c r="A11" s="5">
        <v>10</v>
      </c>
      <c r="B11" s="5">
        <v>1</v>
      </c>
      <c r="C11" s="5">
        <v>10</v>
      </c>
      <c r="D11" s="25">
        <v>103</v>
      </c>
      <c r="E11" s="5">
        <v>10</v>
      </c>
      <c r="F11" s="5">
        <v>0</v>
      </c>
      <c r="H11" s="5">
        <f>IFERROR(VLOOKUP(D11,#REF!,3,FALSE),0)</f>
        <v>0</v>
      </c>
      <c r="N11" s="25">
        <v>109</v>
      </c>
      <c r="O11" s="22" t="s">
        <v>379</v>
      </c>
      <c r="P11" s="23" t="s">
        <v>364</v>
      </c>
      <c r="Q11" s="23" t="s">
        <v>377</v>
      </c>
    </row>
    <row r="12" spans="1:17" x14ac:dyDescent="0.2">
      <c r="A12" s="5">
        <v>11</v>
      </c>
      <c r="B12" s="5">
        <v>1</v>
      </c>
      <c r="C12" s="5">
        <v>5</v>
      </c>
      <c r="D12" s="25">
        <v>103</v>
      </c>
      <c r="E12" s="5">
        <v>20</v>
      </c>
      <c r="F12" s="5">
        <v>0</v>
      </c>
      <c r="H12" s="5">
        <f>IFERROR(VLOOKUP(D12,#REF!,3,FALSE),0)</f>
        <v>0</v>
      </c>
      <c r="N12" s="21">
        <v>110</v>
      </c>
      <c r="O12" s="22" t="s">
        <v>380</v>
      </c>
      <c r="P12" s="23" t="s">
        <v>364</v>
      </c>
      <c r="Q12" s="23" t="s">
        <v>377</v>
      </c>
    </row>
    <row r="13" spans="1:17" x14ac:dyDescent="0.2">
      <c r="A13" s="5">
        <v>12</v>
      </c>
      <c r="B13" s="5">
        <v>1</v>
      </c>
      <c r="C13" s="5">
        <v>1</v>
      </c>
      <c r="D13" s="25">
        <v>103</v>
      </c>
      <c r="E13" s="5">
        <v>30</v>
      </c>
      <c r="F13" s="5">
        <v>0</v>
      </c>
      <c r="H13" s="5">
        <f>IFERROR(VLOOKUP(D13,#REF!,3,FALSE),0)</f>
        <v>0</v>
      </c>
      <c r="N13" s="25">
        <v>111</v>
      </c>
      <c r="O13" s="22" t="s">
        <v>381</v>
      </c>
      <c r="P13" s="23" t="s">
        <v>364</v>
      </c>
      <c r="Q13" s="23" t="s">
        <v>377</v>
      </c>
    </row>
    <row r="14" spans="1:17" x14ac:dyDescent="0.2">
      <c r="A14" s="5">
        <v>13</v>
      </c>
      <c r="B14" s="5">
        <v>1</v>
      </c>
      <c r="C14" s="5">
        <v>10</v>
      </c>
      <c r="D14" s="21">
        <v>104</v>
      </c>
      <c r="E14" s="5">
        <v>10</v>
      </c>
      <c r="F14" s="5">
        <v>0</v>
      </c>
      <c r="H14" s="5">
        <f>IFERROR(VLOOKUP(D14,#REF!,3,FALSE),0)</f>
        <v>0</v>
      </c>
      <c r="N14" s="21">
        <v>112</v>
      </c>
      <c r="O14" s="22" t="s">
        <v>382</v>
      </c>
      <c r="P14" s="23" t="s">
        <v>364</v>
      </c>
      <c r="Q14" s="23" t="s">
        <v>377</v>
      </c>
    </row>
    <row r="15" spans="1:17" x14ac:dyDescent="0.2">
      <c r="A15" s="5">
        <v>14</v>
      </c>
      <c r="B15" s="5">
        <v>1</v>
      </c>
      <c r="C15" s="5">
        <v>5</v>
      </c>
      <c r="D15" s="21">
        <v>104</v>
      </c>
      <c r="E15" s="5">
        <v>20</v>
      </c>
      <c r="F15" s="5">
        <v>0</v>
      </c>
      <c r="H15" s="5">
        <f>IFERROR(VLOOKUP(D15,#REF!,3,FALSE),0)</f>
        <v>0</v>
      </c>
      <c r="N15" s="25">
        <v>113</v>
      </c>
      <c r="O15" s="22" t="s">
        <v>383</v>
      </c>
      <c r="P15" s="23" t="s">
        <v>364</v>
      </c>
      <c r="Q15" s="23" t="s">
        <v>377</v>
      </c>
    </row>
    <row r="16" spans="1:17" x14ac:dyDescent="0.2">
      <c r="A16" s="5">
        <v>15</v>
      </c>
      <c r="B16" s="5">
        <v>1</v>
      </c>
      <c r="C16" s="5">
        <v>1</v>
      </c>
      <c r="D16" s="21">
        <v>104</v>
      </c>
      <c r="E16" s="5">
        <v>30</v>
      </c>
      <c r="F16" s="5">
        <v>0</v>
      </c>
      <c r="H16" s="5">
        <f>IFERROR(VLOOKUP(D16,#REF!,3,FALSE),0)</f>
        <v>0</v>
      </c>
      <c r="N16" s="21">
        <v>114</v>
      </c>
      <c r="O16" s="22" t="s">
        <v>384</v>
      </c>
      <c r="P16" s="23" t="s">
        <v>364</v>
      </c>
      <c r="Q16" s="23" t="s">
        <v>377</v>
      </c>
    </row>
    <row r="17" spans="1:17" x14ac:dyDescent="0.2">
      <c r="A17" s="5">
        <v>16</v>
      </c>
      <c r="B17" s="5">
        <v>1</v>
      </c>
      <c r="C17" s="5">
        <v>10</v>
      </c>
      <c r="D17" s="25">
        <v>105</v>
      </c>
      <c r="E17" s="5">
        <v>10</v>
      </c>
      <c r="F17" s="5">
        <v>0</v>
      </c>
      <c r="H17" s="5">
        <f>IFERROR(VLOOKUP(D17,#REF!,3,FALSE),0)</f>
        <v>0</v>
      </c>
      <c r="N17" s="25">
        <v>115</v>
      </c>
      <c r="O17" s="22" t="s">
        <v>385</v>
      </c>
      <c r="P17" s="23" t="s">
        <v>364</v>
      </c>
      <c r="Q17" s="23" t="s">
        <v>377</v>
      </c>
    </row>
    <row r="18" spans="1:17" x14ac:dyDescent="0.2">
      <c r="A18" s="5">
        <v>17</v>
      </c>
      <c r="B18" s="5">
        <v>1</v>
      </c>
      <c r="C18" s="5">
        <v>5</v>
      </c>
      <c r="D18" s="25">
        <v>105</v>
      </c>
      <c r="E18" s="5">
        <v>20</v>
      </c>
      <c r="F18" s="5">
        <v>0</v>
      </c>
      <c r="H18" s="5">
        <f>IFERROR(VLOOKUP(D18,#REF!,3,FALSE),0)</f>
        <v>0</v>
      </c>
      <c r="N18" s="21">
        <v>116</v>
      </c>
      <c r="O18" s="22" t="s">
        <v>386</v>
      </c>
      <c r="P18" s="23" t="s">
        <v>364</v>
      </c>
      <c r="Q18" s="23" t="s">
        <v>377</v>
      </c>
    </row>
    <row r="19" spans="1:17" x14ac:dyDescent="0.2">
      <c r="A19" s="5">
        <v>18</v>
      </c>
      <c r="B19" s="5">
        <v>1</v>
      </c>
      <c r="C19" s="5">
        <v>1</v>
      </c>
      <c r="D19" s="25">
        <v>105</v>
      </c>
      <c r="E19" s="5">
        <v>30</v>
      </c>
      <c r="F19" s="5">
        <v>0</v>
      </c>
      <c r="H19" s="5">
        <f>IFERROR(VLOOKUP(D19,#REF!,3,FALSE),0)</f>
        <v>0</v>
      </c>
      <c r="N19" s="25">
        <v>117</v>
      </c>
      <c r="O19" s="22" t="s">
        <v>387</v>
      </c>
      <c r="P19" s="23" t="s">
        <v>364</v>
      </c>
      <c r="Q19" s="23" t="s">
        <v>377</v>
      </c>
    </row>
    <row r="20" spans="1:17" x14ac:dyDescent="0.2">
      <c r="A20" s="5">
        <v>19</v>
      </c>
      <c r="B20" s="5">
        <v>1</v>
      </c>
      <c r="C20" s="5">
        <v>10</v>
      </c>
      <c r="D20" s="21">
        <v>106</v>
      </c>
      <c r="E20" s="5">
        <v>10</v>
      </c>
      <c r="F20" s="5">
        <v>0</v>
      </c>
      <c r="H20" s="5">
        <f>IFERROR(VLOOKUP(D20,#REF!,3,FALSE),0)</f>
        <v>0</v>
      </c>
      <c r="N20" s="21">
        <v>118</v>
      </c>
      <c r="O20" s="22" t="s">
        <v>388</v>
      </c>
      <c r="P20" s="23" t="s">
        <v>364</v>
      </c>
      <c r="Q20" s="23" t="s">
        <v>377</v>
      </c>
    </row>
    <row r="21" spans="1:17" x14ac:dyDescent="0.2">
      <c r="A21" s="5">
        <v>20</v>
      </c>
      <c r="B21" s="5">
        <v>1</v>
      </c>
      <c r="C21" s="5">
        <v>5</v>
      </c>
      <c r="D21" s="21">
        <v>106</v>
      </c>
      <c r="E21" s="5">
        <v>20</v>
      </c>
      <c r="F21" s="5">
        <v>0</v>
      </c>
      <c r="H21" s="5">
        <f>IFERROR(VLOOKUP(D21,#REF!,3,FALSE),0)</f>
        <v>0</v>
      </c>
      <c r="N21" s="25">
        <v>119</v>
      </c>
      <c r="O21" s="26" t="s">
        <v>389</v>
      </c>
      <c r="P21" s="23" t="s">
        <v>364</v>
      </c>
      <c r="Q21" s="23" t="s">
        <v>377</v>
      </c>
    </row>
    <row r="22" spans="1:17" x14ac:dyDescent="0.2">
      <c r="A22" s="5">
        <v>21</v>
      </c>
      <c r="B22" s="5">
        <v>1</v>
      </c>
      <c r="C22" s="5">
        <v>1</v>
      </c>
      <c r="D22" s="21">
        <v>106</v>
      </c>
      <c r="E22" s="5">
        <v>30</v>
      </c>
      <c r="F22" s="5">
        <v>0</v>
      </c>
      <c r="H22" s="5">
        <f>IFERROR(VLOOKUP(D22,#REF!,3,FALSE),0)</f>
        <v>0</v>
      </c>
      <c r="N22" s="21">
        <v>120</v>
      </c>
      <c r="O22" s="22" t="s">
        <v>390</v>
      </c>
      <c r="P22" s="23" t="s">
        <v>364</v>
      </c>
      <c r="Q22" s="23" t="s">
        <v>377</v>
      </c>
    </row>
    <row r="23" spans="1:17" x14ac:dyDescent="0.2">
      <c r="A23" s="5">
        <v>22</v>
      </c>
      <c r="B23" s="5">
        <v>1</v>
      </c>
      <c r="C23" s="5">
        <v>10</v>
      </c>
      <c r="D23" s="25">
        <v>107</v>
      </c>
      <c r="E23" s="5">
        <v>0</v>
      </c>
      <c r="F23" s="5">
        <v>10</v>
      </c>
      <c r="H23" s="5">
        <f>IFERROR(VLOOKUP(D23,#REF!,3,FALSE),0)</f>
        <v>0</v>
      </c>
      <c r="N23" s="25">
        <v>121</v>
      </c>
      <c r="O23" s="26" t="s">
        <v>391</v>
      </c>
      <c r="P23" s="23" t="s">
        <v>364</v>
      </c>
      <c r="Q23" s="23" t="s">
        <v>377</v>
      </c>
    </row>
    <row r="24" spans="1:17" x14ac:dyDescent="0.2">
      <c r="A24" s="5">
        <v>23</v>
      </c>
      <c r="B24" s="5">
        <v>1</v>
      </c>
      <c r="C24" s="5">
        <v>5</v>
      </c>
      <c r="D24" s="25">
        <v>107</v>
      </c>
      <c r="E24" s="5">
        <v>0</v>
      </c>
      <c r="F24" s="5">
        <v>15</v>
      </c>
      <c r="H24" s="5">
        <f>IFERROR(VLOOKUP(D24,#REF!,3,FALSE),0)</f>
        <v>0</v>
      </c>
      <c r="N24" s="21">
        <v>122</v>
      </c>
      <c r="O24" s="26" t="s">
        <v>392</v>
      </c>
      <c r="P24" s="23" t="s">
        <v>364</v>
      </c>
      <c r="Q24" s="23" t="s">
        <v>377</v>
      </c>
    </row>
    <row r="25" spans="1:17" x14ac:dyDescent="0.2">
      <c r="A25" s="5">
        <v>24</v>
      </c>
      <c r="B25" s="5">
        <v>1</v>
      </c>
      <c r="C25" s="5">
        <v>1</v>
      </c>
      <c r="D25" s="25">
        <v>107</v>
      </c>
      <c r="E25" s="5">
        <v>0</v>
      </c>
      <c r="F25" s="5">
        <v>20</v>
      </c>
      <c r="H25" s="5">
        <f>IFERROR(VLOOKUP(D25,#REF!,3,FALSE),0)</f>
        <v>0</v>
      </c>
      <c r="N25" s="25">
        <v>123</v>
      </c>
      <c r="O25" s="26" t="s">
        <v>393</v>
      </c>
      <c r="P25" s="23" t="s">
        <v>364</v>
      </c>
      <c r="Q25" s="23" t="s">
        <v>377</v>
      </c>
    </row>
    <row r="26" spans="1:17" x14ac:dyDescent="0.2">
      <c r="A26" s="5">
        <v>25</v>
      </c>
      <c r="B26" s="5">
        <v>1</v>
      </c>
      <c r="C26" s="5">
        <v>10</v>
      </c>
      <c r="D26" s="27">
        <v>108</v>
      </c>
      <c r="E26" s="5">
        <v>0</v>
      </c>
      <c r="F26" s="5">
        <v>20</v>
      </c>
      <c r="H26" s="5">
        <f>IFERROR(VLOOKUP(D26,#REF!,3,FALSE),0)</f>
        <v>0</v>
      </c>
      <c r="N26" s="21">
        <v>124</v>
      </c>
      <c r="O26" s="26" t="s">
        <v>394</v>
      </c>
      <c r="P26" s="23" t="s">
        <v>364</v>
      </c>
      <c r="Q26" s="23" t="s">
        <v>377</v>
      </c>
    </row>
    <row r="27" spans="1:17" x14ac:dyDescent="0.2">
      <c r="A27" s="5">
        <v>26</v>
      </c>
      <c r="B27" s="5">
        <v>1</v>
      </c>
      <c r="C27" s="5">
        <v>5</v>
      </c>
      <c r="D27" s="21">
        <v>108</v>
      </c>
      <c r="E27" s="5">
        <v>0</v>
      </c>
      <c r="F27" s="5">
        <v>30</v>
      </c>
      <c r="H27" s="5">
        <f>IFERROR(VLOOKUP(D27,#REF!,3,FALSE),0)</f>
        <v>0</v>
      </c>
      <c r="N27" s="25">
        <v>125</v>
      </c>
      <c r="O27" s="26" t="s">
        <v>395</v>
      </c>
      <c r="P27" s="23" t="s">
        <v>364</v>
      </c>
      <c r="Q27" s="23" t="s">
        <v>377</v>
      </c>
    </row>
    <row r="28" spans="1:17" x14ac:dyDescent="0.2">
      <c r="A28" s="5">
        <v>27</v>
      </c>
      <c r="B28" s="5">
        <v>1</v>
      </c>
      <c r="C28" s="5">
        <v>1</v>
      </c>
      <c r="D28" s="21">
        <v>108</v>
      </c>
      <c r="E28" s="5">
        <v>0</v>
      </c>
      <c r="F28" s="5">
        <v>40</v>
      </c>
      <c r="H28" s="5">
        <f>IFERROR(VLOOKUP(D28,#REF!,3,FALSE),0)</f>
        <v>0</v>
      </c>
      <c r="N28" s="21">
        <v>126</v>
      </c>
      <c r="O28" s="26" t="s">
        <v>396</v>
      </c>
      <c r="P28" s="23" t="s">
        <v>364</v>
      </c>
      <c r="Q28" s="23" t="s">
        <v>377</v>
      </c>
    </row>
    <row r="29" spans="1:17" x14ac:dyDescent="0.2">
      <c r="A29" s="5">
        <v>28</v>
      </c>
      <c r="B29" s="5">
        <v>1</v>
      </c>
      <c r="C29" s="5">
        <v>10</v>
      </c>
      <c r="D29" s="25">
        <v>109</v>
      </c>
      <c r="E29" s="5">
        <v>0</v>
      </c>
      <c r="F29" s="5">
        <v>10</v>
      </c>
      <c r="H29" s="5">
        <f>IFERROR(VLOOKUP(D29,#REF!,3,FALSE),0)</f>
        <v>0</v>
      </c>
      <c r="N29" s="25">
        <v>127</v>
      </c>
      <c r="O29" s="26" t="s">
        <v>397</v>
      </c>
      <c r="P29" s="23" t="s">
        <v>364</v>
      </c>
      <c r="Q29" s="23" t="s">
        <v>377</v>
      </c>
    </row>
    <row r="30" spans="1:17" x14ac:dyDescent="0.2">
      <c r="A30" s="5">
        <v>29</v>
      </c>
      <c r="B30" s="5">
        <v>1</v>
      </c>
      <c r="C30" s="5">
        <v>5</v>
      </c>
      <c r="D30" s="25">
        <v>109</v>
      </c>
      <c r="E30" s="5">
        <v>0</v>
      </c>
      <c r="F30" s="5">
        <v>15</v>
      </c>
      <c r="H30" s="5">
        <f>IFERROR(VLOOKUP(D30,#REF!,3,FALSE),0)</f>
        <v>0</v>
      </c>
      <c r="N30" s="21">
        <v>128</v>
      </c>
      <c r="O30" s="26" t="s">
        <v>398</v>
      </c>
      <c r="P30" s="23" t="s">
        <v>364</v>
      </c>
      <c r="Q30" s="23" t="s">
        <v>377</v>
      </c>
    </row>
    <row r="31" spans="1:17" x14ac:dyDescent="0.2">
      <c r="A31" s="5">
        <v>30</v>
      </c>
      <c r="B31" s="5">
        <v>1</v>
      </c>
      <c r="C31" s="5">
        <v>1</v>
      </c>
      <c r="D31" s="25">
        <v>109</v>
      </c>
      <c r="E31" s="5">
        <v>0</v>
      </c>
      <c r="F31" s="5">
        <v>20</v>
      </c>
      <c r="H31" s="5">
        <f>IFERROR(VLOOKUP(D31,#REF!,3,FALSE),0)</f>
        <v>0</v>
      </c>
      <c r="N31" s="25">
        <v>129</v>
      </c>
      <c r="O31" s="26" t="s">
        <v>399</v>
      </c>
      <c r="P31" s="23" t="s">
        <v>364</v>
      </c>
      <c r="Q31" s="23" t="s">
        <v>377</v>
      </c>
    </row>
    <row r="32" spans="1:17" x14ac:dyDescent="0.2">
      <c r="A32" s="5">
        <v>31</v>
      </c>
      <c r="B32" s="5">
        <v>1</v>
      </c>
      <c r="C32" s="5">
        <v>10</v>
      </c>
      <c r="D32" s="21">
        <v>110</v>
      </c>
      <c r="E32" s="5">
        <v>0</v>
      </c>
      <c r="F32" s="5">
        <v>10</v>
      </c>
      <c r="H32" s="5">
        <f>IFERROR(VLOOKUP(D32,#REF!,3,FALSE),0)</f>
        <v>0</v>
      </c>
      <c r="N32" s="21">
        <v>130</v>
      </c>
      <c r="O32" s="22" t="s">
        <v>400</v>
      </c>
      <c r="P32" s="23" t="s">
        <v>364</v>
      </c>
      <c r="Q32" s="23" t="s">
        <v>377</v>
      </c>
    </row>
    <row r="33" spans="1:17" x14ac:dyDescent="0.2">
      <c r="A33" s="5">
        <v>32</v>
      </c>
      <c r="B33" s="5">
        <v>1</v>
      </c>
      <c r="C33" s="5">
        <v>5</v>
      </c>
      <c r="D33" s="21">
        <v>110</v>
      </c>
      <c r="E33" s="5">
        <v>0</v>
      </c>
      <c r="F33" s="5">
        <v>15</v>
      </c>
      <c r="H33" s="5">
        <f>IFERROR(VLOOKUP(D33,#REF!,3,FALSE),0)</f>
        <v>0</v>
      </c>
      <c r="N33" s="25">
        <v>131</v>
      </c>
      <c r="O33" s="22" t="s">
        <v>401</v>
      </c>
      <c r="P33" s="23" t="s">
        <v>364</v>
      </c>
      <c r="Q33" s="23" t="s">
        <v>377</v>
      </c>
    </row>
    <row r="34" spans="1:17" x14ac:dyDescent="0.2">
      <c r="A34" s="5">
        <v>33</v>
      </c>
      <c r="B34" s="5">
        <v>1</v>
      </c>
      <c r="C34" s="5">
        <v>1</v>
      </c>
      <c r="D34" s="21">
        <v>110</v>
      </c>
      <c r="E34" s="5">
        <v>0</v>
      </c>
      <c r="F34" s="5">
        <v>20</v>
      </c>
      <c r="H34" s="5">
        <f>IFERROR(VLOOKUP(D34,#REF!,3,FALSE),0)</f>
        <v>0</v>
      </c>
      <c r="N34" s="21">
        <v>132</v>
      </c>
      <c r="O34" s="22" t="s">
        <v>402</v>
      </c>
      <c r="P34" s="23" t="s">
        <v>364</v>
      </c>
      <c r="Q34" s="23" t="s">
        <v>377</v>
      </c>
    </row>
    <row r="35" spans="1:17" x14ac:dyDescent="0.2">
      <c r="A35" s="5">
        <v>34</v>
      </c>
      <c r="B35" s="5">
        <v>1</v>
      </c>
      <c r="C35" s="5">
        <v>10</v>
      </c>
      <c r="D35" s="25">
        <v>111</v>
      </c>
      <c r="E35" s="5">
        <v>100</v>
      </c>
      <c r="F35" s="5">
        <v>0</v>
      </c>
      <c r="H35" s="5">
        <f>IFERROR(VLOOKUP(D35,#REF!,3,FALSE),0)</f>
        <v>0</v>
      </c>
      <c r="N35" s="25">
        <v>133</v>
      </c>
      <c r="O35" s="22" t="s">
        <v>403</v>
      </c>
      <c r="P35" s="23" t="s">
        <v>364</v>
      </c>
      <c r="Q35" s="23" t="s">
        <v>377</v>
      </c>
    </row>
    <row r="36" spans="1:17" x14ac:dyDescent="0.2">
      <c r="A36" s="5">
        <v>35</v>
      </c>
      <c r="B36" s="5">
        <v>1</v>
      </c>
      <c r="C36" s="5">
        <v>5</v>
      </c>
      <c r="D36" s="25">
        <v>111</v>
      </c>
      <c r="E36" s="5">
        <v>150</v>
      </c>
      <c r="F36" s="5">
        <v>0</v>
      </c>
      <c r="H36" s="5">
        <f>IFERROR(VLOOKUP(D36,#REF!,3,FALSE),0)</f>
        <v>0</v>
      </c>
      <c r="N36" s="21">
        <v>134</v>
      </c>
      <c r="O36" s="22" t="s">
        <v>404</v>
      </c>
      <c r="P36" s="23" t="s">
        <v>364</v>
      </c>
      <c r="Q36" s="23" t="s">
        <v>377</v>
      </c>
    </row>
    <row r="37" spans="1:17" x14ac:dyDescent="0.2">
      <c r="A37" s="5">
        <v>36</v>
      </c>
      <c r="B37" s="5">
        <v>1</v>
      </c>
      <c r="C37" s="5">
        <v>1</v>
      </c>
      <c r="D37" s="25">
        <v>111</v>
      </c>
      <c r="E37" s="5">
        <v>200</v>
      </c>
      <c r="F37" s="5">
        <v>0</v>
      </c>
      <c r="H37" s="5">
        <f>IFERROR(VLOOKUP(D37,#REF!,3,FALSE),0)</f>
        <v>0</v>
      </c>
      <c r="N37" s="25">
        <v>135</v>
      </c>
      <c r="O37" s="22" t="s">
        <v>405</v>
      </c>
      <c r="P37" s="23" t="s">
        <v>364</v>
      </c>
      <c r="Q37" s="23" t="s">
        <v>377</v>
      </c>
    </row>
    <row r="38" spans="1:17" x14ac:dyDescent="0.2">
      <c r="A38" s="5">
        <v>37</v>
      </c>
      <c r="B38" s="5">
        <v>1</v>
      </c>
      <c r="C38" s="5">
        <v>10</v>
      </c>
      <c r="D38" s="21">
        <v>112</v>
      </c>
      <c r="E38" s="5">
        <v>100</v>
      </c>
      <c r="F38" s="5">
        <v>0</v>
      </c>
      <c r="H38" s="5">
        <f>IFERROR(VLOOKUP(D38,#REF!,3,FALSE),0)</f>
        <v>0</v>
      </c>
      <c r="N38" s="21">
        <v>136</v>
      </c>
      <c r="O38" s="22" t="s">
        <v>406</v>
      </c>
      <c r="P38" s="23" t="s">
        <v>364</v>
      </c>
      <c r="Q38" s="23" t="s">
        <v>377</v>
      </c>
    </row>
    <row r="39" spans="1:17" x14ac:dyDescent="0.2">
      <c r="A39" s="5">
        <v>38</v>
      </c>
      <c r="B39" s="5">
        <v>1</v>
      </c>
      <c r="C39" s="5">
        <v>5</v>
      </c>
      <c r="D39" s="21">
        <v>112</v>
      </c>
      <c r="E39" s="5">
        <v>150</v>
      </c>
      <c r="F39" s="5">
        <v>0</v>
      </c>
      <c r="H39" s="5">
        <f>IFERROR(VLOOKUP(D39,#REF!,3,FALSE),0)</f>
        <v>0</v>
      </c>
      <c r="N39" s="25">
        <v>137</v>
      </c>
      <c r="O39" s="22" t="s">
        <v>407</v>
      </c>
      <c r="P39" s="23" t="s">
        <v>364</v>
      </c>
      <c r="Q39" s="23" t="s">
        <v>377</v>
      </c>
    </row>
    <row r="40" spans="1:17" x14ac:dyDescent="0.2">
      <c r="A40" s="5">
        <v>39</v>
      </c>
      <c r="B40" s="5">
        <v>1</v>
      </c>
      <c r="C40" s="5">
        <v>1</v>
      </c>
      <c r="D40" s="21">
        <v>112</v>
      </c>
      <c r="E40" s="5">
        <v>200</v>
      </c>
      <c r="F40" s="5">
        <v>0</v>
      </c>
      <c r="H40" s="5">
        <f>IFERROR(VLOOKUP(D40,#REF!,3,FALSE),0)</f>
        <v>0</v>
      </c>
      <c r="N40" s="21">
        <v>138</v>
      </c>
      <c r="O40" s="22" t="s">
        <v>408</v>
      </c>
      <c r="P40" s="23" t="s">
        <v>364</v>
      </c>
      <c r="Q40" s="23" t="s">
        <v>377</v>
      </c>
    </row>
    <row r="41" spans="1:17" x14ac:dyDescent="0.2">
      <c r="A41" s="5">
        <v>40</v>
      </c>
      <c r="B41" s="5">
        <v>1</v>
      </c>
      <c r="C41" s="5">
        <v>10</v>
      </c>
      <c r="D41" s="25">
        <v>113</v>
      </c>
      <c r="E41" s="5">
        <v>0</v>
      </c>
      <c r="F41" s="5">
        <v>10</v>
      </c>
      <c r="H41" s="5">
        <f>IFERROR(VLOOKUP(D41,#REF!,3,FALSE),0)</f>
        <v>0</v>
      </c>
      <c r="N41" s="25">
        <v>139</v>
      </c>
      <c r="O41" s="22" t="s">
        <v>409</v>
      </c>
      <c r="P41" s="23" t="s">
        <v>364</v>
      </c>
      <c r="Q41" s="23" t="s">
        <v>377</v>
      </c>
    </row>
    <row r="42" spans="1:17" x14ac:dyDescent="0.2">
      <c r="A42" s="5">
        <v>41</v>
      </c>
      <c r="B42" s="5">
        <v>1</v>
      </c>
      <c r="C42" s="5">
        <v>5</v>
      </c>
      <c r="D42" s="25">
        <v>113</v>
      </c>
      <c r="E42" s="5">
        <v>0</v>
      </c>
      <c r="F42" s="5">
        <v>15</v>
      </c>
      <c r="H42" s="5">
        <f>IFERROR(VLOOKUP(D42,#REF!,3,FALSE),0)</f>
        <v>0</v>
      </c>
      <c r="N42" s="21">
        <v>140</v>
      </c>
      <c r="O42" s="22" t="s">
        <v>410</v>
      </c>
      <c r="P42" s="23" t="s">
        <v>364</v>
      </c>
      <c r="Q42" s="23" t="s">
        <v>377</v>
      </c>
    </row>
    <row r="43" spans="1:17" x14ac:dyDescent="0.2">
      <c r="A43" s="5">
        <v>42</v>
      </c>
      <c r="B43" s="5">
        <v>1</v>
      </c>
      <c r="C43" s="5">
        <v>1</v>
      </c>
      <c r="D43" s="25">
        <v>113</v>
      </c>
      <c r="E43" s="5">
        <v>0</v>
      </c>
      <c r="F43" s="5">
        <v>20</v>
      </c>
      <c r="H43" s="5">
        <f>IFERROR(VLOOKUP(D43,#REF!,3,FALSE),0)</f>
        <v>0</v>
      </c>
      <c r="N43" s="25">
        <v>141</v>
      </c>
      <c r="O43" s="22" t="s">
        <v>411</v>
      </c>
      <c r="P43" s="23" t="s">
        <v>364</v>
      </c>
      <c r="Q43" s="23" t="s">
        <v>377</v>
      </c>
    </row>
    <row r="44" spans="1:17" x14ac:dyDescent="0.2">
      <c r="A44" s="5">
        <v>43</v>
      </c>
      <c r="B44" s="5">
        <v>1</v>
      </c>
      <c r="C44" s="5">
        <v>10</v>
      </c>
      <c r="D44" s="27">
        <v>114</v>
      </c>
      <c r="E44" s="5">
        <v>0</v>
      </c>
      <c r="F44" s="5">
        <v>8</v>
      </c>
      <c r="H44" s="5">
        <f>IFERROR(VLOOKUP(D44,#REF!,3,FALSE),0)</f>
        <v>0</v>
      </c>
      <c r="N44" s="21">
        <v>142</v>
      </c>
      <c r="O44" s="22" t="s">
        <v>412</v>
      </c>
      <c r="P44" s="23" t="s">
        <v>364</v>
      </c>
      <c r="Q44" s="23" t="s">
        <v>377</v>
      </c>
    </row>
    <row r="45" spans="1:17" x14ac:dyDescent="0.2">
      <c r="A45" s="5">
        <v>44</v>
      </c>
      <c r="B45" s="5">
        <v>1</v>
      </c>
      <c r="C45" s="5">
        <v>5</v>
      </c>
      <c r="D45" s="21">
        <v>114</v>
      </c>
      <c r="E45" s="5">
        <v>0</v>
      </c>
      <c r="F45" s="5">
        <v>13</v>
      </c>
      <c r="H45" s="5">
        <f>IFERROR(VLOOKUP(D45,#REF!,3,FALSE),0)</f>
        <v>0</v>
      </c>
      <c r="N45" s="25">
        <v>143</v>
      </c>
      <c r="O45" s="22" t="s">
        <v>413</v>
      </c>
      <c r="P45" s="23" t="s">
        <v>364</v>
      </c>
      <c r="Q45" s="23" t="s">
        <v>377</v>
      </c>
    </row>
    <row r="46" spans="1:17" x14ac:dyDescent="0.2">
      <c r="A46" s="5">
        <v>45</v>
      </c>
      <c r="B46" s="5">
        <v>1</v>
      </c>
      <c r="C46" s="5">
        <v>1</v>
      </c>
      <c r="D46" s="21">
        <v>114</v>
      </c>
      <c r="E46" s="5">
        <v>0</v>
      </c>
      <c r="F46" s="5">
        <v>18</v>
      </c>
      <c r="H46" s="5">
        <f>IFERROR(VLOOKUP(D46,#REF!,3,FALSE),0)</f>
        <v>0</v>
      </c>
      <c r="N46" s="21">
        <v>144</v>
      </c>
      <c r="O46" s="22" t="s">
        <v>414</v>
      </c>
      <c r="P46" s="23" t="s">
        <v>364</v>
      </c>
      <c r="Q46" s="23" t="s">
        <v>377</v>
      </c>
    </row>
    <row r="47" spans="1:17" x14ac:dyDescent="0.2">
      <c r="A47" s="5">
        <v>46</v>
      </c>
      <c r="B47" s="5">
        <v>1</v>
      </c>
      <c r="C47" s="5">
        <v>10</v>
      </c>
      <c r="D47" s="25">
        <v>115</v>
      </c>
      <c r="E47" s="5">
        <v>0</v>
      </c>
      <c r="F47" s="5">
        <v>20</v>
      </c>
      <c r="H47" s="5">
        <f>IFERROR(VLOOKUP(D47,#REF!,3,FALSE),0)</f>
        <v>0</v>
      </c>
      <c r="N47" s="25">
        <v>145</v>
      </c>
      <c r="O47" s="22" t="s">
        <v>415</v>
      </c>
      <c r="P47" s="23" t="s">
        <v>364</v>
      </c>
      <c r="Q47" s="23" t="s">
        <v>377</v>
      </c>
    </row>
    <row r="48" spans="1:17" x14ac:dyDescent="0.2">
      <c r="A48" s="5">
        <v>47</v>
      </c>
      <c r="B48" s="5">
        <v>1</v>
      </c>
      <c r="C48" s="5">
        <v>5</v>
      </c>
      <c r="D48" s="25">
        <v>115</v>
      </c>
      <c r="E48" s="5">
        <v>0</v>
      </c>
      <c r="F48" s="5">
        <v>25</v>
      </c>
      <c r="H48" s="5">
        <f>IFERROR(VLOOKUP(D48,#REF!,3,FALSE),0)</f>
        <v>0</v>
      </c>
      <c r="N48" s="21">
        <v>146</v>
      </c>
      <c r="O48" s="22" t="s">
        <v>416</v>
      </c>
      <c r="P48" s="23" t="s">
        <v>364</v>
      </c>
      <c r="Q48" s="23" t="s">
        <v>377</v>
      </c>
    </row>
    <row r="49" spans="1:17" x14ac:dyDescent="0.2">
      <c r="A49" s="5">
        <v>48</v>
      </c>
      <c r="B49" s="5">
        <v>1</v>
      </c>
      <c r="C49" s="5">
        <v>1</v>
      </c>
      <c r="D49" s="25">
        <v>115</v>
      </c>
      <c r="E49" s="5">
        <v>0</v>
      </c>
      <c r="F49" s="5">
        <v>30</v>
      </c>
      <c r="H49" s="5">
        <f>IFERROR(VLOOKUP(D49,#REF!,3,FALSE),0)</f>
        <v>0</v>
      </c>
      <c r="N49" s="25">
        <v>147</v>
      </c>
      <c r="O49" s="22" t="s">
        <v>417</v>
      </c>
      <c r="P49" s="23" t="s">
        <v>364</v>
      </c>
      <c r="Q49" s="23" t="s">
        <v>377</v>
      </c>
    </row>
    <row r="50" spans="1:17" x14ac:dyDescent="0.2">
      <c r="A50" s="5">
        <v>49</v>
      </c>
      <c r="B50" s="5">
        <v>1</v>
      </c>
      <c r="C50" s="5">
        <v>10</v>
      </c>
      <c r="D50" s="27">
        <v>116</v>
      </c>
      <c r="E50" s="5">
        <v>10</v>
      </c>
      <c r="F50" s="5">
        <v>0</v>
      </c>
      <c r="H50" s="5">
        <f>IFERROR(VLOOKUP(D50,#REF!,3,FALSE),0)</f>
        <v>0</v>
      </c>
      <c r="N50" s="21">
        <v>148</v>
      </c>
      <c r="O50" s="22" t="s">
        <v>418</v>
      </c>
      <c r="P50" s="23" t="s">
        <v>364</v>
      </c>
      <c r="Q50" s="23" t="s">
        <v>377</v>
      </c>
    </row>
    <row r="51" spans="1:17" x14ac:dyDescent="0.2">
      <c r="A51" s="5">
        <v>50</v>
      </c>
      <c r="B51" s="5">
        <v>1</v>
      </c>
      <c r="C51" s="5">
        <v>5</v>
      </c>
      <c r="D51" s="21">
        <v>116</v>
      </c>
      <c r="E51" s="5">
        <v>15</v>
      </c>
      <c r="F51" s="5">
        <v>0</v>
      </c>
      <c r="H51" s="5">
        <f>IFERROR(VLOOKUP(D51,#REF!,3,FALSE),0)</f>
        <v>0</v>
      </c>
      <c r="N51" s="25">
        <v>149</v>
      </c>
      <c r="O51" s="22" t="s">
        <v>419</v>
      </c>
      <c r="P51" s="23" t="s">
        <v>364</v>
      </c>
      <c r="Q51" s="23" t="s">
        <v>377</v>
      </c>
    </row>
    <row r="52" spans="1:17" x14ac:dyDescent="0.2">
      <c r="A52" s="5">
        <v>51</v>
      </c>
      <c r="B52" s="5">
        <v>1</v>
      </c>
      <c r="C52" s="5">
        <v>1</v>
      </c>
      <c r="D52" s="21">
        <v>116</v>
      </c>
      <c r="E52" s="5">
        <v>20</v>
      </c>
      <c r="F52" s="5">
        <v>0</v>
      </c>
      <c r="H52" s="5">
        <f>IFERROR(VLOOKUP(D52,#REF!,3,FALSE),0)</f>
        <v>0</v>
      </c>
      <c r="N52" s="21">
        <v>150</v>
      </c>
      <c r="O52" s="22" t="s">
        <v>420</v>
      </c>
      <c r="P52" s="23" t="s">
        <v>364</v>
      </c>
      <c r="Q52" s="23" t="s">
        <v>377</v>
      </c>
    </row>
    <row r="53" spans="1:17" x14ac:dyDescent="0.2">
      <c r="A53" s="5">
        <v>52</v>
      </c>
      <c r="B53" s="5">
        <v>1</v>
      </c>
      <c r="C53" s="5">
        <v>10</v>
      </c>
      <c r="D53" s="25">
        <v>117</v>
      </c>
      <c r="E53" s="5">
        <v>20</v>
      </c>
      <c r="F53" s="5">
        <v>0</v>
      </c>
      <c r="H53" s="5">
        <f>IFERROR(VLOOKUP(D53,#REF!,3,FALSE),0)</f>
        <v>0</v>
      </c>
      <c r="N53" s="232" t="s">
        <v>421</v>
      </c>
      <c r="O53" s="233"/>
      <c r="P53" s="233"/>
      <c r="Q53" s="234"/>
    </row>
    <row r="54" spans="1:17" x14ac:dyDescent="0.2">
      <c r="A54" s="5">
        <v>53</v>
      </c>
      <c r="B54" s="5">
        <v>1</v>
      </c>
      <c r="C54" s="5">
        <v>5</v>
      </c>
      <c r="D54" s="25">
        <v>117</v>
      </c>
      <c r="E54" s="5">
        <v>25</v>
      </c>
      <c r="F54" s="5">
        <v>0</v>
      </c>
      <c r="H54" s="5">
        <f>IFERROR(VLOOKUP(D54,#REF!,3,FALSE),0)</f>
        <v>0</v>
      </c>
    </row>
    <row r="55" spans="1:17" x14ac:dyDescent="0.2">
      <c r="A55" s="5">
        <v>54</v>
      </c>
      <c r="B55" s="5">
        <v>1</v>
      </c>
      <c r="C55" s="5">
        <v>1</v>
      </c>
      <c r="D55" s="25">
        <v>117</v>
      </c>
      <c r="E55" s="5">
        <v>30</v>
      </c>
      <c r="F55" s="5">
        <v>0</v>
      </c>
      <c r="H55" s="5">
        <f>IFERROR(VLOOKUP(D55,#REF!,3,FALSE),0)</f>
        <v>0</v>
      </c>
    </row>
    <row r="56" spans="1:17" x14ac:dyDescent="0.2">
      <c r="A56" s="5">
        <v>55</v>
      </c>
      <c r="B56" s="5">
        <v>1</v>
      </c>
      <c r="C56" s="5">
        <v>10</v>
      </c>
      <c r="D56" s="21">
        <v>118</v>
      </c>
      <c r="E56" s="5">
        <v>10</v>
      </c>
      <c r="F56" s="5">
        <v>0</v>
      </c>
      <c r="H56" s="5">
        <f>IFERROR(VLOOKUP(D56,#REF!,3,FALSE),0)</f>
        <v>0</v>
      </c>
    </row>
    <row r="57" spans="1:17" x14ac:dyDescent="0.2">
      <c r="A57" s="5">
        <v>56</v>
      </c>
      <c r="B57" s="5">
        <v>1</v>
      </c>
      <c r="C57" s="5">
        <v>5</v>
      </c>
      <c r="D57" s="21">
        <v>118</v>
      </c>
      <c r="E57" s="5">
        <v>15</v>
      </c>
      <c r="F57" s="5">
        <v>0</v>
      </c>
      <c r="H57" s="5">
        <f>IFERROR(VLOOKUP(D57,#REF!,3,FALSE),0)</f>
        <v>0</v>
      </c>
    </row>
    <row r="58" spans="1:17" x14ac:dyDescent="0.2">
      <c r="A58" s="5">
        <v>57</v>
      </c>
      <c r="B58" s="5">
        <v>1</v>
      </c>
      <c r="C58" s="5">
        <v>1</v>
      </c>
      <c r="D58" s="21">
        <v>118</v>
      </c>
      <c r="E58" s="5">
        <v>20</v>
      </c>
      <c r="F58" s="5">
        <v>0</v>
      </c>
      <c r="H58" s="5">
        <f>IFERROR(VLOOKUP(D58,#REF!,3,FALSE),0)</f>
        <v>0</v>
      </c>
    </row>
    <row r="59" spans="1:17" x14ac:dyDescent="0.2">
      <c r="A59" s="5">
        <v>58</v>
      </c>
      <c r="B59" s="5">
        <v>1</v>
      </c>
      <c r="C59" s="5">
        <v>10</v>
      </c>
      <c r="D59" s="25">
        <v>120</v>
      </c>
      <c r="E59" s="5">
        <v>0</v>
      </c>
      <c r="F59" s="5">
        <v>15</v>
      </c>
      <c r="H59" s="5">
        <f>IFERROR(VLOOKUP(D59,#REF!,3,FALSE),0)</f>
        <v>0</v>
      </c>
    </row>
    <row r="60" spans="1:17" x14ac:dyDescent="0.2">
      <c r="A60" s="5">
        <v>59</v>
      </c>
      <c r="B60" s="5">
        <v>1</v>
      </c>
      <c r="C60" s="5">
        <v>5</v>
      </c>
      <c r="D60" s="25">
        <v>120</v>
      </c>
      <c r="E60" s="5">
        <v>0</v>
      </c>
      <c r="F60" s="5">
        <v>20</v>
      </c>
      <c r="H60" s="5">
        <f>IFERROR(VLOOKUP(D60,#REF!,3,FALSE),0)</f>
        <v>0</v>
      </c>
    </row>
    <row r="61" spans="1:17" x14ac:dyDescent="0.2">
      <c r="A61" s="5">
        <v>60</v>
      </c>
      <c r="B61" s="5">
        <v>1</v>
      </c>
      <c r="C61" s="5">
        <v>1</v>
      </c>
      <c r="D61" s="25">
        <v>120</v>
      </c>
      <c r="E61" s="5">
        <v>0</v>
      </c>
      <c r="F61" s="5">
        <v>25</v>
      </c>
      <c r="H61" s="5">
        <f>IFERROR(VLOOKUP(D61,#REF!,3,FALSE),0)</f>
        <v>0</v>
      </c>
    </row>
    <row r="62" spans="1:17" x14ac:dyDescent="0.2">
      <c r="A62" s="5">
        <v>61</v>
      </c>
      <c r="B62" s="5">
        <v>1</v>
      </c>
      <c r="C62" s="5">
        <v>10</v>
      </c>
      <c r="D62" s="21">
        <v>130</v>
      </c>
      <c r="E62" s="5">
        <v>0</v>
      </c>
      <c r="F62" s="5">
        <v>20</v>
      </c>
      <c r="H62" s="5">
        <f>IFERROR(VLOOKUP(D62,#REF!,3,FALSE),0)</f>
        <v>0</v>
      </c>
    </row>
    <row r="63" spans="1:17" x14ac:dyDescent="0.2">
      <c r="A63" s="5">
        <v>62</v>
      </c>
      <c r="B63" s="5">
        <v>1</v>
      </c>
      <c r="C63" s="5">
        <v>5</v>
      </c>
      <c r="D63" s="21">
        <v>130</v>
      </c>
      <c r="E63" s="5">
        <v>0</v>
      </c>
      <c r="F63" s="5">
        <v>20</v>
      </c>
      <c r="H63" s="5">
        <f>IFERROR(VLOOKUP(D63,#REF!,3,FALSE),0)</f>
        <v>0</v>
      </c>
    </row>
    <row r="64" spans="1:17" x14ac:dyDescent="0.2">
      <c r="A64" s="5">
        <v>63</v>
      </c>
      <c r="B64" s="5">
        <v>1</v>
      </c>
      <c r="C64" s="5">
        <v>1</v>
      </c>
      <c r="D64" s="21">
        <v>130</v>
      </c>
      <c r="E64" s="5">
        <v>0</v>
      </c>
      <c r="F64" s="5">
        <v>25</v>
      </c>
      <c r="H64" s="5">
        <f>IFERROR(VLOOKUP(D64,#REF!,3,FALSE),0)</f>
        <v>0</v>
      </c>
    </row>
    <row r="65" spans="1:8" x14ac:dyDescent="0.2">
      <c r="A65" s="5">
        <v>64</v>
      </c>
      <c r="B65" s="5">
        <v>1</v>
      </c>
      <c r="C65" s="5">
        <v>10</v>
      </c>
      <c r="D65" s="25">
        <v>131</v>
      </c>
      <c r="E65" s="5">
        <v>0</v>
      </c>
      <c r="F65" s="5">
        <v>10</v>
      </c>
      <c r="H65" s="5">
        <f>IFERROR(VLOOKUP(D65,#REF!,3,FALSE),0)</f>
        <v>0</v>
      </c>
    </row>
    <row r="66" spans="1:8" x14ac:dyDescent="0.2">
      <c r="A66" s="5">
        <v>65</v>
      </c>
      <c r="B66" s="5">
        <v>1</v>
      </c>
      <c r="C66" s="5">
        <v>5</v>
      </c>
      <c r="D66" s="25">
        <v>131</v>
      </c>
      <c r="E66" s="5">
        <v>0</v>
      </c>
      <c r="F66" s="5">
        <v>15</v>
      </c>
      <c r="H66" s="5">
        <f>IFERROR(VLOOKUP(D66,#REF!,3,FALSE),0)</f>
        <v>0</v>
      </c>
    </row>
    <row r="67" spans="1:8" x14ac:dyDescent="0.2">
      <c r="A67" s="5">
        <v>66</v>
      </c>
      <c r="B67" s="5">
        <v>1</v>
      </c>
      <c r="C67" s="5">
        <v>1</v>
      </c>
      <c r="D67" s="25">
        <v>131</v>
      </c>
      <c r="E67" s="5">
        <v>0</v>
      </c>
      <c r="F67" s="5">
        <v>20</v>
      </c>
      <c r="H67" s="5">
        <f>IFERROR(VLOOKUP(D67,#REF!,3,FALSE),0)</f>
        <v>0</v>
      </c>
    </row>
    <row r="68" spans="1:8" x14ac:dyDescent="0.2">
      <c r="A68" s="5">
        <v>67</v>
      </c>
      <c r="B68" s="5">
        <v>1</v>
      </c>
      <c r="C68" s="5">
        <v>10</v>
      </c>
      <c r="D68" s="21">
        <v>132</v>
      </c>
      <c r="E68" s="5">
        <v>0</v>
      </c>
      <c r="F68" s="5">
        <v>15</v>
      </c>
      <c r="H68" s="5">
        <f>IFERROR(VLOOKUP(D68,#REF!,3,FALSE),0)</f>
        <v>0</v>
      </c>
    </row>
    <row r="69" spans="1:8" x14ac:dyDescent="0.2">
      <c r="A69" s="5">
        <v>68</v>
      </c>
      <c r="B69" s="5">
        <v>1</v>
      </c>
      <c r="C69" s="5">
        <v>5</v>
      </c>
      <c r="D69" s="21">
        <v>132</v>
      </c>
      <c r="E69" s="5">
        <v>0</v>
      </c>
      <c r="F69" s="5">
        <v>20</v>
      </c>
      <c r="H69" s="5">
        <f>IFERROR(VLOOKUP(D69,#REF!,3,FALSE),0)</f>
        <v>0</v>
      </c>
    </row>
    <row r="70" spans="1:8" x14ac:dyDescent="0.2">
      <c r="A70" s="5">
        <v>69</v>
      </c>
      <c r="B70" s="5">
        <v>1</v>
      </c>
      <c r="C70" s="5">
        <v>1</v>
      </c>
      <c r="D70" s="21">
        <v>132</v>
      </c>
      <c r="E70" s="5">
        <v>0</v>
      </c>
      <c r="F70" s="5">
        <v>25</v>
      </c>
      <c r="H70" s="5">
        <f>IFERROR(VLOOKUP(D70,#REF!,3,FALSE),0)</f>
        <v>0</v>
      </c>
    </row>
    <row r="71" spans="1:8" x14ac:dyDescent="0.2">
      <c r="A71" s="5">
        <v>70</v>
      </c>
      <c r="B71" s="5">
        <v>1</v>
      </c>
      <c r="C71" s="5">
        <v>10</v>
      </c>
      <c r="D71" s="25">
        <v>133</v>
      </c>
      <c r="E71" s="5">
        <v>0</v>
      </c>
      <c r="F71" s="5">
        <v>10</v>
      </c>
      <c r="H71" s="5">
        <f>IFERROR(VLOOKUP(D71,#REF!,3,FALSE),0)</f>
        <v>0</v>
      </c>
    </row>
    <row r="72" spans="1:8" x14ac:dyDescent="0.2">
      <c r="A72" s="5">
        <v>71</v>
      </c>
      <c r="B72" s="5">
        <v>1</v>
      </c>
      <c r="C72" s="5">
        <v>5</v>
      </c>
      <c r="D72" s="25">
        <v>133</v>
      </c>
      <c r="E72" s="5">
        <v>0</v>
      </c>
      <c r="F72" s="5">
        <v>15</v>
      </c>
      <c r="H72" s="5">
        <f>IFERROR(VLOOKUP(D72,#REF!,3,FALSE),0)</f>
        <v>0</v>
      </c>
    </row>
    <row r="73" spans="1:8" x14ac:dyDescent="0.2">
      <c r="A73" s="5">
        <v>72</v>
      </c>
      <c r="B73" s="5">
        <v>1</v>
      </c>
      <c r="C73" s="5">
        <v>1</v>
      </c>
      <c r="D73" s="25">
        <v>133</v>
      </c>
      <c r="E73" s="5">
        <v>0</v>
      </c>
      <c r="F73" s="5">
        <v>20</v>
      </c>
      <c r="H73" s="5">
        <f>IFERROR(VLOOKUP(D73,#REF!,3,FALSE),0)</f>
        <v>0</v>
      </c>
    </row>
    <row r="74" spans="1:8" x14ac:dyDescent="0.2">
      <c r="A74" s="5">
        <v>73</v>
      </c>
      <c r="B74" s="5">
        <v>1</v>
      </c>
      <c r="C74" s="5">
        <v>10</v>
      </c>
      <c r="D74" s="21">
        <v>134</v>
      </c>
      <c r="E74" s="5">
        <v>0</v>
      </c>
      <c r="F74" s="5">
        <v>15</v>
      </c>
      <c r="H74" s="5">
        <f>IFERROR(VLOOKUP(D74,#REF!,3,FALSE),0)</f>
        <v>0</v>
      </c>
    </row>
    <row r="75" spans="1:8" x14ac:dyDescent="0.2">
      <c r="A75" s="5">
        <v>74</v>
      </c>
      <c r="B75" s="5">
        <v>1</v>
      </c>
      <c r="C75" s="5">
        <v>5</v>
      </c>
      <c r="D75" s="21">
        <v>134</v>
      </c>
      <c r="E75" s="5">
        <v>0</v>
      </c>
      <c r="F75" s="5">
        <v>20</v>
      </c>
      <c r="H75" s="5">
        <f>IFERROR(VLOOKUP(D75,#REF!,3,FALSE),0)</f>
        <v>0</v>
      </c>
    </row>
    <row r="76" spans="1:8" x14ac:dyDescent="0.2">
      <c r="A76" s="5">
        <v>75</v>
      </c>
      <c r="B76" s="5">
        <v>1</v>
      </c>
      <c r="C76" s="5">
        <v>1</v>
      </c>
      <c r="D76" s="21">
        <v>134</v>
      </c>
      <c r="E76" s="5">
        <v>0</v>
      </c>
      <c r="F76" s="5">
        <v>25</v>
      </c>
      <c r="H76" s="5">
        <f>IFERROR(VLOOKUP(D76,#REF!,3,FALSE),0)</f>
        <v>0</v>
      </c>
    </row>
    <row r="77" spans="1:8" x14ac:dyDescent="0.2">
      <c r="A77" s="5">
        <v>76</v>
      </c>
      <c r="B77" s="5">
        <v>1</v>
      </c>
      <c r="C77" s="5">
        <v>10</v>
      </c>
      <c r="D77" s="25">
        <v>135</v>
      </c>
      <c r="E77" s="5">
        <v>0</v>
      </c>
      <c r="F77" s="5">
        <v>10</v>
      </c>
      <c r="H77" s="5">
        <f>IFERROR(VLOOKUP(D77,#REF!,3,FALSE),0)</f>
        <v>0</v>
      </c>
    </row>
    <row r="78" spans="1:8" x14ac:dyDescent="0.2">
      <c r="A78" s="5">
        <v>77</v>
      </c>
      <c r="B78" s="5">
        <v>1</v>
      </c>
      <c r="C78" s="5">
        <v>5</v>
      </c>
      <c r="D78" s="25">
        <v>135</v>
      </c>
      <c r="E78" s="5">
        <v>0</v>
      </c>
      <c r="F78" s="5">
        <v>15</v>
      </c>
      <c r="H78" s="5">
        <f>IFERROR(VLOOKUP(D78,#REF!,3,FALSE),0)</f>
        <v>0</v>
      </c>
    </row>
    <row r="79" spans="1:8" x14ac:dyDescent="0.2">
      <c r="A79" s="5">
        <v>78</v>
      </c>
      <c r="B79" s="5">
        <v>1</v>
      </c>
      <c r="C79" s="5">
        <v>1</v>
      </c>
      <c r="D79" s="25">
        <v>135</v>
      </c>
      <c r="E79" s="5">
        <v>0</v>
      </c>
      <c r="F79" s="5">
        <v>20</v>
      </c>
      <c r="H79" s="5">
        <f>IFERROR(VLOOKUP(D79,#REF!,3,FALSE),0)</f>
        <v>0</v>
      </c>
    </row>
    <row r="80" spans="1:8" x14ac:dyDescent="0.2">
      <c r="A80" s="5">
        <v>79</v>
      </c>
      <c r="B80" s="5">
        <v>1</v>
      </c>
      <c r="C80" s="5">
        <v>10</v>
      </c>
      <c r="D80" s="21">
        <v>136</v>
      </c>
      <c r="E80" s="5">
        <v>0</v>
      </c>
      <c r="F80" s="5">
        <v>15</v>
      </c>
      <c r="H80" s="5">
        <f>IFERROR(VLOOKUP(D80,#REF!,3,FALSE),0)</f>
        <v>0</v>
      </c>
    </row>
    <row r="81" spans="1:8" x14ac:dyDescent="0.2">
      <c r="A81" s="5">
        <v>80</v>
      </c>
      <c r="B81" s="5">
        <v>1</v>
      </c>
      <c r="C81" s="5">
        <v>5</v>
      </c>
      <c r="D81" s="21">
        <v>136</v>
      </c>
      <c r="E81" s="5">
        <v>0</v>
      </c>
      <c r="F81" s="5">
        <v>20</v>
      </c>
      <c r="H81" s="5">
        <f>IFERROR(VLOOKUP(D81,#REF!,3,FALSE),0)</f>
        <v>0</v>
      </c>
    </row>
    <row r="82" spans="1:8" x14ac:dyDescent="0.2">
      <c r="A82" s="5">
        <v>81</v>
      </c>
      <c r="B82" s="5">
        <v>1</v>
      </c>
      <c r="C82" s="5">
        <v>1</v>
      </c>
      <c r="D82" s="21">
        <v>136</v>
      </c>
      <c r="E82" s="5">
        <v>0</v>
      </c>
      <c r="F82" s="5">
        <v>25</v>
      </c>
      <c r="H82" s="5">
        <f>IFERROR(VLOOKUP(D82,#REF!,3,FALSE),0)</f>
        <v>0</v>
      </c>
    </row>
    <row r="83" spans="1:8" x14ac:dyDescent="0.2">
      <c r="A83" s="5">
        <v>82</v>
      </c>
      <c r="B83" s="5">
        <v>1</v>
      </c>
      <c r="C83" s="5">
        <v>10</v>
      </c>
      <c r="D83" s="25">
        <v>137</v>
      </c>
      <c r="E83" s="5">
        <v>0</v>
      </c>
      <c r="F83" s="5">
        <v>10</v>
      </c>
      <c r="H83" s="5">
        <f>IFERROR(VLOOKUP(D83,#REF!,3,FALSE),0)</f>
        <v>0</v>
      </c>
    </row>
    <row r="84" spans="1:8" x14ac:dyDescent="0.2">
      <c r="A84" s="5">
        <v>83</v>
      </c>
      <c r="B84" s="5">
        <v>1</v>
      </c>
      <c r="C84" s="5">
        <v>5</v>
      </c>
      <c r="D84" s="25">
        <v>137</v>
      </c>
      <c r="E84" s="5">
        <v>0</v>
      </c>
      <c r="F84" s="5">
        <v>15</v>
      </c>
      <c r="H84" s="5">
        <f>IFERROR(VLOOKUP(D84,#REF!,3,FALSE),0)</f>
        <v>0</v>
      </c>
    </row>
    <row r="85" spans="1:8" x14ac:dyDescent="0.2">
      <c r="A85" s="5">
        <v>84</v>
      </c>
      <c r="B85" s="5">
        <v>1</v>
      </c>
      <c r="C85" s="5">
        <v>1</v>
      </c>
      <c r="D85" s="25">
        <v>137</v>
      </c>
      <c r="E85" s="5">
        <v>0</v>
      </c>
      <c r="F85" s="5">
        <v>20</v>
      </c>
      <c r="H85" s="5">
        <f>IFERROR(VLOOKUP(D85,#REF!,3,FALSE),0)</f>
        <v>0</v>
      </c>
    </row>
    <row r="86" spans="1:8" x14ac:dyDescent="0.2">
      <c r="A86" s="5">
        <v>85</v>
      </c>
      <c r="B86" s="5">
        <v>1</v>
      </c>
      <c r="C86" s="5">
        <v>10</v>
      </c>
      <c r="D86" s="21">
        <v>138</v>
      </c>
      <c r="E86" s="5">
        <v>0</v>
      </c>
      <c r="F86" s="5">
        <v>15</v>
      </c>
      <c r="H86" s="5">
        <f>IFERROR(VLOOKUP(D86,#REF!,3,FALSE),0)</f>
        <v>0</v>
      </c>
    </row>
    <row r="87" spans="1:8" x14ac:dyDescent="0.2">
      <c r="A87" s="5">
        <v>86</v>
      </c>
      <c r="B87" s="5">
        <v>1</v>
      </c>
      <c r="C87" s="5">
        <v>5</v>
      </c>
      <c r="D87" s="21">
        <v>138</v>
      </c>
      <c r="E87" s="5">
        <v>0</v>
      </c>
      <c r="F87" s="5">
        <v>20</v>
      </c>
      <c r="H87" s="5">
        <f>IFERROR(VLOOKUP(D87,#REF!,3,FALSE),0)</f>
        <v>0</v>
      </c>
    </row>
    <row r="88" spans="1:8" x14ac:dyDescent="0.2">
      <c r="A88" s="5">
        <v>87</v>
      </c>
      <c r="B88" s="5">
        <v>1</v>
      </c>
      <c r="C88" s="5">
        <v>1</v>
      </c>
      <c r="D88" s="21">
        <v>138</v>
      </c>
      <c r="E88" s="5">
        <v>0</v>
      </c>
      <c r="F88" s="5">
        <v>25</v>
      </c>
      <c r="H88" s="5">
        <f>IFERROR(VLOOKUP(D88,#REF!,3,FALSE),0)</f>
        <v>0</v>
      </c>
    </row>
    <row r="89" spans="1:8" x14ac:dyDescent="0.2">
      <c r="A89" s="5">
        <v>88</v>
      </c>
      <c r="B89" s="5">
        <v>1</v>
      </c>
      <c r="C89" s="5">
        <v>10</v>
      </c>
      <c r="D89" s="25">
        <v>139</v>
      </c>
      <c r="E89" s="5">
        <v>0</v>
      </c>
      <c r="F89" s="5">
        <v>10</v>
      </c>
      <c r="H89" s="5">
        <f>IFERROR(VLOOKUP(D89,#REF!,3,FALSE),0)</f>
        <v>0</v>
      </c>
    </row>
    <row r="90" spans="1:8" x14ac:dyDescent="0.2">
      <c r="A90" s="5">
        <v>89</v>
      </c>
      <c r="B90" s="5">
        <v>1</v>
      </c>
      <c r="C90" s="5">
        <v>5</v>
      </c>
      <c r="D90" s="25">
        <v>139</v>
      </c>
      <c r="E90" s="5">
        <v>0</v>
      </c>
      <c r="F90" s="5">
        <v>15</v>
      </c>
      <c r="H90" s="5">
        <f>IFERROR(VLOOKUP(D90,#REF!,3,FALSE),0)</f>
        <v>0</v>
      </c>
    </row>
    <row r="91" spans="1:8" x14ac:dyDescent="0.2">
      <c r="A91" s="5">
        <v>90</v>
      </c>
      <c r="B91" s="5">
        <v>1</v>
      </c>
      <c r="C91" s="5">
        <v>1</v>
      </c>
      <c r="D91" s="25">
        <v>139</v>
      </c>
      <c r="E91" s="5">
        <v>0</v>
      </c>
      <c r="F91" s="5">
        <v>20</v>
      </c>
      <c r="H91" s="5">
        <f>IFERROR(VLOOKUP(D91,#REF!,3,FALSE),0)</f>
        <v>0</v>
      </c>
    </row>
    <row r="92" spans="1:8" x14ac:dyDescent="0.2">
      <c r="A92" s="5">
        <v>91</v>
      </c>
      <c r="B92" s="5">
        <v>1</v>
      </c>
      <c r="C92" s="5">
        <v>10</v>
      </c>
      <c r="D92" s="21">
        <v>140</v>
      </c>
      <c r="E92" s="5">
        <v>0</v>
      </c>
      <c r="F92" s="5">
        <v>15</v>
      </c>
      <c r="H92" s="5">
        <f>IFERROR(VLOOKUP(D92,#REF!,3,FALSE),0)</f>
        <v>0</v>
      </c>
    </row>
    <row r="93" spans="1:8" x14ac:dyDescent="0.2">
      <c r="A93" s="5">
        <v>92</v>
      </c>
      <c r="B93" s="5">
        <v>1</v>
      </c>
      <c r="C93" s="5">
        <v>5</v>
      </c>
      <c r="D93" s="21">
        <v>140</v>
      </c>
      <c r="E93" s="5">
        <v>0</v>
      </c>
      <c r="F93" s="5">
        <v>20</v>
      </c>
      <c r="H93" s="5">
        <f>IFERROR(VLOOKUP(D93,#REF!,3,FALSE),0)</f>
        <v>0</v>
      </c>
    </row>
    <row r="94" spans="1:8" x14ac:dyDescent="0.2">
      <c r="A94" s="5">
        <v>93</v>
      </c>
      <c r="B94" s="5">
        <v>1</v>
      </c>
      <c r="C94" s="5">
        <v>1</v>
      </c>
      <c r="D94" s="21">
        <v>140</v>
      </c>
      <c r="E94" s="5">
        <v>0</v>
      </c>
      <c r="F94" s="5">
        <v>25</v>
      </c>
      <c r="H94" s="5">
        <f>IFERROR(VLOOKUP(D94,#REF!,3,FALSE),0)</f>
        <v>0</v>
      </c>
    </row>
    <row r="95" spans="1:8" x14ac:dyDescent="0.2">
      <c r="A95" s="5">
        <v>94</v>
      </c>
      <c r="B95" s="5">
        <v>1</v>
      </c>
      <c r="C95" s="5">
        <v>10</v>
      </c>
      <c r="D95" s="25">
        <v>141</v>
      </c>
      <c r="E95" s="5">
        <v>0</v>
      </c>
      <c r="F95" s="5">
        <v>10</v>
      </c>
      <c r="H95" s="5">
        <f>IFERROR(VLOOKUP(D95,#REF!,3,FALSE),0)</f>
        <v>0</v>
      </c>
    </row>
    <row r="96" spans="1:8" x14ac:dyDescent="0.2">
      <c r="A96" s="5">
        <v>95</v>
      </c>
      <c r="B96" s="5">
        <v>1</v>
      </c>
      <c r="C96" s="5">
        <v>5</v>
      </c>
      <c r="D96" s="25">
        <v>141</v>
      </c>
      <c r="E96" s="5">
        <v>0</v>
      </c>
      <c r="F96" s="5">
        <v>15</v>
      </c>
      <c r="H96" s="5">
        <f>IFERROR(VLOOKUP(D96,#REF!,3,FALSE),0)</f>
        <v>0</v>
      </c>
    </row>
    <row r="97" spans="1:8" x14ac:dyDescent="0.2">
      <c r="A97" s="5">
        <v>96</v>
      </c>
      <c r="B97" s="5">
        <v>1</v>
      </c>
      <c r="C97" s="5">
        <v>1</v>
      </c>
      <c r="D97" s="25">
        <v>141</v>
      </c>
      <c r="E97" s="5">
        <v>0</v>
      </c>
      <c r="F97" s="5">
        <v>20</v>
      </c>
      <c r="H97" s="5">
        <f>IFERROR(VLOOKUP(D97,#REF!,3,FALSE),0)</f>
        <v>0</v>
      </c>
    </row>
    <row r="98" spans="1:8" x14ac:dyDescent="0.2">
      <c r="A98" s="5">
        <v>97</v>
      </c>
      <c r="B98" s="5">
        <v>1</v>
      </c>
      <c r="C98" s="5">
        <v>10</v>
      </c>
      <c r="D98" s="21">
        <v>142</v>
      </c>
      <c r="E98" s="5">
        <v>0</v>
      </c>
      <c r="F98" s="5">
        <v>15</v>
      </c>
      <c r="H98" s="5">
        <f>IFERROR(VLOOKUP(D98,#REF!,3,FALSE),0)</f>
        <v>0</v>
      </c>
    </row>
    <row r="99" spans="1:8" x14ac:dyDescent="0.2">
      <c r="A99" s="5">
        <v>98</v>
      </c>
      <c r="B99" s="5">
        <v>1</v>
      </c>
      <c r="C99" s="5">
        <v>5</v>
      </c>
      <c r="D99" s="21">
        <v>142</v>
      </c>
      <c r="E99" s="5">
        <v>0</v>
      </c>
      <c r="F99" s="5">
        <v>20</v>
      </c>
      <c r="H99" s="5">
        <f>IFERROR(VLOOKUP(D99,#REF!,3,FALSE),0)</f>
        <v>0</v>
      </c>
    </row>
    <row r="100" spans="1:8" x14ac:dyDescent="0.2">
      <c r="A100" s="5">
        <v>99</v>
      </c>
      <c r="B100" s="5">
        <v>1</v>
      </c>
      <c r="C100" s="5">
        <v>1</v>
      </c>
      <c r="D100" s="21">
        <v>142</v>
      </c>
      <c r="E100" s="5">
        <v>0</v>
      </c>
      <c r="F100" s="5">
        <v>25</v>
      </c>
      <c r="H100" s="5">
        <f>IFERROR(VLOOKUP(D100,#REF!,3,FALSE),0)</f>
        <v>0</v>
      </c>
    </row>
    <row r="101" spans="1:8" x14ac:dyDescent="0.2">
      <c r="A101" s="5">
        <v>100</v>
      </c>
      <c r="B101" s="5">
        <v>1</v>
      </c>
      <c r="C101" s="5">
        <v>10</v>
      </c>
      <c r="D101" s="25">
        <v>143</v>
      </c>
      <c r="E101" s="5">
        <v>0</v>
      </c>
      <c r="F101" s="5">
        <v>10</v>
      </c>
      <c r="H101" s="5">
        <f>IFERROR(VLOOKUP(D101,#REF!,3,FALSE),0)</f>
        <v>0</v>
      </c>
    </row>
    <row r="102" spans="1:8" x14ac:dyDescent="0.2">
      <c r="A102" s="5">
        <v>101</v>
      </c>
      <c r="B102" s="5">
        <v>1</v>
      </c>
      <c r="C102" s="5">
        <v>5</v>
      </c>
      <c r="D102" s="25">
        <v>143</v>
      </c>
      <c r="E102" s="5">
        <v>0</v>
      </c>
      <c r="F102" s="5">
        <v>15</v>
      </c>
      <c r="H102" s="5">
        <f>IFERROR(VLOOKUP(D102,#REF!,3,FALSE),0)</f>
        <v>0</v>
      </c>
    </row>
    <row r="103" spans="1:8" x14ac:dyDescent="0.2">
      <c r="A103" s="5">
        <v>102</v>
      </c>
      <c r="B103" s="5">
        <v>1</v>
      </c>
      <c r="C103" s="5">
        <v>1</v>
      </c>
      <c r="D103" s="25">
        <v>143</v>
      </c>
      <c r="E103" s="5">
        <v>0</v>
      </c>
      <c r="F103" s="5">
        <v>20</v>
      </c>
      <c r="H103" s="5">
        <f>IFERROR(VLOOKUP(D103,#REF!,3,FALSE),0)</f>
        <v>0</v>
      </c>
    </row>
    <row r="104" spans="1:8" x14ac:dyDescent="0.2">
      <c r="A104" s="5">
        <v>103</v>
      </c>
      <c r="B104" s="5">
        <v>1</v>
      </c>
      <c r="C104" s="5">
        <v>10</v>
      </c>
      <c r="D104" s="21">
        <v>144</v>
      </c>
      <c r="E104" s="5">
        <v>0</v>
      </c>
      <c r="F104" s="5">
        <v>15</v>
      </c>
      <c r="H104" s="5">
        <f>IFERROR(VLOOKUP(D104,#REF!,3,FALSE),0)</f>
        <v>0</v>
      </c>
    </row>
    <row r="105" spans="1:8" x14ac:dyDescent="0.2">
      <c r="A105" s="5">
        <v>104</v>
      </c>
      <c r="B105" s="5">
        <v>1</v>
      </c>
      <c r="C105" s="5">
        <v>5</v>
      </c>
      <c r="D105" s="21">
        <v>144</v>
      </c>
      <c r="E105" s="5">
        <v>0</v>
      </c>
      <c r="F105" s="5">
        <v>20</v>
      </c>
      <c r="H105" s="5">
        <f>IFERROR(VLOOKUP(D105,#REF!,3,FALSE),0)</f>
        <v>0</v>
      </c>
    </row>
    <row r="106" spans="1:8" x14ac:dyDescent="0.2">
      <c r="A106" s="5">
        <v>105</v>
      </c>
      <c r="B106" s="5">
        <v>1</v>
      </c>
      <c r="C106" s="5">
        <v>1</v>
      </c>
      <c r="D106" s="21">
        <v>144</v>
      </c>
      <c r="E106" s="5">
        <v>0</v>
      </c>
      <c r="F106" s="5">
        <v>25</v>
      </c>
      <c r="H106" s="5">
        <f>IFERROR(VLOOKUP(D106,#REF!,3,FALSE),0)</f>
        <v>0</v>
      </c>
    </row>
    <row r="107" spans="1:8" x14ac:dyDescent="0.2">
      <c r="A107" s="5">
        <v>106</v>
      </c>
      <c r="B107" s="5">
        <v>1</v>
      </c>
      <c r="C107" s="5">
        <v>10</v>
      </c>
      <c r="D107" s="25">
        <v>145</v>
      </c>
      <c r="E107" s="5">
        <v>0</v>
      </c>
      <c r="F107" s="5">
        <v>10</v>
      </c>
      <c r="H107" s="5">
        <f>IFERROR(VLOOKUP(D107,#REF!,3,FALSE),0)</f>
        <v>0</v>
      </c>
    </row>
    <row r="108" spans="1:8" x14ac:dyDescent="0.2">
      <c r="A108" s="5">
        <v>107</v>
      </c>
      <c r="B108" s="5">
        <v>1</v>
      </c>
      <c r="C108" s="5">
        <v>5</v>
      </c>
      <c r="D108" s="25">
        <v>145</v>
      </c>
      <c r="E108" s="5">
        <v>0</v>
      </c>
      <c r="F108" s="5">
        <v>15</v>
      </c>
      <c r="H108" s="5">
        <f>IFERROR(VLOOKUP(D108,#REF!,3,FALSE),0)</f>
        <v>0</v>
      </c>
    </row>
    <row r="109" spans="1:8" x14ac:dyDescent="0.2">
      <c r="A109" s="5">
        <v>108</v>
      </c>
      <c r="B109" s="5">
        <v>1</v>
      </c>
      <c r="C109" s="5">
        <v>1</v>
      </c>
      <c r="D109" s="25">
        <v>145</v>
      </c>
      <c r="E109" s="5">
        <v>0</v>
      </c>
      <c r="F109" s="5">
        <v>20</v>
      </c>
      <c r="H109" s="5">
        <f>IFERROR(VLOOKUP(D109,#REF!,3,FALSE),0)</f>
        <v>0</v>
      </c>
    </row>
    <row r="110" spans="1:8" x14ac:dyDescent="0.2">
      <c r="A110" s="5">
        <v>109</v>
      </c>
      <c r="B110" s="5">
        <v>1</v>
      </c>
      <c r="C110" s="5">
        <v>10</v>
      </c>
      <c r="D110" s="21">
        <v>146</v>
      </c>
      <c r="E110" s="5">
        <v>0</v>
      </c>
      <c r="F110" s="5">
        <v>15</v>
      </c>
      <c r="H110" s="5">
        <f>IFERROR(VLOOKUP(D110,#REF!,3,FALSE),0)</f>
        <v>0</v>
      </c>
    </row>
    <row r="111" spans="1:8" x14ac:dyDescent="0.2">
      <c r="A111" s="5">
        <v>110</v>
      </c>
      <c r="B111" s="5">
        <v>1</v>
      </c>
      <c r="C111" s="5">
        <v>5</v>
      </c>
      <c r="D111" s="21">
        <v>146</v>
      </c>
      <c r="E111" s="5">
        <v>0</v>
      </c>
      <c r="F111" s="5">
        <v>20</v>
      </c>
      <c r="H111" s="5">
        <f>IFERROR(VLOOKUP(D111,#REF!,3,FALSE),0)</f>
        <v>0</v>
      </c>
    </row>
    <row r="112" spans="1:8" x14ac:dyDescent="0.2">
      <c r="A112" s="5">
        <v>111</v>
      </c>
      <c r="B112" s="5">
        <v>1</v>
      </c>
      <c r="C112" s="5">
        <v>1</v>
      </c>
      <c r="D112" s="21">
        <v>146</v>
      </c>
      <c r="E112" s="5">
        <v>0</v>
      </c>
      <c r="F112" s="5">
        <v>25</v>
      </c>
      <c r="H112" s="5">
        <f>IFERROR(VLOOKUP(D112,#REF!,3,FALSE),0)</f>
        <v>0</v>
      </c>
    </row>
    <row r="113" spans="1:8" x14ac:dyDescent="0.2">
      <c r="A113" s="5">
        <v>112</v>
      </c>
      <c r="B113" s="5">
        <v>1</v>
      </c>
      <c r="C113" s="5">
        <v>10</v>
      </c>
      <c r="D113" s="25">
        <v>147</v>
      </c>
      <c r="E113" s="5">
        <v>0</v>
      </c>
      <c r="F113" s="5">
        <v>10</v>
      </c>
      <c r="H113" s="5">
        <f>IFERROR(VLOOKUP(D113,#REF!,3,FALSE),0)</f>
        <v>0</v>
      </c>
    </row>
    <row r="114" spans="1:8" x14ac:dyDescent="0.2">
      <c r="A114" s="5">
        <v>113</v>
      </c>
      <c r="B114" s="5">
        <v>1</v>
      </c>
      <c r="C114" s="5">
        <v>5</v>
      </c>
      <c r="D114" s="25">
        <v>147</v>
      </c>
      <c r="E114" s="5">
        <v>0</v>
      </c>
      <c r="F114" s="5">
        <v>15</v>
      </c>
      <c r="H114" s="5">
        <f>IFERROR(VLOOKUP(D114,#REF!,3,FALSE),0)</f>
        <v>0</v>
      </c>
    </row>
    <row r="115" spans="1:8" x14ac:dyDescent="0.2">
      <c r="A115" s="5">
        <v>114</v>
      </c>
      <c r="B115" s="5">
        <v>1</v>
      </c>
      <c r="C115" s="5">
        <v>1</v>
      </c>
      <c r="D115" s="25">
        <v>147</v>
      </c>
      <c r="E115" s="5">
        <v>0</v>
      </c>
      <c r="F115" s="5">
        <v>20</v>
      </c>
      <c r="H115" s="5">
        <f>IFERROR(VLOOKUP(D115,#REF!,3,FALSE),0)</f>
        <v>0</v>
      </c>
    </row>
    <row r="116" spans="1:8" x14ac:dyDescent="0.2">
      <c r="A116" s="5">
        <v>115</v>
      </c>
      <c r="B116" s="5">
        <v>1</v>
      </c>
      <c r="C116" s="5">
        <v>10</v>
      </c>
      <c r="D116" s="21">
        <v>148</v>
      </c>
      <c r="E116" s="5">
        <v>0</v>
      </c>
      <c r="F116" s="5">
        <v>15</v>
      </c>
      <c r="H116" s="5">
        <f>IFERROR(VLOOKUP(D116,#REF!,3,FALSE),0)</f>
        <v>0</v>
      </c>
    </row>
    <row r="117" spans="1:8" x14ac:dyDescent="0.2">
      <c r="A117" s="5">
        <v>116</v>
      </c>
      <c r="B117" s="5">
        <v>1</v>
      </c>
      <c r="C117" s="5">
        <v>5</v>
      </c>
      <c r="D117" s="21">
        <v>148</v>
      </c>
      <c r="E117" s="5">
        <v>0</v>
      </c>
      <c r="F117" s="5">
        <v>20</v>
      </c>
      <c r="H117" s="5">
        <f>IFERROR(VLOOKUP(D117,#REF!,3,FALSE),0)</f>
        <v>0</v>
      </c>
    </row>
    <row r="118" spans="1:8" x14ac:dyDescent="0.2">
      <c r="A118" s="5">
        <v>117</v>
      </c>
      <c r="B118" s="5">
        <v>1</v>
      </c>
      <c r="C118" s="5">
        <v>1</v>
      </c>
      <c r="D118" s="21">
        <v>148</v>
      </c>
      <c r="E118" s="5">
        <v>0</v>
      </c>
      <c r="F118" s="5">
        <v>25</v>
      </c>
      <c r="H118" s="5">
        <f>IFERROR(VLOOKUP(D118,#REF!,3,FALSE),0)</f>
        <v>0</v>
      </c>
    </row>
    <row r="119" spans="1:8" x14ac:dyDescent="0.2">
      <c r="A119" s="5">
        <v>118</v>
      </c>
      <c r="B119" s="5">
        <v>1</v>
      </c>
      <c r="C119" s="5">
        <v>10</v>
      </c>
      <c r="D119" s="25">
        <v>149</v>
      </c>
      <c r="E119" s="5">
        <v>0</v>
      </c>
      <c r="F119" s="5">
        <v>10</v>
      </c>
      <c r="H119" s="5">
        <f>IFERROR(VLOOKUP(D119,#REF!,3,FALSE),0)</f>
        <v>0</v>
      </c>
    </row>
    <row r="120" spans="1:8" x14ac:dyDescent="0.2">
      <c r="A120" s="5">
        <v>119</v>
      </c>
      <c r="B120" s="5">
        <v>1</v>
      </c>
      <c r="C120" s="5">
        <v>5</v>
      </c>
      <c r="D120" s="25">
        <v>149</v>
      </c>
      <c r="E120" s="5">
        <v>0</v>
      </c>
      <c r="F120" s="5">
        <v>15</v>
      </c>
      <c r="H120" s="5">
        <f>IFERROR(VLOOKUP(D120,#REF!,3,FALSE),0)</f>
        <v>0</v>
      </c>
    </row>
    <row r="121" spans="1:8" x14ac:dyDescent="0.2">
      <c r="A121" s="5">
        <v>120</v>
      </c>
      <c r="B121" s="5">
        <v>1</v>
      </c>
      <c r="C121" s="5">
        <v>1</v>
      </c>
      <c r="D121" s="25">
        <v>149</v>
      </c>
      <c r="E121" s="5">
        <v>0</v>
      </c>
      <c r="F121" s="5">
        <v>20</v>
      </c>
      <c r="H121" s="5">
        <f>IFERROR(VLOOKUP(D121,#REF!,3,FALSE),0)</f>
        <v>0</v>
      </c>
    </row>
    <row r="122" spans="1:8" x14ac:dyDescent="0.2">
      <c r="A122" s="5">
        <v>121</v>
      </c>
      <c r="B122" s="5">
        <v>1</v>
      </c>
      <c r="C122" s="5">
        <v>10</v>
      </c>
      <c r="D122" s="21">
        <v>150</v>
      </c>
      <c r="E122" s="5">
        <v>0</v>
      </c>
      <c r="F122" s="5">
        <v>15</v>
      </c>
      <c r="H122" s="5">
        <f>IFERROR(VLOOKUP(D122,#REF!,3,FALSE),0)</f>
        <v>0</v>
      </c>
    </row>
    <row r="123" spans="1:8" x14ac:dyDescent="0.2">
      <c r="A123" s="5">
        <v>122</v>
      </c>
      <c r="B123" s="5">
        <v>1</v>
      </c>
      <c r="C123" s="5">
        <v>5</v>
      </c>
      <c r="D123" s="21">
        <v>150</v>
      </c>
      <c r="E123" s="5">
        <v>0</v>
      </c>
      <c r="F123" s="5">
        <v>20</v>
      </c>
      <c r="H123" s="5">
        <f>IFERROR(VLOOKUP(D123,#REF!,3,FALSE),0)</f>
        <v>0</v>
      </c>
    </row>
    <row r="124" spans="1:8" x14ac:dyDescent="0.2">
      <c r="A124" s="5">
        <v>123</v>
      </c>
      <c r="B124" s="5">
        <v>1</v>
      </c>
      <c r="C124" s="5">
        <v>1</v>
      </c>
      <c r="D124" s="21">
        <v>150</v>
      </c>
      <c r="E124" s="5">
        <v>0</v>
      </c>
      <c r="F124" s="5">
        <v>25</v>
      </c>
      <c r="H124" s="5">
        <f>IFERROR(VLOOKUP(D124,#REF!,3,FALSE),0)</f>
        <v>0</v>
      </c>
    </row>
    <row r="166" spans="14:17" x14ac:dyDescent="0.2">
      <c r="N166" s="20" t="s">
        <v>361</v>
      </c>
      <c r="O166" s="229" t="s">
        <v>362</v>
      </c>
      <c r="P166" s="230"/>
      <c r="Q166" s="231"/>
    </row>
    <row r="167" spans="14:17" x14ac:dyDescent="0.2">
      <c r="N167" s="21">
        <v>100</v>
      </c>
      <c r="O167" s="22" t="s">
        <v>363</v>
      </c>
      <c r="P167" s="23" t="s">
        <v>364</v>
      </c>
      <c r="Q167" s="24">
        <v>0</v>
      </c>
    </row>
    <row r="168" spans="14:17" x14ac:dyDescent="0.2">
      <c r="N168" s="25">
        <v>101</v>
      </c>
      <c r="O168" s="22" t="s">
        <v>366</v>
      </c>
      <c r="P168" s="23" t="s">
        <v>364</v>
      </c>
      <c r="Q168" s="24">
        <v>0</v>
      </c>
    </row>
    <row r="169" spans="14:17" x14ac:dyDescent="0.2">
      <c r="N169" s="21">
        <v>102</v>
      </c>
      <c r="O169" s="22" t="s">
        <v>367</v>
      </c>
      <c r="P169" s="23" t="s">
        <v>364</v>
      </c>
      <c r="Q169" s="24">
        <v>0</v>
      </c>
    </row>
    <row r="170" spans="14:17" x14ac:dyDescent="0.2">
      <c r="N170" s="25">
        <v>103</v>
      </c>
      <c r="O170" s="22" t="s">
        <v>369</v>
      </c>
      <c r="P170" s="23" t="s">
        <v>364</v>
      </c>
      <c r="Q170" s="24">
        <v>0</v>
      </c>
    </row>
    <row r="171" spans="14:17" x14ac:dyDescent="0.2">
      <c r="N171" s="21">
        <v>104</v>
      </c>
      <c r="O171" s="22" t="s">
        <v>371</v>
      </c>
      <c r="P171" s="23" t="s">
        <v>364</v>
      </c>
      <c r="Q171" s="24">
        <v>0</v>
      </c>
    </row>
    <row r="172" spans="14:17" x14ac:dyDescent="0.2">
      <c r="N172" s="25">
        <v>105</v>
      </c>
      <c r="O172" s="22" t="s">
        <v>372</v>
      </c>
      <c r="P172" s="23" t="s">
        <v>364</v>
      </c>
      <c r="Q172" s="24">
        <v>0</v>
      </c>
    </row>
    <row r="173" spans="14:17" x14ac:dyDescent="0.2">
      <c r="N173" s="21">
        <v>106</v>
      </c>
      <c r="O173" s="22" t="s">
        <v>374</v>
      </c>
      <c r="P173" s="23" t="s">
        <v>364</v>
      </c>
      <c r="Q173" s="24">
        <v>0</v>
      </c>
    </row>
    <row r="174" spans="14:17" x14ac:dyDescent="0.2">
      <c r="N174" s="25">
        <v>107</v>
      </c>
      <c r="O174" s="22" t="s">
        <v>376</v>
      </c>
      <c r="P174" s="23" t="s">
        <v>364</v>
      </c>
      <c r="Q174" s="23" t="s">
        <v>377</v>
      </c>
    </row>
    <row r="175" spans="14:17" x14ac:dyDescent="0.2">
      <c r="N175" s="21">
        <v>108</v>
      </c>
      <c r="O175" s="22" t="s">
        <v>378</v>
      </c>
      <c r="P175" s="23" t="s">
        <v>364</v>
      </c>
      <c r="Q175" s="23" t="s">
        <v>377</v>
      </c>
    </row>
    <row r="176" spans="14:17" x14ac:dyDescent="0.2">
      <c r="N176" s="25">
        <v>109</v>
      </c>
      <c r="O176" s="22" t="s">
        <v>379</v>
      </c>
      <c r="P176" s="23" t="s">
        <v>364</v>
      </c>
      <c r="Q176" s="23" t="s">
        <v>377</v>
      </c>
    </row>
    <row r="177" spans="14:17" x14ac:dyDescent="0.2">
      <c r="N177" s="21">
        <v>110</v>
      </c>
      <c r="O177" s="22" t="s">
        <v>380</v>
      </c>
      <c r="P177" s="23" t="s">
        <v>364</v>
      </c>
      <c r="Q177" s="23" t="s">
        <v>377</v>
      </c>
    </row>
    <row r="178" spans="14:17" x14ac:dyDescent="0.2">
      <c r="N178" s="25">
        <v>111</v>
      </c>
      <c r="O178" s="22" t="s">
        <v>381</v>
      </c>
      <c r="P178" s="23" t="s">
        <v>364</v>
      </c>
      <c r="Q178" s="23" t="s">
        <v>377</v>
      </c>
    </row>
    <row r="179" spans="14:17" x14ac:dyDescent="0.2">
      <c r="N179" s="21">
        <v>112</v>
      </c>
      <c r="O179" s="22" t="s">
        <v>382</v>
      </c>
      <c r="P179" s="23" t="s">
        <v>364</v>
      </c>
      <c r="Q179" s="23" t="s">
        <v>377</v>
      </c>
    </row>
    <row r="180" spans="14:17" x14ac:dyDescent="0.2">
      <c r="N180" s="25">
        <v>113</v>
      </c>
      <c r="O180" s="22" t="s">
        <v>383</v>
      </c>
      <c r="P180" s="23" t="s">
        <v>364</v>
      </c>
      <c r="Q180" s="23" t="s">
        <v>377</v>
      </c>
    </row>
    <row r="181" spans="14:17" x14ac:dyDescent="0.2">
      <c r="N181" s="21">
        <v>114</v>
      </c>
      <c r="O181" s="22" t="s">
        <v>384</v>
      </c>
      <c r="P181" s="23" t="s">
        <v>364</v>
      </c>
      <c r="Q181" s="23" t="s">
        <v>377</v>
      </c>
    </row>
    <row r="182" spans="14:17" x14ac:dyDescent="0.2">
      <c r="N182" s="25">
        <v>115</v>
      </c>
      <c r="O182" s="22" t="s">
        <v>385</v>
      </c>
      <c r="P182" s="23" t="s">
        <v>364</v>
      </c>
      <c r="Q182" s="23" t="s">
        <v>377</v>
      </c>
    </row>
    <row r="183" spans="14:17" x14ac:dyDescent="0.2">
      <c r="N183" s="21">
        <v>116</v>
      </c>
      <c r="O183" s="22" t="s">
        <v>386</v>
      </c>
      <c r="P183" s="23" t="s">
        <v>364</v>
      </c>
      <c r="Q183" s="23" t="s">
        <v>377</v>
      </c>
    </row>
    <row r="184" spans="14:17" x14ac:dyDescent="0.2">
      <c r="N184" s="25">
        <v>117</v>
      </c>
      <c r="O184" s="22" t="s">
        <v>387</v>
      </c>
      <c r="P184" s="23" t="s">
        <v>364</v>
      </c>
      <c r="Q184" s="23" t="s">
        <v>377</v>
      </c>
    </row>
    <row r="185" spans="14:17" x14ac:dyDescent="0.2">
      <c r="N185" s="21">
        <v>118</v>
      </c>
      <c r="O185" s="22" t="s">
        <v>388</v>
      </c>
      <c r="P185" s="23" t="s">
        <v>364</v>
      </c>
      <c r="Q185" s="23" t="s">
        <v>377</v>
      </c>
    </row>
    <row r="186" spans="14:17" x14ac:dyDescent="0.2">
      <c r="N186" s="25">
        <v>119</v>
      </c>
      <c r="O186" s="26" t="s">
        <v>389</v>
      </c>
      <c r="P186" s="23" t="s">
        <v>364</v>
      </c>
      <c r="Q186" s="23" t="s">
        <v>377</v>
      </c>
    </row>
    <row r="187" spans="14:17" x14ac:dyDescent="0.2">
      <c r="N187" s="21">
        <v>120</v>
      </c>
      <c r="O187" s="22" t="s">
        <v>390</v>
      </c>
      <c r="P187" s="23" t="s">
        <v>364</v>
      </c>
      <c r="Q187" s="23" t="s">
        <v>377</v>
      </c>
    </row>
    <row r="188" spans="14:17" x14ac:dyDescent="0.2">
      <c r="N188" s="25">
        <v>121</v>
      </c>
      <c r="O188" s="22" t="s">
        <v>391</v>
      </c>
      <c r="P188" s="23" t="s">
        <v>364</v>
      </c>
      <c r="Q188" s="23" t="s">
        <v>377</v>
      </c>
    </row>
    <row r="189" spans="14:17" x14ac:dyDescent="0.2">
      <c r="N189" s="21">
        <v>122</v>
      </c>
      <c r="O189" s="22" t="s">
        <v>392</v>
      </c>
      <c r="P189" s="23" t="s">
        <v>364</v>
      </c>
      <c r="Q189" s="23" t="s">
        <v>377</v>
      </c>
    </row>
    <row r="190" spans="14:17" x14ac:dyDescent="0.2">
      <c r="N190" s="25">
        <v>123</v>
      </c>
      <c r="O190" s="22" t="s">
        <v>393</v>
      </c>
      <c r="P190" s="23" t="s">
        <v>364</v>
      </c>
      <c r="Q190" s="23" t="s">
        <v>377</v>
      </c>
    </row>
    <row r="191" spans="14:17" x14ac:dyDescent="0.2">
      <c r="N191" s="21">
        <v>124</v>
      </c>
      <c r="O191" s="22" t="s">
        <v>394</v>
      </c>
      <c r="P191" s="23" t="s">
        <v>364</v>
      </c>
      <c r="Q191" s="23" t="s">
        <v>377</v>
      </c>
    </row>
    <row r="192" spans="14:17" x14ac:dyDescent="0.2">
      <c r="N192" s="25">
        <v>125</v>
      </c>
      <c r="O192" s="22" t="s">
        <v>395</v>
      </c>
      <c r="P192" s="23" t="s">
        <v>364</v>
      </c>
      <c r="Q192" s="23" t="s">
        <v>377</v>
      </c>
    </row>
    <row r="193" spans="14:17" x14ac:dyDescent="0.2">
      <c r="N193" s="21">
        <v>126</v>
      </c>
      <c r="O193" s="22" t="s">
        <v>396</v>
      </c>
      <c r="P193" s="23" t="s">
        <v>364</v>
      </c>
      <c r="Q193" s="23" t="s">
        <v>377</v>
      </c>
    </row>
    <row r="194" spans="14:17" x14ac:dyDescent="0.2">
      <c r="N194" s="25">
        <v>127</v>
      </c>
      <c r="O194" s="22" t="s">
        <v>397</v>
      </c>
      <c r="P194" s="23" t="s">
        <v>364</v>
      </c>
      <c r="Q194" s="23" t="s">
        <v>377</v>
      </c>
    </row>
    <row r="195" spans="14:17" x14ac:dyDescent="0.2">
      <c r="N195" s="21">
        <v>128</v>
      </c>
      <c r="O195" s="22" t="s">
        <v>398</v>
      </c>
      <c r="P195" s="23" t="s">
        <v>364</v>
      </c>
      <c r="Q195" s="23" t="s">
        <v>377</v>
      </c>
    </row>
    <row r="196" spans="14:17" x14ac:dyDescent="0.2">
      <c r="N196" s="25">
        <v>129</v>
      </c>
      <c r="O196" s="22" t="s">
        <v>399</v>
      </c>
      <c r="P196" s="23" t="s">
        <v>364</v>
      </c>
      <c r="Q196" s="23" t="s">
        <v>377</v>
      </c>
    </row>
    <row r="197" spans="14:17" x14ac:dyDescent="0.2">
      <c r="N197" s="21">
        <v>130</v>
      </c>
      <c r="O197" s="22" t="s">
        <v>400</v>
      </c>
      <c r="P197" s="23" t="s">
        <v>364</v>
      </c>
      <c r="Q197" s="23" t="s">
        <v>377</v>
      </c>
    </row>
    <row r="198" spans="14:17" x14ac:dyDescent="0.2">
      <c r="N198" s="25">
        <v>131</v>
      </c>
      <c r="O198" s="22" t="s">
        <v>401</v>
      </c>
      <c r="P198" s="23" t="s">
        <v>364</v>
      </c>
      <c r="Q198" s="23" t="s">
        <v>377</v>
      </c>
    </row>
    <row r="199" spans="14:17" x14ac:dyDescent="0.2">
      <c r="N199" s="21">
        <v>132</v>
      </c>
      <c r="O199" s="22" t="s">
        <v>402</v>
      </c>
      <c r="P199" s="23" t="s">
        <v>364</v>
      </c>
      <c r="Q199" s="23" t="s">
        <v>377</v>
      </c>
    </row>
    <row r="200" spans="14:17" x14ac:dyDescent="0.2">
      <c r="N200" s="25">
        <v>133</v>
      </c>
      <c r="O200" s="22" t="s">
        <v>403</v>
      </c>
      <c r="P200" s="23" t="s">
        <v>364</v>
      </c>
      <c r="Q200" s="23" t="s">
        <v>377</v>
      </c>
    </row>
    <row r="201" spans="14:17" x14ac:dyDescent="0.2">
      <c r="N201" s="21">
        <v>134</v>
      </c>
      <c r="O201" s="22" t="s">
        <v>404</v>
      </c>
      <c r="P201" s="23" t="s">
        <v>364</v>
      </c>
      <c r="Q201" s="23" t="s">
        <v>377</v>
      </c>
    </row>
    <row r="202" spans="14:17" x14ac:dyDescent="0.2">
      <c r="N202" s="25">
        <v>135</v>
      </c>
      <c r="O202" s="22" t="s">
        <v>405</v>
      </c>
      <c r="P202" s="23" t="s">
        <v>364</v>
      </c>
      <c r="Q202" s="23" t="s">
        <v>377</v>
      </c>
    </row>
    <row r="203" spans="14:17" x14ac:dyDescent="0.2">
      <c r="N203" s="21">
        <v>136</v>
      </c>
      <c r="O203" s="22" t="s">
        <v>406</v>
      </c>
      <c r="P203" s="23" t="s">
        <v>364</v>
      </c>
      <c r="Q203" s="23" t="s">
        <v>377</v>
      </c>
    </row>
    <row r="204" spans="14:17" x14ac:dyDescent="0.2">
      <c r="N204" s="25">
        <v>137</v>
      </c>
      <c r="O204" s="22" t="s">
        <v>407</v>
      </c>
      <c r="P204" s="23" t="s">
        <v>364</v>
      </c>
      <c r="Q204" s="23" t="s">
        <v>377</v>
      </c>
    </row>
    <row r="205" spans="14:17" x14ac:dyDescent="0.2">
      <c r="N205" s="21">
        <v>138</v>
      </c>
      <c r="O205" s="22" t="s">
        <v>408</v>
      </c>
      <c r="P205" s="23" t="s">
        <v>364</v>
      </c>
      <c r="Q205" s="23" t="s">
        <v>377</v>
      </c>
    </row>
    <row r="206" spans="14:17" x14ac:dyDescent="0.2">
      <c r="N206" s="25">
        <v>139</v>
      </c>
      <c r="O206" s="22" t="s">
        <v>409</v>
      </c>
      <c r="P206" s="23" t="s">
        <v>364</v>
      </c>
      <c r="Q206" s="23" t="s">
        <v>377</v>
      </c>
    </row>
    <row r="207" spans="14:17" x14ac:dyDescent="0.2">
      <c r="N207" s="21">
        <v>140</v>
      </c>
      <c r="O207" s="22" t="s">
        <v>410</v>
      </c>
      <c r="P207" s="23" t="s">
        <v>364</v>
      </c>
      <c r="Q207" s="23" t="s">
        <v>377</v>
      </c>
    </row>
    <row r="208" spans="14:17" x14ac:dyDescent="0.2">
      <c r="N208" s="25">
        <v>141</v>
      </c>
      <c r="O208" s="22" t="s">
        <v>411</v>
      </c>
      <c r="P208" s="23" t="s">
        <v>364</v>
      </c>
      <c r="Q208" s="23" t="s">
        <v>377</v>
      </c>
    </row>
    <row r="209" spans="14:17" x14ac:dyDescent="0.2">
      <c r="N209" s="21">
        <v>142</v>
      </c>
      <c r="O209" s="22" t="s">
        <v>412</v>
      </c>
      <c r="P209" s="23" t="s">
        <v>364</v>
      </c>
      <c r="Q209" s="23" t="s">
        <v>377</v>
      </c>
    </row>
    <row r="210" spans="14:17" x14ac:dyDescent="0.2">
      <c r="N210" s="25">
        <v>143</v>
      </c>
      <c r="O210" s="22" t="s">
        <v>413</v>
      </c>
      <c r="P210" s="23" t="s">
        <v>364</v>
      </c>
      <c r="Q210" s="23" t="s">
        <v>377</v>
      </c>
    </row>
    <row r="211" spans="14:17" x14ac:dyDescent="0.2">
      <c r="N211" s="21">
        <v>144</v>
      </c>
      <c r="O211" s="22" t="s">
        <v>414</v>
      </c>
      <c r="P211" s="23" t="s">
        <v>364</v>
      </c>
      <c r="Q211" s="23" t="s">
        <v>377</v>
      </c>
    </row>
    <row r="212" spans="14:17" x14ac:dyDescent="0.2">
      <c r="N212" s="25">
        <v>145</v>
      </c>
      <c r="O212" s="22" t="s">
        <v>415</v>
      </c>
      <c r="P212" s="23" t="s">
        <v>364</v>
      </c>
      <c r="Q212" s="23" t="s">
        <v>377</v>
      </c>
    </row>
    <row r="213" spans="14:17" x14ac:dyDescent="0.2">
      <c r="N213" s="21">
        <v>146</v>
      </c>
      <c r="O213" s="22" t="s">
        <v>416</v>
      </c>
      <c r="P213" s="23" t="s">
        <v>364</v>
      </c>
      <c r="Q213" s="23" t="s">
        <v>377</v>
      </c>
    </row>
    <row r="214" spans="14:17" x14ac:dyDescent="0.2">
      <c r="N214" s="25">
        <v>147</v>
      </c>
      <c r="O214" s="22" t="s">
        <v>417</v>
      </c>
      <c r="P214" s="23" t="s">
        <v>364</v>
      </c>
      <c r="Q214" s="23" t="s">
        <v>377</v>
      </c>
    </row>
    <row r="215" spans="14:17" x14ac:dyDescent="0.2">
      <c r="N215" s="21">
        <v>148</v>
      </c>
      <c r="O215" s="22" t="s">
        <v>418</v>
      </c>
      <c r="P215" s="23" t="s">
        <v>364</v>
      </c>
      <c r="Q215" s="23" t="s">
        <v>377</v>
      </c>
    </row>
    <row r="216" spans="14:17" x14ac:dyDescent="0.2">
      <c r="N216" s="25">
        <v>149</v>
      </c>
      <c r="O216" s="22" t="s">
        <v>419</v>
      </c>
      <c r="P216" s="23" t="s">
        <v>364</v>
      </c>
      <c r="Q216" s="23" t="s">
        <v>377</v>
      </c>
    </row>
    <row r="217" spans="14:17" x14ac:dyDescent="0.2">
      <c r="N217" s="21">
        <v>150</v>
      </c>
      <c r="O217" s="22" t="s">
        <v>420</v>
      </c>
      <c r="P217" s="23" t="s">
        <v>364</v>
      </c>
      <c r="Q217" s="23" t="s">
        <v>377</v>
      </c>
    </row>
    <row r="218" spans="14:17" x14ac:dyDescent="0.2">
      <c r="N218" s="232" t="s">
        <v>422</v>
      </c>
      <c r="O218" s="233"/>
      <c r="P218" s="233"/>
      <c r="Q218" s="234"/>
    </row>
  </sheetData>
  <mergeCells count="4">
    <mergeCell ref="O1:Q1"/>
    <mergeCell ref="N53:Q53"/>
    <mergeCell ref="O166:Q166"/>
    <mergeCell ref="N218:Q218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CFFFF"/>
  </sheetPr>
  <dimension ref="A1:AH7230"/>
  <sheetViews>
    <sheetView workbookViewId="0"/>
    <sheetView workbookViewId="1"/>
  </sheetViews>
  <sheetFormatPr defaultRowHeight="16.5" x14ac:dyDescent="0.3"/>
  <cols>
    <col min="1" max="1" width="10.75" style="6" customWidth="1"/>
    <col min="2" max="2" width="14.375" style="6" bestFit="1" customWidth="1"/>
    <col min="3" max="3" width="9.5" style="141" bestFit="1" customWidth="1"/>
    <col min="4" max="4" width="14.375" style="141" customWidth="1"/>
    <col min="5" max="5" width="11.25" style="141" bestFit="1" customWidth="1"/>
    <col min="6" max="6" width="10.625" style="141" bestFit="1" customWidth="1"/>
    <col min="7" max="8" width="15.5" style="141" customWidth="1"/>
    <col min="9" max="10" width="15.5" style="151" customWidth="1"/>
    <col min="11" max="11" width="15.5" style="154" customWidth="1"/>
    <col min="12" max="12" width="9" style="146"/>
    <col min="13" max="13" width="11.25" style="6" bestFit="1" customWidth="1"/>
    <col min="14" max="14" width="5.75" style="6" bestFit="1" customWidth="1"/>
    <col min="15" max="24" width="5.25" style="6" customWidth="1"/>
    <col min="25" max="29" width="9" style="6"/>
    <col min="30" max="30" width="9" style="142"/>
    <col min="31" max="34" width="9" style="6"/>
    <col min="35" max="16384" width="9" style="140"/>
  </cols>
  <sheetData>
    <row r="1" spans="1:32" ht="12" x14ac:dyDescent="0.3">
      <c r="A1" s="138" t="s">
        <v>1093</v>
      </c>
      <c r="B1" s="138" t="s">
        <v>1094</v>
      </c>
      <c r="C1" s="139" t="s">
        <v>1046</v>
      </c>
      <c r="D1" s="139" t="s">
        <v>1047</v>
      </c>
      <c r="E1" s="139" t="s">
        <v>1082</v>
      </c>
      <c r="F1" s="139" t="s">
        <v>1048</v>
      </c>
      <c r="G1" s="139" t="s">
        <v>1049</v>
      </c>
      <c r="H1" s="139" t="s">
        <v>1116</v>
      </c>
      <c r="I1" s="150" t="s">
        <v>1110</v>
      </c>
      <c r="J1" s="150" t="s">
        <v>1111</v>
      </c>
      <c r="K1" s="153" t="s">
        <v>1115</v>
      </c>
      <c r="L1" s="146" t="s">
        <v>1108</v>
      </c>
      <c r="AA1" s="6" t="s">
        <v>1085</v>
      </c>
      <c r="AD1" s="6"/>
      <c r="AE1" s="6" t="s">
        <v>1045</v>
      </c>
      <c r="AF1" s="6" t="s">
        <v>35</v>
      </c>
    </row>
    <row r="2" spans="1:32" ht="12" x14ac:dyDescent="0.3">
      <c r="A2" s="6">
        <f>INDEX('011.큐펫테이블'!A:A,MATCH(CupetList!B2,'011.큐펫테이블'!E:E,0),1)</f>
        <v>55077</v>
      </c>
      <c r="B2" s="6" t="s">
        <v>1050</v>
      </c>
      <c r="C2" s="141">
        <v>1</v>
      </c>
      <c r="D2" s="141" t="s">
        <v>1051</v>
      </c>
      <c r="E2" s="141" t="s">
        <v>1083</v>
      </c>
      <c r="F2" s="141" t="s">
        <v>559</v>
      </c>
      <c r="G2" s="141">
        <v>5</v>
      </c>
      <c r="I2" s="151" t="str">
        <f>IF(D2="Boss",G2,"-")</f>
        <v>-</v>
      </c>
      <c r="J2" s="151" t="str">
        <f>IF(AND(F2="방어",G2=4),B2,"-")</f>
        <v>-</v>
      </c>
      <c r="L2" s="146">
        <v>1</v>
      </c>
      <c r="M2" s="144" t="s">
        <v>1082</v>
      </c>
      <c r="N2" s="144" t="s">
        <v>1098</v>
      </c>
      <c r="O2" s="144">
        <v>1</v>
      </c>
      <c r="P2" s="144">
        <v>2</v>
      </c>
      <c r="Q2" s="144">
        <v>3</v>
      </c>
      <c r="R2" s="144">
        <v>4</v>
      </c>
      <c r="S2" s="144">
        <v>5</v>
      </c>
      <c r="T2" s="144">
        <v>6</v>
      </c>
      <c r="U2" s="144">
        <v>7</v>
      </c>
      <c r="V2" s="144">
        <v>8</v>
      </c>
      <c r="W2" s="144">
        <v>9</v>
      </c>
      <c r="X2" s="144">
        <v>10</v>
      </c>
      <c r="Y2" s="152" t="s">
        <v>1109</v>
      </c>
      <c r="AA2" s="6">
        <f t="shared" ref="AA2:AA33" si="0">VLOOKUP(B2,AE:AF,2,FALSE)</f>
        <v>50077</v>
      </c>
      <c r="AB2" s="6" t="b">
        <f t="shared" ref="AB2:AB33" si="1">IF(AA2+5000=A2,TRUE,FALSE)</f>
        <v>1</v>
      </c>
      <c r="AD2" s="6"/>
      <c r="AE2" s="6" t="s">
        <v>1080</v>
      </c>
      <c r="AF2" s="6">
        <v>50001</v>
      </c>
    </row>
    <row r="3" spans="1:32" ht="12" x14ac:dyDescent="0.3">
      <c r="A3" s="6">
        <f>INDEX('011.큐펫테이블'!A:A,MATCH(CupetList!B3,'011.큐펫테이블'!E:E,0),1)</f>
        <v>55078</v>
      </c>
      <c r="B3" s="6" t="s">
        <v>1052</v>
      </c>
      <c r="C3" s="141">
        <v>1</v>
      </c>
      <c r="D3" s="141" t="s">
        <v>1051</v>
      </c>
      <c r="E3" s="141" t="s">
        <v>1083</v>
      </c>
      <c r="F3" s="141" t="s">
        <v>582</v>
      </c>
      <c r="G3" s="141">
        <v>4</v>
      </c>
      <c r="I3" s="151" t="str">
        <f t="shared" ref="I3:I66" si="2">IF(D3="Boss",G3,"-")</f>
        <v>-</v>
      </c>
      <c r="J3" s="151" t="str">
        <f t="shared" ref="J3:J66" si="3">IF(AND(F3="방어",G3=4),B3,"-")</f>
        <v>세일러 스컬</v>
      </c>
      <c r="L3" s="146">
        <v>1</v>
      </c>
      <c r="M3" s="147" t="s">
        <v>1095</v>
      </c>
      <c r="N3" s="147">
        <f>COUNTIF(E:E,M3)</f>
        <v>48</v>
      </c>
      <c r="O3" s="143">
        <f t="shared" ref="O3:X4" si="4">COUNTIFS($E:$E,$M3,$G:$G,O$2)</f>
        <v>5</v>
      </c>
      <c r="P3" s="143">
        <f t="shared" si="4"/>
        <v>6</v>
      </c>
      <c r="Q3" s="143">
        <f t="shared" si="4"/>
        <v>6</v>
      </c>
      <c r="R3" s="143">
        <f t="shared" si="4"/>
        <v>11</v>
      </c>
      <c r="S3" s="143">
        <f t="shared" si="4"/>
        <v>6</v>
      </c>
      <c r="T3" s="143">
        <f t="shared" si="4"/>
        <v>5</v>
      </c>
      <c r="U3" s="148">
        <f t="shared" si="4"/>
        <v>2</v>
      </c>
      <c r="V3" s="148">
        <f t="shared" si="4"/>
        <v>4</v>
      </c>
      <c r="W3" s="148">
        <f t="shared" si="4"/>
        <v>3</v>
      </c>
      <c r="X3" s="148">
        <f t="shared" si="4"/>
        <v>0</v>
      </c>
      <c r="Y3" s="149">
        <f>SUM(U3:X3)</f>
        <v>9</v>
      </c>
      <c r="AA3" s="6">
        <f t="shared" si="0"/>
        <v>50078</v>
      </c>
      <c r="AB3" s="6" t="b">
        <f t="shared" si="1"/>
        <v>1</v>
      </c>
      <c r="AD3" s="6"/>
      <c r="AE3" s="6" t="s">
        <v>43</v>
      </c>
      <c r="AF3" s="6">
        <v>50002</v>
      </c>
    </row>
    <row r="4" spans="1:32" ht="12" x14ac:dyDescent="0.3">
      <c r="A4" s="6">
        <f>INDEX('011.큐펫테이블'!A:A,MATCH(CupetList!B4,'011.큐펫테이블'!E:E,0),1)</f>
        <v>55079</v>
      </c>
      <c r="B4" s="6" t="s">
        <v>1053</v>
      </c>
      <c r="C4" s="141">
        <v>1</v>
      </c>
      <c r="D4" s="141" t="s">
        <v>1051</v>
      </c>
      <c r="E4" s="141" t="s">
        <v>1084</v>
      </c>
      <c r="F4" s="141" t="s">
        <v>582</v>
      </c>
      <c r="G4" s="141">
        <v>4</v>
      </c>
      <c r="I4" s="151" t="str">
        <f t="shared" si="2"/>
        <v>-</v>
      </c>
      <c r="J4" s="151" t="str">
        <f t="shared" si="3"/>
        <v>파이어럿 스켈</v>
      </c>
      <c r="L4" s="146">
        <v>1</v>
      </c>
      <c r="M4" s="147" t="s">
        <v>1096</v>
      </c>
      <c r="N4" s="147">
        <f>COUNTIF(E:E,M4)</f>
        <v>48</v>
      </c>
      <c r="O4" s="143">
        <f t="shared" si="4"/>
        <v>3</v>
      </c>
      <c r="P4" s="143">
        <f t="shared" si="4"/>
        <v>9</v>
      </c>
      <c r="Q4" s="143">
        <f t="shared" si="4"/>
        <v>9</v>
      </c>
      <c r="R4" s="143">
        <f t="shared" si="4"/>
        <v>7</v>
      </c>
      <c r="S4" s="143">
        <f t="shared" si="4"/>
        <v>10</v>
      </c>
      <c r="T4" s="143">
        <f t="shared" si="4"/>
        <v>3</v>
      </c>
      <c r="U4" s="148">
        <f t="shared" si="4"/>
        <v>3</v>
      </c>
      <c r="V4" s="148">
        <f t="shared" si="4"/>
        <v>1</v>
      </c>
      <c r="W4" s="148">
        <f t="shared" si="4"/>
        <v>1</v>
      </c>
      <c r="X4" s="148">
        <f t="shared" si="4"/>
        <v>2</v>
      </c>
      <c r="Y4" s="149">
        <f>SUM(U4:X4)</f>
        <v>7</v>
      </c>
      <c r="AA4" s="6">
        <f t="shared" si="0"/>
        <v>50079</v>
      </c>
      <c r="AB4" s="6" t="b">
        <f t="shared" si="1"/>
        <v>1</v>
      </c>
      <c r="AD4" s="6"/>
      <c r="AE4" s="6" t="s">
        <v>54</v>
      </c>
      <c r="AF4" s="6">
        <v>50003</v>
      </c>
    </row>
    <row r="5" spans="1:32" ht="12" x14ac:dyDescent="0.3">
      <c r="A5" s="6">
        <f>INDEX('011.큐펫테이블'!A:A,MATCH(CupetList!B5,'011.큐펫테이블'!E:E,0),1)</f>
        <v>55080</v>
      </c>
      <c r="B5" s="6" t="s">
        <v>301</v>
      </c>
      <c r="C5" s="141">
        <v>1</v>
      </c>
      <c r="D5" s="141" t="s">
        <v>1054</v>
      </c>
      <c r="E5" s="141" t="s">
        <v>1084</v>
      </c>
      <c r="F5" s="141" t="s">
        <v>532</v>
      </c>
      <c r="G5" s="141">
        <v>9</v>
      </c>
      <c r="I5" s="151">
        <f t="shared" si="2"/>
        <v>9</v>
      </c>
      <c r="J5" s="151" t="str">
        <f t="shared" si="3"/>
        <v>-</v>
      </c>
      <c r="L5" s="146">
        <v>1</v>
      </c>
      <c r="N5" s="6">
        <f t="shared" ref="N5:X5" si="5">SUM(N3:N4)</f>
        <v>96</v>
      </c>
      <c r="O5" s="6">
        <f t="shared" si="5"/>
        <v>8</v>
      </c>
      <c r="P5" s="6">
        <f t="shared" si="5"/>
        <v>15</v>
      </c>
      <c r="Q5" s="6">
        <f t="shared" si="5"/>
        <v>15</v>
      </c>
      <c r="R5" s="6">
        <f t="shared" si="5"/>
        <v>18</v>
      </c>
      <c r="S5" s="6">
        <f t="shared" si="5"/>
        <v>16</v>
      </c>
      <c r="T5" s="6">
        <f t="shared" si="5"/>
        <v>8</v>
      </c>
      <c r="U5" s="6">
        <f t="shared" si="5"/>
        <v>5</v>
      </c>
      <c r="V5" s="6">
        <f t="shared" si="5"/>
        <v>5</v>
      </c>
      <c r="W5" s="6">
        <f t="shared" si="5"/>
        <v>4</v>
      </c>
      <c r="X5" s="6">
        <f t="shared" si="5"/>
        <v>2</v>
      </c>
      <c r="AA5" s="6">
        <f t="shared" si="0"/>
        <v>50080</v>
      </c>
      <c r="AB5" s="6" t="b">
        <f t="shared" si="1"/>
        <v>1</v>
      </c>
      <c r="AD5" s="6"/>
      <c r="AE5" s="6" t="s">
        <v>65</v>
      </c>
      <c r="AF5" s="6">
        <v>50004</v>
      </c>
    </row>
    <row r="6" spans="1:32" ht="12" x14ac:dyDescent="0.3">
      <c r="A6" s="6">
        <f>INDEX('011.큐펫테이블'!A:A,MATCH(CupetList!B6,'011.큐펫테이블'!E:E,0),1)</f>
        <v>55001</v>
      </c>
      <c r="B6" s="6" t="s">
        <v>877</v>
      </c>
      <c r="C6" s="141">
        <v>2</v>
      </c>
      <c r="D6" s="141" t="s">
        <v>1051</v>
      </c>
      <c r="E6" s="141" t="s">
        <v>1083</v>
      </c>
      <c r="F6" s="141" t="s">
        <v>582</v>
      </c>
      <c r="G6" s="141">
        <v>2</v>
      </c>
      <c r="I6" s="151" t="str">
        <f t="shared" si="2"/>
        <v>-</v>
      </c>
      <c r="J6" s="151" t="str">
        <f t="shared" si="3"/>
        <v>-</v>
      </c>
      <c r="L6" s="146">
        <v>1</v>
      </c>
      <c r="AA6" s="6">
        <f t="shared" si="0"/>
        <v>50001</v>
      </c>
      <c r="AB6" s="6" t="b">
        <f t="shared" si="1"/>
        <v>1</v>
      </c>
      <c r="AD6" s="6"/>
      <c r="AE6" s="6" t="s">
        <v>69</v>
      </c>
      <c r="AF6" s="6">
        <v>50005</v>
      </c>
    </row>
    <row r="7" spans="1:32" ht="12" x14ac:dyDescent="0.3">
      <c r="A7" s="6">
        <f>INDEX('011.큐펫테이블'!A:A,MATCH(CupetList!B7,'011.큐펫테이블'!E:E,0),1)</f>
        <v>55002</v>
      </c>
      <c r="B7" s="6" t="s">
        <v>43</v>
      </c>
      <c r="C7" s="141">
        <v>2</v>
      </c>
      <c r="D7" s="141" t="s">
        <v>1051</v>
      </c>
      <c r="E7" s="141" t="s">
        <v>1084</v>
      </c>
      <c r="F7" s="141" t="s">
        <v>582</v>
      </c>
      <c r="G7" s="141">
        <v>1</v>
      </c>
      <c r="I7" s="151" t="str">
        <f t="shared" si="2"/>
        <v>-</v>
      </c>
      <c r="J7" s="151" t="str">
        <f t="shared" si="3"/>
        <v>-</v>
      </c>
      <c r="L7" s="146">
        <v>1</v>
      </c>
      <c r="M7" s="144" t="s">
        <v>1099</v>
      </c>
      <c r="N7" s="144" t="s">
        <v>1097</v>
      </c>
      <c r="O7" s="144">
        <v>1</v>
      </c>
      <c r="P7" s="144">
        <v>2</v>
      </c>
      <c r="Q7" s="144">
        <v>3</v>
      </c>
      <c r="R7" s="144">
        <v>4</v>
      </c>
      <c r="S7" s="144">
        <v>5</v>
      </c>
      <c r="T7" s="144">
        <v>6</v>
      </c>
      <c r="U7" s="144">
        <v>7</v>
      </c>
      <c r="V7" s="144">
        <v>8</v>
      </c>
      <c r="W7" s="144">
        <v>9</v>
      </c>
      <c r="X7" s="144">
        <v>10</v>
      </c>
      <c r="Y7" s="152" t="s">
        <v>1109</v>
      </c>
      <c r="AA7" s="6">
        <f t="shared" si="0"/>
        <v>50002</v>
      </c>
      <c r="AB7" s="6" t="b">
        <f t="shared" si="1"/>
        <v>1</v>
      </c>
      <c r="AD7" s="6"/>
      <c r="AE7" s="6" t="s">
        <v>80</v>
      </c>
      <c r="AF7" s="6">
        <v>50006</v>
      </c>
    </row>
    <row r="8" spans="1:32" ht="12" x14ac:dyDescent="0.3">
      <c r="A8" s="6">
        <f>INDEX('011.큐펫테이블'!A:A,MATCH(CupetList!B8,'011.큐펫테이블'!E:E,0),1)</f>
        <v>55003</v>
      </c>
      <c r="B8" s="6" t="s">
        <v>54</v>
      </c>
      <c r="C8" s="141">
        <v>2</v>
      </c>
      <c r="D8" s="141" t="s">
        <v>1051</v>
      </c>
      <c r="E8" s="141" t="s">
        <v>1083</v>
      </c>
      <c r="F8" s="141" t="s">
        <v>532</v>
      </c>
      <c r="G8" s="141">
        <v>1</v>
      </c>
      <c r="I8" s="151" t="str">
        <f t="shared" si="2"/>
        <v>-</v>
      </c>
      <c r="J8" s="151" t="str">
        <f t="shared" si="3"/>
        <v>-</v>
      </c>
      <c r="L8" s="146">
        <v>1</v>
      </c>
      <c r="M8" s="147" t="s">
        <v>1100</v>
      </c>
      <c r="N8" s="147">
        <f>COUNTIF(F:F,M8)</f>
        <v>32</v>
      </c>
      <c r="O8" s="143">
        <f t="shared" ref="O8:X11" si="6">COUNTIFS($F:$F,$M8,$G:$G,O$7)</f>
        <v>3</v>
      </c>
      <c r="P8" s="143">
        <f t="shared" si="6"/>
        <v>5</v>
      </c>
      <c r="Q8" s="143">
        <f t="shared" si="6"/>
        <v>6</v>
      </c>
      <c r="R8" s="143">
        <f t="shared" si="6"/>
        <v>6</v>
      </c>
      <c r="S8" s="143">
        <f t="shared" si="6"/>
        <v>4</v>
      </c>
      <c r="T8" s="143">
        <f t="shared" si="6"/>
        <v>2</v>
      </c>
      <c r="U8" s="148">
        <f t="shared" si="6"/>
        <v>1</v>
      </c>
      <c r="V8" s="148">
        <f t="shared" si="6"/>
        <v>1</v>
      </c>
      <c r="W8" s="148">
        <f t="shared" si="6"/>
        <v>4</v>
      </c>
      <c r="X8" s="148">
        <f t="shared" si="6"/>
        <v>0</v>
      </c>
      <c r="Y8" s="149">
        <f>SUM(U8:X8)</f>
        <v>6</v>
      </c>
      <c r="AA8" s="6">
        <f t="shared" si="0"/>
        <v>50003</v>
      </c>
      <c r="AB8" s="6" t="b">
        <f t="shared" si="1"/>
        <v>1</v>
      </c>
      <c r="AD8" s="6"/>
      <c r="AE8" s="6" t="s">
        <v>1080</v>
      </c>
      <c r="AF8" s="6">
        <v>51001</v>
      </c>
    </row>
    <row r="9" spans="1:32" ht="12" x14ac:dyDescent="0.3">
      <c r="A9" s="6">
        <f>INDEX('011.큐펫테이블'!A:A,MATCH(CupetList!B9,'011.큐펫테이블'!E:E,0),1)</f>
        <v>55004</v>
      </c>
      <c r="B9" s="6" t="s">
        <v>65</v>
      </c>
      <c r="C9" s="141">
        <v>2</v>
      </c>
      <c r="D9" s="141" t="s">
        <v>1051</v>
      </c>
      <c r="E9" s="141" t="s">
        <v>1083</v>
      </c>
      <c r="F9" s="141" t="s">
        <v>559</v>
      </c>
      <c r="G9" s="141">
        <v>1</v>
      </c>
      <c r="I9" s="151" t="str">
        <f t="shared" si="2"/>
        <v>-</v>
      </c>
      <c r="J9" s="151" t="str">
        <f t="shared" si="3"/>
        <v>-</v>
      </c>
      <c r="L9" s="146">
        <v>1</v>
      </c>
      <c r="M9" s="147" t="s">
        <v>1101</v>
      </c>
      <c r="N9" s="147">
        <f>COUNTIF(F:F,M9)</f>
        <v>18</v>
      </c>
      <c r="O9" s="143">
        <f t="shared" si="6"/>
        <v>1</v>
      </c>
      <c r="P9" s="143">
        <f t="shared" si="6"/>
        <v>1</v>
      </c>
      <c r="Q9" s="143">
        <f t="shared" si="6"/>
        <v>3</v>
      </c>
      <c r="R9" s="143">
        <f t="shared" si="6"/>
        <v>3</v>
      </c>
      <c r="S9" s="143">
        <f t="shared" si="6"/>
        <v>4</v>
      </c>
      <c r="T9" s="143">
        <f t="shared" si="6"/>
        <v>2</v>
      </c>
      <c r="U9" s="148">
        <f t="shared" si="6"/>
        <v>1</v>
      </c>
      <c r="V9" s="148">
        <f t="shared" si="6"/>
        <v>2</v>
      </c>
      <c r="W9" s="148">
        <f t="shared" si="6"/>
        <v>0</v>
      </c>
      <c r="X9" s="148">
        <f t="shared" si="6"/>
        <v>1</v>
      </c>
      <c r="Y9" s="149">
        <f>SUM(U9:X9)</f>
        <v>4</v>
      </c>
      <c r="AA9" s="6">
        <f t="shared" si="0"/>
        <v>50004</v>
      </c>
      <c r="AB9" s="6" t="b">
        <f t="shared" si="1"/>
        <v>1</v>
      </c>
      <c r="AD9" s="6"/>
      <c r="AE9" s="6" t="s">
        <v>43</v>
      </c>
      <c r="AF9" s="6">
        <v>51002</v>
      </c>
    </row>
    <row r="10" spans="1:32" ht="12" x14ac:dyDescent="0.3">
      <c r="A10" s="6">
        <f>INDEX('011.큐펫테이블'!A:A,MATCH(CupetList!B10,'011.큐펫테이블'!E:E,0),1)</f>
        <v>55005</v>
      </c>
      <c r="B10" s="6" t="s">
        <v>69</v>
      </c>
      <c r="C10" s="141">
        <v>2</v>
      </c>
      <c r="D10" s="141" t="s">
        <v>1051</v>
      </c>
      <c r="E10" s="141" t="s">
        <v>1083</v>
      </c>
      <c r="F10" s="141" t="s">
        <v>559</v>
      </c>
      <c r="G10" s="141">
        <v>2</v>
      </c>
      <c r="I10" s="151" t="str">
        <f t="shared" si="2"/>
        <v>-</v>
      </c>
      <c r="J10" s="151" t="str">
        <f t="shared" si="3"/>
        <v>-</v>
      </c>
      <c r="L10" s="146">
        <v>1</v>
      </c>
      <c r="M10" s="147" t="s">
        <v>1102</v>
      </c>
      <c r="N10" s="147">
        <f>COUNTIF(F:F,M10)</f>
        <v>26</v>
      </c>
      <c r="O10" s="143">
        <f t="shared" si="6"/>
        <v>2</v>
      </c>
      <c r="P10" s="143">
        <f t="shared" si="6"/>
        <v>4</v>
      </c>
      <c r="Q10" s="143">
        <f t="shared" si="6"/>
        <v>4</v>
      </c>
      <c r="R10" s="143">
        <f t="shared" si="6"/>
        <v>7</v>
      </c>
      <c r="S10" s="143">
        <f t="shared" si="6"/>
        <v>4</v>
      </c>
      <c r="T10" s="143">
        <f t="shared" si="6"/>
        <v>1</v>
      </c>
      <c r="U10" s="148">
        <f t="shared" si="6"/>
        <v>3</v>
      </c>
      <c r="V10" s="148">
        <f t="shared" si="6"/>
        <v>1</v>
      </c>
      <c r="W10" s="148">
        <f t="shared" si="6"/>
        <v>0</v>
      </c>
      <c r="X10" s="148">
        <f t="shared" si="6"/>
        <v>0</v>
      </c>
      <c r="Y10" s="149">
        <f>SUM(U10:X10)</f>
        <v>4</v>
      </c>
      <c r="AA10" s="6">
        <f t="shared" si="0"/>
        <v>50005</v>
      </c>
      <c r="AB10" s="6" t="b">
        <f t="shared" si="1"/>
        <v>1</v>
      </c>
      <c r="AD10" s="6"/>
      <c r="AE10" s="6" t="s">
        <v>54</v>
      </c>
      <c r="AF10" s="6">
        <v>51003</v>
      </c>
    </row>
    <row r="11" spans="1:32" ht="12" x14ac:dyDescent="0.3">
      <c r="A11" s="6">
        <f>INDEX('011.큐펫테이블'!A:A,MATCH(CupetList!B11,'011.큐펫테이블'!E:E,0),1)</f>
        <v>55006</v>
      </c>
      <c r="B11" s="6" t="s">
        <v>80</v>
      </c>
      <c r="C11" s="141">
        <v>2</v>
      </c>
      <c r="D11" s="141" t="s">
        <v>1051</v>
      </c>
      <c r="E11" s="141" t="s">
        <v>1084</v>
      </c>
      <c r="F11" s="141" t="s">
        <v>559</v>
      </c>
      <c r="G11" s="141">
        <v>3</v>
      </c>
      <c r="I11" s="151" t="str">
        <f t="shared" si="2"/>
        <v>-</v>
      </c>
      <c r="J11" s="151" t="str">
        <f t="shared" si="3"/>
        <v>-</v>
      </c>
      <c r="L11" s="146">
        <v>1</v>
      </c>
      <c r="M11" s="147" t="s">
        <v>1103</v>
      </c>
      <c r="N11" s="147">
        <f>COUNTIF(F:F,M11)</f>
        <v>20</v>
      </c>
      <c r="O11" s="143">
        <f t="shared" si="6"/>
        <v>2</v>
      </c>
      <c r="P11" s="143">
        <f t="shared" si="6"/>
        <v>5</v>
      </c>
      <c r="Q11" s="143">
        <f t="shared" si="6"/>
        <v>2</v>
      </c>
      <c r="R11" s="143">
        <f t="shared" si="6"/>
        <v>2</v>
      </c>
      <c r="S11" s="143">
        <f t="shared" si="6"/>
        <v>4</v>
      </c>
      <c r="T11" s="143">
        <f t="shared" si="6"/>
        <v>3</v>
      </c>
      <c r="U11" s="148">
        <f t="shared" si="6"/>
        <v>0</v>
      </c>
      <c r="V11" s="148">
        <f t="shared" si="6"/>
        <v>1</v>
      </c>
      <c r="W11" s="148">
        <f t="shared" si="6"/>
        <v>0</v>
      </c>
      <c r="X11" s="148">
        <f t="shared" si="6"/>
        <v>1</v>
      </c>
      <c r="Y11" s="149">
        <f>SUM(U11:X11)</f>
        <v>2</v>
      </c>
      <c r="AA11" s="6">
        <f t="shared" si="0"/>
        <v>50006</v>
      </c>
      <c r="AB11" s="6" t="b">
        <f t="shared" si="1"/>
        <v>1</v>
      </c>
      <c r="AD11" s="6"/>
      <c r="AE11" s="6" t="s">
        <v>65</v>
      </c>
      <c r="AF11" s="6">
        <v>51004</v>
      </c>
    </row>
    <row r="12" spans="1:32" ht="12" x14ac:dyDescent="0.3">
      <c r="A12" s="6">
        <f>INDEX('011.큐펫테이블'!A:A,MATCH(CupetList!B12,'011.큐펫테이블'!E:E,0),1)</f>
        <v>55007</v>
      </c>
      <c r="B12" s="6" t="s">
        <v>824</v>
      </c>
      <c r="C12" s="141">
        <v>2</v>
      </c>
      <c r="D12" s="141" t="s">
        <v>1054</v>
      </c>
      <c r="E12" s="141" t="s">
        <v>1083</v>
      </c>
      <c r="F12" s="141" t="s">
        <v>582</v>
      </c>
      <c r="G12" s="141">
        <v>7</v>
      </c>
      <c r="H12" s="141" t="s">
        <v>1117</v>
      </c>
      <c r="I12" s="151">
        <f t="shared" si="2"/>
        <v>7</v>
      </c>
      <c r="J12" s="151" t="str">
        <f t="shared" si="3"/>
        <v>-</v>
      </c>
      <c r="L12" s="146">
        <v>1</v>
      </c>
      <c r="N12" s="6">
        <f t="shared" ref="N12:X12" si="7">SUM(N8:N11)</f>
        <v>96</v>
      </c>
      <c r="O12" s="6">
        <f t="shared" si="7"/>
        <v>8</v>
      </c>
      <c r="P12" s="6">
        <f t="shared" si="7"/>
        <v>15</v>
      </c>
      <c r="Q12" s="6">
        <f t="shared" si="7"/>
        <v>15</v>
      </c>
      <c r="R12" s="6">
        <f t="shared" si="7"/>
        <v>18</v>
      </c>
      <c r="S12" s="6">
        <f t="shared" si="7"/>
        <v>16</v>
      </c>
      <c r="T12" s="6">
        <f t="shared" si="7"/>
        <v>8</v>
      </c>
      <c r="U12" s="6">
        <f t="shared" si="7"/>
        <v>5</v>
      </c>
      <c r="V12" s="6">
        <f t="shared" si="7"/>
        <v>5</v>
      </c>
      <c r="W12" s="6">
        <f t="shared" si="7"/>
        <v>4</v>
      </c>
      <c r="X12" s="6">
        <f t="shared" si="7"/>
        <v>2</v>
      </c>
      <c r="AA12" s="6">
        <f t="shared" si="0"/>
        <v>50007</v>
      </c>
      <c r="AB12" s="6" t="b">
        <f t="shared" si="1"/>
        <v>1</v>
      </c>
      <c r="AD12" s="6"/>
      <c r="AE12" s="6" t="s">
        <v>69</v>
      </c>
      <c r="AF12" s="6">
        <v>51005</v>
      </c>
    </row>
    <row r="13" spans="1:32" ht="12" x14ac:dyDescent="0.3">
      <c r="A13" s="6">
        <f>INDEX('011.큐펫테이블'!A:A,MATCH(CupetList!B13,'011.큐펫테이블'!E:E,0),1)</f>
        <v>55008</v>
      </c>
      <c r="B13" s="6" t="s">
        <v>101</v>
      </c>
      <c r="C13" s="141">
        <v>3</v>
      </c>
      <c r="D13" s="141" t="s">
        <v>1051</v>
      </c>
      <c r="E13" s="141" t="s">
        <v>1083</v>
      </c>
      <c r="F13" s="141" t="s">
        <v>582</v>
      </c>
      <c r="G13" s="141">
        <v>1</v>
      </c>
      <c r="I13" s="151" t="str">
        <f t="shared" si="2"/>
        <v>-</v>
      </c>
      <c r="J13" s="151" t="str">
        <f t="shared" si="3"/>
        <v>-</v>
      </c>
      <c r="L13" s="146">
        <v>1</v>
      </c>
      <c r="AA13" s="6">
        <f t="shared" si="0"/>
        <v>50008</v>
      </c>
      <c r="AB13" s="6" t="b">
        <f t="shared" si="1"/>
        <v>1</v>
      </c>
      <c r="AD13" s="6"/>
      <c r="AE13" s="6" t="s">
        <v>80</v>
      </c>
      <c r="AF13" s="6">
        <v>51006</v>
      </c>
    </row>
    <row r="14" spans="1:32" ht="12" x14ac:dyDescent="0.3">
      <c r="A14" s="6">
        <f>INDEX('011.큐펫테이블'!A:A,MATCH(CupetList!B14,'011.큐펫테이블'!E:E,0),1)</f>
        <v>55009</v>
      </c>
      <c r="B14" s="6" t="s">
        <v>104</v>
      </c>
      <c r="C14" s="141">
        <v>3</v>
      </c>
      <c r="D14" s="141" t="s">
        <v>1051</v>
      </c>
      <c r="E14" s="141" t="s">
        <v>1084</v>
      </c>
      <c r="F14" s="141" t="s">
        <v>532</v>
      </c>
      <c r="G14" s="141">
        <v>2</v>
      </c>
      <c r="I14" s="151" t="str">
        <f t="shared" si="2"/>
        <v>-</v>
      </c>
      <c r="J14" s="151" t="str">
        <f t="shared" si="3"/>
        <v>-</v>
      </c>
      <c r="L14" s="146">
        <v>1</v>
      </c>
      <c r="M14" s="155" t="s">
        <v>1104</v>
      </c>
      <c r="N14" s="156" t="s">
        <v>1097</v>
      </c>
      <c r="O14" s="156">
        <v>1</v>
      </c>
      <c r="P14" s="156">
        <v>2</v>
      </c>
      <c r="Q14" s="156">
        <v>3</v>
      </c>
      <c r="R14" s="156">
        <v>4</v>
      </c>
      <c r="S14" s="156">
        <v>5</v>
      </c>
      <c r="T14" s="156">
        <v>6</v>
      </c>
      <c r="U14" s="156">
        <v>7</v>
      </c>
      <c r="V14" s="156">
        <v>8</v>
      </c>
      <c r="W14" s="156">
        <v>9</v>
      </c>
      <c r="X14" s="156">
        <v>10</v>
      </c>
      <c r="Y14" s="145"/>
      <c r="AA14" s="6">
        <f t="shared" si="0"/>
        <v>50009</v>
      </c>
      <c r="AB14" s="6" t="b">
        <f t="shared" si="1"/>
        <v>1</v>
      </c>
      <c r="AD14" s="6"/>
      <c r="AE14" s="6" t="s">
        <v>1080</v>
      </c>
      <c r="AF14" s="6">
        <v>52001</v>
      </c>
    </row>
    <row r="15" spans="1:32" ht="12" x14ac:dyDescent="0.3">
      <c r="A15" s="6">
        <f>INDEX('011.큐펫테이블'!A:A,MATCH(CupetList!B15,'011.큐펫테이블'!E:E,0),1)</f>
        <v>55010</v>
      </c>
      <c r="B15" s="6" t="s">
        <v>107</v>
      </c>
      <c r="C15" s="141">
        <v>3</v>
      </c>
      <c r="D15" s="141" t="s">
        <v>1051</v>
      </c>
      <c r="E15" s="141" t="s">
        <v>1083</v>
      </c>
      <c r="F15" s="141" t="s">
        <v>532</v>
      </c>
      <c r="G15" s="141">
        <v>2</v>
      </c>
      <c r="I15" s="151" t="str">
        <f t="shared" si="2"/>
        <v>-</v>
      </c>
      <c r="J15" s="151" t="str">
        <f t="shared" si="3"/>
        <v>-</v>
      </c>
      <c r="K15" s="154" t="s">
        <v>1112</v>
      </c>
      <c r="L15" s="146">
        <v>1</v>
      </c>
      <c r="M15" s="157">
        <v>1</v>
      </c>
      <c r="N15" s="158">
        <v>4</v>
      </c>
      <c r="O15" s="157">
        <f t="shared" ref="O15:X24" si="8">SUMIFS($L:$L,$C:$C,$M15,$G:$G,O$14)</f>
        <v>0</v>
      </c>
      <c r="P15" s="157">
        <f t="shared" si="8"/>
        <v>0</v>
      </c>
      <c r="Q15" s="157">
        <f t="shared" si="8"/>
        <v>0</v>
      </c>
      <c r="R15" s="157">
        <f t="shared" si="8"/>
        <v>2</v>
      </c>
      <c r="S15" s="157">
        <f t="shared" si="8"/>
        <v>1</v>
      </c>
      <c r="T15" s="157">
        <f t="shared" si="8"/>
        <v>0</v>
      </c>
      <c r="U15" s="159">
        <f t="shared" si="8"/>
        <v>0</v>
      </c>
      <c r="V15" s="159">
        <f t="shared" si="8"/>
        <v>0</v>
      </c>
      <c r="W15" s="159">
        <f t="shared" si="8"/>
        <v>1</v>
      </c>
      <c r="X15" s="159">
        <f t="shared" si="8"/>
        <v>0</v>
      </c>
      <c r="Y15" s="145"/>
      <c r="AA15" s="6">
        <f t="shared" si="0"/>
        <v>50010</v>
      </c>
      <c r="AB15" s="6" t="b">
        <f t="shared" si="1"/>
        <v>1</v>
      </c>
      <c r="AD15" s="6"/>
      <c r="AE15" s="6" t="s">
        <v>43</v>
      </c>
      <c r="AF15" s="6">
        <v>52002</v>
      </c>
    </row>
    <row r="16" spans="1:32" ht="12" x14ac:dyDescent="0.3">
      <c r="A16" s="6">
        <f>INDEX('011.큐펫테이블'!A:A,MATCH(CupetList!B16,'011.큐펫테이블'!E:E,0),1)</f>
        <v>55011</v>
      </c>
      <c r="B16" s="6" t="s">
        <v>110</v>
      </c>
      <c r="C16" s="141">
        <v>3</v>
      </c>
      <c r="D16" s="141" t="s">
        <v>1051</v>
      </c>
      <c r="E16" s="141" t="s">
        <v>1084</v>
      </c>
      <c r="F16" s="141" t="s">
        <v>532</v>
      </c>
      <c r="G16" s="141">
        <v>2</v>
      </c>
      <c r="I16" s="151" t="str">
        <f t="shared" si="2"/>
        <v>-</v>
      </c>
      <c r="J16" s="151" t="str">
        <f t="shared" si="3"/>
        <v>-</v>
      </c>
      <c r="K16" s="154" t="s">
        <v>1112</v>
      </c>
      <c r="L16" s="146">
        <v>1</v>
      </c>
      <c r="M16" s="157">
        <v>2</v>
      </c>
      <c r="N16" s="158">
        <v>7</v>
      </c>
      <c r="O16" s="157">
        <f t="shared" si="8"/>
        <v>3</v>
      </c>
      <c r="P16" s="157">
        <f t="shared" si="8"/>
        <v>2</v>
      </c>
      <c r="Q16" s="157">
        <f t="shared" si="8"/>
        <v>1</v>
      </c>
      <c r="R16" s="157">
        <f t="shared" si="8"/>
        <v>0</v>
      </c>
      <c r="S16" s="157">
        <f t="shared" si="8"/>
        <v>0</v>
      </c>
      <c r="T16" s="159">
        <f t="shared" si="8"/>
        <v>0</v>
      </c>
      <c r="U16" s="159">
        <f t="shared" si="8"/>
        <v>1</v>
      </c>
      <c r="V16" s="159">
        <f t="shared" si="8"/>
        <v>0</v>
      </c>
      <c r="W16" s="159">
        <f t="shared" si="8"/>
        <v>0</v>
      </c>
      <c r="X16" s="159">
        <f t="shared" si="8"/>
        <v>0</v>
      </c>
      <c r="Y16" s="145"/>
      <c r="AA16" s="6">
        <f t="shared" si="0"/>
        <v>50011</v>
      </c>
      <c r="AB16" s="6" t="b">
        <f t="shared" si="1"/>
        <v>1</v>
      </c>
      <c r="AD16" s="6"/>
      <c r="AE16" s="6" t="s">
        <v>54</v>
      </c>
      <c r="AF16" s="6">
        <v>52003</v>
      </c>
    </row>
    <row r="17" spans="1:32" ht="12" x14ac:dyDescent="0.3">
      <c r="A17" s="6">
        <f>INDEX('011.큐펫테이블'!A:A,MATCH(CupetList!B17,'011.큐펫테이블'!E:E,0),1)</f>
        <v>55012</v>
      </c>
      <c r="B17" s="6" t="s">
        <v>113</v>
      </c>
      <c r="C17" s="141">
        <v>3</v>
      </c>
      <c r="D17" s="141" t="s">
        <v>1054</v>
      </c>
      <c r="E17" s="141" t="s">
        <v>1083</v>
      </c>
      <c r="F17" s="141" t="s">
        <v>582</v>
      </c>
      <c r="G17" s="141">
        <v>7</v>
      </c>
      <c r="I17" s="151">
        <f t="shared" si="2"/>
        <v>7</v>
      </c>
      <c r="J17" s="151" t="str">
        <f t="shared" si="3"/>
        <v>-</v>
      </c>
      <c r="L17" s="146">
        <v>1</v>
      </c>
      <c r="M17" s="157">
        <v>3</v>
      </c>
      <c r="N17" s="158">
        <v>5</v>
      </c>
      <c r="O17" s="157">
        <f t="shared" si="8"/>
        <v>1</v>
      </c>
      <c r="P17" s="157">
        <f t="shared" si="8"/>
        <v>3</v>
      </c>
      <c r="Q17" s="157">
        <f t="shared" si="8"/>
        <v>0</v>
      </c>
      <c r="R17" s="157">
        <f t="shared" si="8"/>
        <v>0</v>
      </c>
      <c r="S17" s="157">
        <f t="shared" si="8"/>
        <v>0</v>
      </c>
      <c r="T17" s="157">
        <f t="shared" si="8"/>
        <v>0</v>
      </c>
      <c r="U17" s="159">
        <f t="shared" si="8"/>
        <v>1</v>
      </c>
      <c r="V17" s="159">
        <f t="shared" si="8"/>
        <v>0</v>
      </c>
      <c r="W17" s="159">
        <f t="shared" si="8"/>
        <v>0</v>
      </c>
      <c r="X17" s="159">
        <f t="shared" si="8"/>
        <v>0</v>
      </c>
      <c r="Y17" s="145"/>
      <c r="AA17" s="6">
        <f t="shared" si="0"/>
        <v>50012</v>
      </c>
      <c r="AB17" s="6" t="b">
        <f t="shared" si="1"/>
        <v>1</v>
      </c>
      <c r="AD17" s="6"/>
      <c r="AE17" s="6" t="s">
        <v>65</v>
      </c>
      <c r="AF17" s="6">
        <v>52004</v>
      </c>
    </row>
    <row r="18" spans="1:32" ht="12" x14ac:dyDescent="0.3">
      <c r="A18" s="6">
        <f>INDEX('011.큐펫테이블'!A:A,MATCH(CupetList!B18,'011.큐펫테이블'!E:E,0),1)</f>
        <v>55013</v>
      </c>
      <c r="B18" s="6" t="s">
        <v>117</v>
      </c>
      <c r="C18" s="141">
        <v>4</v>
      </c>
      <c r="D18" s="141" t="s">
        <v>1051</v>
      </c>
      <c r="E18" s="141" t="s">
        <v>1084</v>
      </c>
      <c r="F18" s="141" t="s">
        <v>559</v>
      </c>
      <c r="G18" s="141">
        <v>2</v>
      </c>
      <c r="I18" s="151" t="str">
        <f t="shared" si="2"/>
        <v>-</v>
      </c>
      <c r="J18" s="151" t="str">
        <f t="shared" si="3"/>
        <v>-</v>
      </c>
      <c r="L18" s="146">
        <v>1</v>
      </c>
      <c r="M18" s="157">
        <v>4</v>
      </c>
      <c r="N18" s="158">
        <v>6</v>
      </c>
      <c r="O18" s="157">
        <f t="shared" si="8"/>
        <v>2</v>
      </c>
      <c r="P18" s="157">
        <f t="shared" si="8"/>
        <v>3</v>
      </c>
      <c r="Q18" s="157">
        <f t="shared" si="8"/>
        <v>0</v>
      </c>
      <c r="R18" s="157">
        <f t="shared" si="8"/>
        <v>0</v>
      </c>
      <c r="S18" s="157">
        <f t="shared" si="8"/>
        <v>0</v>
      </c>
      <c r="T18" s="157">
        <f t="shared" si="8"/>
        <v>0</v>
      </c>
      <c r="U18" s="159">
        <f t="shared" si="8"/>
        <v>1</v>
      </c>
      <c r="V18" s="159">
        <f t="shared" si="8"/>
        <v>0</v>
      </c>
      <c r="W18" s="159">
        <f t="shared" si="8"/>
        <v>0</v>
      </c>
      <c r="X18" s="159">
        <f t="shared" si="8"/>
        <v>0</v>
      </c>
      <c r="Y18" s="145"/>
      <c r="AA18" s="6">
        <f t="shared" si="0"/>
        <v>50013</v>
      </c>
      <c r="AB18" s="6" t="b">
        <f t="shared" si="1"/>
        <v>1</v>
      </c>
      <c r="AD18" s="6"/>
      <c r="AE18" s="6" t="s">
        <v>69</v>
      </c>
      <c r="AF18" s="6">
        <v>52005</v>
      </c>
    </row>
    <row r="19" spans="1:32" ht="12" x14ac:dyDescent="0.3">
      <c r="A19" s="6">
        <f>INDEX('011.큐펫테이블'!A:A,MATCH(CupetList!B19,'011.큐펫테이블'!E:E,0),1)</f>
        <v>55014</v>
      </c>
      <c r="B19" s="6" t="s">
        <v>120</v>
      </c>
      <c r="C19" s="141">
        <v>4</v>
      </c>
      <c r="D19" s="141" t="s">
        <v>1051</v>
      </c>
      <c r="E19" s="141" t="s">
        <v>1084</v>
      </c>
      <c r="F19" s="141" t="s">
        <v>526</v>
      </c>
      <c r="G19" s="141">
        <v>1</v>
      </c>
      <c r="I19" s="151" t="str">
        <f t="shared" si="2"/>
        <v>-</v>
      </c>
      <c r="J19" s="151" t="str">
        <f t="shared" si="3"/>
        <v>-</v>
      </c>
      <c r="L19" s="146">
        <v>1</v>
      </c>
      <c r="M19" s="157">
        <v>4.5</v>
      </c>
      <c r="N19" s="158">
        <v>3</v>
      </c>
      <c r="O19" s="157">
        <f t="shared" si="8"/>
        <v>1</v>
      </c>
      <c r="P19" s="157">
        <f t="shared" si="8"/>
        <v>1</v>
      </c>
      <c r="Q19" s="157">
        <f t="shared" si="8"/>
        <v>1</v>
      </c>
      <c r="R19" s="157">
        <f t="shared" si="8"/>
        <v>0</v>
      </c>
      <c r="S19" s="157">
        <f t="shared" si="8"/>
        <v>0</v>
      </c>
      <c r="T19" s="157">
        <f t="shared" si="8"/>
        <v>0</v>
      </c>
      <c r="U19" s="159">
        <f t="shared" si="8"/>
        <v>0</v>
      </c>
      <c r="V19" s="159">
        <f t="shared" si="8"/>
        <v>0</v>
      </c>
      <c r="W19" s="159">
        <f t="shared" si="8"/>
        <v>0</v>
      </c>
      <c r="X19" s="159">
        <f t="shared" si="8"/>
        <v>0</v>
      </c>
      <c r="Y19" s="145"/>
      <c r="AA19" s="6">
        <f t="shared" si="0"/>
        <v>50014</v>
      </c>
      <c r="AB19" s="6" t="b">
        <f t="shared" si="1"/>
        <v>1</v>
      </c>
      <c r="AD19" s="6"/>
      <c r="AE19" s="6" t="s">
        <v>80</v>
      </c>
      <c r="AF19" s="6">
        <v>52006</v>
      </c>
    </row>
    <row r="20" spans="1:32" ht="12" x14ac:dyDescent="0.3">
      <c r="A20" s="6">
        <f>INDEX('011.큐펫테이블'!A:A,MATCH(CupetList!B20,'011.큐펫테이블'!E:E,0),1)</f>
        <v>55015</v>
      </c>
      <c r="B20" s="6" t="s">
        <v>123</v>
      </c>
      <c r="C20" s="141">
        <v>4</v>
      </c>
      <c r="D20" s="141" t="s">
        <v>1051</v>
      </c>
      <c r="E20" s="141" t="s">
        <v>1083</v>
      </c>
      <c r="F20" s="141" t="s">
        <v>559</v>
      </c>
      <c r="G20" s="141">
        <v>2</v>
      </c>
      <c r="I20" s="151" t="str">
        <f t="shared" si="2"/>
        <v>-</v>
      </c>
      <c r="J20" s="151" t="str">
        <f t="shared" si="3"/>
        <v>-</v>
      </c>
      <c r="L20" s="146">
        <v>1</v>
      </c>
      <c r="M20" s="157">
        <v>5</v>
      </c>
      <c r="N20" s="158">
        <v>2</v>
      </c>
      <c r="O20" s="157">
        <f t="shared" si="8"/>
        <v>0</v>
      </c>
      <c r="P20" s="157">
        <f t="shared" si="8"/>
        <v>0</v>
      </c>
      <c r="Q20" s="157">
        <f t="shared" si="8"/>
        <v>0</v>
      </c>
      <c r="R20" s="157">
        <f t="shared" si="8"/>
        <v>1</v>
      </c>
      <c r="S20" s="157">
        <f t="shared" si="8"/>
        <v>0</v>
      </c>
      <c r="T20" s="157">
        <f t="shared" si="8"/>
        <v>0</v>
      </c>
      <c r="U20" s="159">
        <f t="shared" si="8"/>
        <v>1</v>
      </c>
      <c r="V20" s="159">
        <f t="shared" si="8"/>
        <v>0</v>
      </c>
      <c r="W20" s="159">
        <f t="shared" si="8"/>
        <v>0</v>
      </c>
      <c r="X20" s="159">
        <f t="shared" si="8"/>
        <v>0</v>
      </c>
      <c r="Y20" s="145"/>
      <c r="AA20" s="6">
        <f t="shared" si="0"/>
        <v>50015</v>
      </c>
      <c r="AB20" s="6" t="b">
        <f t="shared" si="1"/>
        <v>1</v>
      </c>
      <c r="AD20" s="6"/>
      <c r="AE20" s="6" t="s">
        <v>1080</v>
      </c>
      <c r="AF20" s="6">
        <v>53001</v>
      </c>
    </row>
    <row r="21" spans="1:32" ht="12" x14ac:dyDescent="0.3">
      <c r="A21" s="6">
        <f>INDEX('011.큐펫테이블'!A:A,MATCH(CupetList!B21,'011.큐펫테이블'!E:E,0),1)</f>
        <v>55017</v>
      </c>
      <c r="B21" s="6" t="s">
        <v>129</v>
      </c>
      <c r="C21" s="141">
        <v>4</v>
      </c>
      <c r="D21" s="141" t="s">
        <v>1051</v>
      </c>
      <c r="E21" s="141" t="s">
        <v>1084</v>
      </c>
      <c r="F21" s="141" t="s">
        <v>532</v>
      </c>
      <c r="G21" s="141">
        <v>1</v>
      </c>
      <c r="I21" s="151" t="str">
        <f t="shared" si="2"/>
        <v>-</v>
      </c>
      <c r="J21" s="151" t="str">
        <f t="shared" si="3"/>
        <v>-</v>
      </c>
      <c r="L21" s="146">
        <v>1</v>
      </c>
      <c r="M21" s="157">
        <v>6</v>
      </c>
      <c r="N21" s="158">
        <v>9</v>
      </c>
      <c r="O21" s="157">
        <f t="shared" si="8"/>
        <v>1</v>
      </c>
      <c r="P21" s="157">
        <f t="shared" si="8"/>
        <v>2</v>
      </c>
      <c r="Q21" s="157">
        <f t="shared" si="8"/>
        <v>3</v>
      </c>
      <c r="R21" s="157">
        <f t="shared" si="8"/>
        <v>1</v>
      </c>
      <c r="S21" s="157">
        <f t="shared" si="8"/>
        <v>1</v>
      </c>
      <c r="T21" s="157">
        <f t="shared" si="8"/>
        <v>0</v>
      </c>
      <c r="U21" s="159">
        <f t="shared" si="8"/>
        <v>1</v>
      </c>
      <c r="V21" s="159">
        <f t="shared" si="8"/>
        <v>0</v>
      </c>
      <c r="W21" s="159">
        <f t="shared" si="8"/>
        <v>0</v>
      </c>
      <c r="X21" s="159">
        <f t="shared" si="8"/>
        <v>0</v>
      </c>
      <c r="Y21" s="145"/>
      <c r="AA21" s="6">
        <f t="shared" si="0"/>
        <v>50017</v>
      </c>
      <c r="AB21" s="6" t="b">
        <f t="shared" si="1"/>
        <v>1</v>
      </c>
      <c r="AD21" s="6"/>
      <c r="AE21" s="6" t="s">
        <v>43</v>
      </c>
      <c r="AF21" s="6">
        <v>53002</v>
      </c>
    </row>
    <row r="22" spans="1:32" ht="12" x14ac:dyDescent="0.3">
      <c r="A22" s="6">
        <f>INDEX('011.큐펫테이블'!A:A,MATCH(CupetList!B22,'011.큐펫테이블'!E:E,0),1)</f>
        <v>55018</v>
      </c>
      <c r="B22" s="6" t="s">
        <v>132</v>
      </c>
      <c r="C22" s="141">
        <v>4</v>
      </c>
      <c r="D22" s="141" t="s">
        <v>1051</v>
      </c>
      <c r="E22" s="141" t="s">
        <v>1083</v>
      </c>
      <c r="F22" s="141" t="s">
        <v>532</v>
      </c>
      <c r="G22" s="141">
        <v>2</v>
      </c>
      <c r="I22" s="151" t="str">
        <f t="shared" si="2"/>
        <v>-</v>
      </c>
      <c r="J22" s="151" t="str">
        <f t="shared" si="3"/>
        <v>-</v>
      </c>
      <c r="L22" s="146">
        <v>1</v>
      </c>
      <c r="M22" s="157">
        <v>7</v>
      </c>
      <c r="N22" s="158">
        <v>5</v>
      </c>
      <c r="O22" s="157">
        <f t="shared" si="8"/>
        <v>0</v>
      </c>
      <c r="P22" s="157">
        <f t="shared" si="8"/>
        <v>1</v>
      </c>
      <c r="Q22" s="157">
        <f t="shared" si="8"/>
        <v>2</v>
      </c>
      <c r="R22" s="157">
        <f t="shared" si="8"/>
        <v>1</v>
      </c>
      <c r="S22" s="157">
        <f t="shared" si="8"/>
        <v>0</v>
      </c>
      <c r="T22" s="157">
        <f t="shared" si="8"/>
        <v>0</v>
      </c>
      <c r="U22" s="159">
        <f t="shared" si="8"/>
        <v>0</v>
      </c>
      <c r="V22" s="159">
        <f t="shared" si="8"/>
        <v>1</v>
      </c>
      <c r="W22" s="159">
        <f t="shared" si="8"/>
        <v>0</v>
      </c>
      <c r="X22" s="159">
        <f t="shared" si="8"/>
        <v>0</v>
      </c>
      <c r="Y22" s="145"/>
      <c r="AA22" s="6">
        <f t="shared" si="0"/>
        <v>50018</v>
      </c>
      <c r="AB22" s="6" t="b">
        <f t="shared" si="1"/>
        <v>1</v>
      </c>
      <c r="AD22" s="6"/>
      <c r="AE22" s="6" t="s">
        <v>54</v>
      </c>
      <c r="AF22" s="6">
        <v>53003</v>
      </c>
    </row>
    <row r="23" spans="1:32" ht="12" x14ac:dyDescent="0.3">
      <c r="A23" s="6">
        <f>INDEX('011.큐펫테이블'!A:A,MATCH(CupetList!B23,'011.큐펫테이블'!E:E,0),1)</f>
        <v>55085</v>
      </c>
      <c r="B23" s="6" t="s">
        <v>583</v>
      </c>
      <c r="C23" s="141">
        <v>4</v>
      </c>
      <c r="D23" s="141" t="s">
        <v>1054</v>
      </c>
      <c r="E23" s="141" t="s">
        <v>1084</v>
      </c>
      <c r="F23" s="141" t="s">
        <v>582</v>
      </c>
      <c r="G23" s="141">
        <v>7</v>
      </c>
      <c r="I23" s="151">
        <f t="shared" si="2"/>
        <v>7</v>
      </c>
      <c r="J23" s="151" t="str">
        <f t="shared" si="3"/>
        <v>-</v>
      </c>
      <c r="L23" s="146">
        <v>1</v>
      </c>
      <c r="M23" s="157">
        <v>8</v>
      </c>
      <c r="N23" s="158">
        <v>9</v>
      </c>
      <c r="O23" s="157">
        <f t="shared" si="8"/>
        <v>0</v>
      </c>
      <c r="P23" s="157">
        <f t="shared" si="8"/>
        <v>1</v>
      </c>
      <c r="Q23" s="157">
        <f t="shared" si="8"/>
        <v>3</v>
      </c>
      <c r="R23" s="157">
        <f t="shared" si="8"/>
        <v>2</v>
      </c>
      <c r="S23" s="157">
        <f t="shared" si="8"/>
        <v>1</v>
      </c>
      <c r="T23" s="157">
        <f t="shared" si="8"/>
        <v>1</v>
      </c>
      <c r="U23" s="159">
        <f t="shared" si="8"/>
        <v>0</v>
      </c>
      <c r="V23" s="159">
        <f t="shared" si="8"/>
        <v>1</v>
      </c>
      <c r="W23" s="159">
        <f t="shared" si="8"/>
        <v>0</v>
      </c>
      <c r="X23" s="159">
        <f t="shared" si="8"/>
        <v>0</v>
      </c>
      <c r="Y23" s="145"/>
      <c r="AA23" s="6">
        <f t="shared" si="0"/>
        <v>50085</v>
      </c>
      <c r="AB23" s="6" t="b">
        <f t="shared" si="1"/>
        <v>1</v>
      </c>
      <c r="AD23" s="6"/>
      <c r="AE23" s="6" t="s">
        <v>65</v>
      </c>
      <c r="AF23" s="6">
        <v>53004</v>
      </c>
    </row>
    <row r="24" spans="1:32" ht="12" x14ac:dyDescent="0.3">
      <c r="A24" s="6">
        <f>INDEX('011.큐펫테이블'!A:A,MATCH(CupetList!B24,'011.큐펫테이블'!E:E,0),1)</f>
        <v>55016</v>
      </c>
      <c r="B24" s="6" t="s">
        <v>126</v>
      </c>
      <c r="C24" s="141">
        <v>4.5</v>
      </c>
      <c r="D24" s="141" t="s">
        <v>1051</v>
      </c>
      <c r="E24" s="141" t="s">
        <v>1084</v>
      </c>
      <c r="F24" s="141" t="s">
        <v>582</v>
      </c>
      <c r="G24" s="141">
        <v>2</v>
      </c>
      <c r="I24" s="151" t="str">
        <f t="shared" si="2"/>
        <v>-</v>
      </c>
      <c r="J24" s="151" t="str">
        <f t="shared" si="3"/>
        <v>-</v>
      </c>
      <c r="L24" s="146">
        <v>1</v>
      </c>
      <c r="M24" s="157">
        <v>9</v>
      </c>
      <c r="N24" s="158">
        <v>5</v>
      </c>
      <c r="O24" s="157">
        <f t="shared" si="8"/>
        <v>0</v>
      </c>
      <c r="P24" s="157">
        <f t="shared" si="8"/>
        <v>0</v>
      </c>
      <c r="Q24" s="157">
        <f t="shared" si="8"/>
        <v>1</v>
      </c>
      <c r="R24" s="157">
        <f t="shared" si="8"/>
        <v>1</v>
      </c>
      <c r="S24" s="157">
        <f t="shared" si="8"/>
        <v>1</v>
      </c>
      <c r="T24" s="157">
        <f t="shared" si="8"/>
        <v>1</v>
      </c>
      <c r="U24" s="159">
        <f t="shared" si="8"/>
        <v>0</v>
      </c>
      <c r="V24" s="159">
        <f t="shared" si="8"/>
        <v>1</v>
      </c>
      <c r="W24" s="159">
        <f t="shared" si="8"/>
        <v>0</v>
      </c>
      <c r="X24" s="159">
        <f t="shared" si="8"/>
        <v>0</v>
      </c>
      <c r="Y24" s="145"/>
      <c r="AA24" s="6">
        <f t="shared" si="0"/>
        <v>50016</v>
      </c>
      <c r="AB24" s="6" t="b">
        <f t="shared" si="1"/>
        <v>1</v>
      </c>
      <c r="AD24" s="6"/>
      <c r="AE24" s="6" t="s">
        <v>69</v>
      </c>
      <c r="AF24" s="6">
        <v>53005</v>
      </c>
    </row>
    <row r="25" spans="1:32" ht="12" x14ac:dyDescent="0.3">
      <c r="A25" s="6">
        <f>INDEX('011.큐펫테이블'!A:A,MATCH(CupetList!B25,'011.큐펫테이블'!E:E,0),1)</f>
        <v>55019</v>
      </c>
      <c r="B25" s="6" t="s">
        <v>135</v>
      </c>
      <c r="C25" s="141">
        <v>4.5</v>
      </c>
      <c r="D25" s="141" t="s">
        <v>1051</v>
      </c>
      <c r="E25" s="141" t="s">
        <v>1083</v>
      </c>
      <c r="F25" s="141" t="s">
        <v>582</v>
      </c>
      <c r="G25" s="141">
        <v>3</v>
      </c>
      <c r="I25" s="151" t="str">
        <f t="shared" si="2"/>
        <v>-</v>
      </c>
      <c r="J25" s="151" t="str">
        <f t="shared" si="3"/>
        <v>-</v>
      </c>
      <c r="L25" s="146">
        <v>1</v>
      </c>
      <c r="M25" s="157">
        <v>10</v>
      </c>
      <c r="N25" s="158">
        <v>6</v>
      </c>
      <c r="O25" s="157">
        <f t="shared" ref="O25:X33" si="9">SUMIFS($L:$L,$C:$C,$M25,$G:$G,O$14)</f>
        <v>0</v>
      </c>
      <c r="P25" s="157">
        <f t="shared" si="9"/>
        <v>0</v>
      </c>
      <c r="Q25" s="157">
        <f t="shared" si="9"/>
        <v>1</v>
      </c>
      <c r="R25" s="157">
        <f t="shared" si="9"/>
        <v>1</v>
      </c>
      <c r="S25" s="157">
        <f t="shared" si="9"/>
        <v>2</v>
      </c>
      <c r="T25" s="157">
        <f t="shared" si="9"/>
        <v>1</v>
      </c>
      <c r="U25" s="159">
        <f t="shared" si="9"/>
        <v>0</v>
      </c>
      <c r="V25" s="159">
        <f t="shared" si="9"/>
        <v>1</v>
      </c>
      <c r="W25" s="159">
        <f t="shared" si="9"/>
        <v>0</v>
      </c>
      <c r="X25" s="159">
        <f t="shared" si="9"/>
        <v>0</v>
      </c>
      <c r="Y25" s="145"/>
      <c r="AA25" s="6">
        <f t="shared" si="0"/>
        <v>50019</v>
      </c>
      <c r="AB25" s="6" t="b">
        <f t="shared" si="1"/>
        <v>1</v>
      </c>
      <c r="AD25" s="6"/>
      <c r="AE25" s="6" t="s">
        <v>80</v>
      </c>
      <c r="AF25" s="6">
        <v>53006</v>
      </c>
    </row>
    <row r="26" spans="1:32" ht="12" x14ac:dyDescent="0.3">
      <c r="A26" s="6">
        <f>INDEX('011.큐펫테이블'!A:A,MATCH(CupetList!B26,'011.큐펫테이블'!E:E,0),1)</f>
        <v>55020</v>
      </c>
      <c r="B26" s="6" t="s">
        <v>138</v>
      </c>
      <c r="C26" s="141">
        <v>4.5</v>
      </c>
      <c r="D26" s="141" t="s">
        <v>1051</v>
      </c>
      <c r="E26" s="141" t="s">
        <v>1084</v>
      </c>
      <c r="F26" s="141" t="s">
        <v>532</v>
      </c>
      <c r="G26" s="141">
        <v>1</v>
      </c>
      <c r="I26" s="151" t="str">
        <f t="shared" si="2"/>
        <v>-</v>
      </c>
      <c r="J26" s="151" t="str">
        <f t="shared" si="3"/>
        <v>-</v>
      </c>
      <c r="L26" s="146">
        <v>1</v>
      </c>
      <c r="M26" s="157">
        <v>10.5</v>
      </c>
      <c r="N26" s="158">
        <v>3</v>
      </c>
      <c r="O26" s="157">
        <f t="shared" si="9"/>
        <v>0</v>
      </c>
      <c r="P26" s="157">
        <f t="shared" si="9"/>
        <v>0</v>
      </c>
      <c r="Q26" s="157">
        <f t="shared" si="9"/>
        <v>0</v>
      </c>
      <c r="R26" s="157">
        <f t="shared" si="9"/>
        <v>1</v>
      </c>
      <c r="S26" s="157">
        <f t="shared" si="9"/>
        <v>2</v>
      </c>
      <c r="T26" s="157">
        <f t="shared" si="9"/>
        <v>0</v>
      </c>
      <c r="U26" s="159">
        <f t="shared" si="9"/>
        <v>0</v>
      </c>
      <c r="V26" s="159">
        <f t="shared" si="9"/>
        <v>0</v>
      </c>
      <c r="W26" s="159">
        <f t="shared" si="9"/>
        <v>0</v>
      </c>
      <c r="X26" s="159">
        <f t="shared" si="9"/>
        <v>0</v>
      </c>
      <c r="Y26" s="145"/>
      <c r="AA26" s="6">
        <f t="shared" si="0"/>
        <v>50020</v>
      </c>
      <c r="AB26" s="6" t="b">
        <f t="shared" si="1"/>
        <v>1</v>
      </c>
      <c r="AD26" s="6"/>
      <c r="AE26" s="6" t="s">
        <v>101</v>
      </c>
      <c r="AF26" s="6">
        <v>50008</v>
      </c>
    </row>
    <row r="27" spans="1:32" ht="12" x14ac:dyDescent="0.3">
      <c r="A27" s="6">
        <f>INDEX('011.큐펫테이블'!A:A,MATCH(CupetList!B27,'011.큐펫테이블'!E:E,0),1)</f>
        <v>55021</v>
      </c>
      <c r="B27" s="6" t="s">
        <v>141</v>
      </c>
      <c r="C27" s="141">
        <v>5</v>
      </c>
      <c r="D27" s="141" t="s">
        <v>1051</v>
      </c>
      <c r="E27" s="141" t="s">
        <v>1084</v>
      </c>
      <c r="F27" s="141" t="s">
        <v>582</v>
      </c>
      <c r="G27" s="141">
        <v>4</v>
      </c>
      <c r="I27" s="151" t="str">
        <f t="shared" si="2"/>
        <v>-</v>
      </c>
      <c r="J27" s="151" t="str">
        <f t="shared" si="3"/>
        <v>빅풋</v>
      </c>
      <c r="L27" s="146">
        <v>1</v>
      </c>
      <c r="M27" s="157">
        <v>11</v>
      </c>
      <c r="N27" s="158">
        <v>2</v>
      </c>
      <c r="O27" s="157">
        <f t="shared" si="9"/>
        <v>0</v>
      </c>
      <c r="P27" s="157">
        <f t="shared" si="9"/>
        <v>0</v>
      </c>
      <c r="Q27" s="157">
        <f t="shared" si="9"/>
        <v>0</v>
      </c>
      <c r="R27" s="157">
        <f t="shared" si="9"/>
        <v>0</v>
      </c>
      <c r="S27" s="157">
        <f t="shared" si="9"/>
        <v>0</v>
      </c>
      <c r="T27" s="157">
        <f t="shared" si="9"/>
        <v>1</v>
      </c>
      <c r="U27" s="159">
        <f t="shared" si="9"/>
        <v>0</v>
      </c>
      <c r="V27" s="159">
        <f t="shared" si="9"/>
        <v>1</v>
      </c>
      <c r="W27" s="159">
        <f t="shared" si="9"/>
        <v>0</v>
      </c>
      <c r="X27" s="159">
        <f t="shared" si="9"/>
        <v>0</v>
      </c>
      <c r="Y27" s="145"/>
      <c r="AA27" s="6">
        <f t="shared" si="0"/>
        <v>50021</v>
      </c>
      <c r="AB27" s="6" t="b">
        <f t="shared" si="1"/>
        <v>1</v>
      </c>
      <c r="AD27" s="6"/>
      <c r="AE27" s="6" t="s">
        <v>101</v>
      </c>
      <c r="AF27" s="6">
        <v>150008</v>
      </c>
    </row>
    <row r="28" spans="1:32" ht="12" x14ac:dyDescent="0.3">
      <c r="A28" s="6">
        <f>INDEX('011.큐펫테이블'!A:A,MATCH(CupetList!B28,'011.큐펫테이블'!E:E,0),1)</f>
        <v>55086</v>
      </c>
      <c r="B28" s="6" t="s">
        <v>1055</v>
      </c>
      <c r="C28" s="141">
        <v>5</v>
      </c>
      <c r="D28" s="141" t="s">
        <v>1054</v>
      </c>
      <c r="E28" s="141" t="s">
        <v>1083</v>
      </c>
      <c r="F28" s="141" t="s">
        <v>532</v>
      </c>
      <c r="G28" s="141">
        <v>7</v>
      </c>
      <c r="I28" s="151">
        <f t="shared" si="2"/>
        <v>7</v>
      </c>
      <c r="J28" s="151" t="str">
        <f t="shared" si="3"/>
        <v>-</v>
      </c>
      <c r="L28" s="146">
        <v>1</v>
      </c>
      <c r="M28" s="157">
        <v>12</v>
      </c>
      <c r="N28" s="158">
        <v>8</v>
      </c>
      <c r="O28" s="157">
        <f t="shared" si="9"/>
        <v>0</v>
      </c>
      <c r="P28" s="157">
        <f t="shared" si="9"/>
        <v>0</v>
      </c>
      <c r="Q28" s="157">
        <f t="shared" si="9"/>
        <v>0</v>
      </c>
      <c r="R28" s="157">
        <f t="shared" si="9"/>
        <v>2</v>
      </c>
      <c r="S28" s="155">
        <f t="shared" si="9"/>
        <v>3</v>
      </c>
      <c r="T28" s="157">
        <f t="shared" si="9"/>
        <v>2</v>
      </c>
      <c r="U28" s="159">
        <f t="shared" si="9"/>
        <v>0</v>
      </c>
      <c r="V28" s="159">
        <f t="shared" si="9"/>
        <v>0</v>
      </c>
      <c r="W28" s="159">
        <f t="shared" si="9"/>
        <v>1</v>
      </c>
      <c r="X28" s="159">
        <f t="shared" si="9"/>
        <v>0</v>
      </c>
      <c r="Y28" s="145"/>
      <c r="AA28" s="6">
        <f t="shared" si="0"/>
        <v>50086</v>
      </c>
      <c r="AB28" s="6" t="b">
        <f t="shared" si="1"/>
        <v>1</v>
      </c>
      <c r="AD28" s="6"/>
      <c r="AE28" s="6" t="s">
        <v>104</v>
      </c>
      <c r="AF28" s="6">
        <v>50009</v>
      </c>
    </row>
    <row r="29" spans="1:32" ht="12" x14ac:dyDescent="0.3">
      <c r="A29" s="6">
        <f>INDEX('011.큐펫테이블'!A:A,MATCH(CupetList!B29,'011.큐펫테이블'!E:E,0),1)</f>
        <v>55022</v>
      </c>
      <c r="B29" s="6" t="s">
        <v>144</v>
      </c>
      <c r="C29" s="141">
        <v>6</v>
      </c>
      <c r="D29" s="141" t="s">
        <v>1051</v>
      </c>
      <c r="E29" s="141" t="s">
        <v>1083</v>
      </c>
      <c r="F29" s="141" t="s">
        <v>559</v>
      </c>
      <c r="G29" s="141">
        <v>2</v>
      </c>
      <c r="I29" s="151" t="str">
        <f t="shared" si="2"/>
        <v>-</v>
      </c>
      <c r="J29" s="151" t="str">
        <f t="shared" si="3"/>
        <v>-</v>
      </c>
      <c r="L29" s="146">
        <v>1</v>
      </c>
      <c r="M29" s="157">
        <v>12.5</v>
      </c>
      <c r="N29" s="158">
        <v>1</v>
      </c>
      <c r="O29" s="157">
        <f t="shared" si="9"/>
        <v>0</v>
      </c>
      <c r="P29" s="157">
        <f t="shared" si="9"/>
        <v>0</v>
      </c>
      <c r="Q29" s="157">
        <f t="shared" si="9"/>
        <v>0</v>
      </c>
      <c r="R29" s="157">
        <f t="shared" si="9"/>
        <v>0</v>
      </c>
      <c r="S29" s="157">
        <f t="shared" si="9"/>
        <v>1</v>
      </c>
      <c r="T29" s="157">
        <f t="shared" si="9"/>
        <v>0</v>
      </c>
      <c r="U29" s="159">
        <f t="shared" si="9"/>
        <v>0</v>
      </c>
      <c r="V29" s="159">
        <f t="shared" si="9"/>
        <v>0</v>
      </c>
      <c r="W29" s="159">
        <f t="shared" si="9"/>
        <v>0</v>
      </c>
      <c r="X29" s="159">
        <f t="shared" si="9"/>
        <v>0</v>
      </c>
      <c r="Y29" s="145"/>
      <c r="AA29" s="6">
        <f t="shared" si="0"/>
        <v>50022</v>
      </c>
      <c r="AB29" s="6" t="b">
        <f t="shared" si="1"/>
        <v>1</v>
      </c>
      <c r="AD29" s="6"/>
      <c r="AE29" s="6" t="s">
        <v>104</v>
      </c>
      <c r="AF29" s="6">
        <v>150009</v>
      </c>
    </row>
    <row r="30" spans="1:32" ht="12" x14ac:dyDescent="0.3">
      <c r="A30" s="6">
        <f>INDEX('011.큐펫테이블'!A:A,MATCH(CupetList!B30,'011.큐펫테이블'!E:E,0),1)</f>
        <v>55023</v>
      </c>
      <c r="B30" s="6" t="s">
        <v>147</v>
      </c>
      <c r="C30" s="141">
        <v>6</v>
      </c>
      <c r="D30" s="141" t="s">
        <v>1051</v>
      </c>
      <c r="E30" s="141" t="s">
        <v>1083</v>
      </c>
      <c r="F30" s="141" t="s">
        <v>532</v>
      </c>
      <c r="G30" s="141">
        <v>2</v>
      </c>
      <c r="I30" s="151" t="str">
        <f t="shared" si="2"/>
        <v>-</v>
      </c>
      <c r="J30" s="151" t="str">
        <f t="shared" si="3"/>
        <v>-</v>
      </c>
      <c r="L30" s="146">
        <v>1</v>
      </c>
      <c r="M30" s="157">
        <v>13</v>
      </c>
      <c r="N30" s="158">
        <v>4</v>
      </c>
      <c r="O30" s="157">
        <f t="shared" si="9"/>
        <v>0</v>
      </c>
      <c r="P30" s="157">
        <f t="shared" si="9"/>
        <v>0</v>
      </c>
      <c r="Q30" s="157">
        <f t="shared" si="9"/>
        <v>0</v>
      </c>
      <c r="R30" s="157">
        <f t="shared" si="9"/>
        <v>1</v>
      </c>
      <c r="S30" s="157">
        <f t="shared" si="9"/>
        <v>0</v>
      </c>
      <c r="T30" s="157">
        <f t="shared" si="9"/>
        <v>2</v>
      </c>
      <c r="U30" s="159">
        <f t="shared" si="9"/>
        <v>0</v>
      </c>
      <c r="V30" s="159">
        <f t="shared" si="9"/>
        <v>0</v>
      </c>
      <c r="W30" s="159">
        <f t="shared" si="9"/>
        <v>0</v>
      </c>
      <c r="X30" s="159">
        <f t="shared" si="9"/>
        <v>1</v>
      </c>
      <c r="Y30" s="145"/>
      <c r="AA30" s="6">
        <f t="shared" si="0"/>
        <v>50023</v>
      </c>
      <c r="AB30" s="6" t="b">
        <f t="shared" si="1"/>
        <v>1</v>
      </c>
      <c r="AD30" s="6"/>
      <c r="AE30" s="6" t="s">
        <v>107</v>
      </c>
      <c r="AF30" s="6">
        <v>50010</v>
      </c>
    </row>
    <row r="31" spans="1:32" ht="12" x14ac:dyDescent="0.3">
      <c r="A31" s="6">
        <f>INDEX('011.큐펫테이블'!A:A,MATCH(CupetList!B31,'011.큐펫테이블'!E:E,0),1)</f>
        <v>55024</v>
      </c>
      <c r="B31" s="6" t="s">
        <v>150</v>
      </c>
      <c r="C31" s="141">
        <v>6</v>
      </c>
      <c r="D31" s="141" t="s">
        <v>1051</v>
      </c>
      <c r="E31" s="141" t="s">
        <v>1084</v>
      </c>
      <c r="F31" s="141" t="s">
        <v>559</v>
      </c>
      <c r="G31" s="141">
        <v>1</v>
      </c>
      <c r="I31" s="151" t="str">
        <f t="shared" si="2"/>
        <v>-</v>
      </c>
      <c r="J31" s="151" t="str">
        <f t="shared" si="3"/>
        <v>-</v>
      </c>
      <c r="L31" s="146">
        <v>1</v>
      </c>
      <c r="M31" s="157" t="s">
        <v>1105</v>
      </c>
      <c r="N31" s="158">
        <v>4</v>
      </c>
      <c r="O31" s="157">
        <f t="shared" si="9"/>
        <v>0</v>
      </c>
      <c r="P31" s="157">
        <f t="shared" si="9"/>
        <v>0</v>
      </c>
      <c r="Q31" s="157">
        <f t="shared" si="9"/>
        <v>1</v>
      </c>
      <c r="R31" s="157">
        <f t="shared" si="9"/>
        <v>1</v>
      </c>
      <c r="S31" s="157">
        <f t="shared" si="9"/>
        <v>1</v>
      </c>
      <c r="T31" s="157">
        <f t="shared" si="9"/>
        <v>0</v>
      </c>
      <c r="U31" s="159">
        <f t="shared" si="9"/>
        <v>0</v>
      </c>
      <c r="V31" s="159">
        <f t="shared" si="9"/>
        <v>0</v>
      </c>
      <c r="W31" s="159">
        <f t="shared" si="9"/>
        <v>0</v>
      </c>
      <c r="X31" s="159">
        <f t="shared" si="9"/>
        <v>1</v>
      </c>
      <c r="Y31" s="145"/>
      <c r="AA31" s="6">
        <f t="shared" si="0"/>
        <v>50024</v>
      </c>
      <c r="AB31" s="6" t="b">
        <f t="shared" si="1"/>
        <v>1</v>
      </c>
      <c r="AD31" s="6"/>
      <c r="AE31" s="6" t="s">
        <v>107</v>
      </c>
      <c r="AF31" s="6">
        <v>150010</v>
      </c>
    </row>
    <row r="32" spans="1:32" ht="12" x14ac:dyDescent="0.3">
      <c r="A32" s="6">
        <f>INDEX('011.큐펫테이블'!A:A,MATCH(CupetList!B32,'011.큐펫테이블'!E:E,0),1)</f>
        <v>55025</v>
      </c>
      <c r="B32" s="6" t="s">
        <v>153</v>
      </c>
      <c r="C32" s="141">
        <v>6</v>
      </c>
      <c r="D32" s="141" t="s">
        <v>1051</v>
      </c>
      <c r="E32" s="141" t="s">
        <v>1083</v>
      </c>
      <c r="F32" s="141" t="s">
        <v>532</v>
      </c>
      <c r="G32" s="141">
        <v>3</v>
      </c>
      <c r="I32" s="151" t="str">
        <f t="shared" si="2"/>
        <v>-</v>
      </c>
      <c r="J32" s="151" t="str">
        <f t="shared" si="3"/>
        <v>-</v>
      </c>
      <c r="L32" s="146">
        <v>1</v>
      </c>
      <c r="M32" s="157" t="s">
        <v>1106</v>
      </c>
      <c r="N32" s="158">
        <v>9</v>
      </c>
      <c r="O32" s="157">
        <f t="shared" si="9"/>
        <v>0</v>
      </c>
      <c r="P32" s="157">
        <f t="shared" si="9"/>
        <v>2</v>
      </c>
      <c r="Q32" s="157">
        <f t="shared" si="9"/>
        <v>2</v>
      </c>
      <c r="R32" s="157">
        <f t="shared" si="9"/>
        <v>2</v>
      </c>
      <c r="S32" s="157">
        <f t="shared" si="9"/>
        <v>2</v>
      </c>
      <c r="T32" s="157">
        <f t="shared" si="9"/>
        <v>0</v>
      </c>
      <c r="U32" s="159">
        <f t="shared" si="9"/>
        <v>0</v>
      </c>
      <c r="V32" s="159">
        <f t="shared" si="9"/>
        <v>0</v>
      </c>
      <c r="W32" s="159">
        <f t="shared" si="9"/>
        <v>1</v>
      </c>
      <c r="X32" s="159">
        <f t="shared" si="9"/>
        <v>0</v>
      </c>
      <c r="Y32" s="145"/>
      <c r="AA32" s="6">
        <f t="shared" si="0"/>
        <v>50025</v>
      </c>
      <c r="AB32" s="6" t="b">
        <f t="shared" si="1"/>
        <v>1</v>
      </c>
      <c r="AD32" s="6"/>
      <c r="AE32" s="6" t="s">
        <v>110</v>
      </c>
      <c r="AF32" s="6">
        <v>50011</v>
      </c>
    </row>
    <row r="33" spans="1:32" ht="12" x14ac:dyDescent="0.3">
      <c r="A33" s="6">
        <f>INDEX('011.큐펫테이블'!A:A,MATCH(CupetList!B33,'011.큐펫테이블'!E:E,0),1)</f>
        <v>55026</v>
      </c>
      <c r="B33" s="6" t="s">
        <v>156</v>
      </c>
      <c r="C33" s="141">
        <v>6</v>
      </c>
      <c r="D33" s="141" t="s">
        <v>1051</v>
      </c>
      <c r="E33" s="141" t="s">
        <v>1084</v>
      </c>
      <c r="F33" s="141" t="s">
        <v>532</v>
      </c>
      <c r="G33" s="141">
        <v>3</v>
      </c>
      <c r="I33" s="151" t="str">
        <f t="shared" si="2"/>
        <v>-</v>
      </c>
      <c r="J33" s="151" t="str">
        <f t="shared" si="3"/>
        <v>-</v>
      </c>
      <c r="L33" s="146">
        <v>1</v>
      </c>
      <c r="M33" s="157" t="s">
        <v>1107</v>
      </c>
      <c r="N33" s="158">
        <v>4</v>
      </c>
      <c r="O33" s="157">
        <f t="shared" si="9"/>
        <v>0</v>
      </c>
      <c r="P33" s="157">
        <f t="shared" si="9"/>
        <v>0</v>
      </c>
      <c r="Q33" s="157">
        <f t="shared" si="9"/>
        <v>0</v>
      </c>
      <c r="R33" s="157">
        <f t="shared" si="9"/>
        <v>2</v>
      </c>
      <c r="S33" s="157">
        <f t="shared" si="9"/>
        <v>1</v>
      </c>
      <c r="T33" s="157">
        <f t="shared" si="9"/>
        <v>0</v>
      </c>
      <c r="U33" s="159">
        <f t="shared" si="9"/>
        <v>0</v>
      </c>
      <c r="V33" s="159">
        <f t="shared" si="9"/>
        <v>0</v>
      </c>
      <c r="W33" s="159">
        <f t="shared" si="9"/>
        <v>1</v>
      </c>
      <c r="X33" s="159">
        <f t="shared" si="9"/>
        <v>0</v>
      </c>
      <c r="Y33" s="145"/>
      <c r="AA33" s="6">
        <f t="shared" si="0"/>
        <v>50026</v>
      </c>
      <c r="AB33" s="6" t="b">
        <f t="shared" si="1"/>
        <v>1</v>
      </c>
      <c r="AD33" s="6"/>
      <c r="AE33" s="6" t="s">
        <v>110</v>
      </c>
      <c r="AF33" s="6">
        <v>150011</v>
      </c>
    </row>
    <row r="34" spans="1:32" ht="12" x14ac:dyDescent="0.3">
      <c r="A34" s="6">
        <f>INDEX('011.큐펫테이블'!A:A,MATCH(CupetList!B34,'011.큐펫테이블'!E:E,0),1)</f>
        <v>55027</v>
      </c>
      <c r="B34" s="6" t="s">
        <v>159</v>
      </c>
      <c r="C34" s="141">
        <v>6</v>
      </c>
      <c r="D34" s="141" t="s">
        <v>1051</v>
      </c>
      <c r="E34" s="141" t="s">
        <v>1083</v>
      </c>
      <c r="F34" s="141" t="s">
        <v>582</v>
      </c>
      <c r="G34" s="141">
        <v>5</v>
      </c>
      <c r="I34" s="151" t="str">
        <f t="shared" si="2"/>
        <v>-</v>
      </c>
      <c r="J34" s="151" t="str">
        <f t="shared" si="3"/>
        <v>-</v>
      </c>
      <c r="L34" s="146">
        <v>1</v>
      </c>
      <c r="M34" s="145"/>
      <c r="N34" s="145">
        <v>96</v>
      </c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AA34" s="6">
        <f t="shared" ref="AA34:AA65" si="10">VLOOKUP(B34,AE:AF,2,FALSE)</f>
        <v>50027</v>
      </c>
      <c r="AB34" s="6" t="b">
        <f t="shared" ref="AB34:AB65" si="11">IF(AA34+5000=A34,TRUE,FALSE)</f>
        <v>1</v>
      </c>
      <c r="AD34" s="6"/>
      <c r="AE34" s="6" t="s">
        <v>101</v>
      </c>
      <c r="AF34" s="6">
        <v>51008</v>
      </c>
    </row>
    <row r="35" spans="1:32" ht="12" x14ac:dyDescent="0.3">
      <c r="A35" s="6">
        <f>INDEX('011.큐펫테이블'!A:A,MATCH(CupetList!B35,'011.큐펫테이블'!E:E,0),1)</f>
        <v>55028</v>
      </c>
      <c r="B35" s="6" t="s">
        <v>162</v>
      </c>
      <c r="C35" s="141">
        <v>6</v>
      </c>
      <c r="D35" s="141" t="s">
        <v>1051</v>
      </c>
      <c r="E35" s="141" t="s">
        <v>1084</v>
      </c>
      <c r="F35" s="141" t="s">
        <v>532</v>
      </c>
      <c r="G35" s="141">
        <v>3</v>
      </c>
      <c r="I35" s="151" t="str">
        <f t="shared" si="2"/>
        <v>-</v>
      </c>
      <c r="J35" s="151" t="str">
        <f t="shared" si="3"/>
        <v>-</v>
      </c>
      <c r="L35" s="146">
        <v>1</v>
      </c>
      <c r="AA35" s="6">
        <f t="shared" si="10"/>
        <v>50028</v>
      </c>
      <c r="AB35" s="6" t="b">
        <f t="shared" si="11"/>
        <v>1</v>
      </c>
      <c r="AD35" s="6"/>
      <c r="AE35" s="6" t="s">
        <v>101</v>
      </c>
      <c r="AF35" s="6">
        <v>151008</v>
      </c>
    </row>
    <row r="36" spans="1:32" ht="12" x14ac:dyDescent="0.3">
      <c r="A36" s="6">
        <f>INDEX('011.큐펫테이블'!A:A,MATCH(CupetList!B36,'011.큐펫테이블'!E:E,0),1)</f>
        <v>55029</v>
      </c>
      <c r="B36" s="6" t="s">
        <v>165</v>
      </c>
      <c r="C36" s="141">
        <v>6</v>
      </c>
      <c r="D36" s="141" t="s">
        <v>1051</v>
      </c>
      <c r="E36" s="141" t="s">
        <v>1083</v>
      </c>
      <c r="F36" s="141" t="s">
        <v>532</v>
      </c>
      <c r="G36" s="141">
        <v>4</v>
      </c>
      <c r="I36" s="151" t="str">
        <f t="shared" si="2"/>
        <v>-</v>
      </c>
      <c r="J36" s="151" t="str">
        <f t="shared" si="3"/>
        <v>-</v>
      </c>
      <c r="L36" s="146">
        <v>1</v>
      </c>
      <c r="AA36" s="6">
        <f t="shared" si="10"/>
        <v>50029</v>
      </c>
      <c r="AB36" s="6" t="b">
        <f t="shared" si="11"/>
        <v>1</v>
      </c>
      <c r="AD36" s="6"/>
      <c r="AE36" s="6" t="s">
        <v>104</v>
      </c>
      <c r="AF36" s="6">
        <v>51009</v>
      </c>
    </row>
    <row r="37" spans="1:32" ht="12" x14ac:dyDescent="0.3">
      <c r="A37" s="6">
        <f>INDEX('011.큐펫테이블'!A:A,MATCH(CupetList!B37,'011.큐펫테이블'!E:E,0),1)</f>
        <v>55087</v>
      </c>
      <c r="B37" s="6" t="s">
        <v>1056</v>
      </c>
      <c r="C37" s="141">
        <v>6</v>
      </c>
      <c r="D37" s="141" t="s">
        <v>1054</v>
      </c>
      <c r="E37" s="141" t="s">
        <v>1084</v>
      </c>
      <c r="F37" s="141" t="s">
        <v>526</v>
      </c>
      <c r="G37" s="141">
        <v>7</v>
      </c>
      <c r="I37" s="151">
        <f t="shared" si="2"/>
        <v>7</v>
      </c>
      <c r="J37" s="151" t="str">
        <f t="shared" si="3"/>
        <v>-</v>
      </c>
      <c r="L37" s="146">
        <v>1</v>
      </c>
      <c r="AA37" s="6">
        <f t="shared" si="10"/>
        <v>50087</v>
      </c>
      <c r="AB37" s="6" t="b">
        <f t="shared" si="11"/>
        <v>1</v>
      </c>
      <c r="AD37" s="6"/>
      <c r="AE37" s="6" t="s">
        <v>104</v>
      </c>
      <c r="AF37" s="6">
        <v>151009</v>
      </c>
    </row>
    <row r="38" spans="1:32" ht="12" x14ac:dyDescent="0.3">
      <c r="A38" s="6">
        <f>INDEX('011.큐펫테이블'!A:A,MATCH(CupetList!B38,'011.큐펫테이블'!E:E,0),1)</f>
        <v>55030</v>
      </c>
      <c r="B38" s="6" t="s">
        <v>167</v>
      </c>
      <c r="C38" s="141">
        <v>7</v>
      </c>
      <c r="D38" s="141" t="s">
        <v>1051</v>
      </c>
      <c r="E38" s="141" t="s">
        <v>1083</v>
      </c>
      <c r="F38" s="141" t="s">
        <v>532</v>
      </c>
      <c r="G38" s="141">
        <v>3</v>
      </c>
      <c r="I38" s="151" t="str">
        <f t="shared" si="2"/>
        <v>-</v>
      </c>
      <c r="J38" s="151" t="str">
        <f t="shared" si="3"/>
        <v>-</v>
      </c>
      <c r="K38" s="154" t="s">
        <v>1112</v>
      </c>
      <c r="L38" s="146">
        <v>1</v>
      </c>
      <c r="AA38" s="6">
        <f t="shared" si="10"/>
        <v>50030</v>
      </c>
      <c r="AB38" s="6" t="b">
        <f t="shared" si="11"/>
        <v>1</v>
      </c>
      <c r="AD38" s="6"/>
      <c r="AE38" s="6" t="s">
        <v>107</v>
      </c>
      <c r="AF38" s="6">
        <v>51010</v>
      </c>
    </row>
    <row r="39" spans="1:32" ht="12" x14ac:dyDescent="0.3">
      <c r="A39" s="6">
        <f>INDEX('011.큐펫테이블'!A:A,MATCH(CupetList!B39,'011.큐펫테이블'!E:E,0),1)</f>
        <v>55031</v>
      </c>
      <c r="B39" s="6" t="s">
        <v>1057</v>
      </c>
      <c r="C39" s="141">
        <v>7</v>
      </c>
      <c r="D39" s="141" t="s">
        <v>1051</v>
      </c>
      <c r="E39" s="141" t="s">
        <v>1084</v>
      </c>
      <c r="F39" s="141" t="s">
        <v>532</v>
      </c>
      <c r="G39" s="141">
        <v>3</v>
      </c>
      <c r="I39" s="151" t="str">
        <f t="shared" si="2"/>
        <v>-</v>
      </c>
      <c r="J39" s="151" t="str">
        <f t="shared" si="3"/>
        <v>-</v>
      </c>
      <c r="K39" s="154" t="s">
        <v>1112</v>
      </c>
      <c r="L39" s="146">
        <v>1</v>
      </c>
      <c r="AA39" s="6">
        <f t="shared" si="10"/>
        <v>50031</v>
      </c>
      <c r="AB39" s="6" t="b">
        <f t="shared" si="11"/>
        <v>1</v>
      </c>
      <c r="AD39" s="6"/>
      <c r="AE39" s="6" t="s">
        <v>107</v>
      </c>
      <c r="AF39" s="6">
        <v>151010</v>
      </c>
    </row>
    <row r="40" spans="1:32" ht="12" x14ac:dyDescent="0.3">
      <c r="A40" s="6">
        <f>INDEX('011.큐펫테이블'!A:A,MATCH(CupetList!B40,'011.큐펫테이블'!E:E,0),1)</f>
        <v>55032</v>
      </c>
      <c r="B40" s="6" t="s">
        <v>1058</v>
      </c>
      <c r="C40" s="141">
        <v>7</v>
      </c>
      <c r="D40" s="141" t="s">
        <v>1051</v>
      </c>
      <c r="E40" s="141" t="s">
        <v>1084</v>
      </c>
      <c r="F40" s="141" t="s">
        <v>526</v>
      </c>
      <c r="G40" s="141">
        <v>2</v>
      </c>
      <c r="I40" s="151" t="str">
        <f t="shared" si="2"/>
        <v>-</v>
      </c>
      <c r="J40" s="151" t="str">
        <f t="shared" si="3"/>
        <v>-</v>
      </c>
      <c r="L40" s="146">
        <v>1</v>
      </c>
      <c r="AA40" s="6">
        <f t="shared" si="10"/>
        <v>50032</v>
      </c>
      <c r="AB40" s="6" t="b">
        <f t="shared" si="11"/>
        <v>1</v>
      </c>
      <c r="AD40" s="6"/>
      <c r="AE40" s="6" t="s">
        <v>110</v>
      </c>
      <c r="AF40" s="6">
        <v>51011</v>
      </c>
    </row>
    <row r="41" spans="1:32" ht="12" x14ac:dyDescent="0.3">
      <c r="A41" s="6">
        <f>INDEX('011.큐펫테이블'!A:A,MATCH(CupetList!B41,'011.큐펫테이블'!E:E,0),1)</f>
        <v>55033</v>
      </c>
      <c r="B41" s="6" t="s">
        <v>1059</v>
      </c>
      <c r="C41" s="141">
        <v>7</v>
      </c>
      <c r="D41" s="141" t="s">
        <v>1051</v>
      </c>
      <c r="E41" s="141" t="s">
        <v>1083</v>
      </c>
      <c r="F41" s="141" t="s">
        <v>532</v>
      </c>
      <c r="G41" s="141">
        <v>4</v>
      </c>
      <c r="I41" s="151" t="str">
        <f t="shared" si="2"/>
        <v>-</v>
      </c>
      <c r="J41" s="151" t="str">
        <f t="shared" si="3"/>
        <v>-</v>
      </c>
      <c r="L41" s="146">
        <v>1</v>
      </c>
      <c r="AA41" s="6">
        <f t="shared" si="10"/>
        <v>50033</v>
      </c>
      <c r="AB41" s="6" t="b">
        <f t="shared" si="11"/>
        <v>1</v>
      </c>
      <c r="AD41" s="6"/>
      <c r="AE41" s="6" t="s">
        <v>110</v>
      </c>
      <c r="AF41" s="6">
        <v>151011</v>
      </c>
    </row>
    <row r="42" spans="1:32" ht="12" x14ac:dyDescent="0.3">
      <c r="A42" s="6">
        <f>INDEX('011.큐펫테이블'!A:A,MATCH(CupetList!B42,'011.큐펫테이블'!E:E,0),1)</f>
        <v>55088</v>
      </c>
      <c r="B42" s="6" t="s">
        <v>1060</v>
      </c>
      <c r="C42" s="141">
        <v>7</v>
      </c>
      <c r="D42" s="141" t="s">
        <v>1054</v>
      </c>
      <c r="E42" s="141" t="s">
        <v>1083</v>
      </c>
      <c r="F42" s="141" t="s">
        <v>526</v>
      </c>
      <c r="G42" s="141">
        <v>8</v>
      </c>
      <c r="I42" s="151">
        <f t="shared" si="2"/>
        <v>8</v>
      </c>
      <c r="J42" s="151" t="str">
        <f t="shared" si="3"/>
        <v>-</v>
      </c>
      <c r="L42" s="146">
        <v>1</v>
      </c>
      <c r="AA42" s="6">
        <f t="shared" si="10"/>
        <v>50088</v>
      </c>
      <c r="AB42" s="6" t="b">
        <f t="shared" si="11"/>
        <v>1</v>
      </c>
      <c r="AD42" s="6"/>
      <c r="AE42" s="6" t="s">
        <v>101</v>
      </c>
      <c r="AF42" s="6">
        <v>52008</v>
      </c>
    </row>
    <row r="43" spans="1:32" ht="12" x14ac:dyDescent="0.3">
      <c r="A43" s="6">
        <f>INDEX('011.큐펫테이블'!A:A,MATCH(CupetList!B43,'011.큐펫테이블'!E:E,0),1)</f>
        <v>55034</v>
      </c>
      <c r="B43" s="6" t="s">
        <v>173</v>
      </c>
      <c r="C43" s="141">
        <v>8</v>
      </c>
      <c r="D43" s="141" t="s">
        <v>1051</v>
      </c>
      <c r="E43" s="141" t="s">
        <v>1083</v>
      </c>
      <c r="F43" s="141" t="s">
        <v>526</v>
      </c>
      <c r="G43" s="141">
        <v>3</v>
      </c>
      <c r="I43" s="151" t="str">
        <f t="shared" si="2"/>
        <v>-</v>
      </c>
      <c r="J43" s="151" t="str">
        <f t="shared" si="3"/>
        <v>-</v>
      </c>
      <c r="L43" s="146">
        <v>1</v>
      </c>
      <c r="AA43" s="6">
        <f t="shared" si="10"/>
        <v>50034</v>
      </c>
      <c r="AB43" s="6" t="b">
        <f t="shared" si="11"/>
        <v>1</v>
      </c>
      <c r="AD43" s="6"/>
      <c r="AE43" s="6" t="s">
        <v>101</v>
      </c>
      <c r="AF43" s="6">
        <v>152008</v>
      </c>
    </row>
    <row r="44" spans="1:32" ht="12" x14ac:dyDescent="0.3">
      <c r="A44" s="6">
        <f>INDEX('011.큐펫테이블'!A:A,MATCH(CupetList!B44,'011.큐펫테이블'!E:E,0),1)</f>
        <v>55035</v>
      </c>
      <c r="B44" s="6" t="s">
        <v>176</v>
      </c>
      <c r="C44" s="141">
        <v>8</v>
      </c>
      <c r="D44" s="141" t="s">
        <v>1051</v>
      </c>
      <c r="E44" s="141" t="s">
        <v>1083</v>
      </c>
      <c r="F44" s="141" t="s">
        <v>559</v>
      </c>
      <c r="G44" s="141">
        <v>2</v>
      </c>
      <c r="I44" s="151" t="str">
        <f t="shared" si="2"/>
        <v>-</v>
      </c>
      <c r="J44" s="151" t="str">
        <f t="shared" si="3"/>
        <v>-</v>
      </c>
      <c r="L44" s="146">
        <v>1</v>
      </c>
      <c r="AA44" s="6">
        <f t="shared" si="10"/>
        <v>50035</v>
      </c>
      <c r="AB44" s="6" t="b">
        <f t="shared" si="11"/>
        <v>1</v>
      </c>
      <c r="AD44" s="6"/>
      <c r="AE44" s="6" t="s">
        <v>104</v>
      </c>
      <c r="AF44" s="6">
        <v>52009</v>
      </c>
    </row>
    <row r="45" spans="1:32" ht="12" x14ac:dyDescent="0.3">
      <c r="A45" s="6">
        <f>INDEX('011.큐펫테이블'!A:A,MATCH(CupetList!B45,'011.큐펫테이블'!E:E,0),1)</f>
        <v>55036</v>
      </c>
      <c r="B45" s="6" t="s">
        <v>179</v>
      </c>
      <c r="C45" s="141">
        <v>8</v>
      </c>
      <c r="D45" s="141" t="s">
        <v>1051</v>
      </c>
      <c r="E45" s="141" t="s">
        <v>1084</v>
      </c>
      <c r="F45" s="141" t="s">
        <v>559</v>
      </c>
      <c r="G45" s="141">
        <v>4</v>
      </c>
      <c r="I45" s="151" t="str">
        <f t="shared" si="2"/>
        <v>-</v>
      </c>
      <c r="J45" s="151" t="str">
        <f t="shared" si="3"/>
        <v>-</v>
      </c>
      <c r="L45" s="146">
        <v>1</v>
      </c>
      <c r="AA45" s="6">
        <f t="shared" si="10"/>
        <v>50036</v>
      </c>
      <c r="AB45" s="6" t="b">
        <f t="shared" si="11"/>
        <v>1</v>
      </c>
      <c r="AD45" s="6"/>
      <c r="AE45" s="6" t="s">
        <v>104</v>
      </c>
      <c r="AF45" s="6">
        <v>152009</v>
      </c>
    </row>
    <row r="46" spans="1:32" ht="12" x14ac:dyDescent="0.3">
      <c r="A46" s="6">
        <f>INDEX('011.큐펫테이블'!A:A,MATCH(CupetList!B46,'011.큐펫테이블'!E:E,0),1)</f>
        <v>55037</v>
      </c>
      <c r="B46" s="6" t="s">
        <v>182</v>
      </c>
      <c r="C46" s="141">
        <v>8</v>
      </c>
      <c r="D46" s="141" t="s">
        <v>1051</v>
      </c>
      <c r="E46" s="141" t="s">
        <v>1083</v>
      </c>
      <c r="F46" s="141" t="s">
        <v>526</v>
      </c>
      <c r="G46" s="141">
        <v>3</v>
      </c>
      <c r="I46" s="151" t="str">
        <f t="shared" si="2"/>
        <v>-</v>
      </c>
      <c r="J46" s="151" t="str">
        <f t="shared" si="3"/>
        <v>-</v>
      </c>
      <c r="L46" s="146">
        <v>1</v>
      </c>
      <c r="AA46" s="6">
        <f t="shared" si="10"/>
        <v>50037</v>
      </c>
      <c r="AB46" s="6" t="b">
        <f t="shared" si="11"/>
        <v>1</v>
      </c>
      <c r="AD46" s="6"/>
      <c r="AE46" s="6" t="s">
        <v>107</v>
      </c>
      <c r="AF46" s="6">
        <v>52010</v>
      </c>
    </row>
    <row r="47" spans="1:32" ht="12" x14ac:dyDescent="0.3">
      <c r="A47" s="6">
        <f>INDEX('011.큐펫테이블'!A:A,MATCH(CupetList!B47,'011.큐펫테이블'!E:E,0),1)</f>
        <v>55038</v>
      </c>
      <c r="B47" s="6" t="s">
        <v>185</v>
      </c>
      <c r="C47" s="141">
        <v>8</v>
      </c>
      <c r="D47" s="141" t="s">
        <v>1051</v>
      </c>
      <c r="E47" s="141" t="s">
        <v>1084</v>
      </c>
      <c r="F47" s="141" t="s">
        <v>559</v>
      </c>
      <c r="G47" s="141">
        <v>5</v>
      </c>
      <c r="I47" s="151" t="str">
        <f t="shared" si="2"/>
        <v>-</v>
      </c>
      <c r="J47" s="151" t="str">
        <f t="shared" si="3"/>
        <v>-</v>
      </c>
      <c r="L47" s="146">
        <v>1</v>
      </c>
      <c r="AA47" s="6">
        <f t="shared" si="10"/>
        <v>50038</v>
      </c>
      <c r="AB47" s="6" t="b">
        <f t="shared" si="11"/>
        <v>1</v>
      </c>
      <c r="AD47" s="6"/>
      <c r="AE47" s="6" t="s">
        <v>107</v>
      </c>
      <c r="AF47" s="6">
        <v>152010</v>
      </c>
    </row>
    <row r="48" spans="1:32" ht="12" x14ac:dyDescent="0.3">
      <c r="A48" s="6">
        <f>INDEX('011.큐펫테이블'!A:A,MATCH(CupetList!B48,'011.큐펫테이블'!E:E,0),1)</f>
        <v>55039</v>
      </c>
      <c r="B48" s="6" t="s">
        <v>188</v>
      </c>
      <c r="C48" s="141">
        <v>8</v>
      </c>
      <c r="D48" s="141" t="s">
        <v>1051</v>
      </c>
      <c r="E48" s="141" t="s">
        <v>1083</v>
      </c>
      <c r="F48" s="141" t="s">
        <v>582</v>
      </c>
      <c r="G48" s="141">
        <v>3</v>
      </c>
      <c r="I48" s="151" t="str">
        <f t="shared" si="2"/>
        <v>-</v>
      </c>
      <c r="J48" s="151" t="str">
        <f t="shared" si="3"/>
        <v>-</v>
      </c>
      <c r="L48" s="146">
        <v>1</v>
      </c>
      <c r="AA48" s="6">
        <f t="shared" si="10"/>
        <v>50039</v>
      </c>
      <c r="AB48" s="6" t="b">
        <f t="shared" si="11"/>
        <v>1</v>
      </c>
      <c r="AD48" s="6"/>
      <c r="AE48" s="6" t="s">
        <v>110</v>
      </c>
      <c r="AF48" s="6">
        <v>52011</v>
      </c>
    </row>
    <row r="49" spans="1:32" ht="12" x14ac:dyDescent="0.3">
      <c r="A49" s="6">
        <f>INDEX('011.큐펫테이블'!A:A,MATCH(CupetList!B49,'011.큐펫테이블'!E:E,0),1)</f>
        <v>55040</v>
      </c>
      <c r="B49" s="6" t="s">
        <v>191</v>
      </c>
      <c r="C49" s="141">
        <v>8</v>
      </c>
      <c r="D49" s="141" t="s">
        <v>1051</v>
      </c>
      <c r="E49" s="141" t="s">
        <v>1084</v>
      </c>
      <c r="F49" s="141" t="s">
        <v>532</v>
      </c>
      <c r="G49" s="141">
        <v>4</v>
      </c>
      <c r="I49" s="151" t="str">
        <f t="shared" si="2"/>
        <v>-</v>
      </c>
      <c r="J49" s="151" t="str">
        <f t="shared" si="3"/>
        <v>-</v>
      </c>
      <c r="L49" s="146">
        <v>1</v>
      </c>
      <c r="AA49" s="6">
        <f t="shared" si="10"/>
        <v>50040</v>
      </c>
      <c r="AB49" s="6" t="b">
        <f t="shared" si="11"/>
        <v>1</v>
      </c>
      <c r="AD49" s="6"/>
      <c r="AE49" s="6" t="s">
        <v>110</v>
      </c>
      <c r="AF49" s="6">
        <v>152011</v>
      </c>
    </row>
    <row r="50" spans="1:32" ht="12" x14ac:dyDescent="0.3">
      <c r="A50" s="6">
        <f>INDEX('011.큐펫테이블'!A:A,MATCH(CupetList!B50,'011.큐펫테이블'!E:E,0),1)</f>
        <v>55041</v>
      </c>
      <c r="B50" s="6" t="s">
        <v>194</v>
      </c>
      <c r="C50" s="141">
        <v>8</v>
      </c>
      <c r="D50" s="141" t="s">
        <v>1051</v>
      </c>
      <c r="E50" s="141" t="s">
        <v>1083</v>
      </c>
      <c r="F50" s="141" t="s">
        <v>532</v>
      </c>
      <c r="G50" s="141">
        <v>6</v>
      </c>
      <c r="I50" s="151" t="str">
        <f t="shared" si="2"/>
        <v>-</v>
      </c>
      <c r="J50" s="151" t="str">
        <f t="shared" si="3"/>
        <v>-</v>
      </c>
      <c r="L50" s="146">
        <v>1</v>
      </c>
      <c r="AA50" s="6">
        <f t="shared" si="10"/>
        <v>50041</v>
      </c>
      <c r="AB50" s="6" t="b">
        <f t="shared" si="11"/>
        <v>1</v>
      </c>
      <c r="AD50" s="6"/>
      <c r="AE50" s="6" t="s">
        <v>101</v>
      </c>
      <c r="AF50" s="6">
        <v>53008</v>
      </c>
    </row>
    <row r="51" spans="1:32" ht="12" x14ac:dyDescent="0.3">
      <c r="A51" s="6">
        <f>INDEX('011.큐펫테이블'!A:A,MATCH(CupetList!B51,'011.큐펫테이블'!E:E,0),1)</f>
        <v>55089</v>
      </c>
      <c r="B51" s="6" t="s">
        <v>1061</v>
      </c>
      <c r="C51" s="141">
        <v>8</v>
      </c>
      <c r="D51" s="141" t="s">
        <v>1054</v>
      </c>
      <c r="E51" s="141" t="s">
        <v>1084</v>
      </c>
      <c r="F51" s="141" t="s">
        <v>532</v>
      </c>
      <c r="G51" s="141">
        <v>8</v>
      </c>
      <c r="I51" s="151">
        <f t="shared" si="2"/>
        <v>8</v>
      </c>
      <c r="J51" s="151" t="str">
        <f t="shared" si="3"/>
        <v>-</v>
      </c>
      <c r="L51" s="146">
        <v>1</v>
      </c>
      <c r="AA51" s="6">
        <f t="shared" si="10"/>
        <v>50089</v>
      </c>
      <c r="AB51" s="6" t="b">
        <f t="shared" si="11"/>
        <v>1</v>
      </c>
      <c r="AD51" s="6"/>
      <c r="AE51" s="6" t="s">
        <v>101</v>
      </c>
      <c r="AF51" s="6">
        <v>153008</v>
      </c>
    </row>
    <row r="52" spans="1:32" ht="12" x14ac:dyDescent="0.3">
      <c r="A52" s="6">
        <f>INDEX('011.큐펫테이블'!A:A,MATCH(CupetList!B52,'011.큐펫테이블'!E:E,0),1)</f>
        <v>55072</v>
      </c>
      <c r="B52" s="6" t="s">
        <v>285</v>
      </c>
      <c r="C52" s="141">
        <v>9</v>
      </c>
      <c r="D52" s="141" t="s">
        <v>1051</v>
      </c>
      <c r="E52" s="141" t="s">
        <v>1083</v>
      </c>
      <c r="F52" s="141" t="s">
        <v>559</v>
      </c>
      <c r="G52" s="141">
        <v>3</v>
      </c>
      <c r="I52" s="151" t="str">
        <f t="shared" si="2"/>
        <v>-</v>
      </c>
      <c r="J52" s="151" t="str">
        <f t="shared" si="3"/>
        <v>-</v>
      </c>
      <c r="L52" s="146">
        <v>1</v>
      </c>
      <c r="AA52" s="6">
        <f t="shared" si="10"/>
        <v>50072</v>
      </c>
      <c r="AB52" s="6" t="b">
        <f t="shared" si="11"/>
        <v>1</v>
      </c>
      <c r="AD52" s="6"/>
      <c r="AE52" s="6" t="s">
        <v>104</v>
      </c>
      <c r="AF52" s="6">
        <v>53009</v>
      </c>
    </row>
    <row r="53" spans="1:32" ht="12" x14ac:dyDescent="0.3">
      <c r="A53" s="6">
        <f>INDEX('011.큐펫테이블'!A:A,MATCH(CupetList!B53,'011.큐펫테이블'!E:E,0),1)</f>
        <v>55073</v>
      </c>
      <c r="B53" s="6" t="s">
        <v>288</v>
      </c>
      <c r="C53" s="141">
        <v>9</v>
      </c>
      <c r="D53" s="141" t="s">
        <v>1051</v>
      </c>
      <c r="E53" s="141" t="s">
        <v>1084</v>
      </c>
      <c r="F53" s="141" t="s">
        <v>582</v>
      </c>
      <c r="G53" s="141">
        <v>4</v>
      </c>
      <c r="I53" s="151" t="str">
        <f t="shared" si="2"/>
        <v>-</v>
      </c>
      <c r="J53" s="151" t="str">
        <f t="shared" si="3"/>
        <v>오크 워리어</v>
      </c>
      <c r="L53" s="146">
        <v>1</v>
      </c>
      <c r="AA53" s="6">
        <f t="shared" si="10"/>
        <v>50073</v>
      </c>
      <c r="AB53" s="6" t="b">
        <f t="shared" si="11"/>
        <v>1</v>
      </c>
      <c r="AD53" s="6"/>
      <c r="AE53" s="6" t="s">
        <v>104</v>
      </c>
      <c r="AF53" s="6">
        <v>153009</v>
      </c>
    </row>
    <row r="54" spans="1:32" ht="12" x14ac:dyDescent="0.3">
      <c r="A54" s="6">
        <f>INDEX('011.큐펫테이블'!A:A,MATCH(CupetList!B54,'011.큐펫테이블'!E:E,0),1)</f>
        <v>55074</v>
      </c>
      <c r="B54" s="6" t="s">
        <v>291</v>
      </c>
      <c r="C54" s="141">
        <v>9</v>
      </c>
      <c r="D54" s="141" t="s">
        <v>1051</v>
      </c>
      <c r="E54" s="141" t="s">
        <v>1083</v>
      </c>
      <c r="F54" s="141" t="s">
        <v>559</v>
      </c>
      <c r="G54" s="141">
        <v>5</v>
      </c>
      <c r="I54" s="151" t="str">
        <f t="shared" si="2"/>
        <v>-</v>
      </c>
      <c r="J54" s="151" t="str">
        <f t="shared" si="3"/>
        <v>-</v>
      </c>
      <c r="L54" s="146">
        <v>1</v>
      </c>
      <c r="AA54" s="6">
        <f t="shared" si="10"/>
        <v>50074</v>
      </c>
      <c r="AB54" s="6" t="b">
        <f t="shared" si="11"/>
        <v>1</v>
      </c>
      <c r="AD54" s="6"/>
      <c r="AE54" s="6" t="s">
        <v>107</v>
      </c>
      <c r="AF54" s="6">
        <v>53010</v>
      </c>
    </row>
    <row r="55" spans="1:32" ht="12" x14ac:dyDescent="0.3">
      <c r="A55" s="6">
        <f>INDEX('011.큐펫테이블'!A:A,MATCH(CupetList!B55,'011.큐펫테이블'!E:E,0),1)</f>
        <v>55075</v>
      </c>
      <c r="B55" s="6" t="s">
        <v>1062</v>
      </c>
      <c r="C55" s="141">
        <v>9</v>
      </c>
      <c r="D55" s="141" t="s">
        <v>1051</v>
      </c>
      <c r="E55" s="141" t="s">
        <v>1084</v>
      </c>
      <c r="F55" s="141" t="s">
        <v>526</v>
      </c>
      <c r="G55" s="141">
        <v>6</v>
      </c>
      <c r="I55" s="151" t="str">
        <f t="shared" si="2"/>
        <v>-</v>
      </c>
      <c r="J55" s="151" t="str">
        <f t="shared" si="3"/>
        <v>-</v>
      </c>
      <c r="L55" s="146">
        <v>1</v>
      </c>
      <c r="AA55" s="6">
        <f t="shared" si="10"/>
        <v>50075</v>
      </c>
      <c r="AB55" s="6" t="b">
        <f t="shared" si="11"/>
        <v>1</v>
      </c>
      <c r="AD55" s="6"/>
      <c r="AE55" s="6" t="s">
        <v>107</v>
      </c>
      <c r="AF55" s="6">
        <v>153010</v>
      </c>
    </row>
    <row r="56" spans="1:32" ht="12" x14ac:dyDescent="0.3">
      <c r="A56" s="6">
        <f>INDEX('011.큐펫테이블'!A:A,MATCH(CupetList!B56,'011.큐펫테이블'!E:E,0),1)</f>
        <v>55076</v>
      </c>
      <c r="B56" s="6" t="s">
        <v>1063</v>
      </c>
      <c r="C56" s="141">
        <v>9</v>
      </c>
      <c r="D56" s="141" t="s">
        <v>1054</v>
      </c>
      <c r="E56" s="141" t="s">
        <v>1084</v>
      </c>
      <c r="F56" s="141" t="s">
        <v>582</v>
      </c>
      <c r="G56" s="141">
        <v>8</v>
      </c>
      <c r="I56" s="151">
        <f t="shared" si="2"/>
        <v>8</v>
      </c>
      <c r="J56" s="151" t="str">
        <f t="shared" si="3"/>
        <v>-</v>
      </c>
      <c r="L56" s="146">
        <v>1</v>
      </c>
      <c r="AA56" s="6">
        <f t="shared" si="10"/>
        <v>50076</v>
      </c>
      <c r="AB56" s="6" t="b">
        <f t="shared" si="11"/>
        <v>1</v>
      </c>
      <c r="AD56" s="6"/>
      <c r="AE56" s="6" t="s">
        <v>110</v>
      </c>
      <c r="AF56" s="6">
        <v>53011</v>
      </c>
    </row>
    <row r="57" spans="1:32" ht="12" x14ac:dyDescent="0.3">
      <c r="A57" s="6">
        <f>INDEX('011.큐펫테이블'!A:A,MATCH(CupetList!B57,'011.큐펫테이블'!E:E,0),1)</f>
        <v>55051</v>
      </c>
      <c r="B57" s="6" t="s">
        <v>223</v>
      </c>
      <c r="C57" s="141">
        <v>10</v>
      </c>
      <c r="D57" s="141" t="s">
        <v>1051</v>
      </c>
      <c r="E57" s="141" t="s">
        <v>1083</v>
      </c>
      <c r="F57" s="141" t="s">
        <v>582</v>
      </c>
      <c r="G57" s="141">
        <v>4</v>
      </c>
      <c r="I57" s="151" t="str">
        <f t="shared" si="2"/>
        <v>-</v>
      </c>
      <c r="J57" s="151" t="str">
        <f t="shared" si="3"/>
        <v>게</v>
      </c>
      <c r="L57" s="146">
        <v>1</v>
      </c>
      <c r="AA57" s="6">
        <f t="shared" si="10"/>
        <v>50051</v>
      </c>
      <c r="AB57" s="6" t="b">
        <f t="shared" si="11"/>
        <v>1</v>
      </c>
      <c r="AD57" s="6"/>
      <c r="AE57" s="6" t="s">
        <v>110</v>
      </c>
      <c r="AF57" s="6">
        <v>153011</v>
      </c>
    </row>
    <row r="58" spans="1:32" ht="12" x14ac:dyDescent="0.3">
      <c r="A58" s="6">
        <f>INDEX('011.큐펫테이블'!A:A,MATCH(CupetList!B58,'011.큐펫테이블'!E:E,0),1)</f>
        <v>55052</v>
      </c>
      <c r="B58" s="6" t="s">
        <v>226</v>
      </c>
      <c r="C58" s="141">
        <v>10</v>
      </c>
      <c r="D58" s="141" t="s">
        <v>1051</v>
      </c>
      <c r="E58" s="141" t="s">
        <v>1083</v>
      </c>
      <c r="F58" s="141" t="s">
        <v>526</v>
      </c>
      <c r="G58" s="141">
        <v>5</v>
      </c>
      <c r="I58" s="151" t="str">
        <f t="shared" si="2"/>
        <v>-</v>
      </c>
      <c r="J58" s="151" t="str">
        <f t="shared" si="3"/>
        <v>-</v>
      </c>
      <c r="L58" s="146">
        <v>1</v>
      </c>
      <c r="AA58" s="6">
        <f t="shared" si="10"/>
        <v>50052</v>
      </c>
      <c r="AB58" s="6" t="b">
        <f t="shared" si="11"/>
        <v>1</v>
      </c>
      <c r="AD58" s="6"/>
      <c r="AE58" s="6" t="s">
        <v>120</v>
      </c>
      <c r="AF58" s="6">
        <v>50014</v>
      </c>
    </row>
    <row r="59" spans="1:32" ht="12" x14ac:dyDescent="0.3">
      <c r="A59" s="6">
        <f>INDEX('011.큐펫테이블'!A:A,MATCH(CupetList!B59,'011.큐펫테이블'!E:E,0),1)</f>
        <v>55053</v>
      </c>
      <c r="B59" s="6" t="s">
        <v>229</v>
      </c>
      <c r="C59" s="141">
        <v>10</v>
      </c>
      <c r="D59" s="141" t="s">
        <v>1051</v>
      </c>
      <c r="E59" s="141" t="s">
        <v>1084</v>
      </c>
      <c r="F59" s="141" t="s">
        <v>559</v>
      </c>
      <c r="G59" s="141">
        <v>6</v>
      </c>
      <c r="I59" s="151" t="str">
        <f t="shared" si="2"/>
        <v>-</v>
      </c>
      <c r="J59" s="151" t="str">
        <f t="shared" si="3"/>
        <v>-</v>
      </c>
      <c r="L59" s="146">
        <v>1</v>
      </c>
      <c r="AA59" s="6">
        <f t="shared" si="10"/>
        <v>50053</v>
      </c>
      <c r="AB59" s="6" t="b">
        <f t="shared" si="11"/>
        <v>1</v>
      </c>
      <c r="AD59" s="6"/>
      <c r="AE59" s="6" t="s">
        <v>117</v>
      </c>
      <c r="AF59" s="6">
        <v>50013</v>
      </c>
    </row>
    <row r="60" spans="1:32" ht="12" x14ac:dyDescent="0.3">
      <c r="A60" s="6">
        <f>INDEX('011.큐펫테이블'!A:A,MATCH(CupetList!B60,'011.큐펫테이블'!E:E,0),1)</f>
        <v>55058</v>
      </c>
      <c r="B60" s="6" t="s">
        <v>244</v>
      </c>
      <c r="C60" s="141">
        <v>10</v>
      </c>
      <c r="D60" s="141" t="s">
        <v>1051</v>
      </c>
      <c r="E60" s="141" t="s">
        <v>1084</v>
      </c>
      <c r="F60" s="141" t="s">
        <v>526</v>
      </c>
      <c r="G60" s="141">
        <v>3</v>
      </c>
      <c r="I60" s="151" t="str">
        <f t="shared" si="2"/>
        <v>-</v>
      </c>
      <c r="J60" s="151" t="str">
        <f t="shared" si="3"/>
        <v>-</v>
      </c>
      <c r="L60" s="146">
        <v>1</v>
      </c>
      <c r="AA60" s="6">
        <f t="shared" si="10"/>
        <v>50058</v>
      </c>
      <c r="AB60" s="6" t="b">
        <f t="shared" si="11"/>
        <v>1</v>
      </c>
      <c r="AD60" s="6"/>
      <c r="AE60" s="6" t="s">
        <v>126</v>
      </c>
      <c r="AF60" s="6">
        <v>50016</v>
      </c>
    </row>
    <row r="61" spans="1:32" ht="12" x14ac:dyDescent="0.3">
      <c r="A61" s="6">
        <f>INDEX('011.큐펫테이블'!A:A,MATCH(CupetList!B61,'011.큐펫테이블'!E:E,0),1)</f>
        <v>55059</v>
      </c>
      <c r="B61" s="6" t="s">
        <v>247</v>
      </c>
      <c r="C61" s="141">
        <v>10</v>
      </c>
      <c r="D61" s="141" t="s">
        <v>1051</v>
      </c>
      <c r="E61" s="141" t="s">
        <v>1084</v>
      </c>
      <c r="F61" s="141" t="s">
        <v>532</v>
      </c>
      <c r="G61" s="141">
        <v>5</v>
      </c>
      <c r="I61" s="151" t="str">
        <f t="shared" si="2"/>
        <v>-</v>
      </c>
      <c r="J61" s="151" t="str">
        <f t="shared" si="3"/>
        <v>-</v>
      </c>
      <c r="L61" s="146">
        <v>1</v>
      </c>
      <c r="AA61" s="6">
        <f t="shared" si="10"/>
        <v>50059</v>
      </c>
      <c r="AB61" s="6" t="b">
        <f t="shared" si="11"/>
        <v>1</v>
      </c>
      <c r="AD61" s="6"/>
      <c r="AE61" s="6" t="s">
        <v>132</v>
      </c>
      <c r="AF61" s="6">
        <v>50018</v>
      </c>
    </row>
    <row r="62" spans="1:32" ht="12" x14ac:dyDescent="0.3">
      <c r="A62" s="6">
        <f>INDEX('011.큐펫테이블'!A:A,MATCH(CupetList!B62,'011.큐펫테이블'!E:E,0),1)</f>
        <v>55090</v>
      </c>
      <c r="B62" s="6" t="s">
        <v>1064</v>
      </c>
      <c r="C62" s="141">
        <v>10</v>
      </c>
      <c r="D62" s="141" t="s">
        <v>1054</v>
      </c>
      <c r="E62" s="141" t="s">
        <v>1084</v>
      </c>
      <c r="F62" s="141" t="s">
        <v>559</v>
      </c>
      <c r="G62" s="141">
        <v>8</v>
      </c>
      <c r="I62" s="151">
        <f t="shared" si="2"/>
        <v>8</v>
      </c>
      <c r="J62" s="151" t="str">
        <f t="shared" si="3"/>
        <v>-</v>
      </c>
      <c r="L62" s="146">
        <v>1</v>
      </c>
      <c r="AA62" s="6">
        <f t="shared" si="10"/>
        <v>50090</v>
      </c>
      <c r="AB62" s="6" t="b">
        <f t="shared" si="11"/>
        <v>1</v>
      </c>
      <c r="AD62" s="6"/>
      <c r="AE62" s="6" t="s">
        <v>129</v>
      </c>
      <c r="AF62" s="6">
        <v>50017</v>
      </c>
    </row>
    <row r="63" spans="1:32" ht="12" x14ac:dyDescent="0.3">
      <c r="A63" s="6">
        <f>INDEX('011.큐펫테이블'!A:A,MATCH(CupetList!B63,'011.큐펫테이블'!E:E,0),1)</f>
        <v>55054</v>
      </c>
      <c r="B63" s="6" t="s">
        <v>232</v>
      </c>
      <c r="C63" s="141">
        <v>10.5</v>
      </c>
      <c r="D63" s="141" t="s">
        <v>1051</v>
      </c>
      <c r="E63" s="141" t="s">
        <v>1084</v>
      </c>
      <c r="F63" s="141" t="s">
        <v>582</v>
      </c>
      <c r="G63" s="141">
        <v>4</v>
      </c>
      <c r="I63" s="151" t="str">
        <f t="shared" si="2"/>
        <v>-</v>
      </c>
      <c r="J63" s="151" t="str">
        <f t="shared" si="3"/>
        <v>마스터링</v>
      </c>
      <c r="L63" s="146">
        <v>1</v>
      </c>
      <c r="AA63" s="6">
        <f t="shared" si="10"/>
        <v>50054</v>
      </c>
      <c r="AB63" s="6" t="b">
        <f t="shared" si="11"/>
        <v>1</v>
      </c>
      <c r="AD63" s="6"/>
      <c r="AE63" s="6" t="s">
        <v>135</v>
      </c>
      <c r="AF63" s="6">
        <v>50019</v>
      </c>
    </row>
    <row r="64" spans="1:32" ht="12" x14ac:dyDescent="0.3">
      <c r="A64" s="6">
        <f>INDEX('011.큐펫테이블'!A:A,MATCH(CupetList!B64,'011.큐펫테이블'!E:E,0),1)</f>
        <v>55056</v>
      </c>
      <c r="B64" s="6" t="s">
        <v>238</v>
      </c>
      <c r="C64" s="141">
        <v>10.5</v>
      </c>
      <c r="D64" s="141" t="s">
        <v>1051</v>
      </c>
      <c r="E64" s="141" t="s">
        <v>1083</v>
      </c>
      <c r="F64" s="141" t="s">
        <v>526</v>
      </c>
      <c r="G64" s="141">
        <v>5</v>
      </c>
      <c r="I64" s="151" t="str">
        <f t="shared" si="2"/>
        <v>-</v>
      </c>
      <c r="J64" s="151" t="str">
        <f t="shared" si="3"/>
        <v>-</v>
      </c>
      <c r="L64" s="146">
        <v>1</v>
      </c>
      <c r="AA64" s="6">
        <f t="shared" si="10"/>
        <v>50056</v>
      </c>
      <c r="AB64" s="6" t="b">
        <f t="shared" si="11"/>
        <v>1</v>
      </c>
      <c r="AD64" s="6"/>
      <c r="AE64" s="6" t="s">
        <v>123</v>
      </c>
      <c r="AF64" s="6">
        <v>50015</v>
      </c>
    </row>
    <row r="65" spans="1:32" ht="12" x14ac:dyDescent="0.3">
      <c r="A65" s="6">
        <f>INDEX('011.큐펫테이블'!A:A,MATCH(CupetList!B65,'011.큐펫테이블'!E:E,0),1)</f>
        <v>55057</v>
      </c>
      <c r="B65" s="6" t="s">
        <v>241</v>
      </c>
      <c r="C65" s="141">
        <v>10.5</v>
      </c>
      <c r="D65" s="141" t="s">
        <v>1051</v>
      </c>
      <c r="E65" s="141" t="s">
        <v>1084</v>
      </c>
      <c r="F65" s="141" t="s">
        <v>532</v>
      </c>
      <c r="G65" s="141">
        <v>5</v>
      </c>
      <c r="I65" s="151" t="str">
        <f t="shared" si="2"/>
        <v>-</v>
      </c>
      <c r="J65" s="151" t="str">
        <f t="shared" si="3"/>
        <v>-</v>
      </c>
      <c r="L65" s="146">
        <v>1</v>
      </c>
      <c r="AA65" s="6">
        <f t="shared" si="10"/>
        <v>50057</v>
      </c>
      <c r="AB65" s="6" t="b">
        <f t="shared" si="11"/>
        <v>1</v>
      </c>
      <c r="AD65" s="6"/>
      <c r="AE65" s="6" t="s">
        <v>138</v>
      </c>
      <c r="AF65" s="6">
        <v>50020</v>
      </c>
    </row>
    <row r="66" spans="1:32" ht="12" x14ac:dyDescent="0.3">
      <c r="A66" s="6">
        <f>INDEX('011.큐펫테이블'!A:A,MATCH(CupetList!B66,'011.큐펫테이블'!E:E,0),1)</f>
        <v>55055</v>
      </c>
      <c r="B66" s="6" t="s">
        <v>235</v>
      </c>
      <c r="C66" s="141">
        <v>11</v>
      </c>
      <c r="D66" s="141" t="s">
        <v>1051</v>
      </c>
      <c r="E66" s="141" t="s">
        <v>1083</v>
      </c>
      <c r="F66" s="141" t="s">
        <v>559</v>
      </c>
      <c r="G66" s="141">
        <v>6</v>
      </c>
      <c r="I66" s="151" t="str">
        <f t="shared" si="2"/>
        <v>-</v>
      </c>
      <c r="J66" s="151" t="str">
        <f t="shared" si="3"/>
        <v>-</v>
      </c>
      <c r="L66" s="146">
        <v>1</v>
      </c>
      <c r="AA66" s="6">
        <f t="shared" ref="AA66:AA97" si="12">VLOOKUP(B66,AE:AF,2,FALSE)</f>
        <v>50055</v>
      </c>
      <c r="AB66" s="6" t="b">
        <f t="shared" ref="AB66:AB97" si="13">IF(AA66+5000=A66,TRUE,FALSE)</f>
        <v>1</v>
      </c>
      <c r="AD66" s="6"/>
      <c r="AE66" s="6" t="s">
        <v>120</v>
      </c>
      <c r="AF66" s="6">
        <v>51014</v>
      </c>
    </row>
    <row r="67" spans="1:32" ht="12" x14ac:dyDescent="0.3">
      <c r="A67" s="6">
        <f>INDEX('011.큐펫테이블'!A:A,MATCH(CupetList!B67,'011.큐펫테이블'!E:E,0),1)</f>
        <v>55091</v>
      </c>
      <c r="B67" s="6" t="s">
        <v>1065</v>
      </c>
      <c r="C67" s="141">
        <v>11</v>
      </c>
      <c r="D67" s="141" t="s">
        <v>1054</v>
      </c>
      <c r="E67" s="141" t="s">
        <v>1084</v>
      </c>
      <c r="F67" s="141" t="s">
        <v>526</v>
      </c>
      <c r="G67" s="141">
        <v>8</v>
      </c>
      <c r="I67" s="151">
        <f t="shared" ref="I67:I97" si="14">IF(D67="Boss",G67,"-")</f>
        <v>8</v>
      </c>
      <c r="J67" s="151" t="str">
        <f t="shared" ref="J67:J97" si="15">IF(AND(F67="방어",G67=4),B67,"-")</f>
        <v>-</v>
      </c>
      <c r="L67" s="146">
        <v>1</v>
      </c>
      <c r="AA67" s="6">
        <f t="shared" si="12"/>
        <v>50091</v>
      </c>
      <c r="AB67" s="6" t="b">
        <f t="shared" si="13"/>
        <v>1</v>
      </c>
      <c r="AD67" s="6"/>
      <c r="AE67" s="6" t="s">
        <v>117</v>
      </c>
      <c r="AF67" s="6">
        <v>51013</v>
      </c>
    </row>
    <row r="68" spans="1:32" ht="12" x14ac:dyDescent="0.3">
      <c r="A68" s="6">
        <f>INDEX('011.큐펫테이블'!A:A,MATCH(CupetList!B68,'011.큐펫테이블'!E:E,0),1)</f>
        <v>55060</v>
      </c>
      <c r="B68" s="6" t="s">
        <v>250</v>
      </c>
      <c r="C68" s="141">
        <v>12</v>
      </c>
      <c r="D68" s="141" t="s">
        <v>1051</v>
      </c>
      <c r="E68" s="141" t="s">
        <v>1083</v>
      </c>
      <c r="F68" s="141" t="s">
        <v>526</v>
      </c>
      <c r="G68" s="141">
        <v>4</v>
      </c>
      <c r="I68" s="151" t="str">
        <f t="shared" si="14"/>
        <v>-</v>
      </c>
      <c r="J68" s="151" t="str">
        <f t="shared" si="15"/>
        <v>-</v>
      </c>
      <c r="L68" s="146">
        <v>1</v>
      </c>
      <c r="AA68" s="6">
        <f t="shared" si="12"/>
        <v>50060</v>
      </c>
      <c r="AB68" s="6" t="b">
        <f t="shared" si="13"/>
        <v>1</v>
      </c>
      <c r="AD68" s="6"/>
      <c r="AE68" s="6" t="s">
        <v>126</v>
      </c>
      <c r="AF68" s="6">
        <v>51016</v>
      </c>
    </row>
    <row r="69" spans="1:32" ht="12" x14ac:dyDescent="0.3">
      <c r="A69" s="6">
        <f>INDEX('011.큐펫테이블'!A:A,MATCH(CupetList!B69,'011.큐펫테이블'!E:E,0),1)</f>
        <v>55061</v>
      </c>
      <c r="B69" s="6" t="s">
        <v>253</v>
      </c>
      <c r="C69" s="141">
        <v>12</v>
      </c>
      <c r="D69" s="141" t="s">
        <v>1051</v>
      </c>
      <c r="E69" s="141" t="s">
        <v>1084</v>
      </c>
      <c r="F69" s="141" t="s">
        <v>559</v>
      </c>
      <c r="G69" s="141">
        <v>6</v>
      </c>
      <c r="I69" s="151" t="str">
        <f t="shared" si="14"/>
        <v>-</v>
      </c>
      <c r="J69" s="151" t="str">
        <f t="shared" si="15"/>
        <v>-</v>
      </c>
      <c r="L69" s="146">
        <v>1</v>
      </c>
      <c r="AA69" s="6">
        <f t="shared" si="12"/>
        <v>50061</v>
      </c>
      <c r="AB69" s="6" t="b">
        <f t="shared" si="13"/>
        <v>1</v>
      </c>
      <c r="AD69" s="6"/>
      <c r="AE69" s="6" t="s">
        <v>132</v>
      </c>
      <c r="AF69" s="6">
        <v>51018</v>
      </c>
    </row>
    <row r="70" spans="1:32" ht="12" x14ac:dyDescent="0.3">
      <c r="A70" s="6">
        <f>INDEX('011.큐펫테이블'!A:A,MATCH(CupetList!B70,'011.큐펫테이블'!E:E,0),1)</f>
        <v>55062</v>
      </c>
      <c r="B70" s="6" t="s">
        <v>256</v>
      </c>
      <c r="C70" s="141">
        <v>12</v>
      </c>
      <c r="D70" s="141" t="s">
        <v>1051</v>
      </c>
      <c r="E70" s="141" t="s">
        <v>1083</v>
      </c>
      <c r="F70" s="141" t="s">
        <v>532</v>
      </c>
      <c r="G70" s="141">
        <v>4</v>
      </c>
      <c r="I70" s="151" t="str">
        <f t="shared" si="14"/>
        <v>-</v>
      </c>
      <c r="J70" s="151" t="str">
        <f t="shared" si="15"/>
        <v>-</v>
      </c>
      <c r="L70" s="146">
        <v>1</v>
      </c>
      <c r="AA70" s="6">
        <f t="shared" si="12"/>
        <v>50062</v>
      </c>
      <c r="AB70" s="6" t="b">
        <f t="shared" si="13"/>
        <v>1</v>
      </c>
      <c r="AD70" s="6"/>
      <c r="AE70" s="6" t="s">
        <v>129</v>
      </c>
      <c r="AF70" s="6">
        <v>51017</v>
      </c>
    </row>
    <row r="71" spans="1:32" ht="12" x14ac:dyDescent="0.3">
      <c r="A71" s="6">
        <f>INDEX('011.큐펫테이블'!A:A,MATCH(CupetList!B71,'011.큐펫테이블'!E:E,0),1)</f>
        <v>55063</v>
      </c>
      <c r="B71" s="6" t="s">
        <v>259</v>
      </c>
      <c r="C71" s="141">
        <v>12</v>
      </c>
      <c r="D71" s="141" t="s">
        <v>1051</v>
      </c>
      <c r="E71" s="141" t="s">
        <v>1084</v>
      </c>
      <c r="F71" s="141" t="s">
        <v>559</v>
      </c>
      <c r="G71" s="141">
        <v>5</v>
      </c>
      <c r="I71" s="151" t="str">
        <f t="shared" si="14"/>
        <v>-</v>
      </c>
      <c r="J71" s="151" t="str">
        <f t="shared" si="15"/>
        <v>-</v>
      </c>
      <c r="L71" s="146">
        <v>1</v>
      </c>
      <c r="AA71" s="6">
        <f t="shared" si="12"/>
        <v>50063</v>
      </c>
      <c r="AB71" s="6" t="b">
        <f t="shared" si="13"/>
        <v>1</v>
      </c>
      <c r="AD71" s="6"/>
      <c r="AE71" s="6" t="s">
        <v>135</v>
      </c>
      <c r="AF71" s="6">
        <v>51019</v>
      </c>
    </row>
    <row r="72" spans="1:32" ht="12" x14ac:dyDescent="0.3">
      <c r="A72" s="6">
        <f>INDEX('011.큐펫테이블'!A:A,MATCH(CupetList!B72,'011.큐펫테이블'!E:E,0),1)</f>
        <v>55065</v>
      </c>
      <c r="B72" s="6" t="s">
        <v>264</v>
      </c>
      <c r="C72" s="141">
        <v>12</v>
      </c>
      <c r="D72" s="141" t="s">
        <v>1051</v>
      </c>
      <c r="E72" s="141" t="s">
        <v>1083</v>
      </c>
      <c r="F72" s="141" t="s">
        <v>582</v>
      </c>
      <c r="G72" s="141">
        <v>5</v>
      </c>
      <c r="I72" s="151" t="str">
        <f t="shared" si="14"/>
        <v>-</v>
      </c>
      <c r="J72" s="151" t="str">
        <f t="shared" si="15"/>
        <v>-</v>
      </c>
      <c r="L72" s="146">
        <v>1</v>
      </c>
      <c r="AA72" s="6">
        <f t="shared" si="12"/>
        <v>50065</v>
      </c>
      <c r="AB72" s="6" t="b">
        <f t="shared" si="13"/>
        <v>1</v>
      </c>
      <c r="AD72" s="6"/>
      <c r="AE72" s="6" t="s">
        <v>123</v>
      </c>
      <c r="AF72" s="6">
        <v>51015</v>
      </c>
    </row>
    <row r="73" spans="1:32" ht="12" x14ac:dyDescent="0.3">
      <c r="A73" s="6">
        <f>INDEX('011.큐펫테이블'!A:A,MATCH(CupetList!B73,'011.큐펫테이블'!E:E,0),1)</f>
        <v>55066</v>
      </c>
      <c r="B73" s="6" t="s">
        <v>267</v>
      </c>
      <c r="C73" s="141">
        <v>12</v>
      </c>
      <c r="D73" s="141" t="s">
        <v>1051</v>
      </c>
      <c r="E73" s="141" t="s">
        <v>1083</v>
      </c>
      <c r="F73" s="141" t="s">
        <v>532</v>
      </c>
      <c r="G73" s="141">
        <v>5</v>
      </c>
      <c r="I73" s="151" t="str">
        <f t="shared" si="14"/>
        <v>-</v>
      </c>
      <c r="J73" s="151" t="str">
        <f t="shared" si="15"/>
        <v>-</v>
      </c>
      <c r="L73" s="146">
        <v>1</v>
      </c>
      <c r="AA73" s="6">
        <f t="shared" si="12"/>
        <v>50066</v>
      </c>
      <c r="AB73" s="6" t="b">
        <f t="shared" si="13"/>
        <v>1</v>
      </c>
      <c r="AD73" s="6"/>
      <c r="AE73" s="6" t="s">
        <v>138</v>
      </c>
      <c r="AF73" s="6">
        <v>51020</v>
      </c>
    </row>
    <row r="74" spans="1:32" ht="12" x14ac:dyDescent="0.3">
      <c r="A74" s="6">
        <f>INDEX('011.큐펫테이블'!A:A,MATCH(CupetList!B74,'011.큐펫테이블'!E:E,0),1)</f>
        <v>55067</v>
      </c>
      <c r="B74" s="6" t="s">
        <v>1066</v>
      </c>
      <c r="C74" s="141">
        <v>12</v>
      </c>
      <c r="D74" s="141" t="s">
        <v>1051</v>
      </c>
      <c r="E74" s="141" t="s">
        <v>1084</v>
      </c>
      <c r="F74" s="141" t="s">
        <v>582</v>
      </c>
      <c r="G74" s="141">
        <v>6</v>
      </c>
      <c r="I74" s="151" t="str">
        <f t="shared" si="14"/>
        <v>-</v>
      </c>
      <c r="J74" s="151" t="str">
        <f t="shared" si="15"/>
        <v>-</v>
      </c>
      <c r="L74" s="146">
        <v>1</v>
      </c>
      <c r="AA74" s="6">
        <f t="shared" si="12"/>
        <v>50067</v>
      </c>
      <c r="AB74" s="6" t="b">
        <f t="shared" si="13"/>
        <v>1</v>
      </c>
      <c r="AD74" s="6"/>
      <c r="AE74" s="6" t="s">
        <v>120</v>
      </c>
      <c r="AF74" s="6">
        <v>52014</v>
      </c>
    </row>
    <row r="75" spans="1:32" ht="12" x14ac:dyDescent="0.3">
      <c r="A75" s="6">
        <f>INDEX('011.큐펫테이블'!A:A,MATCH(CupetList!B75,'011.큐펫테이블'!E:E,0),1)</f>
        <v>55092</v>
      </c>
      <c r="B75" s="6" t="s">
        <v>1067</v>
      </c>
      <c r="C75" s="141">
        <v>12</v>
      </c>
      <c r="D75" s="141" t="s">
        <v>1054</v>
      </c>
      <c r="E75" s="141" t="s">
        <v>1084</v>
      </c>
      <c r="F75" s="141" t="s">
        <v>532</v>
      </c>
      <c r="G75" s="141">
        <v>9</v>
      </c>
      <c r="I75" s="151">
        <f t="shared" si="14"/>
        <v>9</v>
      </c>
      <c r="J75" s="151" t="str">
        <f t="shared" si="15"/>
        <v>-</v>
      </c>
      <c r="L75" s="146">
        <v>1</v>
      </c>
      <c r="AA75" s="6">
        <f t="shared" si="12"/>
        <v>50092</v>
      </c>
      <c r="AB75" s="6" t="b">
        <f t="shared" si="13"/>
        <v>1</v>
      </c>
      <c r="AD75" s="6"/>
      <c r="AE75" s="6" t="s">
        <v>117</v>
      </c>
      <c r="AF75" s="6">
        <v>52013</v>
      </c>
    </row>
    <row r="76" spans="1:32" ht="12" x14ac:dyDescent="0.3">
      <c r="A76" s="6">
        <f>INDEX('011.큐펫테이블'!A:A,MATCH(CupetList!B76,'011.큐펫테이블'!E:E,0),1)</f>
        <v>55064</v>
      </c>
      <c r="B76" s="6" t="s">
        <v>261</v>
      </c>
      <c r="C76" s="141">
        <v>12.5</v>
      </c>
      <c r="D76" s="141" t="s">
        <v>1051</v>
      </c>
      <c r="E76" s="141" t="s">
        <v>1083</v>
      </c>
      <c r="F76" s="141" t="s">
        <v>582</v>
      </c>
      <c r="G76" s="141">
        <v>5</v>
      </c>
      <c r="I76" s="151" t="str">
        <f t="shared" si="14"/>
        <v>-</v>
      </c>
      <c r="J76" s="151" t="str">
        <f t="shared" si="15"/>
        <v>-</v>
      </c>
      <c r="L76" s="146">
        <v>1</v>
      </c>
      <c r="AA76" s="6">
        <f t="shared" si="12"/>
        <v>50064</v>
      </c>
      <c r="AB76" s="6" t="b">
        <f t="shared" si="13"/>
        <v>1</v>
      </c>
      <c r="AD76" s="6"/>
      <c r="AE76" s="6" t="s">
        <v>126</v>
      </c>
      <c r="AF76" s="6">
        <v>52016</v>
      </c>
    </row>
    <row r="77" spans="1:32" ht="12" x14ac:dyDescent="0.3">
      <c r="A77" s="6">
        <f>INDEX('011.큐펫테이블'!A:A,MATCH(CupetList!B77,'011.큐펫테이블'!E:E,0),1)</f>
        <v>55093</v>
      </c>
      <c r="B77" s="6" t="s">
        <v>1068</v>
      </c>
      <c r="C77" s="141">
        <v>13</v>
      </c>
      <c r="D77" s="141" t="s">
        <v>1051</v>
      </c>
      <c r="E77" s="141" t="s">
        <v>1083</v>
      </c>
      <c r="F77" s="141" t="s">
        <v>532</v>
      </c>
      <c r="G77" s="141">
        <v>4</v>
      </c>
      <c r="I77" s="151" t="str">
        <f t="shared" si="14"/>
        <v>-</v>
      </c>
      <c r="J77" s="151" t="str">
        <f t="shared" si="15"/>
        <v>-</v>
      </c>
      <c r="L77" s="146">
        <v>1</v>
      </c>
      <c r="AA77" s="6">
        <f t="shared" si="12"/>
        <v>50093</v>
      </c>
      <c r="AB77" s="6" t="b">
        <f t="shared" si="13"/>
        <v>1</v>
      </c>
      <c r="AD77" s="6"/>
      <c r="AE77" s="6" t="s">
        <v>132</v>
      </c>
      <c r="AF77" s="6">
        <v>52018</v>
      </c>
    </row>
    <row r="78" spans="1:32" ht="12" x14ac:dyDescent="0.3">
      <c r="A78" s="6">
        <f>INDEX('011.큐펫테이블'!A:A,MATCH(CupetList!B78,'011.큐펫테이블'!E:E,0),1)</f>
        <v>55094</v>
      </c>
      <c r="B78" s="6" t="s">
        <v>1069</v>
      </c>
      <c r="C78" s="141">
        <v>13</v>
      </c>
      <c r="D78" s="141" t="s">
        <v>1051</v>
      </c>
      <c r="E78" s="141" t="s">
        <v>1083</v>
      </c>
      <c r="F78" s="141" t="s">
        <v>526</v>
      </c>
      <c r="G78" s="141">
        <v>6</v>
      </c>
      <c r="I78" s="151" t="str">
        <f t="shared" si="14"/>
        <v>-</v>
      </c>
      <c r="J78" s="151" t="str">
        <f t="shared" si="15"/>
        <v>-</v>
      </c>
      <c r="L78" s="146">
        <v>1</v>
      </c>
      <c r="AA78" s="6">
        <f t="shared" si="12"/>
        <v>50094</v>
      </c>
      <c r="AB78" s="6" t="b">
        <f t="shared" si="13"/>
        <v>1</v>
      </c>
      <c r="AD78" s="6"/>
      <c r="AE78" s="6" t="s">
        <v>129</v>
      </c>
      <c r="AF78" s="6">
        <v>52017</v>
      </c>
    </row>
    <row r="79" spans="1:32" ht="12" x14ac:dyDescent="0.3">
      <c r="A79" s="6">
        <f>INDEX('011.큐펫테이블'!A:A,MATCH(CupetList!B79,'011.큐펫테이블'!E:E,0),1)</f>
        <v>55095</v>
      </c>
      <c r="B79" s="6" t="s">
        <v>1070</v>
      </c>
      <c r="C79" s="141">
        <v>13</v>
      </c>
      <c r="D79" s="141" t="s">
        <v>1051</v>
      </c>
      <c r="E79" s="141" t="s">
        <v>1084</v>
      </c>
      <c r="F79" s="141" t="s">
        <v>532</v>
      </c>
      <c r="G79" s="141">
        <v>6</v>
      </c>
      <c r="I79" s="151" t="str">
        <f t="shared" si="14"/>
        <v>-</v>
      </c>
      <c r="J79" s="151" t="str">
        <f t="shared" si="15"/>
        <v>-</v>
      </c>
      <c r="L79" s="146">
        <v>1</v>
      </c>
      <c r="AA79" s="6">
        <f t="shared" si="12"/>
        <v>50095</v>
      </c>
      <c r="AB79" s="6" t="b">
        <f t="shared" si="13"/>
        <v>1</v>
      </c>
      <c r="AD79" s="6"/>
      <c r="AE79" s="6" t="s">
        <v>135</v>
      </c>
      <c r="AF79" s="6">
        <v>52019</v>
      </c>
    </row>
    <row r="80" spans="1:32" ht="12" x14ac:dyDescent="0.3">
      <c r="A80" s="6">
        <f>INDEX('011.큐펫테이블'!A:A,MATCH(CupetList!B80,'011.큐펫테이블'!E:E,0),1)</f>
        <v>55096</v>
      </c>
      <c r="B80" s="6" t="s">
        <v>1071</v>
      </c>
      <c r="C80" s="141">
        <v>13</v>
      </c>
      <c r="D80" s="141" t="s">
        <v>1054</v>
      </c>
      <c r="E80" s="141" t="s">
        <v>1083</v>
      </c>
      <c r="F80" s="141" t="s">
        <v>526</v>
      </c>
      <c r="G80" s="141">
        <v>10</v>
      </c>
      <c r="I80" s="151">
        <f t="shared" si="14"/>
        <v>10</v>
      </c>
      <c r="J80" s="151" t="str">
        <f t="shared" si="15"/>
        <v>-</v>
      </c>
      <c r="L80" s="146">
        <v>1</v>
      </c>
      <c r="AA80" s="6">
        <f t="shared" si="12"/>
        <v>50096</v>
      </c>
      <c r="AB80" s="6" t="b">
        <f t="shared" si="13"/>
        <v>1</v>
      </c>
      <c r="AD80" s="6"/>
      <c r="AE80" s="6" t="s">
        <v>123</v>
      </c>
      <c r="AF80" s="6">
        <v>52015</v>
      </c>
    </row>
    <row r="81" spans="1:32" ht="12" x14ac:dyDescent="0.3">
      <c r="A81" s="6">
        <f>INDEX('011.큐펫테이블'!A:A,MATCH(CupetList!B81,'011.큐펫테이블'!E:E,0),1)</f>
        <v>55068</v>
      </c>
      <c r="B81" s="6" t="s">
        <v>1072</v>
      </c>
      <c r="C81" s="141" t="s">
        <v>1073</v>
      </c>
      <c r="D81" s="141" t="s">
        <v>1051</v>
      </c>
      <c r="E81" s="141" t="s">
        <v>1084</v>
      </c>
      <c r="F81" s="141" t="s">
        <v>559</v>
      </c>
      <c r="G81" s="141">
        <v>4</v>
      </c>
      <c r="I81" s="151" t="str">
        <f t="shared" si="14"/>
        <v>-</v>
      </c>
      <c r="J81" s="151" t="str">
        <f t="shared" si="15"/>
        <v>-</v>
      </c>
      <c r="L81" s="146">
        <v>1</v>
      </c>
      <c r="AA81" s="6">
        <f t="shared" si="12"/>
        <v>50068</v>
      </c>
      <c r="AB81" s="6" t="b">
        <f t="shared" si="13"/>
        <v>1</v>
      </c>
      <c r="AD81" s="6"/>
      <c r="AE81" s="6" t="s">
        <v>138</v>
      </c>
      <c r="AF81" s="6">
        <v>52020</v>
      </c>
    </row>
    <row r="82" spans="1:32" ht="12" x14ac:dyDescent="0.3">
      <c r="A82" s="6">
        <f>INDEX('011.큐펫테이블'!A:A,MATCH(CupetList!B82,'011.큐펫테이블'!E:E,0),1)</f>
        <v>55069</v>
      </c>
      <c r="B82" s="6" t="s">
        <v>1074</v>
      </c>
      <c r="C82" s="141" t="s">
        <v>1073</v>
      </c>
      <c r="D82" s="141" t="s">
        <v>1051</v>
      </c>
      <c r="E82" s="141" t="s">
        <v>1083</v>
      </c>
      <c r="F82" s="141" t="s">
        <v>532</v>
      </c>
      <c r="G82" s="141">
        <v>3</v>
      </c>
      <c r="I82" s="151" t="str">
        <f t="shared" si="14"/>
        <v>-</v>
      </c>
      <c r="J82" s="151" t="str">
        <f t="shared" si="15"/>
        <v>-</v>
      </c>
      <c r="L82" s="146">
        <v>1</v>
      </c>
      <c r="AA82" s="6">
        <f t="shared" si="12"/>
        <v>50069</v>
      </c>
      <c r="AB82" s="6" t="b">
        <f t="shared" si="13"/>
        <v>1</v>
      </c>
      <c r="AD82" s="6"/>
      <c r="AE82" s="6" t="s">
        <v>120</v>
      </c>
      <c r="AF82" s="6">
        <v>53014</v>
      </c>
    </row>
    <row r="83" spans="1:32" ht="12" x14ac:dyDescent="0.3">
      <c r="A83" s="6">
        <f>INDEX('011.큐펫테이블'!A:A,MATCH(CupetList!B83,'011.큐펫테이블'!E:E,0),1)</f>
        <v>55070</v>
      </c>
      <c r="B83" s="6" t="s">
        <v>1075</v>
      </c>
      <c r="C83" s="141" t="s">
        <v>1073</v>
      </c>
      <c r="D83" s="141" t="s">
        <v>1051</v>
      </c>
      <c r="E83" s="141" t="s">
        <v>1084</v>
      </c>
      <c r="F83" s="141" t="s">
        <v>582</v>
      </c>
      <c r="G83" s="141">
        <v>5</v>
      </c>
      <c r="I83" s="151" t="str">
        <f t="shared" si="14"/>
        <v>-</v>
      </c>
      <c r="J83" s="151" t="str">
        <f t="shared" si="15"/>
        <v>-</v>
      </c>
      <c r="L83" s="146">
        <v>1</v>
      </c>
      <c r="AA83" s="6">
        <f t="shared" si="12"/>
        <v>50070</v>
      </c>
      <c r="AB83" s="6" t="b">
        <f t="shared" si="13"/>
        <v>1</v>
      </c>
      <c r="AD83" s="6"/>
      <c r="AE83" s="6" t="s">
        <v>117</v>
      </c>
      <c r="AF83" s="6">
        <v>53013</v>
      </c>
    </row>
    <row r="84" spans="1:32" ht="12" x14ac:dyDescent="0.3">
      <c r="A84" s="6">
        <f>INDEX('011.큐펫테이블'!A:A,MATCH(CupetList!B84,'011.큐펫테이블'!E:E,0),1)</f>
        <v>55071</v>
      </c>
      <c r="B84" s="6" t="s">
        <v>1076</v>
      </c>
      <c r="C84" s="141" t="s">
        <v>1073</v>
      </c>
      <c r="D84" s="141" t="s">
        <v>1054</v>
      </c>
      <c r="E84" s="141" t="s">
        <v>1083</v>
      </c>
      <c r="F84" s="141" t="s">
        <v>559</v>
      </c>
      <c r="G84" s="141">
        <v>10</v>
      </c>
      <c r="I84" s="151">
        <f t="shared" si="14"/>
        <v>10</v>
      </c>
      <c r="J84" s="151" t="str">
        <f t="shared" si="15"/>
        <v>-</v>
      </c>
      <c r="L84" s="146">
        <v>1</v>
      </c>
      <c r="AA84" s="6">
        <f t="shared" si="12"/>
        <v>50071</v>
      </c>
      <c r="AB84" s="6" t="b">
        <f t="shared" si="13"/>
        <v>1</v>
      </c>
      <c r="AD84" s="6"/>
      <c r="AE84" s="6" t="s">
        <v>126</v>
      </c>
      <c r="AF84" s="6">
        <v>53016</v>
      </c>
    </row>
    <row r="85" spans="1:32" ht="12" x14ac:dyDescent="0.3">
      <c r="A85" s="6">
        <f>INDEX('011.큐펫테이블'!A:A,MATCH(CupetList!B85,'011.큐펫테이블'!E:E,0),1)</f>
        <v>55042</v>
      </c>
      <c r="B85" s="6" t="s">
        <v>197</v>
      </c>
      <c r="C85" s="141" t="s">
        <v>1077</v>
      </c>
      <c r="D85" s="141" t="s">
        <v>1051</v>
      </c>
      <c r="E85" s="141" t="s">
        <v>1084</v>
      </c>
      <c r="F85" s="141" t="s">
        <v>582</v>
      </c>
      <c r="G85" s="141">
        <v>3</v>
      </c>
      <c r="I85" s="151" t="str">
        <f t="shared" si="14"/>
        <v>-</v>
      </c>
      <c r="J85" s="151" t="str">
        <f t="shared" si="15"/>
        <v>-</v>
      </c>
      <c r="K85" s="154" t="s">
        <v>1113</v>
      </c>
      <c r="L85" s="146">
        <v>1</v>
      </c>
      <c r="AA85" s="6">
        <f t="shared" si="12"/>
        <v>50042</v>
      </c>
      <c r="AB85" s="6" t="b">
        <f t="shared" si="13"/>
        <v>1</v>
      </c>
      <c r="AD85" s="6"/>
      <c r="AE85" s="6" t="s">
        <v>132</v>
      </c>
      <c r="AF85" s="6">
        <v>53018</v>
      </c>
    </row>
    <row r="86" spans="1:32" ht="12" x14ac:dyDescent="0.3">
      <c r="A86" s="6">
        <f>INDEX('011.큐펫테이블'!A:A,MATCH(CupetList!B86,'011.큐펫테이블'!E:E,0),1)</f>
        <v>55043</v>
      </c>
      <c r="B86" s="6" t="s">
        <v>200</v>
      </c>
      <c r="C86" s="141" t="s">
        <v>1077</v>
      </c>
      <c r="D86" s="141" t="s">
        <v>1051</v>
      </c>
      <c r="E86" s="141" t="s">
        <v>1083</v>
      </c>
      <c r="F86" s="141" t="s">
        <v>582</v>
      </c>
      <c r="G86" s="141">
        <v>3</v>
      </c>
      <c r="I86" s="151" t="str">
        <f t="shared" si="14"/>
        <v>-</v>
      </c>
      <c r="J86" s="151" t="str">
        <f t="shared" si="15"/>
        <v>-</v>
      </c>
      <c r="K86" s="154" t="s">
        <v>1113</v>
      </c>
      <c r="L86" s="146">
        <v>1</v>
      </c>
      <c r="AA86" s="6">
        <f t="shared" si="12"/>
        <v>50043</v>
      </c>
      <c r="AB86" s="6" t="b">
        <f t="shared" si="13"/>
        <v>1</v>
      </c>
      <c r="AD86" s="6"/>
      <c r="AE86" s="6" t="s">
        <v>129</v>
      </c>
      <c r="AF86" s="6">
        <v>53017</v>
      </c>
    </row>
    <row r="87" spans="1:32" ht="12" x14ac:dyDescent="0.3">
      <c r="A87" s="6">
        <f>INDEX('011.큐펫테이블'!A:A,MATCH(CupetList!B87,'011.큐펫테이블'!E:E,0),1)</f>
        <v>55044</v>
      </c>
      <c r="B87" s="6" t="s">
        <v>203</v>
      </c>
      <c r="C87" s="141" t="s">
        <v>1077</v>
      </c>
      <c r="D87" s="141" t="s">
        <v>1051</v>
      </c>
      <c r="E87" s="141" t="s">
        <v>1084</v>
      </c>
      <c r="F87" s="141" t="s">
        <v>582</v>
      </c>
      <c r="G87" s="141">
        <v>2</v>
      </c>
      <c r="I87" s="151" t="str">
        <f t="shared" si="14"/>
        <v>-</v>
      </c>
      <c r="J87" s="151" t="str">
        <f t="shared" si="15"/>
        <v>-</v>
      </c>
      <c r="K87" s="154" t="s">
        <v>1114</v>
      </c>
      <c r="L87" s="146">
        <v>1</v>
      </c>
      <c r="AA87" s="6">
        <f t="shared" si="12"/>
        <v>50044</v>
      </c>
      <c r="AB87" s="6" t="b">
        <f t="shared" si="13"/>
        <v>1</v>
      </c>
      <c r="AD87" s="6"/>
      <c r="AE87" s="6" t="s">
        <v>135</v>
      </c>
      <c r="AF87" s="6">
        <v>53019</v>
      </c>
    </row>
    <row r="88" spans="1:32" ht="12" x14ac:dyDescent="0.3">
      <c r="A88" s="6">
        <f>INDEX('011.큐펫테이블'!A:A,MATCH(CupetList!B88,'011.큐펫테이블'!E:E,0),1)</f>
        <v>55045</v>
      </c>
      <c r="B88" s="6" t="s">
        <v>206</v>
      </c>
      <c r="C88" s="141" t="s">
        <v>1077</v>
      </c>
      <c r="D88" s="141" t="s">
        <v>1051</v>
      </c>
      <c r="E88" s="141" t="s">
        <v>1084</v>
      </c>
      <c r="F88" s="141" t="s">
        <v>532</v>
      </c>
      <c r="G88" s="141">
        <v>4</v>
      </c>
      <c r="I88" s="151" t="str">
        <f t="shared" si="14"/>
        <v>-</v>
      </c>
      <c r="J88" s="151" t="str">
        <f t="shared" si="15"/>
        <v>-</v>
      </c>
      <c r="L88" s="146">
        <v>1</v>
      </c>
      <c r="AA88" s="6">
        <f t="shared" si="12"/>
        <v>50045</v>
      </c>
      <c r="AB88" s="6" t="b">
        <f t="shared" si="13"/>
        <v>1</v>
      </c>
      <c r="AD88" s="6"/>
      <c r="AE88" s="6" t="s">
        <v>123</v>
      </c>
      <c r="AF88" s="6">
        <v>53015</v>
      </c>
    </row>
    <row r="89" spans="1:32" ht="12" x14ac:dyDescent="0.3">
      <c r="A89" s="6">
        <f>INDEX('011.큐펫테이블'!A:A,MATCH(CupetList!B89,'011.큐펫테이블'!E:E,0),1)</f>
        <v>55046</v>
      </c>
      <c r="B89" s="6" t="s">
        <v>209</v>
      </c>
      <c r="C89" s="141" t="s">
        <v>1077</v>
      </c>
      <c r="D89" s="141" t="s">
        <v>1051</v>
      </c>
      <c r="E89" s="141" t="s">
        <v>1083</v>
      </c>
      <c r="F89" s="141" t="s">
        <v>582</v>
      </c>
      <c r="G89" s="141">
        <v>2</v>
      </c>
      <c r="I89" s="151" t="str">
        <f t="shared" si="14"/>
        <v>-</v>
      </c>
      <c r="J89" s="151" t="str">
        <f t="shared" si="15"/>
        <v>-</v>
      </c>
      <c r="K89" s="154" t="s">
        <v>1114</v>
      </c>
      <c r="L89" s="146">
        <v>1</v>
      </c>
      <c r="AA89" s="6">
        <f t="shared" si="12"/>
        <v>50046</v>
      </c>
      <c r="AB89" s="6" t="b">
        <f t="shared" si="13"/>
        <v>1</v>
      </c>
      <c r="AD89" s="6"/>
      <c r="AE89" s="6" t="s">
        <v>138</v>
      </c>
      <c r="AF89" s="6">
        <v>53020</v>
      </c>
    </row>
    <row r="90" spans="1:32" ht="12" x14ac:dyDescent="0.3">
      <c r="A90" s="6" t="e">
        <f>INDEX('011.큐펫테이블'!A:A,MATCH(CupetList!B90,'011.큐펫테이블'!E:E,0),1)</f>
        <v>#N/A</v>
      </c>
      <c r="B90" s="6" t="s">
        <v>1090</v>
      </c>
      <c r="C90" s="141" t="s">
        <v>1077</v>
      </c>
      <c r="D90" s="141" t="s">
        <v>1051</v>
      </c>
      <c r="E90" s="141" t="s">
        <v>1084</v>
      </c>
      <c r="F90" s="141" t="s">
        <v>526</v>
      </c>
      <c r="G90" s="141">
        <v>4</v>
      </c>
      <c r="I90" s="151" t="str">
        <f t="shared" si="14"/>
        <v>-</v>
      </c>
      <c r="J90" s="151" t="str">
        <f t="shared" si="15"/>
        <v>-</v>
      </c>
      <c r="L90" s="146">
        <v>1</v>
      </c>
      <c r="AA90" s="6">
        <f t="shared" si="12"/>
        <v>50047</v>
      </c>
      <c r="AB90" s="6" t="e">
        <f t="shared" si="13"/>
        <v>#N/A</v>
      </c>
      <c r="AD90" s="6"/>
      <c r="AE90" s="6" t="s">
        <v>126</v>
      </c>
      <c r="AF90" s="6">
        <v>150016</v>
      </c>
    </row>
    <row r="91" spans="1:32" ht="12" x14ac:dyDescent="0.3">
      <c r="A91" s="6">
        <f>INDEX('011.큐펫테이블'!A:A,MATCH(CupetList!B91,'011.큐펫테이블'!E:E,0),1)</f>
        <v>55048</v>
      </c>
      <c r="B91" s="6" t="s">
        <v>214</v>
      </c>
      <c r="C91" s="141" t="s">
        <v>1077</v>
      </c>
      <c r="D91" s="141" t="s">
        <v>1051</v>
      </c>
      <c r="E91" s="141" t="s">
        <v>1084</v>
      </c>
      <c r="F91" s="141" t="s">
        <v>526</v>
      </c>
      <c r="G91" s="141">
        <v>5</v>
      </c>
      <c r="I91" s="151" t="str">
        <f t="shared" si="14"/>
        <v>-</v>
      </c>
      <c r="J91" s="151" t="str">
        <f t="shared" si="15"/>
        <v>-</v>
      </c>
      <c r="L91" s="146">
        <v>1</v>
      </c>
      <c r="AA91" s="6">
        <f t="shared" si="12"/>
        <v>50048</v>
      </c>
      <c r="AB91" s="6" t="b">
        <f t="shared" si="13"/>
        <v>1</v>
      </c>
      <c r="AD91" s="6"/>
      <c r="AE91" s="6" t="s">
        <v>126</v>
      </c>
      <c r="AF91" s="6">
        <v>250016</v>
      </c>
    </row>
    <row r="92" spans="1:32" ht="12" x14ac:dyDescent="0.3">
      <c r="A92" s="6">
        <f>INDEX('011.큐펫테이블'!A:A,MATCH(CupetList!B92,'011.큐펫테이블'!E:E,0),1)</f>
        <v>55049</v>
      </c>
      <c r="B92" s="6" t="s">
        <v>217</v>
      </c>
      <c r="C92" s="141" t="s">
        <v>1077</v>
      </c>
      <c r="D92" s="141" t="s">
        <v>1051</v>
      </c>
      <c r="E92" s="141" t="s">
        <v>1083</v>
      </c>
      <c r="F92" s="141" t="s">
        <v>526</v>
      </c>
      <c r="G92" s="141">
        <v>5</v>
      </c>
      <c r="I92" s="151" t="str">
        <f t="shared" si="14"/>
        <v>-</v>
      </c>
      <c r="J92" s="151" t="str">
        <f t="shared" si="15"/>
        <v>-</v>
      </c>
      <c r="L92" s="146">
        <v>1</v>
      </c>
      <c r="AA92" s="6">
        <f t="shared" si="12"/>
        <v>50049</v>
      </c>
      <c r="AB92" s="6" t="b">
        <f t="shared" si="13"/>
        <v>1</v>
      </c>
      <c r="AD92" s="6"/>
      <c r="AE92" s="6" t="s">
        <v>135</v>
      </c>
      <c r="AF92" s="6">
        <v>150019</v>
      </c>
    </row>
    <row r="93" spans="1:32" ht="12" x14ac:dyDescent="0.3">
      <c r="A93" s="6">
        <f>INDEX('011.큐펫테이블'!A:A,MATCH(CupetList!B93,'011.큐펫테이블'!E:E,0),1)</f>
        <v>55050</v>
      </c>
      <c r="B93" s="6" t="s">
        <v>220</v>
      </c>
      <c r="C93" s="141" t="s">
        <v>1077</v>
      </c>
      <c r="D93" s="141" t="s">
        <v>1054</v>
      </c>
      <c r="E93" s="141" t="s">
        <v>1084</v>
      </c>
      <c r="F93" s="141" t="s">
        <v>532</v>
      </c>
      <c r="G93" s="141">
        <v>9</v>
      </c>
      <c r="I93" s="151">
        <f t="shared" si="14"/>
        <v>9</v>
      </c>
      <c r="J93" s="151" t="str">
        <f t="shared" si="15"/>
        <v>-</v>
      </c>
      <c r="L93" s="146">
        <v>1</v>
      </c>
      <c r="AA93" s="6">
        <f t="shared" si="12"/>
        <v>50050</v>
      </c>
      <c r="AB93" s="6" t="b">
        <f t="shared" si="13"/>
        <v>1</v>
      </c>
      <c r="AD93" s="6"/>
      <c r="AE93" s="6" t="s">
        <v>135</v>
      </c>
      <c r="AF93" s="6">
        <v>250019</v>
      </c>
    </row>
    <row r="94" spans="1:32" ht="12" x14ac:dyDescent="0.3">
      <c r="A94" s="6">
        <f>INDEX('011.큐펫테이블'!A:A,MATCH(CupetList!B94,'011.큐펫테이블'!E:E,0),1)</f>
        <v>55081</v>
      </c>
      <c r="B94" s="6" t="s">
        <v>1078</v>
      </c>
      <c r="C94" s="141" t="s">
        <v>1079</v>
      </c>
      <c r="D94" s="141" t="s">
        <v>1051</v>
      </c>
      <c r="E94" s="141" t="s">
        <v>1084</v>
      </c>
      <c r="F94" s="141" t="s">
        <v>526</v>
      </c>
      <c r="G94" s="141">
        <v>4</v>
      </c>
      <c r="I94" s="151" t="str">
        <f t="shared" si="14"/>
        <v>-</v>
      </c>
      <c r="J94" s="151" t="str">
        <f t="shared" si="15"/>
        <v>-</v>
      </c>
      <c r="L94" s="146">
        <v>1</v>
      </c>
      <c r="AA94" s="6">
        <f t="shared" si="12"/>
        <v>50081</v>
      </c>
      <c r="AB94" s="6" t="b">
        <f t="shared" si="13"/>
        <v>1</v>
      </c>
      <c r="AD94" s="6"/>
      <c r="AE94" s="6" t="s">
        <v>138</v>
      </c>
      <c r="AF94" s="6">
        <v>150020</v>
      </c>
    </row>
    <row r="95" spans="1:32" ht="12" x14ac:dyDescent="0.3">
      <c r="A95" s="6">
        <f>INDEX('011.큐펫테이블'!A:A,MATCH(CupetList!B95,'011.큐펫테이블'!E:E,0),1)</f>
        <v>55082</v>
      </c>
      <c r="B95" s="6" t="s">
        <v>307</v>
      </c>
      <c r="C95" s="141" t="s">
        <v>1079</v>
      </c>
      <c r="D95" s="141" t="s">
        <v>1051</v>
      </c>
      <c r="E95" s="141" t="s">
        <v>1084</v>
      </c>
      <c r="F95" s="141" t="s">
        <v>582</v>
      </c>
      <c r="G95" s="141">
        <v>4</v>
      </c>
      <c r="I95" s="151" t="str">
        <f t="shared" si="14"/>
        <v>-</v>
      </c>
      <c r="J95" s="151" t="str">
        <f t="shared" si="15"/>
        <v>사스콰치</v>
      </c>
      <c r="L95" s="146">
        <v>1</v>
      </c>
      <c r="AA95" s="6">
        <f t="shared" si="12"/>
        <v>50082</v>
      </c>
      <c r="AB95" s="6" t="b">
        <f t="shared" si="13"/>
        <v>1</v>
      </c>
      <c r="AD95" s="6"/>
      <c r="AE95" s="6" t="s">
        <v>138</v>
      </c>
      <c r="AF95" s="6">
        <v>250020</v>
      </c>
    </row>
    <row r="96" spans="1:32" ht="12" x14ac:dyDescent="0.3">
      <c r="A96" s="6">
        <f>INDEX('011.큐펫테이블'!A:A,MATCH(CupetList!B96,'011.큐펫테이블'!E:E,0),1)</f>
        <v>55083</v>
      </c>
      <c r="B96" s="6" t="s">
        <v>310</v>
      </c>
      <c r="C96" s="141" t="s">
        <v>1079</v>
      </c>
      <c r="D96" s="141" t="s">
        <v>1051</v>
      </c>
      <c r="E96" s="141" t="s">
        <v>1083</v>
      </c>
      <c r="F96" s="141" t="s">
        <v>532</v>
      </c>
      <c r="G96" s="141">
        <v>5</v>
      </c>
      <c r="I96" s="151" t="str">
        <f t="shared" si="14"/>
        <v>-</v>
      </c>
      <c r="J96" s="151" t="str">
        <f t="shared" si="15"/>
        <v>-</v>
      </c>
      <c r="L96" s="146">
        <v>1</v>
      </c>
      <c r="AA96" s="6">
        <f t="shared" si="12"/>
        <v>50083</v>
      </c>
      <c r="AB96" s="6" t="b">
        <f t="shared" si="13"/>
        <v>1</v>
      </c>
      <c r="AD96" s="6"/>
      <c r="AE96" s="6" t="s">
        <v>141</v>
      </c>
      <c r="AF96" s="6">
        <v>50021</v>
      </c>
    </row>
    <row r="97" spans="1:32" ht="12" x14ac:dyDescent="0.3">
      <c r="A97" s="6">
        <f>INDEX('011.큐펫테이블'!A:A,MATCH(CupetList!B97,'011.큐펫테이블'!E:E,0),1)</f>
        <v>55084</v>
      </c>
      <c r="B97" s="6" t="s">
        <v>313</v>
      </c>
      <c r="C97" s="141" t="s">
        <v>1079</v>
      </c>
      <c r="D97" s="141" t="s">
        <v>1054</v>
      </c>
      <c r="E97" s="141" t="s">
        <v>1083</v>
      </c>
      <c r="F97" s="141" t="s">
        <v>532</v>
      </c>
      <c r="G97" s="141">
        <v>9</v>
      </c>
      <c r="I97" s="151">
        <f t="shared" si="14"/>
        <v>9</v>
      </c>
      <c r="J97" s="151" t="str">
        <f t="shared" si="15"/>
        <v>-</v>
      </c>
      <c r="L97" s="146">
        <v>1</v>
      </c>
      <c r="AA97" s="6">
        <f t="shared" si="12"/>
        <v>50084</v>
      </c>
      <c r="AB97" s="6" t="b">
        <f t="shared" si="13"/>
        <v>1</v>
      </c>
      <c r="AD97" s="6"/>
      <c r="AE97" s="6" t="s">
        <v>141</v>
      </c>
      <c r="AF97" s="6">
        <v>150021</v>
      </c>
    </row>
    <row r="98" spans="1:32" ht="12" x14ac:dyDescent="0.3">
      <c r="AD98" s="6"/>
      <c r="AE98" s="6" t="s">
        <v>126</v>
      </c>
      <c r="AF98" s="6">
        <v>151016</v>
      </c>
    </row>
    <row r="99" spans="1:32" ht="12" x14ac:dyDescent="0.3">
      <c r="AD99" s="6"/>
      <c r="AE99" s="6" t="s">
        <v>126</v>
      </c>
      <c r="AF99" s="6">
        <v>251016</v>
      </c>
    </row>
    <row r="100" spans="1:32" ht="12" x14ac:dyDescent="0.3">
      <c r="AD100" s="6"/>
      <c r="AE100" s="6" t="s">
        <v>135</v>
      </c>
      <c r="AF100" s="6">
        <v>151019</v>
      </c>
    </row>
    <row r="101" spans="1:32" ht="12" x14ac:dyDescent="0.3">
      <c r="AD101" s="6"/>
      <c r="AE101" s="6" t="s">
        <v>135</v>
      </c>
      <c r="AF101" s="6">
        <v>251019</v>
      </c>
    </row>
    <row r="102" spans="1:32" ht="12" x14ac:dyDescent="0.3">
      <c r="AD102" s="6"/>
      <c r="AE102" s="6" t="s">
        <v>138</v>
      </c>
      <c r="AF102" s="6">
        <v>151020</v>
      </c>
    </row>
    <row r="103" spans="1:32" ht="12" x14ac:dyDescent="0.3">
      <c r="AD103" s="6"/>
      <c r="AE103" s="6" t="s">
        <v>138</v>
      </c>
      <c r="AF103" s="6">
        <v>251020</v>
      </c>
    </row>
    <row r="104" spans="1:32" ht="12" x14ac:dyDescent="0.3">
      <c r="AD104" s="6"/>
      <c r="AE104" s="6" t="s">
        <v>141</v>
      </c>
      <c r="AF104" s="6">
        <v>51021</v>
      </c>
    </row>
    <row r="105" spans="1:32" ht="12" x14ac:dyDescent="0.3">
      <c r="AD105" s="6"/>
      <c r="AE105" s="6" t="s">
        <v>141</v>
      </c>
      <c r="AF105" s="6">
        <v>151021</v>
      </c>
    </row>
    <row r="106" spans="1:32" ht="12" x14ac:dyDescent="0.3">
      <c r="AD106" s="6"/>
      <c r="AE106" s="6" t="s">
        <v>126</v>
      </c>
      <c r="AF106" s="6">
        <v>152016</v>
      </c>
    </row>
    <row r="107" spans="1:32" ht="12" x14ac:dyDescent="0.3">
      <c r="AD107" s="6"/>
      <c r="AE107" s="6" t="s">
        <v>126</v>
      </c>
      <c r="AF107" s="6">
        <v>252016</v>
      </c>
    </row>
    <row r="108" spans="1:32" ht="12" x14ac:dyDescent="0.3">
      <c r="AD108" s="6"/>
      <c r="AE108" s="6" t="s">
        <v>135</v>
      </c>
      <c r="AF108" s="6">
        <v>153019</v>
      </c>
    </row>
    <row r="109" spans="1:32" ht="12" x14ac:dyDescent="0.3">
      <c r="AD109" s="6"/>
      <c r="AE109" s="6" t="s">
        <v>135</v>
      </c>
      <c r="AF109" s="6">
        <v>253019</v>
      </c>
    </row>
    <row r="110" spans="1:32" ht="12" x14ac:dyDescent="0.3">
      <c r="AD110" s="6"/>
      <c r="AE110" s="6" t="s">
        <v>138</v>
      </c>
      <c r="AF110" s="6">
        <v>153020</v>
      </c>
    </row>
    <row r="111" spans="1:32" ht="12" x14ac:dyDescent="0.3">
      <c r="AD111" s="6"/>
      <c r="AE111" s="6" t="s">
        <v>138</v>
      </c>
      <c r="AF111" s="6">
        <v>153020</v>
      </c>
    </row>
    <row r="112" spans="1:32" ht="12" x14ac:dyDescent="0.3">
      <c r="AD112" s="6"/>
      <c r="AE112" s="6" t="s">
        <v>141</v>
      </c>
      <c r="AF112" s="6">
        <v>52021</v>
      </c>
    </row>
    <row r="113" spans="30:32" ht="12" x14ac:dyDescent="0.3">
      <c r="AD113" s="6"/>
      <c r="AE113" s="6" t="s">
        <v>141</v>
      </c>
      <c r="AF113" s="6">
        <v>152021</v>
      </c>
    </row>
    <row r="114" spans="30:32" ht="12" x14ac:dyDescent="0.3">
      <c r="AD114" s="6"/>
      <c r="AE114" s="6" t="s">
        <v>126</v>
      </c>
      <c r="AF114" s="6">
        <v>153016</v>
      </c>
    </row>
    <row r="115" spans="30:32" ht="12" x14ac:dyDescent="0.3">
      <c r="AD115" s="6"/>
      <c r="AE115" s="6" t="s">
        <v>126</v>
      </c>
      <c r="AF115" s="6">
        <v>253016</v>
      </c>
    </row>
    <row r="116" spans="30:32" ht="12" x14ac:dyDescent="0.3">
      <c r="AD116" s="6"/>
      <c r="AE116" s="6" t="s">
        <v>135</v>
      </c>
      <c r="AF116" s="6">
        <v>153019</v>
      </c>
    </row>
    <row r="117" spans="30:32" ht="12" x14ac:dyDescent="0.3">
      <c r="AD117" s="6"/>
      <c r="AE117" s="6" t="s">
        <v>135</v>
      </c>
      <c r="AF117" s="6">
        <v>253019</v>
      </c>
    </row>
    <row r="118" spans="30:32" ht="12" x14ac:dyDescent="0.3">
      <c r="AD118" s="6"/>
      <c r="AE118" s="6" t="s">
        <v>138</v>
      </c>
      <c r="AF118" s="6">
        <v>153020</v>
      </c>
    </row>
    <row r="119" spans="30:32" ht="12" x14ac:dyDescent="0.3">
      <c r="AD119" s="6"/>
      <c r="AE119" s="6" t="s">
        <v>138</v>
      </c>
      <c r="AF119" s="6">
        <v>253020</v>
      </c>
    </row>
    <row r="120" spans="30:32" ht="12" x14ac:dyDescent="0.3">
      <c r="AD120" s="6"/>
      <c r="AE120" s="6" t="s">
        <v>141</v>
      </c>
      <c r="AF120" s="6">
        <v>53021</v>
      </c>
    </row>
    <row r="121" spans="30:32" ht="12" x14ac:dyDescent="0.3">
      <c r="AD121" s="6"/>
      <c r="AE121" s="6" t="s">
        <v>141</v>
      </c>
      <c r="AF121" s="6">
        <v>153021</v>
      </c>
    </row>
    <row r="122" spans="30:32" ht="12" x14ac:dyDescent="0.3">
      <c r="AD122" s="6"/>
      <c r="AE122" s="6" t="s">
        <v>144</v>
      </c>
      <c r="AF122" s="6">
        <v>50022</v>
      </c>
    </row>
    <row r="123" spans="30:32" ht="12" x14ac:dyDescent="0.3">
      <c r="AD123" s="6"/>
      <c r="AE123" s="6" t="s">
        <v>147</v>
      </c>
      <c r="AF123" s="6">
        <v>50023</v>
      </c>
    </row>
    <row r="124" spans="30:32" ht="12" x14ac:dyDescent="0.3">
      <c r="AD124" s="6"/>
      <c r="AE124" s="6" t="s">
        <v>150</v>
      </c>
      <c r="AF124" s="6">
        <v>50024</v>
      </c>
    </row>
    <row r="125" spans="30:32" ht="12" x14ac:dyDescent="0.3">
      <c r="AD125" s="6"/>
      <c r="AE125" s="6" t="s">
        <v>153</v>
      </c>
      <c r="AF125" s="6">
        <v>50025</v>
      </c>
    </row>
    <row r="126" spans="30:32" ht="12" x14ac:dyDescent="0.3">
      <c r="AD126" s="6"/>
      <c r="AE126" s="6" t="s">
        <v>156</v>
      </c>
      <c r="AF126" s="6">
        <v>50026</v>
      </c>
    </row>
    <row r="127" spans="30:32" ht="12" x14ac:dyDescent="0.3">
      <c r="AD127" s="6"/>
      <c r="AE127" s="6" t="s">
        <v>162</v>
      </c>
      <c r="AF127" s="6">
        <v>50028</v>
      </c>
    </row>
    <row r="128" spans="30:32" ht="12" x14ac:dyDescent="0.3">
      <c r="AD128" s="6"/>
      <c r="AE128" s="6" t="s">
        <v>159</v>
      </c>
      <c r="AF128" s="6">
        <v>50027</v>
      </c>
    </row>
    <row r="129" spans="30:32" ht="12" x14ac:dyDescent="0.3">
      <c r="AD129" s="6"/>
      <c r="AE129" s="6" t="s">
        <v>165</v>
      </c>
      <c r="AF129" s="6">
        <v>50029</v>
      </c>
    </row>
    <row r="130" spans="30:32" ht="12" x14ac:dyDescent="0.3">
      <c r="AD130" s="6"/>
      <c r="AE130" s="6" t="s">
        <v>144</v>
      </c>
      <c r="AF130" s="6">
        <v>51022</v>
      </c>
    </row>
    <row r="131" spans="30:32" ht="12" x14ac:dyDescent="0.3">
      <c r="AD131" s="6"/>
      <c r="AE131" s="6" t="s">
        <v>147</v>
      </c>
      <c r="AF131" s="6">
        <v>51023</v>
      </c>
    </row>
    <row r="132" spans="30:32" ht="12" x14ac:dyDescent="0.3">
      <c r="AD132" s="6"/>
      <c r="AE132" s="6" t="s">
        <v>150</v>
      </c>
      <c r="AF132" s="6">
        <v>51024</v>
      </c>
    </row>
    <row r="133" spans="30:32" ht="12" x14ac:dyDescent="0.3">
      <c r="AD133" s="6"/>
      <c r="AE133" s="6" t="s">
        <v>153</v>
      </c>
      <c r="AF133" s="6">
        <v>51025</v>
      </c>
    </row>
    <row r="134" spans="30:32" ht="12" x14ac:dyDescent="0.3">
      <c r="AD134" s="6"/>
      <c r="AE134" s="6" t="s">
        <v>156</v>
      </c>
      <c r="AF134" s="6">
        <v>51026</v>
      </c>
    </row>
    <row r="135" spans="30:32" ht="12" x14ac:dyDescent="0.3">
      <c r="AD135" s="6"/>
      <c r="AE135" s="6" t="s">
        <v>162</v>
      </c>
      <c r="AF135" s="6">
        <v>51028</v>
      </c>
    </row>
    <row r="136" spans="30:32" ht="12" x14ac:dyDescent="0.3">
      <c r="AD136" s="6"/>
      <c r="AE136" s="6" t="s">
        <v>159</v>
      </c>
      <c r="AF136" s="6">
        <v>51027</v>
      </c>
    </row>
    <row r="137" spans="30:32" ht="12" x14ac:dyDescent="0.3">
      <c r="AD137" s="6"/>
      <c r="AE137" s="6" t="s">
        <v>165</v>
      </c>
      <c r="AF137" s="6">
        <v>51029</v>
      </c>
    </row>
    <row r="138" spans="30:32" ht="12" x14ac:dyDescent="0.3">
      <c r="AD138" s="6"/>
      <c r="AE138" s="6" t="s">
        <v>144</v>
      </c>
      <c r="AF138" s="6">
        <v>52022</v>
      </c>
    </row>
    <row r="139" spans="30:32" ht="12" x14ac:dyDescent="0.3">
      <c r="AD139" s="6"/>
      <c r="AE139" s="6" t="s">
        <v>147</v>
      </c>
      <c r="AF139" s="6">
        <v>52023</v>
      </c>
    </row>
    <row r="140" spans="30:32" ht="12" x14ac:dyDescent="0.3">
      <c r="AD140" s="6"/>
      <c r="AE140" s="6" t="s">
        <v>150</v>
      </c>
      <c r="AF140" s="6">
        <v>52024</v>
      </c>
    </row>
    <row r="141" spans="30:32" ht="12" x14ac:dyDescent="0.3">
      <c r="AD141" s="6"/>
      <c r="AE141" s="6" t="s">
        <v>153</v>
      </c>
      <c r="AF141" s="6">
        <v>52025</v>
      </c>
    </row>
    <row r="142" spans="30:32" ht="12" x14ac:dyDescent="0.3">
      <c r="AD142" s="6"/>
      <c r="AE142" s="6" t="s">
        <v>156</v>
      </c>
      <c r="AF142" s="6">
        <v>52026</v>
      </c>
    </row>
    <row r="143" spans="30:32" ht="12" x14ac:dyDescent="0.3">
      <c r="AD143" s="6"/>
      <c r="AE143" s="6" t="s">
        <v>162</v>
      </c>
      <c r="AF143" s="6">
        <v>52028</v>
      </c>
    </row>
    <row r="144" spans="30:32" ht="12" x14ac:dyDescent="0.3">
      <c r="AD144" s="6"/>
      <c r="AE144" s="6" t="s">
        <v>159</v>
      </c>
      <c r="AF144" s="6">
        <v>52027</v>
      </c>
    </row>
    <row r="145" spans="30:32" ht="12" x14ac:dyDescent="0.3">
      <c r="AD145" s="6"/>
      <c r="AE145" s="6" t="s">
        <v>165</v>
      </c>
      <c r="AF145" s="6">
        <v>52029</v>
      </c>
    </row>
    <row r="146" spans="30:32" ht="12" x14ac:dyDescent="0.3">
      <c r="AD146" s="6"/>
      <c r="AE146" s="6" t="s">
        <v>144</v>
      </c>
      <c r="AF146" s="6">
        <v>53022</v>
      </c>
    </row>
    <row r="147" spans="30:32" ht="12" x14ac:dyDescent="0.3">
      <c r="AD147" s="6"/>
      <c r="AE147" s="6" t="s">
        <v>147</v>
      </c>
      <c r="AF147" s="6">
        <v>53023</v>
      </c>
    </row>
    <row r="148" spans="30:32" ht="12" x14ac:dyDescent="0.3">
      <c r="AD148" s="6"/>
      <c r="AE148" s="6" t="s">
        <v>150</v>
      </c>
      <c r="AF148" s="6">
        <v>53024</v>
      </c>
    </row>
    <row r="149" spans="30:32" ht="12" x14ac:dyDescent="0.3">
      <c r="AD149" s="6"/>
      <c r="AE149" s="6" t="s">
        <v>153</v>
      </c>
      <c r="AF149" s="6">
        <v>53025</v>
      </c>
    </row>
    <row r="150" spans="30:32" ht="12" x14ac:dyDescent="0.3">
      <c r="AD150" s="6"/>
      <c r="AE150" s="6" t="s">
        <v>156</v>
      </c>
      <c r="AF150" s="6">
        <v>53026</v>
      </c>
    </row>
    <row r="151" spans="30:32" ht="12" x14ac:dyDescent="0.3">
      <c r="AD151" s="6"/>
      <c r="AE151" s="6" t="s">
        <v>162</v>
      </c>
      <c r="AF151" s="6">
        <v>53028</v>
      </c>
    </row>
    <row r="152" spans="30:32" ht="12" x14ac:dyDescent="0.3">
      <c r="AD152" s="6"/>
      <c r="AE152" s="6" t="s">
        <v>159</v>
      </c>
      <c r="AF152" s="6">
        <v>53027</v>
      </c>
    </row>
    <row r="153" spans="30:32" ht="12" x14ac:dyDescent="0.3">
      <c r="AD153" s="6"/>
      <c r="AE153" s="6" t="s">
        <v>165</v>
      </c>
      <c r="AF153" s="6">
        <v>53029</v>
      </c>
    </row>
    <row r="154" spans="30:32" ht="12" x14ac:dyDescent="0.3">
      <c r="AD154" s="6"/>
      <c r="AE154" s="6" t="s">
        <v>167</v>
      </c>
      <c r="AF154" s="6">
        <v>50030</v>
      </c>
    </row>
    <row r="155" spans="30:32" ht="12" x14ac:dyDescent="0.3">
      <c r="AD155" s="6"/>
      <c r="AE155" s="6" t="s">
        <v>167</v>
      </c>
      <c r="AF155" s="6">
        <v>150030</v>
      </c>
    </row>
    <row r="156" spans="30:32" ht="12" x14ac:dyDescent="0.3">
      <c r="AD156" s="6"/>
      <c r="AE156" s="6" t="s">
        <v>1057</v>
      </c>
      <c r="AF156" s="6">
        <v>50031</v>
      </c>
    </row>
    <row r="157" spans="30:32" ht="12" x14ac:dyDescent="0.3">
      <c r="AD157" s="6"/>
      <c r="AE157" s="6" t="s">
        <v>1057</v>
      </c>
      <c r="AF157" s="6">
        <v>150031</v>
      </c>
    </row>
    <row r="158" spans="30:32" ht="12" x14ac:dyDescent="0.3">
      <c r="AD158" s="6"/>
      <c r="AE158" s="6" t="s">
        <v>1058</v>
      </c>
      <c r="AF158" s="6">
        <v>50032</v>
      </c>
    </row>
    <row r="159" spans="30:32" ht="12" x14ac:dyDescent="0.3">
      <c r="AD159" s="6"/>
      <c r="AE159" s="6" t="s">
        <v>1058</v>
      </c>
      <c r="AF159" s="6">
        <v>150032</v>
      </c>
    </row>
    <row r="160" spans="30:32" ht="12" x14ac:dyDescent="0.3">
      <c r="AD160" s="6"/>
      <c r="AE160" s="6" t="s">
        <v>1059</v>
      </c>
      <c r="AF160" s="6">
        <v>50033</v>
      </c>
    </row>
    <row r="161" spans="30:32" ht="12" x14ac:dyDescent="0.3">
      <c r="AD161" s="6"/>
      <c r="AE161" s="6" t="s">
        <v>1059</v>
      </c>
      <c r="AF161" s="6">
        <v>150033</v>
      </c>
    </row>
    <row r="162" spans="30:32" ht="12" x14ac:dyDescent="0.3">
      <c r="AD162" s="6"/>
      <c r="AE162" s="6" t="s">
        <v>167</v>
      </c>
      <c r="AF162" s="6">
        <v>51030</v>
      </c>
    </row>
    <row r="163" spans="30:32" ht="12" x14ac:dyDescent="0.3">
      <c r="AD163" s="6"/>
      <c r="AE163" s="6" t="s">
        <v>167</v>
      </c>
      <c r="AF163" s="6">
        <v>151030</v>
      </c>
    </row>
    <row r="164" spans="30:32" ht="12" x14ac:dyDescent="0.3">
      <c r="AD164" s="6"/>
      <c r="AE164" s="6" t="s">
        <v>1057</v>
      </c>
      <c r="AF164" s="6">
        <v>51031</v>
      </c>
    </row>
    <row r="165" spans="30:32" ht="12" x14ac:dyDescent="0.3">
      <c r="AD165" s="6"/>
      <c r="AE165" s="6" t="s">
        <v>1057</v>
      </c>
      <c r="AF165" s="6">
        <v>151031</v>
      </c>
    </row>
    <row r="166" spans="30:32" ht="12" x14ac:dyDescent="0.3">
      <c r="AD166" s="6"/>
      <c r="AE166" s="6" t="s">
        <v>1058</v>
      </c>
      <c r="AF166" s="6">
        <v>51032</v>
      </c>
    </row>
    <row r="167" spans="30:32" ht="12" x14ac:dyDescent="0.3">
      <c r="AD167" s="6"/>
      <c r="AE167" s="6" t="s">
        <v>1058</v>
      </c>
      <c r="AF167" s="6">
        <v>151032</v>
      </c>
    </row>
    <row r="168" spans="30:32" ht="12" x14ac:dyDescent="0.3">
      <c r="AD168" s="6"/>
      <c r="AE168" s="6" t="s">
        <v>1059</v>
      </c>
      <c r="AF168" s="6">
        <v>51033</v>
      </c>
    </row>
    <row r="169" spans="30:32" ht="12" x14ac:dyDescent="0.3">
      <c r="AD169" s="6"/>
      <c r="AE169" s="6" t="s">
        <v>1059</v>
      </c>
      <c r="AF169" s="6">
        <v>151033</v>
      </c>
    </row>
    <row r="170" spans="30:32" ht="12" x14ac:dyDescent="0.3">
      <c r="AD170" s="6"/>
      <c r="AE170" s="6" t="s">
        <v>167</v>
      </c>
      <c r="AF170" s="6">
        <v>52030</v>
      </c>
    </row>
    <row r="171" spans="30:32" ht="12" x14ac:dyDescent="0.3">
      <c r="AD171" s="6"/>
      <c r="AE171" s="6" t="s">
        <v>167</v>
      </c>
      <c r="AF171" s="6">
        <v>152030</v>
      </c>
    </row>
    <row r="172" spans="30:32" ht="12" x14ac:dyDescent="0.3">
      <c r="AD172" s="6"/>
      <c r="AE172" s="6" t="s">
        <v>1057</v>
      </c>
      <c r="AF172" s="6">
        <v>52031</v>
      </c>
    </row>
    <row r="173" spans="30:32" ht="12" x14ac:dyDescent="0.3">
      <c r="AD173" s="6"/>
      <c r="AE173" s="6" t="s">
        <v>1057</v>
      </c>
      <c r="AF173" s="6">
        <v>152031</v>
      </c>
    </row>
    <row r="174" spans="30:32" ht="12" x14ac:dyDescent="0.3">
      <c r="AD174" s="6"/>
      <c r="AE174" s="6" t="s">
        <v>1058</v>
      </c>
      <c r="AF174" s="6">
        <v>52032</v>
      </c>
    </row>
    <row r="175" spans="30:32" ht="12" x14ac:dyDescent="0.3">
      <c r="AD175" s="6"/>
      <c r="AE175" s="6" t="s">
        <v>1058</v>
      </c>
      <c r="AF175" s="6">
        <v>152032</v>
      </c>
    </row>
    <row r="176" spans="30:32" ht="12" x14ac:dyDescent="0.3">
      <c r="AD176" s="6"/>
      <c r="AE176" s="6" t="s">
        <v>1059</v>
      </c>
      <c r="AF176" s="6">
        <v>52033</v>
      </c>
    </row>
    <row r="177" spans="30:32" ht="12" x14ac:dyDescent="0.3">
      <c r="AD177" s="6"/>
      <c r="AE177" s="6" t="s">
        <v>1059</v>
      </c>
      <c r="AF177" s="6">
        <v>152033</v>
      </c>
    </row>
    <row r="178" spans="30:32" ht="12" x14ac:dyDescent="0.3">
      <c r="AD178" s="6"/>
      <c r="AE178" s="6" t="s">
        <v>167</v>
      </c>
      <c r="AF178" s="6">
        <v>53030</v>
      </c>
    </row>
    <row r="179" spans="30:32" ht="12" x14ac:dyDescent="0.3">
      <c r="AD179" s="6"/>
      <c r="AE179" s="6" t="s">
        <v>167</v>
      </c>
      <c r="AF179" s="6">
        <v>153030</v>
      </c>
    </row>
    <row r="180" spans="30:32" ht="12" x14ac:dyDescent="0.3">
      <c r="AD180" s="6"/>
      <c r="AE180" s="6" t="s">
        <v>1057</v>
      </c>
      <c r="AF180" s="6">
        <v>53031</v>
      </c>
    </row>
    <row r="181" spans="30:32" ht="12" x14ac:dyDescent="0.3">
      <c r="AD181" s="6"/>
      <c r="AE181" s="6" t="s">
        <v>1057</v>
      </c>
      <c r="AF181" s="6">
        <v>153031</v>
      </c>
    </row>
    <row r="182" spans="30:32" ht="12" x14ac:dyDescent="0.3">
      <c r="AD182" s="6"/>
      <c r="AE182" s="6" t="s">
        <v>1058</v>
      </c>
      <c r="AF182" s="6">
        <v>53032</v>
      </c>
    </row>
    <row r="183" spans="30:32" ht="12" x14ac:dyDescent="0.3">
      <c r="AD183" s="6"/>
      <c r="AE183" s="6" t="s">
        <v>1058</v>
      </c>
      <c r="AF183" s="6">
        <v>153032</v>
      </c>
    </row>
    <row r="184" spans="30:32" ht="12" x14ac:dyDescent="0.3">
      <c r="AD184" s="6"/>
      <c r="AE184" s="6" t="s">
        <v>1059</v>
      </c>
      <c r="AF184" s="6">
        <v>53033</v>
      </c>
    </row>
    <row r="185" spans="30:32" ht="12" x14ac:dyDescent="0.3">
      <c r="AD185" s="6"/>
      <c r="AE185" s="6" t="s">
        <v>1059</v>
      </c>
      <c r="AF185" s="6">
        <v>153033</v>
      </c>
    </row>
    <row r="186" spans="30:32" ht="12" x14ac:dyDescent="0.3">
      <c r="AD186" s="6"/>
      <c r="AE186" s="6" t="s">
        <v>179</v>
      </c>
      <c r="AF186" s="6">
        <v>50036</v>
      </c>
    </row>
    <row r="187" spans="30:32" ht="12" x14ac:dyDescent="0.3">
      <c r="AD187" s="6"/>
      <c r="AE187" s="6" t="s">
        <v>173</v>
      </c>
      <c r="AF187" s="6">
        <v>50034</v>
      </c>
    </row>
    <row r="188" spans="30:32" ht="12" x14ac:dyDescent="0.3">
      <c r="AD188" s="6"/>
      <c r="AE188" s="6" t="s">
        <v>176</v>
      </c>
      <c r="AF188" s="6">
        <v>50035</v>
      </c>
    </row>
    <row r="189" spans="30:32" ht="12" x14ac:dyDescent="0.3">
      <c r="AD189" s="6"/>
      <c r="AE189" s="6" t="s">
        <v>182</v>
      </c>
      <c r="AF189" s="6">
        <v>50037</v>
      </c>
    </row>
    <row r="190" spans="30:32" ht="12" x14ac:dyDescent="0.3">
      <c r="AD190" s="6"/>
      <c r="AE190" s="6" t="s">
        <v>185</v>
      </c>
      <c r="AF190" s="6">
        <v>50038</v>
      </c>
    </row>
    <row r="191" spans="30:32" ht="12" x14ac:dyDescent="0.3">
      <c r="AD191" s="6"/>
      <c r="AE191" s="6" t="s">
        <v>188</v>
      </c>
      <c r="AF191" s="6">
        <v>50039</v>
      </c>
    </row>
    <row r="192" spans="30:32" ht="12" x14ac:dyDescent="0.3">
      <c r="AD192" s="6"/>
      <c r="AE192" s="6" t="s">
        <v>194</v>
      </c>
      <c r="AF192" s="6">
        <v>50041</v>
      </c>
    </row>
    <row r="193" spans="30:32" ht="12" x14ac:dyDescent="0.3">
      <c r="AD193" s="6"/>
      <c r="AE193" s="6" t="s">
        <v>191</v>
      </c>
      <c r="AF193" s="6">
        <v>50040</v>
      </c>
    </row>
    <row r="194" spans="30:32" ht="12" x14ac:dyDescent="0.3">
      <c r="AD194" s="6"/>
      <c r="AE194" s="6" t="s">
        <v>179</v>
      </c>
      <c r="AF194" s="6">
        <v>51036</v>
      </c>
    </row>
    <row r="195" spans="30:32" ht="12" x14ac:dyDescent="0.3">
      <c r="AD195" s="6"/>
      <c r="AE195" s="6" t="s">
        <v>173</v>
      </c>
      <c r="AF195" s="6">
        <v>51034</v>
      </c>
    </row>
    <row r="196" spans="30:32" ht="12" x14ac:dyDescent="0.3">
      <c r="AD196" s="6"/>
      <c r="AE196" s="6" t="s">
        <v>176</v>
      </c>
      <c r="AF196" s="6">
        <v>51035</v>
      </c>
    </row>
    <row r="197" spans="30:32" ht="12" x14ac:dyDescent="0.3">
      <c r="AD197" s="6"/>
      <c r="AE197" s="6" t="s">
        <v>182</v>
      </c>
      <c r="AF197" s="6">
        <v>51037</v>
      </c>
    </row>
    <row r="198" spans="30:32" ht="12" x14ac:dyDescent="0.3">
      <c r="AD198" s="6"/>
      <c r="AE198" s="6" t="s">
        <v>185</v>
      </c>
      <c r="AF198" s="6">
        <v>51038</v>
      </c>
    </row>
    <row r="199" spans="30:32" ht="12" x14ac:dyDescent="0.3">
      <c r="AD199" s="6"/>
      <c r="AE199" s="6" t="s">
        <v>188</v>
      </c>
      <c r="AF199" s="6">
        <v>51039</v>
      </c>
    </row>
    <row r="200" spans="30:32" ht="12" x14ac:dyDescent="0.3">
      <c r="AD200" s="6"/>
      <c r="AE200" s="6" t="s">
        <v>194</v>
      </c>
      <c r="AF200" s="6">
        <v>51041</v>
      </c>
    </row>
    <row r="201" spans="30:32" ht="12" x14ac:dyDescent="0.3">
      <c r="AD201" s="6"/>
      <c r="AE201" s="6" t="s">
        <v>191</v>
      </c>
      <c r="AF201" s="6">
        <v>51040</v>
      </c>
    </row>
    <row r="202" spans="30:32" ht="12" x14ac:dyDescent="0.3">
      <c r="AD202" s="6"/>
      <c r="AE202" s="6" t="s">
        <v>179</v>
      </c>
      <c r="AF202" s="6">
        <v>52036</v>
      </c>
    </row>
    <row r="203" spans="30:32" ht="12" x14ac:dyDescent="0.3">
      <c r="AD203" s="6"/>
      <c r="AE203" s="6" t="s">
        <v>173</v>
      </c>
      <c r="AF203" s="6">
        <v>52034</v>
      </c>
    </row>
    <row r="204" spans="30:32" ht="12" x14ac:dyDescent="0.3">
      <c r="AD204" s="6"/>
      <c r="AE204" s="6" t="s">
        <v>176</v>
      </c>
      <c r="AF204" s="6">
        <v>52035</v>
      </c>
    </row>
    <row r="205" spans="30:32" ht="12" x14ac:dyDescent="0.3">
      <c r="AD205" s="6"/>
      <c r="AE205" s="6" t="s">
        <v>182</v>
      </c>
      <c r="AF205" s="6">
        <v>52037</v>
      </c>
    </row>
    <row r="206" spans="30:32" ht="12" x14ac:dyDescent="0.3">
      <c r="AD206" s="6"/>
      <c r="AE206" s="6" t="s">
        <v>185</v>
      </c>
      <c r="AF206" s="6">
        <v>52038</v>
      </c>
    </row>
    <row r="207" spans="30:32" ht="12" x14ac:dyDescent="0.3">
      <c r="AD207" s="6"/>
      <c r="AE207" s="6" t="s">
        <v>188</v>
      </c>
      <c r="AF207" s="6">
        <v>52039</v>
      </c>
    </row>
    <row r="208" spans="30:32" ht="12" x14ac:dyDescent="0.3">
      <c r="AD208" s="6"/>
      <c r="AE208" s="6" t="s">
        <v>194</v>
      </c>
      <c r="AF208" s="6">
        <v>52041</v>
      </c>
    </row>
    <row r="209" spans="30:32" ht="12" x14ac:dyDescent="0.3">
      <c r="AD209" s="6"/>
      <c r="AE209" s="6" t="s">
        <v>191</v>
      </c>
      <c r="AF209" s="6">
        <v>52040</v>
      </c>
    </row>
    <row r="210" spans="30:32" ht="12" x14ac:dyDescent="0.3">
      <c r="AD210" s="6"/>
      <c r="AE210" s="6" t="s">
        <v>179</v>
      </c>
      <c r="AF210" s="6">
        <v>53036</v>
      </c>
    </row>
    <row r="211" spans="30:32" ht="12" x14ac:dyDescent="0.3">
      <c r="AD211" s="6"/>
      <c r="AE211" s="6" t="s">
        <v>173</v>
      </c>
      <c r="AF211" s="6">
        <v>53034</v>
      </c>
    </row>
    <row r="212" spans="30:32" ht="12" x14ac:dyDescent="0.3">
      <c r="AD212" s="6"/>
      <c r="AE212" s="6" t="s">
        <v>176</v>
      </c>
      <c r="AF212" s="6">
        <v>53035</v>
      </c>
    </row>
    <row r="213" spans="30:32" ht="12" x14ac:dyDescent="0.3">
      <c r="AD213" s="6"/>
      <c r="AE213" s="6" t="s">
        <v>182</v>
      </c>
      <c r="AF213" s="6">
        <v>53037</v>
      </c>
    </row>
    <row r="214" spans="30:32" ht="12" x14ac:dyDescent="0.3">
      <c r="AD214" s="6"/>
      <c r="AE214" s="6" t="s">
        <v>185</v>
      </c>
      <c r="AF214" s="6">
        <v>53038</v>
      </c>
    </row>
    <row r="215" spans="30:32" ht="12" x14ac:dyDescent="0.3">
      <c r="AD215" s="6"/>
      <c r="AE215" s="6" t="s">
        <v>188</v>
      </c>
      <c r="AF215" s="6">
        <v>53039</v>
      </c>
    </row>
    <row r="216" spans="30:32" ht="12" x14ac:dyDescent="0.3">
      <c r="AD216" s="6"/>
      <c r="AE216" s="6" t="s">
        <v>194</v>
      </c>
      <c r="AF216" s="6">
        <v>53041</v>
      </c>
    </row>
    <row r="217" spans="30:32" ht="12" x14ac:dyDescent="0.3">
      <c r="AD217" s="6"/>
      <c r="AE217" s="6" t="s">
        <v>191</v>
      </c>
      <c r="AF217" s="6">
        <v>53040</v>
      </c>
    </row>
    <row r="218" spans="30:32" ht="12" x14ac:dyDescent="0.3">
      <c r="AD218" s="6"/>
      <c r="AE218" s="6" t="s">
        <v>285</v>
      </c>
      <c r="AF218" s="6">
        <v>50072</v>
      </c>
    </row>
    <row r="219" spans="30:32" ht="12" x14ac:dyDescent="0.3">
      <c r="AD219" s="6"/>
      <c r="AE219" s="6" t="s">
        <v>288</v>
      </c>
      <c r="AF219" s="6">
        <v>50073</v>
      </c>
    </row>
    <row r="220" spans="30:32" ht="12" x14ac:dyDescent="0.3">
      <c r="AD220" s="6"/>
      <c r="AE220" s="6" t="s">
        <v>291</v>
      </c>
      <c r="AF220" s="6">
        <v>50074</v>
      </c>
    </row>
    <row r="221" spans="30:32" ht="12" x14ac:dyDescent="0.3">
      <c r="AD221" s="6"/>
      <c r="AE221" s="6" t="s">
        <v>1086</v>
      </c>
      <c r="AF221" s="6">
        <v>50075</v>
      </c>
    </row>
    <row r="222" spans="30:32" ht="12" x14ac:dyDescent="0.3">
      <c r="AD222" s="6"/>
      <c r="AE222" s="6" t="s">
        <v>285</v>
      </c>
      <c r="AF222" s="6">
        <v>51072</v>
      </c>
    </row>
    <row r="223" spans="30:32" ht="12" x14ac:dyDescent="0.3">
      <c r="AD223" s="6"/>
      <c r="AE223" s="6" t="s">
        <v>288</v>
      </c>
      <c r="AF223" s="6">
        <v>51073</v>
      </c>
    </row>
    <row r="224" spans="30:32" ht="12" x14ac:dyDescent="0.3">
      <c r="AD224" s="6"/>
      <c r="AE224" s="6" t="s">
        <v>291</v>
      </c>
      <c r="AF224" s="6">
        <v>51074</v>
      </c>
    </row>
    <row r="225" spans="30:32" ht="12" x14ac:dyDescent="0.3">
      <c r="AD225" s="6"/>
      <c r="AE225" s="6" t="s">
        <v>1086</v>
      </c>
      <c r="AF225" s="6">
        <v>51075</v>
      </c>
    </row>
    <row r="226" spans="30:32" ht="12" x14ac:dyDescent="0.3">
      <c r="AD226" s="6"/>
      <c r="AE226" s="6" t="s">
        <v>285</v>
      </c>
      <c r="AF226" s="6">
        <v>52072</v>
      </c>
    </row>
    <row r="227" spans="30:32" ht="12" x14ac:dyDescent="0.3">
      <c r="AD227" s="6"/>
      <c r="AE227" s="6" t="s">
        <v>288</v>
      </c>
      <c r="AF227" s="6">
        <v>52073</v>
      </c>
    </row>
    <row r="228" spans="30:32" ht="12" x14ac:dyDescent="0.3">
      <c r="AD228" s="6"/>
      <c r="AE228" s="6" t="s">
        <v>291</v>
      </c>
      <c r="AF228" s="6">
        <v>52074</v>
      </c>
    </row>
    <row r="229" spans="30:32" ht="12" x14ac:dyDescent="0.3">
      <c r="AD229" s="6"/>
      <c r="AE229" s="6" t="s">
        <v>1086</v>
      </c>
      <c r="AF229" s="6">
        <v>52075</v>
      </c>
    </row>
    <row r="230" spans="30:32" ht="12" x14ac:dyDescent="0.3">
      <c r="AD230" s="6"/>
      <c r="AE230" s="6" t="s">
        <v>285</v>
      </c>
      <c r="AF230" s="6">
        <v>53072</v>
      </c>
    </row>
    <row r="231" spans="30:32" ht="12" x14ac:dyDescent="0.3">
      <c r="AD231" s="6"/>
      <c r="AE231" s="6" t="s">
        <v>288</v>
      </c>
      <c r="AF231" s="6">
        <v>53073</v>
      </c>
    </row>
    <row r="232" spans="30:32" ht="12" x14ac:dyDescent="0.3">
      <c r="AD232" s="6"/>
      <c r="AE232" s="6" t="s">
        <v>291</v>
      </c>
      <c r="AF232" s="6">
        <v>53074</v>
      </c>
    </row>
    <row r="233" spans="30:32" ht="12" x14ac:dyDescent="0.3">
      <c r="AD233" s="6"/>
      <c r="AE233" s="6" t="s">
        <v>1086</v>
      </c>
      <c r="AF233" s="6">
        <v>53075</v>
      </c>
    </row>
    <row r="234" spans="30:32" ht="12" x14ac:dyDescent="0.3">
      <c r="AD234" s="6"/>
      <c r="AE234" s="6" t="s">
        <v>223</v>
      </c>
      <c r="AF234" s="6">
        <v>50051</v>
      </c>
    </row>
    <row r="235" spans="30:32" ht="12" x14ac:dyDescent="0.3">
      <c r="AD235" s="6"/>
      <c r="AE235" s="6" t="s">
        <v>226</v>
      </c>
      <c r="AF235" s="6">
        <v>50052</v>
      </c>
    </row>
    <row r="236" spans="30:32" ht="12" x14ac:dyDescent="0.3">
      <c r="AD236" s="6"/>
      <c r="AE236" s="6" t="s">
        <v>229</v>
      </c>
      <c r="AF236" s="6">
        <v>50053</v>
      </c>
    </row>
    <row r="237" spans="30:32" ht="12" x14ac:dyDescent="0.3">
      <c r="AD237" s="6"/>
      <c r="AE237" s="6" t="s">
        <v>232</v>
      </c>
      <c r="AF237" s="6">
        <v>50054</v>
      </c>
    </row>
    <row r="238" spans="30:32" ht="12" x14ac:dyDescent="0.3">
      <c r="AD238" s="6"/>
      <c r="AE238" s="6" t="s">
        <v>238</v>
      </c>
      <c r="AF238" s="6">
        <v>50056</v>
      </c>
    </row>
    <row r="239" spans="30:32" ht="12" x14ac:dyDescent="0.3">
      <c r="AD239" s="6"/>
      <c r="AE239" s="6" t="s">
        <v>241</v>
      </c>
      <c r="AF239" s="6">
        <v>50057</v>
      </c>
    </row>
    <row r="240" spans="30:32" ht="12" x14ac:dyDescent="0.3">
      <c r="AD240" s="6"/>
      <c r="AE240" s="6" t="s">
        <v>244</v>
      </c>
      <c r="AF240" s="6">
        <v>50058</v>
      </c>
    </row>
    <row r="241" spans="30:32" ht="12" x14ac:dyDescent="0.3">
      <c r="AD241" s="6"/>
      <c r="AE241" s="6" t="s">
        <v>247</v>
      </c>
      <c r="AF241" s="6">
        <v>50059</v>
      </c>
    </row>
    <row r="242" spans="30:32" ht="12" x14ac:dyDescent="0.3">
      <c r="AD242" s="6"/>
      <c r="AE242" s="6" t="s">
        <v>223</v>
      </c>
      <c r="AF242" s="6">
        <v>51051</v>
      </c>
    </row>
    <row r="243" spans="30:32" ht="12" x14ac:dyDescent="0.3">
      <c r="AD243" s="6"/>
      <c r="AE243" s="6" t="s">
        <v>226</v>
      </c>
      <c r="AF243" s="6">
        <v>51052</v>
      </c>
    </row>
    <row r="244" spans="30:32" ht="12" x14ac:dyDescent="0.3">
      <c r="AD244" s="6"/>
      <c r="AE244" s="6" t="s">
        <v>229</v>
      </c>
      <c r="AF244" s="6">
        <v>51053</v>
      </c>
    </row>
    <row r="245" spans="30:32" ht="12" x14ac:dyDescent="0.3">
      <c r="AD245" s="6"/>
      <c r="AE245" s="6" t="s">
        <v>232</v>
      </c>
      <c r="AF245" s="6">
        <v>51054</v>
      </c>
    </row>
    <row r="246" spans="30:32" ht="12" x14ac:dyDescent="0.3">
      <c r="AD246" s="6"/>
      <c r="AE246" s="6" t="s">
        <v>238</v>
      </c>
      <c r="AF246" s="6">
        <v>51056</v>
      </c>
    </row>
    <row r="247" spans="30:32" ht="12" x14ac:dyDescent="0.3">
      <c r="AD247" s="6"/>
      <c r="AE247" s="6" t="s">
        <v>241</v>
      </c>
      <c r="AF247" s="6">
        <v>51057</v>
      </c>
    </row>
    <row r="248" spans="30:32" ht="12" x14ac:dyDescent="0.3">
      <c r="AD248" s="6"/>
      <c r="AE248" s="6" t="s">
        <v>244</v>
      </c>
      <c r="AF248" s="6">
        <v>51058</v>
      </c>
    </row>
    <row r="249" spans="30:32" ht="12" x14ac:dyDescent="0.3">
      <c r="AD249" s="6"/>
      <c r="AE249" s="6" t="s">
        <v>247</v>
      </c>
      <c r="AF249" s="6">
        <v>51059</v>
      </c>
    </row>
    <row r="250" spans="30:32" ht="12" x14ac:dyDescent="0.3">
      <c r="AD250" s="6"/>
      <c r="AE250" s="6" t="s">
        <v>223</v>
      </c>
      <c r="AF250" s="6">
        <v>52051</v>
      </c>
    </row>
    <row r="251" spans="30:32" ht="12" x14ac:dyDescent="0.3">
      <c r="AD251" s="6"/>
      <c r="AE251" s="6" t="s">
        <v>226</v>
      </c>
      <c r="AF251" s="6">
        <v>52052</v>
      </c>
    </row>
    <row r="252" spans="30:32" ht="12" x14ac:dyDescent="0.3">
      <c r="AD252" s="6"/>
      <c r="AE252" s="6" t="s">
        <v>229</v>
      </c>
      <c r="AF252" s="6">
        <v>52053</v>
      </c>
    </row>
    <row r="253" spans="30:32" ht="12" x14ac:dyDescent="0.3">
      <c r="AD253" s="6"/>
      <c r="AE253" s="6" t="s">
        <v>232</v>
      </c>
      <c r="AF253" s="6">
        <v>52054</v>
      </c>
    </row>
    <row r="254" spans="30:32" ht="12" x14ac:dyDescent="0.3">
      <c r="AD254" s="6"/>
      <c r="AE254" s="6" t="s">
        <v>238</v>
      </c>
      <c r="AF254" s="6">
        <v>52056</v>
      </c>
    </row>
    <row r="255" spans="30:32" ht="12" x14ac:dyDescent="0.3">
      <c r="AD255" s="6"/>
      <c r="AE255" s="6" t="s">
        <v>241</v>
      </c>
      <c r="AF255" s="6">
        <v>52057</v>
      </c>
    </row>
    <row r="256" spans="30:32" ht="12" x14ac:dyDescent="0.3">
      <c r="AD256" s="6"/>
      <c r="AE256" s="6" t="s">
        <v>244</v>
      </c>
      <c r="AF256" s="6">
        <v>52058</v>
      </c>
    </row>
    <row r="257" spans="30:32" ht="12" x14ac:dyDescent="0.3">
      <c r="AD257" s="6"/>
      <c r="AE257" s="6" t="s">
        <v>247</v>
      </c>
      <c r="AF257" s="6">
        <v>52059</v>
      </c>
    </row>
    <row r="258" spans="30:32" ht="12" x14ac:dyDescent="0.3">
      <c r="AD258" s="6"/>
      <c r="AE258" s="6" t="s">
        <v>223</v>
      </c>
      <c r="AF258" s="6">
        <v>53051</v>
      </c>
    </row>
    <row r="259" spans="30:32" ht="12" x14ac:dyDescent="0.3">
      <c r="AD259" s="6"/>
      <c r="AE259" s="6" t="s">
        <v>226</v>
      </c>
      <c r="AF259" s="6">
        <v>53052</v>
      </c>
    </row>
    <row r="260" spans="30:32" ht="12" x14ac:dyDescent="0.3">
      <c r="AD260" s="6"/>
      <c r="AE260" s="6" t="s">
        <v>229</v>
      </c>
      <c r="AF260" s="6">
        <v>53053</v>
      </c>
    </row>
    <row r="261" spans="30:32" ht="12" x14ac:dyDescent="0.3">
      <c r="AD261" s="6"/>
      <c r="AE261" s="6" t="s">
        <v>232</v>
      </c>
      <c r="AF261" s="6">
        <v>53054</v>
      </c>
    </row>
    <row r="262" spans="30:32" ht="12" x14ac:dyDescent="0.3">
      <c r="AD262" s="6"/>
      <c r="AE262" s="6" t="s">
        <v>238</v>
      </c>
      <c r="AF262" s="6">
        <v>53056</v>
      </c>
    </row>
    <row r="263" spans="30:32" ht="12" x14ac:dyDescent="0.3">
      <c r="AD263" s="6"/>
      <c r="AE263" s="6" t="s">
        <v>241</v>
      </c>
      <c r="AF263" s="6">
        <v>53057</v>
      </c>
    </row>
    <row r="264" spans="30:32" ht="12" x14ac:dyDescent="0.3">
      <c r="AD264" s="6"/>
      <c r="AE264" s="6" t="s">
        <v>244</v>
      </c>
      <c r="AF264" s="6">
        <v>53058</v>
      </c>
    </row>
    <row r="265" spans="30:32" ht="12" x14ac:dyDescent="0.3">
      <c r="AD265" s="6"/>
      <c r="AE265" s="6" t="s">
        <v>247</v>
      </c>
      <c r="AF265" s="6">
        <v>53059</v>
      </c>
    </row>
    <row r="266" spans="30:32" ht="12" x14ac:dyDescent="0.3">
      <c r="AD266" s="6"/>
      <c r="AE266" s="6" t="s">
        <v>235</v>
      </c>
      <c r="AF266" s="6">
        <v>50055</v>
      </c>
    </row>
    <row r="267" spans="30:32" ht="12" x14ac:dyDescent="0.3">
      <c r="AD267" s="6"/>
      <c r="AE267" s="6" t="s">
        <v>235</v>
      </c>
      <c r="AF267" s="6">
        <v>51055</v>
      </c>
    </row>
    <row r="268" spans="30:32" ht="12" x14ac:dyDescent="0.3">
      <c r="AD268" s="6"/>
      <c r="AE268" s="6" t="s">
        <v>235</v>
      </c>
      <c r="AF268" s="6">
        <v>52055</v>
      </c>
    </row>
    <row r="269" spans="30:32" ht="12" x14ac:dyDescent="0.3">
      <c r="AD269" s="6"/>
      <c r="AE269" s="6" t="s">
        <v>235</v>
      </c>
      <c r="AF269" s="6">
        <v>53055</v>
      </c>
    </row>
    <row r="270" spans="30:32" ht="12" x14ac:dyDescent="0.3">
      <c r="AD270" s="6"/>
      <c r="AE270" s="6" t="s">
        <v>250</v>
      </c>
      <c r="AF270" s="6">
        <v>50060</v>
      </c>
    </row>
    <row r="271" spans="30:32" ht="12" x14ac:dyDescent="0.3">
      <c r="AD271" s="6"/>
      <c r="AE271" s="6" t="s">
        <v>253</v>
      </c>
      <c r="AF271" s="6">
        <v>50061</v>
      </c>
    </row>
    <row r="272" spans="30:32" ht="12" x14ac:dyDescent="0.3">
      <c r="AD272" s="6"/>
      <c r="AE272" s="6" t="s">
        <v>256</v>
      </c>
      <c r="AF272" s="6">
        <v>50062</v>
      </c>
    </row>
    <row r="273" spans="30:32" ht="12" x14ac:dyDescent="0.3">
      <c r="AD273" s="6"/>
      <c r="AE273" s="6" t="s">
        <v>261</v>
      </c>
      <c r="AF273" s="6">
        <v>50064</v>
      </c>
    </row>
    <row r="274" spans="30:32" ht="12" x14ac:dyDescent="0.3">
      <c r="AD274" s="6"/>
      <c r="AE274" s="6" t="s">
        <v>259</v>
      </c>
      <c r="AF274" s="6">
        <v>50063</v>
      </c>
    </row>
    <row r="275" spans="30:32" ht="12" x14ac:dyDescent="0.3">
      <c r="AD275" s="6"/>
      <c r="AE275" s="6" t="s">
        <v>264</v>
      </c>
      <c r="AF275" s="6">
        <v>50065</v>
      </c>
    </row>
    <row r="276" spans="30:32" ht="12" x14ac:dyDescent="0.3">
      <c r="AD276" s="6"/>
      <c r="AE276" s="6" t="s">
        <v>267</v>
      </c>
      <c r="AF276" s="6">
        <v>50066</v>
      </c>
    </row>
    <row r="277" spans="30:32" ht="12" x14ac:dyDescent="0.3">
      <c r="AD277" s="6"/>
      <c r="AE277" s="6" t="s">
        <v>270</v>
      </c>
      <c r="AF277" s="6">
        <v>50067</v>
      </c>
    </row>
    <row r="278" spans="30:32" ht="12" x14ac:dyDescent="0.3">
      <c r="AD278" s="6"/>
      <c r="AE278" s="6" t="s">
        <v>250</v>
      </c>
      <c r="AF278" s="6">
        <v>51060</v>
      </c>
    </row>
    <row r="279" spans="30:32" ht="12" x14ac:dyDescent="0.3">
      <c r="AD279" s="6"/>
      <c r="AE279" s="6" t="s">
        <v>253</v>
      </c>
      <c r="AF279" s="6">
        <v>51061</v>
      </c>
    </row>
    <row r="280" spans="30:32" ht="12" x14ac:dyDescent="0.3">
      <c r="AD280" s="6"/>
      <c r="AE280" s="6" t="s">
        <v>256</v>
      </c>
      <c r="AF280" s="6">
        <v>51062</v>
      </c>
    </row>
    <row r="281" spans="30:32" ht="12" x14ac:dyDescent="0.3">
      <c r="AD281" s="6"/>
      <c r="AE281" s="6" t="s">
        <v>261</v>
      </c>
      <c r="AF281" s="6">
        <v>51064</v>
      </c>
    </row>
    <row r="282" spans="30:32" ht="12" x14ac:dyDescent="0.3">
      <c r="AD282" s="6"/>
      <c r="AE282" s="6" t="s">
        <v>259</v>
      </c>
      <c r="AF282" s="6">
        <v>51063</v>
      </c>
    </row>
    <row r="283" spans="30:32" ht="12" x14ac:dyDescent="0.3">
      <c r="AD283" s="6"/>
      <c r="AE283" s="6" t="s">
        <v>264</v>
      </c>
      <c r="AF283" s="6">
        <v>51065</v>
      </c>
    </row>
    <row r="284" spans="30:32" ht="12" x14ac:dyDescent="0.3">
      <c r="AD284" s="6"/>
      <c r="AE284" s="6" t="s">
        <v>267</v>
      </c>
      <c r="AF284" s="6">
        <v>51066</v>
      </c>
    </row>
    <row r="285" spans="30:32" ht="12" x14ac:dyDescent="0.3">
      <c r="AD285" s="6"/>
      <c r="AE285" s="6" t="s">
        <v>270</v>
      </c>
      <c r="AF285" s="6">
        <v>51067</v>
      </c>
    </row>
    <row r="286" spans="30:32" ht="12" x14ac:dyDescent="0.3">
      <c r="AD286" s="6"/>
      <c r="AE286" s="6" t="s">
        <v>250</v>
      </c>
      <c r="AF286" s="6">
        <v>52060</v>
      </c>
    </row>
    <row r="287" spans="30:32" ht="12" x14ac:dyDescent="0.3">
      <c r="AD287" s="6"/>
      <c r="AE287" s="6" t="s">
        <v>253</v>
      </c>
      <c r="AF287" s="6">
        <v>52061</v>
      </c>
    </row>
    <row r="288" spans="30:32" ht="12" x14ac:dyDescent="0.3">
      <c r="AD288" s="6"/>
      <c r="AE288" s="6" t="s">
        <v>256</v>
      </c>
      <c r="AF288" s="6">
        <v>52062</v>
      </c>
    </row>
    <row r="289" spans="30:32" ht="12" x14ac:dyDescent="0.3">
      <c r="AD289" s="6"/>
      <c r="AE289" s="6" t="s">
        <v>261</v>
      </c>
      <c r="AF289" s="6">
        <v>52064</v>
      </c>
    </row>
    <row r="290" spans="30:32" ht="12" x14ac:dyDescent="0.3">
      <c r="AD290" s="6"/>
      <c r="AE290" s="6" t="s">
        <v>259</v>
      </c>
      <c r="AF290" s="6">
        <v>52063</v>
      </c>
    </row>
    <row r="291" spans="30:32" ht="12" x14ac:dyDescent="0.3">
      <c r="AD291" s="6"/>
      <c r="AE291" s="6" t="s">
        <v>264</v>
      </c>
      <c r="AF291" s="6">
        <v>52065</v>
      </c>
    </row>
    <row r="292" spans="30:32" ht="12" x14ac:dyDescent="0.3">
      <c r="AD292" s="6"/>
      <c r="AE292" s="6" t="s">
        <v>267</v>
      </c>
      <c r="AF292" s="6">
        <v>52066</v>
      </c>
    </row>
    <row r="293" spans="30:32" ht="12" x14ac:dyDescent="0.3">
      <c r="AD293" s="6"/>
      <c r="AE293" s="6" t="s">
        <v>270</v>
      </c>
      <c r="AF293" s="6">
        <v>52067</v>
      </c>
    </row>
    <row r="294" spans="30:32" ht="12" x14ac:dyDescent="0.3">
      <c r="AD294" s="6"/>
      <c r="AE294" s="6" t="s">
        <v>250</v>
      </c>
      <c r="AF294" s="6">
        <v>53060</v>
      </c>
    </row>
    <row r="295" spans="30:32" ht="12" x14ac:dyDescent="0.3">
      <c r="AD295" s="6"/>
      <c r="AE295" s="6" t="s">
        <v>253</v>
      </c>
      <c r="AF295" s="6">
        <v>53061</v>
      </c>
    </row>
    <row r="296" spans="30:32" ht="12" x14ac:dyDescent="0.3">
      <c r="AD296" s="6"/>
      <c r="AE296" s="6" t="s">
        <v>256</v>
      </c>
      <c r="AF296" s="6">
        <v>53062</v>
      </c>
    </row>
    <row r="297" spans="30:32" ht="12" x14ac:dyDescent="0.3">
      <c r="AD297" s="6"/>
      <c r="AE297" s="6" t="s">
        <v>261</v>
      </c>
      <c r="AF297" s="6">
        <v>53064</v>
      </c>
    </row>
    <row r="298" spans="30:32" ht="12" x14ac:dyDescent="0.3">
      <c r="AD298" s="6"/>
      <c r="AE298" s="6" t="s">
        <v>259</v>
      </c>
      <c r="AF298" s="6">
        <v>53063</v>
      </c>
    </row>
    <row r="299" spans="30:32" ht="12" x14ac:dyDescent="0.3">
      <c r="AD299" s="6"/>
      <c r="AE299" s="6" t="s">
        <v>264</v>
      </c>
      <c r="AF299" s="6">
        <v>53065</v>
      </c>
    </row>
    <row r="300" spans="30:32" ht="12" x14ac:dyDescent="0.3">
      <c r="AD300" s="6"/>
      <c r="AE300" s="6" t="s">
        <v>267</v>
      </c>
      <c r="AF300" s="6">
        <v>53066</v>
      </c>
    </row>
    <row r="301" spans="30:32" ht="12" x14ac:dyDescent="0.3">
      <c r="AD301" s="6"/>
      <c r="AE301" s="6" t="s">
        <v>270</v>
      </c>
      <c r="AF301" s="6">
        <v>53067</v>
      </c>
    </row>
    <row r="302" spans="30:32" ht="12" x14ac:dyDescent="0.3">
      <c r="AD302" s="6"/>
      <c r="AE302" s="6" t="s">
        <v>1068</v>
      </c>
      <c r="AF302" s="6">
        <v>50093</v>
      </c>
    </row>
    <row r="303" spans="30:32" ht="12" x14ac:dyDescent="0.3">
      <c r="AD303" s="6"/>
      <c r="AE303" s="6" t="s">
        <v>1069</v>
      </c>
      <c r="AF303" s="6">
        <v>50094</v>
      </c>
    </row>
    <row r="304" spans="30:32" ht="12" x14ac:dyDescent="0.3">
      <c r="AD304" s="6"/>
      <c r="AE304" s="6" t="s">
        <v>1070</v>
      </c>
      <c r="AF304" s="6">
        <v>50095</v>
      </c>
    </row>
    <row r="305" spans="30:32" ht="12" x14ac:dyDescent="0.3">
      <c r="AD305" s="6"/>
      <c r="AE305" s="6" t="s">
        <v>1068</v>
      </c>
      <c r="AF305" s="6">
        <v>51093</v>
      </c>
    </row>
    <row r="306" spans="30:32" ht="12" x14ac:dyDescent="0.3">
      <c r="AD306" s="6"/>
      <c r="AE306" s="6" t="s">
        <v>1069</v>
      </c>
      <c r="AF306" s="6">
        <v>51094</v>
      </c>
    </row>
    <row r="307" spans="30:32" ht="12" x14ac:dyDescent="0.3">
      <c r="AD307" s="6"/>
      <c r="AE307" s="6" t="s">
        <v>1070</v>
      </c>
      <c r="AF307" s="6">
        <v>51095</v>
      </c>
    </row>
    <row r="308" spans="30:32" ht="12" x14ac:dyDescent="0.3">
      <c r="AD308" s="6"/>
      <c r="AE308" s="6" t="s">
        <v>1068</v>
      </c>
      <c r="AF308" s="6">
        <v>52093</v>
      </c>
    </row>
    <row r="309" spans="30:32" ht="12" x14ac:dyDescent="0.3">
      <c r="AD309" s="6"/>
      <c r="AE309" s="6" t="s">
        <v>1069</v>
      </c>
      <c r="AF309" s="6">
        <v>52094</v>
      </c>
    </row>
    <row r="310" spans="30:32" ht="12" x14ac:dyDescent="0.3">
      <c r="AD310" s="6"/>
      <c r="AE310" s="6" t="s">
        <v>1070</v>
      </c>
      <c r="AF310" s="6">
        <v>52095</v>
      </c>
    </row>
    <row r="311" spans="30:32" ht="12" x14ac:dyDescent="0.3">
      <c r="AD311" s="6"/>
      <c r="AE311" s="6" t="s">
        <v>1068</v>
      </c>
      <c r="AF311" s="6">
        <v>53093</v>
      </c>
    </row>
    <row r="312" spans="30:32" ht="12" x14ac:dyDescent="0.3">
      <c r="AD312" s="6"/>
      <c r="AE312" s="6" t="s">
        <v>1069</v>
      </c>
      <c r="AF312" s="6">
        <v>53094</v>
      </c>
    </row>
    <row r="313" spans="30:32" ht="12" x14ac:dyDescent="0.3">
      <c r="AD313" s="6"/>
      <c r="AE313" s="6" t="s">
        <v>1070</v>
      </c>
      <c r="AF313" s="6">
        <v>53095</v>
      </c>
    </row>
    <row r="314" spans="30:32" ht="12" x14ac:dyDescent="0.3">
      <c r="AD314" s="6"/>
      <c r="AE314" s="6" t="s">
        <v>95</v>
      </c>
      <c r="AF314" s="6">
        <v>50007</v>
      </c>
    </row>
    <row r="315" spans="30:32" ht="12" x14ac:dyDescent="0.3">
      <c r="AD315" s="6"/>
      <c r="AE315" s="6" t="s">
        <v>113</v>
      </c>
      <c r="AF315" s="6">
        <v>50012</v>
      </c>
    </row>
    <row r="316" spans="30:32" ht="12" x14ac:dyDescent="0.3">
      <c r="AD316" s="6"/>
      <c r="AE316" s="6" t="s">
        <v>197</v>
      </c>
      <c r="AF316" s="6">
        <v>50042</v>
      </c>
    </row>
    <row r="317" spans="30:32" ht="12" x14ac:dyDescent="0.3">
      <c r="AD317" s="6"/>
      <c r="AE317" s="6" t="s">
        <v>200</v>
      </c>
      <c r="AF317" s="6">
        <v>50043</v>
      </c>
    </row>
    <row r="318" spans="30:32" ht="12" x14ac:dyDescent="0.3">
      <c r="AD318" s="6"/>
      <c r="AE318" s="6" t="s">
        <v>203</v>
      </c>
      <c r="AF318" s="6">
        <v>50044</v>
      </c>
    </row>
    <row r="319" spans="30:32" ht="12" x14ac:dyDescent="0.3">
      <c r="AD319" s="6"/>
      <c r="AE319" s="6" t="s">
        <v>206</v>
      </c>
      <c r="AF319" s="6">
        <v>50045</v>
      </c>
    </row>
    <row r="320" spans="30:32" ht="12" x14ac:dyDescent="0.3">
      <c r="AD320" s="6"/>
      <c r="AE320" s="6" t="s">
        <v>209</v>
      </c>
      <c r="AF320" s="6">
        <v>50046</v>
      </c>
    </row>
    <row r="321" spans="30:32" ht="12" x14ac:dyDescent="0.3">
      <c r="AD321" s="6"/>
      <c r="AE321" s="6" t="s">
        <v>1087</v>
      </c>
      <c r="AF321" s="6">
        <v>50047</v>
      </c>
    </row>
    <row r="322" spans="30:32" ht="12" x14ac:dyDescent="0.3">
      <c r="AD322" s="6"/>
      <c r="AE322" s="6" t="s">
        <v>214</v>
      </c>
      <c r="AF322" s="6">
        <v>50048</v>
      </c>
    </row>
    <row r="323" spans="30:32" ht="12" x14ac:dyDescent="0.3">
      <c r="AD323" s="6"/>
      <c r="AE323" s="6" t="s">
        <v>217</v>
      </c>
      <c r="AF323" s="6">
        <v>50049</v>
      </c>
    </row>
    <row r="324" spans="30:32" ht="12" x14ac:dyDescent="0.3">
      <c r="AD324" s="6"/>
      <c r="AE324" s="6" t="s">
        <v>220</v>
      </c>
      <c r="AF324" s="6">
        <v>50050</v>
      </c>
    </row>
    <row r="325" spans="30:32" ht="12" x14ac:dyDescent="0.3">
      <c r="AD325" s="6"/>
      <c r="AE325" s="6" t="s">
        <v>273</v>
      </c>
      <c r="AF325" s="6">
        <v>50068</v>
      </c>
    </row>
    <row r="326" spans="30:32" ht="12" x14ac:dyDescent="0.3">
      <c r="AD326" s="6"/>
      <c r="AE326" s="6" t="s">
        <v>276</v>
      </c>
      <c r="AF326" s="6">
        <v>50069</v>
      </c>
    </row>
    <row r="327" spans="30:32" ht="12" x14ac:dyDescent="0.3">
      <c r="AD327" s="6"/>
      <c r="AE327" s="6" t="s">
        <v>279</v>
      </c>
      <c r="AF327" s="6">
        <v>50070</v>
      </c>
    </row>
    <row r="328" spans="30:32" ht="12" x14ac:dyDescent="0.3">
      <c r="AD328" s="6"/>
      <c r="AE328" s="6" t="s">
        <v>282</v>
      </c>
      <c r="AF328" s="6">
        <v>50071</v>
      </c>
    </row>
    <row r="329" spans="30:32" ht="12" x14ac:dyDescent="0.3">
      <c r="AD329" s="6"/>
      <c r="AE329" s="6" t="s">
        <v>296</v>
      </c>
      <c r="AF329" s="6">
        <v>50076</v>
      </c>
    </row>
    <row r="330" spans="30:32" ht="12" x14ac:dyDescent="0.3">
      <c r="AD330" s="6"/>
      <c r="AE330" s="6" t="s">
        <v>1050</v>
      </c>
      <c r="AF330" s="6">
        <v>50077</v>
      </c>
    </row>
    <row r="331" spans="30:32" ht="12" x14ac:dyDescent="0.3">
      <c r="AD331" s="6"/>
      <c r="AE331" s="6" t="s">
        <v>1052</v>
      </c>
      <c r="AF331" s="6">
        <v>50078</v>
      </c>
    </row>
    <row r="332" spans="30:32" ht="12" x14ac:dyDescent="0.3">
      <c r="AD332" s="6"/>
      <c r="AE332" s="6" t="s">
        <v>1053</v>
      </c>
      <c r="AF332" s="6">
        <v>50079</v>
      </c>
    </row>
    <row r="333" spans="30:32" ht="12" x14ac:dyDescent="0.3">
      <c r="AD333" s="6"/>
      <c r="AE333" s="6" t="s">
        <v>301</v>
      </c>
      <c r="AF333" s="6">
        <v>50080</v>
      </c>
    </row>
    <row r="334" spans="30:32" ht="12" x14ac:dyDescent="0.3">
      <c r="AD334" s="6"/>
      <c r="AE334" s="6" t="s">
        <v>304</v>
      </c>
      <c r="AF334" s="6">
        <v>50081</v>
      </c>
    </row>
    <row r="335" spans="30:32" ht="12" x14ac:dyDescent="0.3">
      <c r="AD335" s="6"/>
      <c r="AE335" s="6" t="s">
        <v>307</v>
      </c>
      <c r="AF335" s="6">
        <v>50082</v>
      </c>
    </row>
    <row r="336" spans="30:32" ht="12" x14ac:dyDescent="0.3">
      <c r="AD336" s="6"/>
      <c r="AE336" s="6" t="s">
        <v>310</v>
      </c>
      <c r="AF336" s="6">
        <v>50083</v>
      </c>
    </row>
    <row r="337" spans="30:32" ht="12" x14ac:dyDescent="0.3">
      <c r="AD337" s="6"/>
      <c r="AE337" s="6" t="s">
        <v>313</v>
      </c>
      <c r="AF337" s="6">
        <v>50084</v>
      </c>
    </row>
    <row r="338" spans="30:32" ht="12" x14ac:dyDescent="0.3">
      <c r="AD338" s="6"/>
      <c r="AE338" s="6" t="s">
        <v>1088</v>
      </c>
      <c r="AF338" s="6">
        <v>50085</v>
      </c>
    </row>
    <row r="339" spans="30:32" ht="12" x14ac:dyDescent="0.3">
      <c r="AD339" s="6"/>
      <c r="AE339" s="6" t="s">
        <v>1055</v>
      </c>
      <c r="AF339" s="6">
        <v>50086</v>
      </c>
    </row>
    <row r="340" spans="30:32" ht="12" x14ac:dyDescent="0.3">
      <c r="AD340" s="6"/>
      <c r="AE340" s="6" t="s">
        <v>1056</v>
      </c>
      <c r="AF340" s="6">
        <v>50087</v>
      </c>
    </row>
    <row r="341" spans="30:32" ht="12" x14ac:dyDescent="0.3">
      <c r="AD341" s="6"/>
      <c r="AE341" s="6" t="s">
        <v>1060</v>
      </c>
      <c r="AF341" s="6">
        <v>50088</v>
      </c>
    </row>
    <row r="342" spans="30:32" ht="12" x14ac:dyDescent="0.3">
      <c r="AD342" s="6"/>
      <c r="AE342" s="6" t="s">
        <v>1061</v>
      </c>
      <c r="AF342" s="6">
        <v>50089</v>
      </c>
    </row>
    <row r="343" spans="30:32" ht="12" x14ac:dyDescent="0.3">
      <c r="AD343" s="6"/>
      <c r="AE343" s="6" t="s">
        <v>1064</v>
      </c>
      <c r="AF343" s="6">
        <v>50090</v>
      </c>
    </row>
    <row r="344" spans="30:32" ht="12" x14ac:dyDescent="0.3">
      <c r="AD344" s="6"/>
      <c r="AE344" s="6" t="s">
        <v>1065</v>
      </c>
      <c r="AF344" s="6">
        <v>50091</v>
      </c>
    </row>
    <row r="345" spans="30:32" ht="12" x14ac:dyDescent="0.3">
      <c r="AD345" s="6"/>
      <c r="AE345" s="6" t="s">
        <v>1067</v>
      </c>
      <c r="AF345" s="6">
        <v>50092</v>
      </c>
    </row>
    <row r="346" spans="30:32" ht="12" x14ac:dyDescent="0.3">
      <c r="AD346" s="6"/>
      <c r="AE346" s="6" t="s">
        <v>1071</v>
      </c>
      <c r="AF346" s="6">
        <v>50096</v>
      </c>
    </row>
    <row r="347" spans="30:32" ht="12" x14ac:dyDescent="0.3">
      <c r="AD347" s="6"/>
      <c r="AE347" s="6" t="s">
        <v>95</v>
      </c>
      <c r="AF347" s="6">
        <v>51007</v>
      </c>
    </row>
    <row r="348" spans="30:32" ht="12" x14ac:dyDescent="0.3">
      <c r="AD348" s="6"/>
      <c r="AE348" s="6" t="s">
        <v>113</v>
      </c>
      <c r="AF348" s="6">
        <v>51012</v>
      </c>
    </row>
    <row r="349" spans="30:32" ht="12" x14ac:dyDescent="0.3">
      <c r="AD349" s="6"/>
      <c r="AE349" s="6" t="s">
        <v>197</v>
      </c>
      <c r="AF349" s="6">
        <v>51042</v>
      </c>
    </row>
    <row r="350" spans="30:32" ht="12" x14ac:dyDescent="0.3">
      <c r="AD350" s="6"/>
      <c r="AE350" s="6" t="s">
        <v>200</v>
      </c>
      <c r="AF350" s="6">
        <v>51043</v>
      </c>
    </row>
    <row r="351" spans="30:32" ht="12" x14ac:dyDescent="0.3">
      <c r="AD351" s="6"/>
      <c r="AE351" s="6" t="s">
        <v>203</v>
      </c>
      <c r="AF351" s="6">
        <v>51044</v>
      </c>
    </row>
    <row r="352" spans="30:32" ht="12" x14ac:dyDescent="0.3">
      <c r="AD352" s="6"/>
      <c r="AE352" s="6" t="s">
        <v>206</v>
      </c>
      <c r="AF352" s="6">
        <v>51045</v>
      </c>
    </row>
    <row r="353" spans="30:32" ht="12" x14ac:dyDescent="0.3">
      <c r="AD353" s="6"/>
      <c r="AE353" s="6" t="s">
        <v>209</v>
      </c>
      <c r="AF353" s="6">
        <v>51046</v>
      </c>
    </row>
    <row r="354" spans="30:32" ht="12" x14ac:dyDescent="0.3">
      <c r="AD354" s="6"/>
      <c r="AE354" s="6" t="s">
        <v>1087</v>
      </c>
      <c r="AF354" s="6">
        <v>51047</v>
      </c>
    </row>
    <row r="355" spans="30:32" ht="12" x14ac:dyDescent="0.3">
      <c r="AD355" s="6"/>
      <c r="AE355" s="6" t="s">
        <v>214</v>
      </c>
      <c r="AF355" s="6">
        <v>51048</v>
      </c>
    </row>
    <row r="356" spans="30:32" ht="12" x14ac:dyDescent="0.3">
      <c r="AD356" s="6"/>
      <c r="AE356" s="6" t="s">
        <v>217</v>
      </c>
      <c r="AF356" s="6">
        <v>51049</v>
      </c>
    </row>
    <row r="357" spans="30:32" ht="12" x14ac:dyDescent="0.3">
      <c r="AD357" s="6"/>
      <c r="AE357" s="6" t="s">
        <v>220</v>
      </c>
      <c r="AF357" s="6">
        <v>51050</v>
      </c>
    </row>
    <row r="358" spans="30:32" ht="12" x14ac:dyDescent="0.3">
      <c r="AD358" s="6"/>
      <c r="AE358" s="6" t="s">
        <v>273</v>
      </c>
      <c r="AF358" s="6">
        <v>51068</v>
      </c>
    </row>
    <row r="359" spans="30:32" ht="12" x14ac:dyDescent="0.3">
      <c r="AD359" s="6"/>
      <c r="AE359" s="6" t="s">
        <v>276</v>
      </c>
      <c r="AF359" s="6">
        <v>51069</v>
      </c>
    </row>
    <row r="360" spans="30:32" ht="12" x14ac:dyDescent="0.3">
      <c r="AD360" s="6"/>
      <c r="AE360" s="6" t="s">
        <v>279</v>
      </c>
      <c r="AF360" s="6">
        <v>51070</v>
      </c>
    </row>
    <row r="361" spans="30:32" ht="12" x14ac:dyDescent="0.3">
      <c r="AD361" s="6"/>
      <c r="AE361" s="6" t="s">
        <v>282</v>
      </c>
      <c r="AF361" s="6">
        <v>51071</v>
      </c>
    </row>
    <row r="362" spans="30:32" ht="12" x14ac:dyDescent="0.3">
      <c r="AD362" s="6"/>
      <c r="AE362" s="6" t="s">
        <v>296</v>
      </c>
      <c r="AF362" s="6">
        <v>51076</v>
      </c>
    </row>
    <row r="363" spans="30:32" ht="12" x14ac:dyDescent="0.3">
      <c r="AD363" s="6"/>
      <c r="AE363" s="6" t="s">
        <v>1050</v>
      </c>
      <c r="AF363" s="6">
        <v>51077</v>
      </c>
    </row>
    <row r="364" spans="30:32" ht="12" x14ac:dyDescent="0.3">
      <c r="AD364" s="6"/>
      <c r="AE364" s="6" t="s">
        <v>1052</v>
      </c>
      <c r="AF364" s="6">
        <v>51078</v>
      </c>
    </row>
    <row r="365" spans="30:32" ht="12" x14ac:dyDescent="0.3">
      <c r="AD365" s="6"/>
      <c r="AE365" s="6" t="s">
        <v>1053</v>
      </c>
      <c r="AF365" s="6">
        <v>51079</v>
      </c>
    </row>
    <row r="366" spans="30:32" ht="12" x14ac:dyDescent="0.3">
      <c r="AD366" s="6"/>
      <c r="AE366" s="6" t="s">
        <v>301</v>
      </c>
      <c r="AF366" s="6">
        <v>51080</v>
      </c>
    </row>
    <row r="367" spans="30:32" ht="12" x14ac:dyDescent="0.3">
      <c r="AD367" s="6"/>
      <c r="AE367" s="6" t="s">
        <v>304</v>
      </c>
      <c r="AF367" s="6">
        <v>51081</v>
      </c>
    </row>
    <row r="368" spans="30:32" ht="12" x14ac:dyDescent="0.3">
      <c r="AD368" s="6"/>
      <c r="AE368" s="6" t="s">
        <v>307</v>
      </c>
      <c r="AF368" s="6">
        <v>51082</v>
      </c>
    </row>
    <row r="369" spans="30:32" ht="12" x14ac:dyDescent="0.3">
      <c r="AD369" s="6"/>
      <c r="AE369" s="6" t="s">
        <v>310</v>
      </c>
      <c r="AF369" s="6">
        <v>51083</v>
      </c>
    </row>
    <row r="370" spans="30:32" ht="12" x14ac:dyDescent="0.3">
      <c r="AD370" s="6"/>
      <c r="AE370" s="6" t="s">
        <v>313</v>
      </c>
      <c r="AF370" s="6">
        <v>51084</v>
      </c>
    </row>
    <row r="371" spans="30:32" ht="12" x14ac:dyDescent="0.3">
      <c r="AD371" s="6"/>
      <c r="AE371" s="6" t="s">
        <v>1088</v>
      </c>
      <c r="AF371" s="6">
        <v>51085</v>
      </c>
    </row>
    <row r="372" spans="30:32" ht="12" x14ac:dyDescent="0.3">
      <c r="AD372" s="6"/>
      <c r="AE372" s="6" t="s">
        <v>1055</v>
      </c>
      <c r="AF372" s="6">
        <v>51086</v>
      </c>
    </row>
    <row r="373" spans="30:32" ht="12" x14ac:dyDescent="0.3">
      <c r="AD373" s="6"/>
      <c r="AE373" s="6" t="s">
        <v>1056</v>
      </c>
      <c r="AF373" s="6">
        <v>51087</v>
      </c>
    </row>
    <row r="374" spans="30:32" ht="12" x14ac:dyDescent="0.3">
      <c r="AD374" s="6"/>
      <c r="AE374" s="6" t="s">
        <v>1060</v>
      </c>
      <c r="AF374" s="6">
        <v>51088</v>
      </c>
    </row>
    <row r="375" spans="30:32" ht="12" x14ac:dyDescent="0.3">
      <c r="AD375" s="6"/>
      <c r="AE375" s="6" t="s">
        <v>1061</v>
      </c>
      <c r="AF375" s="6">
        <v>51089</v>
      </c>
    </row>
    <row r="376" spans="30:32" ht="12" x14ac:dyDescent="0.3">
      <c r="AD376" s="6"/>
      <c r="AE376" s="6" t="s">
        <v>1064</v>
      </c>
      <c r="AF376" s="6">
        <v>51090</v>
      </c>
    </row>
    <row r="377" spans="30:32" ht="12" x14ac:dyDescent="0.3">
      <c r="AD377" s="6"/>
      <c r="AE377" s="6" t="s">
        <v>1065</v>
      </c>
      <c r="AF377" s="6">
        <v>51091</v>
      </c>
    </row>
    <row r="378" spans="30:32" ht="12" x14ac:dyDescent="0.3">
      <c r="AD378" s="6"/>
      <c r="AE378" s="6" t="s">
        <v>1067</v>
      </c>
      <c r="AF378" s="6">
        <v>51092</v>
      </c>
    </row>
    <row r="379" spans="30:32" ht="12" x14ac:dyDescent="0.3">
      <c r="AD379" s="6"/>
      <c r="AE379" s="6" t="s">
        <v>1071</v>
      </c>
      <c r="AF379" s="6">
        <v>51096</v>
      </c>
    </row>
    <row r="380" spans="30:32" ht="12" x14ac:dyDescent="0.3">
      <c r="AD380" s="6"/>
      <c r="AE380" s="6" t="s">
        <v>95</v>
      </c>
      <c r="AF380" s="6">
        <v>52007</v>
      </c>
    </row>
    <row r="381" spans="30:32" ht="12" x14ac:dyDescent="0.3">
      <c r="AD381" s="6"/>
      <c r="AE381" s="6" t="s">
        <v>113</v>
      </c>
      <c r="AF381" s="6">
        <v>52012</v>
      </c>
    </row>
    <row r="382" spans="30:32" ht="12" x14ac:dyDescent="0.3">
      <c r="AD382" s="6"/>
      <c r="AE382" s="6" t="s">
        <v>197</v>
      </c>
      <c r="AF382" s="6">
        <v>52042</v>
      </c>
    </row>
    <row r="383" spans="30:32" ht="12" x14ac:dyDescent="0.3">
      <c r="AD383" s="6"/>
      <c r="AE383" s="6" t="s">
        <v>200</v>
      </c>
      <c r="AF383" s="6">
        <v>52043</v>
      </c>
    </row>
    <row r="384" spans="30:32" ht="12" x14ac:dyDescent="0.3">
      <c r="AD384" s="6"/>
      <c r="AE384" s="6" t="s">
        <v>203</v>
      </c>
      <c r="AF384" s="6">
        <v>52044</v>
      </c>
    </row>
    <row r="385" spans="30:32" ht="12" x14ac:dyDescent="0.3">
      <c r="AD385" s="6"/>
      <c r="AE385" s="6" t="s">
        <v>206</v>
      </c>
      <c r="AF385" s="6">
        <v>52045</v>
      </c>
    </row>
    <row r="386" spans="30:32" ht="12" x14ac:dyDescent="0.3">
      <c r="AD386" s="6"/>
      <c r="AE386" s="6" t="s">
        <v>209</v>
      </c>
      <c r="AF386" s="6">
        <v>52046</v>
      </c>
    </row>
    <row r="387" spans="30:32" ht="12" x14ac:dyDescent="0.3">
      <c r="AD387" s="6"/>
      <c r="AE387" s="6" t="s">
        <v>1087</v>
      </c>
      <c r="AF387" s="6">
        <v>52047</v>
      </c>
    </row>
    <row r="388" spans="30:32" ht="12" x14ac:dyDescent="0.3">
      <c r="AD388" s="6"/>
      <c r="AE388" s="6" t="s">
        <v>214</v>
      </c>
      <c r="AF388" s="6">
        <v>52048</v>
      </c>
    </row>
    <row r="389" spans="30:32" ht="12" x14ac:dyDescent="0.3">
      <c r="AD389" s="6"/>
      <c r="AE389" s="6" t="s">
        <v>217</v>
      </c>
      <c r="AF389" s="6">
        <v>52049</v>
      </c>
    </row>
    <row r="390" spans="30:32" ht="12" x14ac:dyDescent="0.3">
      <c r="AD390" s="6"/>
      <c r="AE390" s="6" t="s">
        <v>220</v>
      </c>
      <c r="AF390" s="6">
        <v>52050</v>
      </c>
    </row>
    <row r="391" spans="30:32" ht="12" x14ac:dyDescent="0.3">
      <c r="AD391" s="6"/>
      <c r="AE391" s="6" t="s">
        <v>273</v>
      </c>
      <c r="AF391" s="6">
        <v>52068</v>
      </c>
    </row>
    <row r="392" spans="30:32" ht="12" x14ac:dyDescent="0.3">
      <c r="AD392" s="6"/>
      <c r="AE392" s="6" t="s">
        <v>276</v>
      </c>
      <c r="AF392" s="6">
        <v>52069</v>
      </c>
    </row>
    <row r="393" spans="30:32" ht="12" x14ac:dyDescent="0.3">
      <c r="AD393" s="6"/>
      <c r="AE393" s="6" t="s">
        <v>279</v>
      </c>
      <c r="AF393" s="6">
        <v>52070</v>
      </c>
    </row>
    <row r="394" spans="30:32" ht="12" x14ac:dyDescent="0.3">
      <c r="AD394" s="6"/>
      <c r="AE394" s="6" t="s">
        <v>282</v>
      </c>
      <c r="AF394" s="6">
        <v>52071</v>
      </c>
    </row>
    <row r="395" spans="30:32" ht="12" x14ac:dyDescent="0.3">
      <c r="AD395" s="6"/>
      <c r="AE395" s="6" t="s">
        <v>296</v>
      </c>
      <c r="AF395" s="6">
        <v>52076</v>
      </c>
    </row>
    <row r="396" spans="30:32" ht="12" x14ac:dyDescent="0.3">
      <c r="AD396" s="6"/>
      <c r="AE396" s="6" t="s">
        <v>1050</v>
      </c>
      <c r="AF396" s="6">
        <v>52077</v>
      </c>
    </row>
    <row r="397" spans="30:32" ht="12" x14ac:dyDescent="0.3">
      <c r="AD397" s="6"/>
      <c r="AE397" s="6" t="s">
        <v>1052</v>
      </c>
      <c r="AF397" s="6">
        <v>52078</v>
      </c>
    </row>
    <row r="398" spans="30:32" ht="12" x14ac:dyDescent="0.3">
      <c r="AD398" s="6"/>
      <c r="AE398" s="6" t="s">
        <v>1053</v>
      </c>
      <c r="AF398" s="6">
        <v>52079</v>
      </c>
    </row>
    <row r="399" spans="30:32" ht="12" x14ac:dyDescent="0.3">
      <c r="AD399" s="6"/>
      <c r="AE399" s="6" t="s">
        <v>301</v>
      </c>
      <c r="AF399" s="6">
        <v>52080</v>
      </c>
    </row>
    <row r="400" spans="30:32" ht="12" x14ac:dyDescent="0.3">
      <c r="AD400" s="6"/>
      <c r="AE400" s="6" t="s">
        <v>304</v>
      </c>
      <c r="AF400" s="6">
        <v>52081</v>
      </c>
    </row>
    <row r="401" spans="30:32" ht="12" x14ac:dyDescent="0.3">
      <c r="AD401" s="6"/>
      <c r="AE401" s="6" t="s">
        <v>307</v>
      </c>
      <c r="AF401" s="6">
        <v>52082</v>
      </c>
    </row>
    <row r="402" spans="30:32" ht="12" x14ac:dyDescent="0.3">
      <c r="AD402" s="6"/>
      <c r="AE402" s="6" t="s">
        <v>310</v>
      </c>
      <c r="AF402" s="6">
        <v>52083</v>
      </c>
    </row>
    <row r="403" spans="30:32" ht="12" x14ac:dyDescent="0.3">
      <c r="AD403" s="6"/>
      <c r="AE403" s="6" t="s">
        <v>313</v>
      </c>
      <c r="AF403" s="6">
        <v>52084</v>
      </c>
    </row>
    <row r="404" spans="30:32" ht="12" x14ac:dyDescent="0.3">
      <c r="AD404" s="6"/>
      <c r="AE404" s="6" t="s">
        <v>1088</v>
      </c>
      <c r="AF404" s="6">
        <v>52085</v>
      </c>
    </row>
    <row r="405" spans="30:32" ht="12" x14ac:dyDescent="0.3">
      <c r="AD405" s="6"/>
      <c r="AE405" s="6" t="s">
        <v>1055</v>
      </c>
      <c r="AF405" s="6">
        <v>52086</v>
      </c>
    </row>
    <row r="406" spans="30:32" ht="12" x14ac:dyDescent="0.3">
      <c r="AD406" s="6"/>
      <c r="AE406" s="6" t="s">
        <v>1056</v>
      </c>
      <c r="AF406" s="6">
        <v>52087</v>
      </c>
    </row>
    <row r="407" spans="30:32" ht="12" x14ac:dyDescent="0.3">
      <c r="AD407" s="6"/>
      <c r="AE407" s="6" t="s">
        <v>1060</v>
      </c>
      <c r="AF407" s="6">
        <v>52088</v>
      </c>
    </row>
    <row r="408" spans="30:32" ht="12" x14ac:dyDescent="0.3">
      <c r="AD408" s="6"/>
      <c r="AE408" s="6" t="s">
        <v>1061</v>
      </c>
      <c r="AF408" s="6">
        <v>52089</v>
      </c>
    </row>
    <row r="409" spans="30:32" ht="12" x14ac:dyDescent="0.3">
      <c r="AD409" s="6"/>
      <c r="AE409" s="6" t="s">
        <v>1064</v>
      </c>
      <c r="AF409" s="6">
        <v>52090</v>
      </c>
    </row>
    <row r="410" spans="30:32" ht="12" x14ac:dyDescent="0.3">
      <c r="AD410" s="6"/>
      <c r="AE410" s="6" t="s">
        <v>1065</v>
      </c>
      <c r="AF410" s="6">
        <v>52091</v>
      </c>
    </row>
    <row r="411" spans="30:32" ht="12" x14ac:dyDescent="0.3">
      <c r="AD411" s="6"/>
      <c r="AE411" s="6" t="s">
        <v>1067</v>
      </c>
      <c r="AF411" s="6">
        <v>52092</v>
      </c>
    </row>
    <row r="412" spans="30:32" ht="12" x14ac:dyDescent="0.3">
      <c r="AD412" s="6"/>
      <c r="AE412" s="6" t="s">
        <v>1071</v>
      </c>
      <c r="AF412" s="6">
        <v>52096</v>
      </c>
    </row>
    <row r="413" spans="30:32" ht="12" x14ac:dyDescent="0.3">
      <c r="AD413" s="6"/>
      <c r="AE413" s="6" t="s">
        <v>95</v>
      </c>
      <c r="AF413" s="6">
        <v>53007</v>
      </c>
    </row>
    <row r="414" spans="30:32" ht="12" x14ac:dyDescent="0.3">
      <c r="AD414" s="6"/>
      <c r="AE414" s="6" t="s">
        <v>113</v>
      </c>
      <c r="AF414" s="6">
        <v>53012</v>
      </c>
    </row>
    <row r="415" spans="30:32" ht="12" x14ac:dyDescent="0.3">
      <c r="AD415" s="6"/>
      <c r="AE415" s="6" t="s">
        <v>197</v>
      </c>
      <c r="AF415" s="6">
        <v>53042</v>
      </c>
    </row>
    <row r="416" spans="30:32" ht="12" x14ac:dyDescent="0.3">
      <c r="AD416" s="6"/>
      <c r="AE416" s="6" t="s">
        <v>200</v>
      </c>
      <c r="AF416" s="6">
        <v>53043</v>
      </c>
    </row>
    <row r="417" spans="30:32" ht="12" x14ac:dyDescent="0.3">
      <c r="AD417" s="6"/>
      <c r="AE417" s="6" t="s">
        <v>203</v>
      </c>
      <c r="AF417" s="6">
        <v>53044</v>
      </c>
    </row>
    <row r="418" spans="30:32" ht="12" x14ac:dyDescent="0.3">
      <c r="AD418" s="6"/>
      <c r="AE418" s="6" t="s">
        <v>206</v>
      </c>
      <c r="AF418" s="6">
        <v>53045</v>
      </c>
    </row>
    <row r="419" spans="30:32" ht="12" x14ac:dyDescent="0.3">
      <c r="AD419" s="6"/>
      <c r="AE419" s="6" t="s">
        <v>209</v>
      </c>
      <c r="AF419" s="6">
        <v>53046</v>
      </c>
    </row>
    <row r="420" spans="30:32" ht="12" x14ac:dyDescent="0.3">
      <c r="AD420" s="6"/>
      <c r="AE420" s="6" t="s">
        <v>1087</v>
      </c>
      <c r="AF420" s="6">
        <v>53047</v>
      </c>
    </row>
    <row r="421" spans="30:32" ht="12" x14ac:dyDescent="0.3">
      <c r="AD421" s="6"/>
      <c r="AE421" s="6" t="s">
        <v>214</v>
      </c>
      <c r="AF421" s="6">
        <v>53048</v>
      </c>
    </row>
    <row r="422" spans="30:32" ht="12" x14ac:dyDescent="0.3">
      <c r="AD422" s="6"/>
      <c r="AE422" s="6" t="s">
        <v>217</v>
      </c>
      <c r="AF422" s="6">
        <v>53049</v>
      </c>
    </row>
    <row r="423" spans="30:32" ht="12" x14ac:dyDescent="0.3">
      <c r="AD423" s="6"/>
      <c r="AE423" s="6" t="s">
        <v>220</v>
      </c>
      <c r="AF423" s="6">
        <v>53050</v>
      </c>
    </row>
    <row r="424" spans="30:32" ht="12" x14ac:dyDescent="0.3">
      <c r="AD424" s="6"/>
      <c r="AE424" s="6" t="s">
        <v>273</v>
      </c>
      <c r="AF424" s="6">
        <v>53068</v>
      </c>
    </row>
    <row r="425" spans="30:32" ht="12" x14ac:dyDescent="0.3">
      <c r="AD425" s="6"/>
      <c r="AE425" s="6" t="s">
        <v>276</v>
      </c>
      <c r="AF425" s="6">
        <v>53069</v>
      </c>
    </row>
    <row r="426" spans="30:32" ht="12" x14ac:dyDescent="0.3">
      <c r="AD426" s="6"/>
      <c r="AE426" s="6" t="s">
        <v>279</v>
      </c>
      <c r="AF426" s="6">
        <v>53070</v>
      </c>
    </row>
    <row r="427" spans="30:32" ht="12" x14ac:dyDescent="0.3">
      <c r="AD427" s="6"/>
      <c r="AE427" s="6" t="s">
        <v>282</v>
      </c>
      <c r="AF427" s="6">
        <v>53071</v>
      </c>
    </row>
    <row r="428" spans="30:32" ht="12" x14ac:dyDescent="0.3">
      <c r="AD428" s="6"/>
      <c r="AE428" s="6" t="s">
        <v>296</v>
      </c>
      <c r="AF428" s="6">
        <v>53076</v>
      </c>
    </row>
    <row r="429" spans="30:32" ht="12" x14ac:dyDescent="0.3">
      <c r="AD429" s="6"/>
      <c r="AE429" s="6" t="s">
        <v>1050</v>
      </c>
      <c r="AF429" s="6">
        <v>53077</v>
      </c>
    </row>
    <row r="430" spans="30:32" ht="12" x14ac:dyDescent="0.3">
      <c r="AD430" s="6"/>
      <c r="AE430" s="6" t="s">
        <v>1052</v>
      </c>
      <c r="AF430" s="6">
        <v>53078</v>
      </c>
    </row>
    <row r="431" spans="30:32" ht="12" x14ac:dyDescent="0.3">
      <c r="AD431" s="6"/>
      <c r="AE431" s="6" t="s">
        <v>1053</v>
      </c>
      <c r="AF431" s="6">
        <v>53079</v>
      </c>
    </row>
    <row r="432" spans="30:32" ht="12" x14ac:dyDescent="0.3">
      <c r="AD432" s="6"/>
      <c r="AE432" s="6" t="s">
        <v>301</v>
      </c>
      <c r="AF432" s="6">
        <v>53080</v>
      </c>
    </row>
    <row r="433" spans="30:32" ht="12" x14ac:dyDescent="0.3">
      <c r="AD433" s="6"/>
      <c r="AE433" s="6" t="s">
        <v>304</v>
      </c>
      <c r="AF433" s="6">
        <v>53081</v>
      </c>
    </row>
    <row r="434" spans="30:32" ht="12" x14ac:dyDescent="0.3">
      <c r="AD434" s="6"/>
      <c r="AE434" s="6" t="s">
        <v>307</v>
      </c>
      <c r="AF434" s="6">
        <v>53082</v>
      </c>
    </row>
    <row r="435" spans="30:32" ht="12" x14ac:dyDescent="0.3">
      <c r="AD435" s="6"/>
      <c r="AE435" s="6" t="s">
        <v>310</v>
      </c>
      <c r="AF435" s="6">
        <v>53083</v>
      </c>
    </row>
    <row r="436" spans="30:32" ht="12" x14ac:dyDescent="0.3">
      <c r="AD436" s="6"/>
      <c r="AE436" s="6" t="s">
        <v>313</v>
      </c>
      <c r="AF436" s="6">
        <v>53084</v>
      </c>
    </row>
    <row r="437" spans="30:32" ht="12" x14ac:dyDescent="0.3">
      <c r="AD437" s="6"/>
      <c r="AE437" s="6" t="s">
        <v>1088</v>
      </c>
      <c r="AF437" s="6">
        <v>53085</v>
      </c>
    </row>
    <row r="438" spans="30:32" ht="12" x14ac:dyDescent="0.3">
      <c r="AD438" s="6"/>
      <c r="AE438" s="6" t="s">
        <v>1055</v>
      </c>
      <c r="AF438" s="6">
        <v>53086</v>
      </c>
    </row>
    <row r="439" spans="30:32" ht="12" x14ac:dyDescent="0.3">
      <c r="AD439" s="6"/>
      <c r="AE439" s="6" t="s">
        <v>1056</v>
      </c>
      <c r="AF439" s="6">
        <v>53087</v>
      </c>
    </row>
    <row r="440" spans="30:32" ht="12" x14ac:dyDescent="0.3">
      <c r="AD440" s="6"/>
      <c r="AE440" s="6" t="s">
        <v>1060</v>
      </c>
      <c r="AF440" s="6">
        <v>53088</v>
      </c>
    </row>
    <row r="441" spans="30:32" ht="12" x14ac:dyDescent="0.3">
      <c r="AD441" s="6"/>
      <c r="AE441" s="6" t="s">
        <v>1061</v>
      </c>
      <c r="AF441" s="6">
        <v>53089</v>
      </c>
    </row>
    <row r="442" spans="30:32" ht="12" x14ac:dyDescent="0.3">
      <c r="AD442" s="6"/>
      <c r="AE442" s="6" t="s">
        <v>1064</v>
      </c>
      <c r="AF442" s="6">
        <v>53090</v>
      </c>
    </row>
    <row r="443" spans="30:32" ht="12" x14ac:dyDescent="0.3">
      <c r="AD443" s="6"/>
      <c r="AE443" s="6" t="s">
        <v>1065</v>
      </c>
      <c r="AF443" s="6">
        <v>53091</v>
      </c>
    </row>
    <row r="444" spans="30:32" ht="12" x14ac:dyDescent="0.3">
      <c r="AD444" s="6"/>
      <c r="AE444" s="6" t="s">
        <v>1067</v>
      </c>
      <c r="AF444" s="6">
        <v>53092</v>
      </c>
    </row>
    <row r="445" spans="30:32" ht="12" x14ac:dyDescent="0.3">
      <c r="AD445" s="6"/>
      <c r="AE445" s="6" t="s">
        <v>1071</v>
      </c>
      <c r="AF445" s="6">
        <v>53096</v>
      </c>
    </row>
    <row r="446" spans="30:32" ht="12" x14ac:dyDescent="0.3">
      <c r="AD446" s="6"/>
      <c r="AE446" s="6" t="s">
        <v>1080</v>
      </c>
      <c r="AF446" s="6">
        <v>54001</v>
      </c>
    </row>
    <row r="447" spans="30:32" ht="12" x14ac:dyDescent="0.3">
      <c r="AD447" s="6"/>
      <c r="AE447" s="6" t="s">
        <v>43</v>
      </c>
      <c r="AF447" s="6">
        <v>54002</v>
      </c>
    </row>
    <row r="448" spans="30:32" ht="12" x14ac:dyDescent="0.3">
      <c r="AD448" s="6"/>
      <c r="AE448" s="6" t="s">
        <v>54</v>
      </c>
      <c r="AF448" s="6">
        <v>54003</v>
      </c>
    </row>
    <row r="449" spans="30:32" ht="12" x14ac:dyDescent="0.3">
      <c r="AD449" s="6"/>
      <c r="AE449" s="6" t="s">
        <v>65</v>
      </c>
      <c r="AF449" s="6">
        <v>54004</v>
      </c>
    </row>
    <row r="450" spans="30:32" ht="12" x14ac:dyDescent="0.3">
      <c r="AD450" s="6"/>
      <c r="AE450" s="6" t="s">
        <v>69</v>
      </c>
      <c r="AF450" s="6">
        <v>54005</v>
      </c>
    </row>
    <row r="451" spans="30:32" ht="12" x14ac:dyDescent="0.3">
      <c r="AD451" s="6"/>
      <c r="AE451" s="6" t="s">
        <v>80</v>
      </c>
      <c r="AF451" s="6">
        <v>54006</v>
      </c>
    </row>
    <row r="452" spans="30:32" ht="12" x14ac:dyDescent="0.3">
      <c r="AD452" s="6"/>
      <c r="AE452" s="6" t="s">
        <v>95</v>
      </c>
      <c r="AF452" s="6">
        <v>54007</v>
      </c>
    </row>
    <row r="453" spans="30:32" ht="12" x14ac:dyDescent="0.3">
      <c r="AD453" s="6"/>
      <c r="AE453" s="6" t="s">
        <v>101</v>
      </c>
      <c r="AF453" s="6">
        <v>54008</v>
      </c>
    </row>
    <row r="454" spans="30:32" ht="12" x14ac:dyDescent="0.3">
      <c r="AD454" s="6"/>
      <c r="AE454" s="6" t="s">
        <v>101</v>
      </c>
      <c r="AF454" s="6">
        <v>154008</v>
      </c>
    </row>
    <row r="455" spans="30:32" ht="12" x14ac:dyDescent="0.3">
      <c r="AD455" s="6"/>
      <c r="AE455" s="6" t="s">
        <v>104</v>
      </c>
      <c r="AF455" s="6">
        <v>54009</v>
      </c>
    </row>
    <row r="456" spans="30:32" ht="12" x14ac:dyDescent="0.3">
      <c r="AD456" s="6"/>
      <c r="AE456" s="6" t="s">
        <v>104</v>
      </c>
      <c r="AF456" s="6">
        <v>154009</v>
      </c>
    </row>
    <row r="457" spans="30:32" ht="12" x14ac:dyDescent="0.3">
      <c r="AD457" s="6"/>
      <c r="AE457" s="6" t="s">
        <v>107</v>
      </c>
      <c r="AF457" s="6">
        <v>54010</v>
      </c>
    </row>
    <row r="458" spans="30:32" ht="12" x14ac:dyDescent="0.3">
      <c r="AD458" s="6"/>
      <c r="AE458" s="6" t="s">
        <v>107</v>
      </c>
      <c r="AF458" s="6">
        <v>154010</v>
      </c>
    </row>
    <row r="459" spans="30:32" ht="12" x14ac:dyDescent="0.3">
      <c r="AD459" s="6"/>
      <c r="AE459" s="6" t="s">
        <v>110</v>
      </c>
      <c r="AF459" s="6">
        <v>54011</v>
      </c>
    </row>
    <row r="460" spans="30:32" ht="12" x14ac:dyDescent="0.3">
      <c r="AD460" s="6"/>
      <c r="AE460" s="6" t="s">
        <v>110</v>
      </c>
      <c r="AF460" s="6">
        <v>154011</v>
      </c>
    </row>
    <row r="461" spans="30:32" ht="12" x14ac:dyDescent="0.3">
      <c r="AD461" s="6"/>
      <c r="AE461" s="6" t="s">
        <v>113</v>
      </c>
      <c r="AF461" s="6">
        <v>54012</v>
      </c>
    </row>
    <row r="462" spans="30:32" ht="12" x14ac:dyDescent="0.3">
      <c r="AD462" s="6"/>
      <c r="AE462" s="6" t="s">
        <v>120</v>
      </c>
      <c r="AF462" s="6">
        <v>54014</v>
      </c>
    </row>
    <row r="463" spans="30:32" ht="12" x14ac:dyDescent="0.3">
      <c r="AD463" s="6"/>
      <c r="AE463" s="6" t="s">
        <v>117</v>
      </c>
      <c r="AF463" s="6">
        <v>54013</v>
      </c>
    </row>
    <row r="464" spans="30:32" ht="12" x14ac:dyDescent="0.3">
      <c r="AD464" s="6"/>
      <c r="AE464" s="6" t="s">
        <v>126</v>
      </c>
      <c r="AF464" s="6">
        <v>54016</v>
      </c>
    </row>
    <row r="465" spans="30:32" ht="12" x14ac:dyDescent="0.3">
      <c r="AD465" s="6"/>
      <c r="AE465" s="6" t="s">
        <v>132</v>
      </c>
      <c r="AF465" s="6">
        <v>54018</v>
      </c>
    </row>
    <row r="466" spans="30:32" ht="12" x14ac:dyDescent="0.3">
      <c r="AD466" s="6"/>
      <c r="AE466" s="6" t="s">
        <v>129</v>
      </c>
      <c r="AF466" s="6">
        <v>54017</v>
      </c>
    </row>
    <row r="467" spans="30:32" ht="12" x14ac:dyDescent="0.3">
      <c r="AD467" s="6"/>
      <c r="AE467" s="6" t="s">
        <v>135</v>
      </c>
      <c r="AF467" s="6">
        <v>54019</v>
      </c>
    </row>
    <row r="468" spans="30:32" ht="12" x14ac:dyDescent="0.3">
      <c r="AD468" s="6"/>
      <c r="AE468" s="6" t="s">
        <v>123</v>
      </c>
      <c r="AF468" s="6">
        <v>54015</v>
      </c>
    </row>
    <row r="469" spans="30:32" ht="12" x14ac:dyDescent="0.3">
      <c r="AD469" s="6"/>
      <c r="AE469" s="6" t="s">
        <v>138</v>
      </c>
      <c r="AF469" s="6">
        <v>54020</v>
      </c>
    </row>
    <row r="470" spans="30:32" ht="12" x14ac:dyDescent="0.3">
      <c r="AD470" s="6"/>
      <c r="AE470" s="6" t="s">
        <v>126</v>
      </c>
      <c r="AF470" s="6">
        <v>154016</v>
      </c>
    </row>
    <row r="471" spans="30:32" ht="12" x14ac:dyDescent="0.3">
      <c r="AD471" s="6"/>
      <c r="AE471" s="6" t="s">
        <v>126</v>
      </c>
      <c r="AF471" s="6">
        <v>254016</v>
      </c>
    </row>
    <row r="472" spans="30:32" ht="12" x14ac:dyDescent="0.3">
      <c r="AD472" s="6"/>
      <c r="AE472" s="6" t="s">
        <v>135</v>
      </c>
      <c r="AF472" s="6">
        <v>154019</v>
      </c>
    </row>
    <row r="473" spans="30:32" ht="12" x14ac:dyDescent="0.3">
      <c r="AD473" s="6"/>
      <c r="AE473" s="6" t="s">
        <v>135</v>
      </c>
      <c r="AF473" s="6">
        <v>254019</v>
      </c>
    </row>
    <row r="474" spans="30:32" ht="12" x14ac:dyDescent="0.3">
      <c r="AD474" s="6"/>
      <c r="AE474" s="6" t="s">
        <v>138</v>
      </c>
      <c r="AF474" s="6">
        <v>154020</v>
      </c>
    </row>
    <row r="475" spans="30:32" ht="12" x14ac:dyDescent="0.3">
      <c r="AD475" s="6"/>
      <c r="AE475" s="6" t="s">
        <v>138</v>
      </c>
      <c r="AF475" s="6">
        <v>254020</v>
      </c>
    </row>
    <row r="476" spans="30:32" ht="12" x14ac:dyDescent="0.3">
      <c r="AD476" s="6"/>
      <c r="AE476" s="6" t="s">
        <v>141</v>
      </c>
      <c r="AF476" s="6">
        <v>54021</v>
      </c>
    </row>
    <row r="477" spans="30:32" ht="12" x14ac:dyDescent="0.3">
      <c r="AD477" s="6"/>
      <c r="AE477" s="6" t="s">
        <v>141</v>
      </c>
      <c r="AF477" s="6">
        <v>154021</v>
      </c>
    </row>
    <row r="478" spans="30:32" ht="12" x14ac:dyDescent="0.3">
      <c r="AD478" s="6"/>
      <c r="AE478" s="6" t="s">
        <v>144</v>
      </c>
      <c r="AF478" s="6">
        <v>54022</v>
      </c>
    </row>
    <row r="479" spans="30:32" ht="12" x14ac:dyDescent="0.3">
      <c r="AD479" s="6"/>
      <c r="AE479" s="6" t="s">
        <v>147</v>
      </c>
      <c r="AF479" s="6">
        <v>54023</v>
      </c>
    </row>
    <row r="480" spans="30:32" ht="12" x14ac:dyDescent="0.3">
      <c r="AD480" s="6"/>
      <c r="AE480" s="6" t="s">
        <v>150</v>
      </c>
      <c r="AF480" s="6">
        <v>54024</v>
      </c>
    </row>
    <row r="481" spans="30:32" ht="12" x14ac:dyDescent="0.3">
      <c r="AD481" s="6"/>
      <c r="AE481" s="6" t="s">
        <v>153</v>
      </c>
      <c r="AF481" s="6">
        <v>54025</v>
      </c>
    </row>
    <row r="482" spans="30:32" ht="12" x14ac:dyDescent="0.3">
      <c r="AD482" s="6"/>
      <c r="AE482" s="6" t="s">
        <v>156</v>
      </c>
      <c r="AF482" s="6">
        <v>54026</v>
      </c>
    </row>
    <row r="483" spans="30:32" ht="12" x14ac:dyDescent="0.3">
      <c r="AD483" s="6"/>
      <c r="AE483" s="6" t="s">
        <v>162</v>
      </c>
      <c r="AF483" s="6">
        <v>54028</v>
      </c>
    </row>
    <row r="484" spans="30:32" ht="12" x14ac:dyDescent="0.3">
      <c r="AD484" s="6"/>
      <c r="AE484" s="6" t="s">
        <v>159</v>
      </c>
      <c r="AF484" s="6">
        <v>54027</v>
      </c>
    </row>
    <row r="485" spans="30:32" ht="12" x14ac:dyDescent="0.3">
      <c r="AD485" s="6"/>
      <c r="AE485" s="6" t="s">
        <v>165</v>
      </c>
      <c r="AF485" s="6">
        <v>54029</v>
      </c>
    </row>
    <row r="486" spans="30:32" ht="12" x14ac:dyDescent="0.3">
      <c r="AD486" s="6"/>
      <c r="AE486" s="6" t="s">
        <v>167</v>
      </c>
      <c r="AF486" s="6">
        <v>54030</v>
      </c>
    </row>
    <row r="487" spans="30:32" ht="12" x14ac:dyDescent="0.3">
      <c r="AD487" s="6"/>
      <c r="AE487" s="6" t="s">
        <v>167</v>
      </c>
      <c r="AF487" s="6">
        <v>154030</v>
      </c>
    </row>
    <row r="488" spans="30:32" ht="12" x14ac:dyDescent="0.3">
      <c r="AD488" s="6"/>
      <c r="AE488" s="6" t="s">
        <v>1057</v>
      </c>
      <c r="AF488" s="6">
        <v>54031</v>
      </c>
    </row>
    <row r="489" spans="30:32" ht="12" x14ac:dyDescent="0.3">
      <c r="AD489" s="6"/>
      <c r="AE489" s="6" t="s">
        <v>1057</v>
      </c>
      <c r="AF489" s="6">
        <v>154031</v>
      </c>
    </row>
    <row r="490" spans="30:32" ht="12" x14ac:dyDescent="0.3">
      <c r="AD490" s="6"/>
      <c r="AE490" s="6" t="s">
        <v>1058</v>
      </c>
      <c r="AF490" s="6">
        <v>54032</v>
      </c>
    </row>
    <row r="491" spans="30:32" ht="12" x14ac:dyDescent="0.3">
      <c r="AD491" s="6"/>
      <c r="AE491" s="6" t="s">
        <v>1058</v>
      </c>
      <c r="AF491" s="6">
        <v>154032</v>
      </c>
    </row>
    <row r="492" spans="30:32" ht="12" x14ac:dyDescent="0.3">
      <c r="AD492" s="6"/>
      <c r="AE492" s="6" t="s">
        <v>1059</v>
      </c>
      <c r="AF492" s="6">
        <v>54033</v>
      </c>
    </row>
    <row r="493" spans="30:32" ht="12" x14ac:dyDescent="0.3">
      <c r="AD493" s="6"/>
      <c r="AE493" s="6" t="s">
        <v>1059</v>
      </c>
      <c r="AF493" s="6">
        <v>154033</v>
      </c>
    </row>
    <row r="494" spans="30:32" ht="12" x14ac:dyDescent="0.3">
      <c r="AD494" s="6"/>
      <c r="AE494" s="6" t="s">
        <v>179</v>
      </c>
      <c r="AF494" s="6">
        <v>54036</v>
      </c>
    </row>
    <row r="495" spans="30:32" ht="12" x14ac:dyDescent="0.3">
      <c r="AD495" s="6"/>
      <c r="AE495" s="6" t="s">
        <v>173</v>
      </c>
      <c r="AF495" s="6">
        <v>54034</v>
      </c>
    </row>
    <row r="496" spans="30:32" ht="12" x14ac:dyDescent="0.3">
      <c r="AD496" s="6"/>
      <c r="AE496" s="6" t="s">
        <v>176</v>
      </c>
      <c r="AF496" s="6">
        <v>54035</v>
      </c>
    </row>
    <row r="497" spans="30:32" ht="12" x14ac:dyDescent="0.3">
      <c r="AD497" s="6"/>
      <c r="AE497" s="6" t="s">
        <v>182</v>
      </c>
      <c r="AF497" s="6">
        <v>54037</v>
      </c>
    </row>
    <row r="498" spans="30:32" ht="12" x14ac:dyDescent="0.3">
      <c r="AD498" s="6"/>
      <c r="AE498" s="6" t="s">
        <v>185</v>
      </c>
      <c r="AF498" s="6">
        <v>54038</v>
      </c>
    </row>
    <row r="499" spans="30:32" ht="12" x14ac:dyDescent="0.3">
      <c r="AD499" s="6"/>
      <c r="AE499" s="6" t="s">
        <v>188</v>
      </c>
      <c r="AF499" s="6">
        <v>54039</v>
      </c>
    </row>
    <row r="500" spans="30:32" ht="12" x14ac:dyDescent="0.3">
      <c r="AD500" s="6"/>
      <c r="AE500" s="6" t="s">
        <v>194</v>
      </c>
      <c r="AF500" s="6">
        <v>54041</v>
      </c>
    </row>
    <row r="501" spans="30:32" ht="12" x14ac:dyDescent="0.3">
      <c r="AD501" s="6"/>
      <c r="AE501" s="6" t="s">
        <v>191</v>
      </c>
      <c r="AF501" s="6">
        <v>54040</v>
      </c>
    </row>
    <row r="502" spans="30:32" ht="12" x14ac:dyDescent="0.3">
      <c r="AD502" s="6"/>
      <c r="AE502" s="6" t="s">
        <v>197</v>
      </c>
      <c r="AF502" s="6">
        <v>54042</v>
      </c>
    </row>
    <row r="503" spans="30:32" ht="12" x14ac:dyDescent="0.3">
      <c r="AD503" s="6"/>
      <c r="AE503" s="6" t="s">
        <v>200</v>
      </c>
      <c r="AF503" s="6">
        <v>54043</v>
      </c>
    </row>
    <row r="504" spans="30:32" ht="12" x14ac:dyDescent="0.3">
      <c r="AD504" s="6"/>
      <c r="AE504" s="6" t="s">
        <v>203</v>
      </c>
      <c r="AF504" s="6">
        <v>54044</v>
      </c>
    </row>
    <row r="505" spans="30:32" ht="12" x14ac:dyDescent="0.3">
      <c r="AD505" s="6"/>
      <c r="AE505" s="6" t="s">
        <v>206</v>
      </c>
      <c r="AF505" s="6">
        <v>54045</v>
      </c>
    </row>
    <row r="506" spans="30:32" ht="12" x14ac:dyDescent="0.3">
      <c r="AD506" s="6"/>
      <c r="AE506" s="6" t="s">
        <v>209</v>
      </c>
      <c r="AF506" s="6">
        <v>54046</v>
      </c>
    </row>
    <row r="507" spans="30:32" ht="12" x14ac:dyDescent="0.3">
      <c r="AD507" s="6"/>
      <c r="AE507" s="6" t="s">
        <v>1087</v>
      </c>
      <c r="AF507" s="6">
        <v>54047</v>
      </c>
    </row>
    <row r="508" spans="30:32" ht="12" x14ac:dyDescent="0.3">
      <c r="AD508" s="6"/>
      <c r="AE508" s="6" t="s">
        <v>214</v>
      </c>
      <c r="AF508" s="6">
        <v>54048</v>
      </c>
    </row>
    <row r="509" spans="30:32" ht="12" x14ac:dyDescent="0.3">
      <c r="AD509" s="6"/>
      <c r="AE509" s="6" t="s">
        <v>217</v>
      </c>
      <c r="AF509" s="6">
        <v>54049</v>
      </c>
    </row>
    <row r="510" spans="30:32" ht="12" x14ac:dyDescent="0.3">
      <c r="AD510" s="6"/>
      <c r="AE510" s="6" t="s">
        <v>220</v>
      </c>
      <c r="AF510" s="6">
        <v>54050</v>
      </c>
    </row>
    <row r="511" spans="30:32" ht="12" x14ac:dyDescent="0.3">
      <c r="AD511" s="6"/>
      <c r="AE511" s="6" t="s">
        <v>223</v>
      </c>
      <c r="AF511" s="6">
        <v>54051</v>
      </c>
    </row>
    <row r="512" spans="30:32" ht="12" x14ac:dyDescent="0.3">
      <c r="AD512" s="6"/>
      <c r="AE512" s="6" t="s">
        <v>226</v>
      </c>
      <c r="AF512" s="6">
        <v>54052</v>
      </c>
    </row>
    <row r="513" spans="30:32" ht="12" x14ac:dyDescent="0.3">
      <c r="AD513" s="6"/>
      <c r="AE513" s="6" t="s">
        <v>229</v>
      </c>
      <c r="AF513" s="6">
        <v>54053</v>
      </c>
    </row>
    <row r="514" spans="30:32" ht="12" x14ac:dyDescent="0.3">
      <c r="AD514" s="6"/>
      <c r="AE514" s="6" t="s">
        <v>232</v>
      </c>
      <c r="AF514" s="6">
        <v>54054</v>
      </c>
    </row>
    <row r="515" spans="30:32" ht="12" x14ac:dyDescent="0.3">
      <c r="AD515" s="6"/>
      <c r="AE515" s="6" t="s">
        <v>235</v>
      </c>
      <c r="AF515" s="6">
        <v>54055</v>
      </c>
    </row>
    <row r="516" spans="30:32" ht="12" x14ac:dyDescent="0.3">
      <c r="AD516" s="6"/>
      <c r="AE516" s="6" t="s">
        <v>238</v>
      </c>
      <c r="AF516" s="6">
        <v>54056</v>
      </c>
    </row>
    <row r="517" spans="30:32" ht="12" x14ac:dyDescent="0.3">
      <c r="AD517" s="6"/>
      <c r="AE517" s="6" t="s">
        <v>241</v>
      </c>
      <c r="AF517" s="6">
        <v>54057</v>
      </c>
    </row>
    <row r="518" spans="30:32" ht="12" x14ac:dyDescent="0.3">
      <c r="AD518" s="6"/>
      <c r="AE518" s="6" t="s">
        <v>244</v>
      </c>
      <c r="AF518" s="6">
        <v>54058</v>
      </c>
    </row>
    <row r="519" spans="30:32" ht="12" x14ac:dyDescent="0.3">
      <c r="AD519" s="6"/>
      <c r="AE519" s="6" t="s">
        <v>247</v>
      </c>
      <c r="AF519" s="6">
        <v>54059</v>
      </c>
    </row>
    <row r="520" spans="30:32" ht="12" x14ac:dyDescent="0.3">
      <c r="AD520" s="6"/>
      <c r="AE520" s="6" t="s">
        <v>250</v>
      </c>
      <c r="AF520" s="6">
        <v>54060</v>
      </c>
    </row>
    <row r="521" spans="30:32" ht="12" x14ac:dyDescent="0.3">
      <c r="AD521" s="6"/>
      <c r="AE521" s="6" t="s">
        <v>253</v>
      </c>
      <c r="AF521" s="6">
        <v>54061</v>
      </c>
    </row>
    <row r="522" spans="30:32" ht="12" x14ac:dyDescent="0.3">
      <c r="AD522" s="6"/>
      <c r="AE522" s="6" t="s">
        <v>256</v>
      </c>
      <c r="AF522" s="6">
        <v>54062</v>
      </c>
    </row>
    <row r="523" spans="30:32" ht="12" x14ac:dyDescent="0.3">
      <c r="AD523" s="6"/>
      <c r="AE523" s="6" t="s">
        <v>259</v>
      </c>
      <c r="AF523" s="6">
        <v>54063</v>
      </c>
    </row>
    <row r="524" spans="30:32" ht="12" x14ac:dyDescent="0.3">
      <c r="AD524" s="6"/>
      <c r="AE524" s="6" t="s">
        <v>261</v>
      </c>
      <c r="AF524" s="6">
        <v>54064</v>
      </c>
    </row>
    <row r="525" spans="30:32" ht="12" x14ac:dyDescent="0.3">
      <c r="AD525" s="6"/>
      <c r="AE525" s="6" t="s">
        <v>264</v>
      </c>
      <c r="AF525" s="6">
        <v>54065</v>
      </c>
    </row>
    <row r="526" spans="30:32" ht="12" x14ac:dyDescent="0.3">
      <c r="AD526" s="6"/>
      <c r="AE526" s="6" t="s">
        <v>267</v>
      </c>
      <c r="AF526" s="6">
        <v>54066</v>
      </c>
    </row>
    <row r="527" spans="30:32" ht="12" x14ac:dyDescent="0.3">
      <c r="AD527" s="6"/>
      <c r="AE527" s="6" t="s">
        <v>270</v>
      </c>
      <c r="AF527" s="6">
        <v>54067</v>
      </c>
    </row>
    <row r="528" spans="30:32" ht="12" x14ac:dyDescent="0.3">
      <c r="AD528" s="6"/>
      <c r="AE528" s="6" t="s">
        <v>273</v>
      </c>
      <c r="AF528" s="6">
        <v>54068</v>
      </c>
    </row>
    <row r="529" spans="30:32" ht="12" x14ac:dyDescent="0.3">
      <c r="AD529" s="6"/>
      <c r="AE529" s="6" t="s">
        <v>276</v>
      </c>
      <c r="AF529" s="6">
        <v>54069</v>
      </c>
    </row>
    <row r="530" spans="30:32" ht="12" x14ac:dyDescent="0.3">
      <c r="AD530" s="6"/>
      <c r="AE530" s="6" t="s">
        <v>279</v>
      </c>
      <c r="AF530" s="6">
        <v>54070</v>
      </c>
    </row>
    <row r="531" spans="30:32" ht="12" x14ac:dyDescent="0.3">
      <c r="AD531" s="6"/>
      <c r="AE531" s="6" t="s">
        <v>282</v>
      </c>
      <c r="AF531" s="6">
        <v>54071</v>
      </c>
    </row>
    <row r="532" spans="30:32" ht="12" x14ac:dyDescent="0.3">
      <c r="AD532" s="6"/>
      <c r="AE532" s="6" t="s">
        <v>285</v>
      </c>
      <c r="AF532" s="6">
        <v>54072</v>
      </c>
    </row>
    <row r="533" spans="30:32" ht="12" x14ac:dyDescent="0.3">
      <c r="AD533" s="6"/>
      <c r="AE533" s="6" t="s">
        <v>285</v>
      </c>
      <c r="AF533" s="6">
        <v>154072</v>
      </c>
    </row>
    <row r="534" spans="30:32" ht="12" x14ac:dyDescent="0.3">
      <c r="AD534" s="6"/>
      <c r="AE534" s="6" t="s">
        <v>288</v>
      </c>
      <c r="AF534" s="6">
        <v>54073</v>
      </c>
    </row>
    <row r="535" spans="30:32" ht="12" x14ac:dyDescent="0.3">
      <c r="AD535" s="6"/>
      <c r="AE535" s="6" t="s">
        <v>288</v>
      </c>
      <c r="AF535" s="6">
        <v>154073</v>
      </c>
    </row>
    <row r="536" spans="30:32" ht="12" x14ac:dyDescent="0.3">
      <c r="AD536" s="6"/>
      <c r="AE536" s="6" t="s">
        <v>291</v>
      </c>
      <c r="AF536" s="6">
        <v>54074</v>
      </c>
    </row>
    <row r="537" spans="30:32" ht="12" x14ac:dyDescent="0.3">
      <c r="AD537" s="6"/>
      <c r="AE537" s="6" t="s">
        <v>291</v>
      </c>
      <c r="AF537" s="6">
        <v>154074</v>
      </c>
    </row>
    <row r="538" spans="30:32" ht="12" x14ac:dyDescent="0.3">
      <c r="AD538" s="6"/>
      <c r="AE538" s="6" t="s">
        <v>1086</v>
      </c>
      <c r="AF538" s="6">
        <v>54075</v>
      </c>
    </row>
    <row r="539" spans="30:32" ht="12" x14ac:dyDescent="0.3">
      <c r="AD539" s="6"/>
      <c r="AE539" s="6" t="s">
        <v>1086</v>
      </c>
      <c r="AF539" s="6">
        <v>154075</v>
      </c>
    </row>
    <row r="540" spans="30:32" ht="12" x14ac:dyDescent="0.3">
      <c r="AD540" s="6"/>
      <c r="AE540" s="6" t="s">
        <v>285</v>
      </c>
      <c r="AF540" s="6">
        <v>254072</v>
      </c>
    </row>
    <row r="541" spans="30:32" ht="12" x14ac:dyDescent="0.3">
      <c r="AD541" s="6"/>
      <c r="AE541" s="6" t="s">
        <v>285</v>
      </c>
      <c r="AF541" s="6">
        <v>354072</v>
      </c>
    </row>
    <row r="542" spans="30:32" ht="12" x14ac:dyDescent="0.3">
      <c r="AD542" s="6"/>
      <c r="AE542" s="6" t="s">
        <v>288</v>
      </c>
      <c r="AF542" s="6">
        <v>254073</v>
      </c>
    </row>
    <row r="543" spans="30:32" ht="12" x14ac:dyDescent="0.3">
      <c r="AD543" s="6"/>
      <c r="AE543" s="6" t="s">
        <v>288</v>
      </c>
      <c r="AF543" s="6">
        <v>354073</v>
      </c>
    </row>
    <row r="544" spans="30:32" ht="12" x14ac:dyDescent="0.3">
      <c r="AD544" s="6"/>
      <c r="AE544" s="6" t="s">
        <v>291</v>
      </c>
      <c r="AF544" s="6">
        <v>254074</v>
      </c>
    </row>
    <row r="545" spans="30:32" ht="12" x14ac:dyDescent="0.3">
      <c r="AD545" s="6"/>
      <c r="AE545" s="6" t="s">
        <v>291</v>
      </c>
      <c r="AF545" s="6">
        <v>354074</v>
      </c>
    </row>
    <row r="546" spans="30:32" ht="12" x14ac:dyDescent="0.3">
      <c r="AD546" s="6"/>
      <c r="AE546" s="6" t="s">
        <v>1086</v>
      </c>
      <c r="AF546" s="6">
        <v>254075</v>
      </c>
    </row>
    <row r="547" spans="30:32" ht="12" x14ac:dyDescent="0.3">
      <c r="AD547" s="6"/>
      <c r="AE547" s="6" t="s">
        <v>1086</v>
      </c>
      <c r="AF547" s="6">
        <v>354075</v>
      </c>
    </row>
    <row r="548" spans="30:32" ht="12" x14ac:dyDescent="0.3">
      <c r="AD548" s="6"/>
      <c r="AE548" s="6" t="s">
        <v>296</v>
      </c>
      <c r="AF548" s="6">
        <v>54076</v>
      </c>
    </row>
    <row r="549" spans="30:32" ht="12" x14ac:dyDescent="0.3">
      <c r="AD549" s="6"/>
      <c r="AE549" s="6" t="s">
        <v>1050</v>
      </c>
      <c r="AF549" s="6">
        <v>54077</v>
      </c>
    </row>
    <row r="550" spans="30:32" ht="12" x14ac:dyDescent="0.3">
      <c r="AD550" s="6"/>
      <c r="AE550" s="6" t="s">
        <v>1052</v>
      </c>
      <c r="AF550" s="6">
        <v>54078</v>
      </c>
    </row>
    <row r="551" spans="30:32" ht="12" x14ac:dyDescent="0.3">
      <c r="AD551" s="6"/>
      <c r="AE551" s="6" t="s">
        <v>1053</v>
      </c>
      <c r="AF551" s="6">
        <v>54079</v>
      </c>
    </row>
    <row r="552" spans="30:32" ht="12" x14ac:dyDescent="0.3">
      <c r="AD552" s="6"/>
      <c r="AE552" s="6" t="s">
        <v>301</v>
      </c>
      <c r="AF552" s="6">
        <v>54080</v>
      </c>
    </row>
    <row r="553" spans="30:32" ht="12" x14ac:dyDescent="0.3">
      <c r="AD553" s="6"/>
      <c r="AE553" s="6" t="s">
        <v>304</v>
      </c>
      <c r="AF553" s="6">
        <v>54081</v>
      </c>
    </row>
    <row r="554" spans="30:32" ht="12" x14ac:dyDescent="0.3">
      <c r="AD554" s="6"/>
      <c r="AE554" s="6" t="s">
        <v>307</v>
      </c>
      <c r="AF554" s="6">
        <v>54082</v>
      </c>
    </row>
    <row r="555" spans="30:32" ht="12" x14ac:dyDescent="0.3">
      <c r="AD555" s="6"/>
      <c r="AE555" s="6" t="s">
        <v>310</v>
      </c>
      <c r="AF555" s="6">
        <v>54083</v>
      </c>
    </row>
    <row r="556" spans="30:32" ht="12" x14ac:dyDescent="0.3">
      <c r="AD556" s="6"/>
      <c r="AE556" s="6" t="s">
        <v>313</v>
      </c>
      <c r="AF556" s="6">
        <v>54084</v>
      </c>
    </row>
    <row r="557" spans="30:32" ht="12" x14ac:dyDescent="0.3">
      <c r="AD557" s="6"/>
      <c r="AE557" s="6" t="s">
        <v>1088</v>
      </c>
      <c r="AF557" s="6">
        <v>54085</v>
      </c>
    </row>
    <row r="558" spans="30:32" ht="12" x14ac:dyDescent="0.3">
      <c r="AD558" s="6"/>
      <c r="AE558" s="6" t="s">
        <v>1055</v>
      </c>
      <c r="AF558" s="6">
        <v>54086</v>
      </c>
    </row>
    <row r="559" spans="30:32" ht="12" x14ac:dyDescent="0.3">
      <c r="AD559" s="6"/>
      <c r="AE559" s="6" t="s">
        <v>1056</v>
      </c>
      <c r="AF559" s="6">
        <v>54087</v>
      </c>
    </row>
    <row r="560" spans="30:32" ht="12" x14ac:dyDescent="0.3">
      <c r="AD560" s="6"/>
      <c r="AE560" s="6" t="s">
        <v>1060</v>
      </c>
      <c r="AF560" s="6">
        <v>54088</v>
      </c>
    </row>
    <row r="561" spans="30:32" ht="12" x14ac:dyDescent="0.3">
      <c r="AD561" s="6"/>
      <c r="AE561" s="6" t="s">
        <v>1061</v>
      </c>
      <c r="AF561" s="6">
        <v>54089</v>
      </c>
    </row>
    <row r="562" spans="30:32" ht="12" x14ac:dyDescent="0.3">
      <c r="AD562" s="6"/>
      <c r="AE562" s="6" t="s">
        <v>1064</v>
      </c>
      <c r="AF562" s="6">
        <v>54090</v>
      </c>
    </row>
    <row r="563" spans="30:32" ht="12" x14ac:dyDescent="0.3">
      <c r="AD563" s="6"/>
      <c r="AE563" s="6" t="s">
        <v>1065</v>
      </c>
      <c r="AF563" s="6">
        <v>54091</v>
      </c>
    </row>
    <row r="564" spans="30:32" ht="12" x14ac:dyDescent="0.3">
      <c r="AD564" s="6"/>
      <c r="AE564" s="6" t="s">
        <v>1067</v>
      </c>
      <c r="AF564" s="6">
        <v>54092</v>
      </c>
    </row>
    <row r="565" spans="30:32" ht="12" x14ac:dyDescent="0.3">
      <c r="AD565" s="6"/>
      <c r="AE565" s="6" t="s">
        <v>1068</v>
      </c>
      <c r="AF565" s="6">
        <v>54093</v>
      </c>
    </row>
    <row r="566" spans="30:32" ht="12" x14ac:dyDescent="0.3">
      <c r="AD566" s="6"/>
      <c r="AE566" s="6" t="s">
        <v>1069</v>
      </c>
      <c r="AF566" s="6">
        <v>54094</v>
      </c>
    </row>
    <row r="567" spans="30:32" ht="12" x14ac:dyDescent="0.3">
      <c r="AD567" s="6"/>
      <c r="AE567" s="6" t="s">
        <v>1070</v>
      </c>
      <c r="AF567" s="6">
        <v>54095</v>
      </c>
    </row>
    <row r="568" spans="30:32" ht="12" x14ac:dyDescent="0.3">
      <c r="AD568" s="6"/>
      <c r="AE568" s="6" t="s">
        <v>1071</v>
      </c>
      <c r="AF568" s="6">
        <v>54096</v>
      </c>
    </row>
    <row r="569" spans="30:32" ht="12" x14ac:dyDescent="0.3">
      <c r="AD569" s="6"/>
      <c r="AE569" s="6" t="s">
        <v>1080</v>
      </c>
      <c r="AF569" s="6">
        <v>55001</v>
      </c>
    </row>
    <row r="570" spans="30:32" ht="12" x14ac:dyDescent="0.3">
      <c r="AD570" s="6"/>
      <c r="AE570" s="6" t="s">
        <v>43</v>
      </c>
      <c r="AF570" s="6">
        <v>55002</v>
      </c>
    </row>
    <row r="571" spans="30:32" ht="12" x14ac:dyDescent="0.3">
      <c r="AD571" s="6"/>
      <c r="AE571" s="6" t="s">
        <v>54</v>
      </c>
      <c r="AF571" s="6">
        <v>55003</v>
      </c>
    </row>
    <row r="572" spans="30:32" ht="12" x14ac:dyDescent="0.3">
      <c r="AD572" s="6"/>
      <c r="AE572" s="6" t="s">
        <v>65</v>
      </c>
      <c r="AF572" s="6">
        <v>55004</v>
      </c>
    </row>
    <row r="573" spans="30:32" ht="12" x14ac:dyDescent="0.3">
      <c r="AD573" s="6"/>
      <c r="AE573" s="6" t="s">
        <v>69</v>
      </c>
      <c r="AF573" s="6">
        <v>55005</v>
      </c>
    </row>
    <row r="574" spans="30:32" ht="12" x14ac:dyDescent="0.3">
      <c r="AD574" s="6"/>
      <c r="AE574" s="6" t="s">
        <v>80</v>
      </c>
      <c r="AF574" s="6">
        <v>55006</v>
      </c>
    </row>
    <row r="575" spans="30:32" ht="12" x14ac:dyDescent="0.3">
      <c r="AD575" s="6"/>
      <c r="AE575" s="6" t="s">
        <v>95</v>
      </c>
      <c r="AF575" s="6">
        <v>55007</v>
      </c>
    </row>
    <row r="576" spans="30:32" ht="12" x14ac:dyDescent="0.3">
      <c r="AD576" s="6"/>
      <c r="AE576" s="6" t="s">
        <v>101</v>
      </c>
      <c r="AF576" s="6">
        <v>55008</v>
      </c>
    </row>
    <row r="577" spans="30:32" ht="12" x14ac:dyDescent="0.3">
      <c r="AD577" s="6"/>
      <c r="AE577" s="6" t="s">
        <v>101</v>
      </c>
      <c r="AF577" s="6">
        <v>155008</v>
      </c>
    </row>
    <row r="578" spans="30:32" ht="12" x14ac:dyDescent="0.3">
      <c r="AD578" s="6"/>
      <c r="AE578" s="6" t="s">
        <v>104</v>
      </c>
      <c r="AF578" s="6">
        <v>55009</v>
      </c>
    </row>
    <row r="579" spans="30:32" ht="12" x14ac:dyDescent="0.3">
      <c r="AD579" s="6"/>
      <c r="AE579" s="6" t="s">
        <v>104</v>
      </c>
      <c r="AF579" s="6">
        <v>155009</v>
      </c>
    </row>
    <row r="580" spans="30:32" ht="12" x14ac:dyDescent="0.3">
      <c r="AD580" s="6"/>
      <c r="AE580" s="6" t="s">
        <v>107</v>
      </c>
      <c r="AF580" s="6">
        <v>55010</v>
      </c>
    </row>
    <row r="581" spans="30:32" ht="12" x14ac:dyDescent="0.3">
      <c r="AD581" s="6"/>
      <c r="AE581" s="6" t="s">
        <v>107</v>
      </c>
      <c r="AF581" s="6">
        <v>155010</v>
      </c>
    </row>
    <row r="582" spans="30:32" ht="12" x14ac:dyDescent="0.3">
      <c r="AD582" s="6"/>
      <c r="AE582" s="6" t="s">
        <v>110</v>
      </c>
      <c r="AF582" s="6">
        <v>55011</v>
      </c>
    </row>
    <row r="583" spans="30:32" ht="12" x14ac:dyDescent="0.3">
      <c r="AD583" s="6"/>
      <c r="AE583" s="6" t="s">
        <v>110</v>
      </c>
      <c r="AF583" s="6">
        <v>155011</v>
      </c>
    </row>
    <row r="584" spans="30:32" ht="12" x14ac:dyDescent="0.3">
      <c r="AD584" s="6"/>
      <c r="AE584" s="6" t="s">
        <v>113</v>
      </c>
      <c r="AF584" s="6">
        <v>55012</v>
      </c>
    </row>
    <row r="585" spans="30:32" ht="12" x14ac:dyDescent="0.3">
      <c r="AD585" s="6"/>
      <c r="AE585" s="6" t="s">
        <v>120</v>
      </c>
      <c r="AF585" s="6">
        <v>55014</v>
      </c>
    </row>
    <row r="586" spans="30:32" ht="12" x14ac:dyDescent="0.3">
      <c r="AD586" s="6"/>
      <c r="AE586" s="6" t="s">
        <v>117</v>
      </c>
      <c r="AF586" s="6">
        <v>55013</v>
      </c>
    </row>
    <row r="587" spans="30:32" ht="12" x14ac:dyDescent="0.3">
      <c r="AD587" s="6"/>
      <c r="AE587" s="6" t="s">
        <v>126</v>
      </c>
      <c r="AF587" s="6">
        <v>55016</v>
      </c>
    </row>
    <row r="588" spans="30:32" ht="12" x14ac:dyDescent="0.3">
      <c r="AD588" s="6"/>
      <c r="AE588" s="6" t="s">
        <v>132</v>
      </c>
      <c r="AF588" s="6">
        <v>55018</v>
      </c>
    </row>
    <row r="589" spans="30:32" ht="12" x14ac:dyDescent="0.3">
      <c r="AD589" s="6"/>
      <c r="AE589" s="6" t="s">
        <v>129</v>
      </c>
      <c r="AF589" s="6">
        <v>55017</v>
      </c>
    </row>
    <row r="590" spans="30:32" ht="12" x14ac:dyDescent="0.3">
      <c r="AD590" s="6"/>
      <c r="AE590" s="6" t="s">
        <v>135</v>
      </c>
      <c r="AF590" s="6">
        <v>55019</v>
      </c>
    </row>
    <row r="591" spans="30:32" ht="12" x14ac:dyDescent="0.3">
      <c r="AD591" s="6"/>
      <c r="AE591" s="6" t="s">
        <v>123</v>
      </c>
      <c r="AF591" s="6">
        <v>55015</v>
      </c>
    </row>
    <row r="592" spans="30:32" ht="12" x14ac:dyDescent="0.3">
      <c r="AD592" s="6"/>
      <c r="AE592" s="6" t="s">
        <v>138</v>
      </c>
      <c r="AF592" s="6">
        <v>55020</v>
      </c>
    </row>
    <row r="593" spans="30:32" ht="12" x14ac:dyDescent="0.3">
      <c r="AD593" s="6"/>
      <c r="AE593" s="6" t="s">
        <v>126</v>
      </c>
      <c r="AF593" s="6">
        <v>155016</v>
      </c>
    </row>
    <row r="594" spans="30:32" ht="12" x14ac:dyDescent="0.3">
      <c r="AD594" s="6"/>
      <c r="AE594" s="6" t="s">
        <v>126</v>
      </c>
      <c r="AF594" s="6">
        <v>255016</v>
      </c>
    </row>
    <row r="595" spans="30:32" ht="12" x14ac:dyDescent="0.3">
      <c r="AD595" s="6"/>
      <c r="AE595" s="6" t="s">
        <v>135</v>
      </c>
      <c r="AF595" s="6">
        <v>155019</v>
      </c>
    </row>
    <row r="596" spans="30:32" ht="12" x14ac:dyDescent="0.3">
      <c r="AD596" s="6"/>
      <c r="AE596" s="6" t="s">
        <v>135</v>
      </c>
      <c r="AF596" s="6">
        <v>255019</v>
      </c>
    </row>
    <row r="597" spans="30:32" ht="12" x14ac:dyDescent="0.3">
      <c r="AD597" s="6"/>
      <c r="AE597" s="6" t="s">
        <v>138</v>
      </c>
      <c r="AF597" s="6">
        <v>155020</v>
      </c>
    </row>
    <row r="598" spans="30:32" ht="12" x14ac:dyDescent="0.3">
      <c r="AD598" s="6"/>
      <c r="AE598" s="6" t="s">
        <v>138</v>
      </c>
      <c r="AF598" s="6">
        <v>255020</v>
      </c>
    </row>
    <row r="599" spans="30:32" ht="12" x14ac:dyDescent="0.3">
      <c r="AD599" s="6"/>
      <c r="AE599" s="6" t="s">
        <v>141</v>
      </c>
      <c r="AF599" s="6">
        <v>55021</v>
      </c>
    </row>
    <row r="600" spans="30:32" ht="12" x14ac:dyDescent="0.3">
      <c r="AD600" s="6"/>
      <c r="AE600" s="6" t="s">
        <v>141</v>
      </c>
      <c r="AF600" s="6">
        <v>155021</v>
      </c>
    </row>
    <row r="601" spans="30:32" ht="12" x14ac:dyDescent="0.3">
      <c r="AD601" s="6"/>
      <c r="AE601" s="6" t="s">
        <v>144</v>
      </c>
      <c r="AF601" s="6">
        <v>55022</v>
      </c>
    </row>
    <row r="602" spans="30:32" ht="12" x14ac:dyDescent="0.3">
      <c r="AD602" s="6"/>
      <c r="AE602" s="6" t="s">
        <v>147</v>
      </c>
      <c r="AF602" s="6">
        <v>55023</v>
      </c>
    </row>
    <row r="603" spans="30:32" ht="12" x14ac:dyDescent="0.3">
      <c r="AD603" s="6"/>
      <c r="AE603" s="6" t="s">
        <v>150</v>
      </c>
      <c r="AF603" s="6">
        <v>55024</v>
      </c>
    </row>
    <row r="604" spans="30:32" ht="12" x14ac:dyDescent="0.3">
      <c r="AD604" s="6"/>
      <c r="AE604" s="6" t="s">
        <v>153</v>
      </c>
      <c r="AF604" s="6">
        <v>55025</v>
      </c>
    </row>
    <row r="605" spans="30:32" ht="12" x14ac:dyDescent="0.3">
      <c r="AD605" s="6"/>
      <c r="AE605" s="6" t="s">
        <v>156</v>
      </c>
      <c r="AF605" s="6">
        <v>55026</v>
      </c>
    </row>
    <row r="606" spans="30:32" ht="12" x14ac:dyDescent="0.3">
      <c r="AD606" s="6"/>
      <c r="AE606" s="6" t="s">
        <v>162</v>
      </c>
      <c r="AF606" s="6">
        <v>55028</v>
      </c>
    </row>
    <row r="607" spans="30:32" ht="12" x14ac:dyDescent="0.3">
      <c r="AD607" s="6"/>
      <c r="AE607" s="6" t="s">
        <v>159</v>
      </c>
      <c r="AF607" s="6">
        <v>55027</v>
      </c>
    </row>
    <row r="608" spans="30:32" ht="12" x14ac:dyDescent="0.3">
      <c r="AD608" s="6"/>
      <c r="AE608" s="6" t="s">
        <v>165</v>
      </c>
      <c r="AF608" s="6">
        <v>55029</v>
      </c>
    </row>
    <row r="609" spans="30:32" ht="12" x14ac:dyDescent="0.3">
      <c r="AD609" s="6"/>
      <c r="AE609" s="6" t="s">
        <v>167</v>
      </c>
      <c r="AF609" s="6">
        <v>55030</v>
      </c>
    </row>
    <row r="610" spans="30:32" ht="12" x14ac:dyDescent="0.3">
      <c r="AD610" s="6"/>
      <c r="AE610" s="6" t="s">
        <v>167</v>
      </c>
      <c r="AF610" s="6">
        <v>155030</v>
      </c>
    </row>
    <row r="611" spans="30:32" ht="12" x14ac:dyDescent="0.3">
      <c r="AD611" s="6"/>
      <c r="AE611" s="6" t="s">
        <v>1057</v>
      </c>
      <c r="AF611" s="6">
        <v>55031</v>
      </c>
    </row>
    <row r="612" spans="30:32" ht="12" x14ac:dyDescent="0.3">
      <c r="AD612" s="6"/>
      <c r="AE612" s="6" t="s">
        <v>1057</v>
      </c>
      <c r="AF612" s="6">
        <v>155031</v>
      </c>
    </row>
    <row r="613" spans="30:32" ht="12" x14ac:dyDescent="0.3">
      <c r="AD613" s="6"/>
      <c r="AE613" s="6" t="s">
        <v>1058</v>
      </c>
      <c r="AF613" s="6">
        <v>55032</v>
      </c>
    </row>
    <row r="614" spans="30:32" ht="12" x14ac:dyDescent="0.3">
      <c r="AD614" s="6"/>
      <c r="AE614" s="6" t="s">
        <v>1058</v>
      </c>
      <c r="AF614" s="6">
        <v>155032</v>
      </c>
    </row>
    <row r="615" spans="30:32" ht="12" x14ac:dyDescent="0.3">
      <c r="AD615" s="6"/>
      <c r="AE615" s="6" t="s">
        <v>1059</v>
      </c>
      <c r="AF615" s="6">
        <v>55033</v>
      </c>
    </row>
    <row r="616" spans="30:32" ht="12" x14ac:dyDescent="0.3">
      <c r="AD616" s="6"/>
      <c r="AE616" s="6" t="s">
        <v>1059</v>
      </c>
      <c r="AF616" s="6">
        <v>155033</v>
      </c>
    </row>
    <row r="617" spans="30:32" ht="12" x14ac:dyDescent="0.3">
      <c r="AD617" s="6"/>
      <c r="AE617" s="6" t="s">
        <v>179</v>
      </c>
      <c r="AF617" s="6">
        <v>55036</v>
      </c>
    </row>
    <row r="618" spans="30:32" ht="12" x14ac:dyDescent="0.3">
      <c r="AD618" s="6"/>
      <c r="AE618" s="6" t="s">
        <v>173</v>
      </c>
      <c r="AF618" s="6">
        <v>55034</v>
      </c>
    </row>
    <row r="619" spans="30:32" ht="12" x14ac:dyDescent="0.3">
      <c r="AD619" s="6"/>
      <c r="AE619" s="6" t="s">
        <v>176</v>
      </c>
      <c r="AF619" s="6">
        <v>55035</v>
      </c>
    </row>
    <row r="620" spans="30:32" ht="12" x14ac:dyDescent="0.3">
      <c r="AD620" s="6"/>
      <c r="AE620" s="6" t="s">
        <v>182</v>
      </c>
      <c r="AF620" s="6">
        <v>55037</v>
      </c>
    </row>
    <row r="621" spans="30:32" ht="12" x14ac:dyDescent="0.3">
      <c r="AD621" s="6"/>
      <c r="AE621" s="6" t="s">
        <v>185</v>
      </c>
      <c r="AF621" s="6">
        <v>55038</v>
      </c>
    </row>
    <row r="622" spans="30:32" ht="12" x14ac:dyDescent="0.3">
      <c r="AD622" s="6"/>
      <c r="AE622" s="6" t="s">
        <v>188</v>
      </c>
      <c r="AF622" s="6">
        <v>55039</v>
      </c>
    </row>
    <row r="623" spans="30:32" ht="12" x14ac:dyDescent="0.3">
      <c r="AD623" s="6"/>
      <c r="AE623" s="6" t="s">
        <v>194</v>
      </c>
      <c r="AF623" s="6">
        <v>55041</v>
      </c>
    </row>
    <row r="624" spans="30:32" ht="12" x14ac:dyDescent="0.3">
      <c r="AD624" s="6"/>
      <c r="AE624" s="6" t="s">
        <v>191</v>
      </c>
      <c r="AF624" s="6">
        <v>55040</v>
      </c>
    </row>
    <row r="625" spans="30:32" ht="12" x14ac:dyDescent="0.3">
      <c r="AD625" s="6"/>
      <c r="AE625" s="6" t="s">
        <v>197</v>
      </c>
      <c r="AF625" s="6">
        <v>55042</v>
      </c>
    </row>
    <row r="626" spans="30:32" ht="12" x14ac:dyDescent="0.3">
      <c r="AD626" s="6"/>
      <c r="AE626" s="6" t="s">
        <v>200</v>
      </c>
      <c r="AF626" s="6">
        <v>55043</v>
      </c>
    </row>
    <row r="627" spans="30:32" ht="12" x14ac:dyDescent="0.3">
      <c r="AD627" s="6"/>
      <c r="AE627" s="6" t="s">
        <v>203</v>
      </c>
      <c r="AF627" s="6">
        <v>55044</v>
      </c>
    </row>
    <row r="628" spans="30:32" ht="12" x14ac:dyDescent="0.3">
      <c r="AD628" s="6"/>
      <c r="AE628" s="6" t="s">
        <v>206</v>
      </c>
      <c r="AF628" s="6">
        <v>55045</v>
      </c>
    </row>
    <row r="629" spans="30:32" ht="12" x14ac:dyDescent="0.3">
      <c r="AD629" s="6"/>
      <c r="AE629" s="6" t="s">
        <v>209</v>
      </c>
      <c r="AF629" s="6">
        <v>55046</v>
      </c>
    </row>
    <row r="630" spans="30:32" ht="12" x14ac:dyDescent="0.3">
      <c r="AD630" s="6"/>
      <c r="AE630" s="6" t="s">
        <v>1087</v>
      </c>
      <c r="AF630" s="6">
        <v>55047</v>
      </c>
    </row>
    <row r="631" spans="30:32" ht="12" x14ac:dyDescent="0.3">
      <c r="AD631" s="6"/>
      <c r="AE631" s="6" t="s">
        <v>214</v>
      </c>
      <c r="AF631" s="6">
        <v>55048</v>
      </c>
    </row>
    <row r="632" spans="30:32" ht="12" x14ac:dyDescent="0.3">
      <c r="AD632" s="6"/>
      <c r="AE632" s="6" t="s">
        <v>217</v>
      </c>
      <c r="AF632" s="6">
        <v>55049</v>
      </c>
    </row>
    <row r="633" spans="30:32" ht="12" x14ac:dyDescent="0.3">
      <c r="AD633" s="6"/>
      <c r="AE633" s="6" t="s">
        <v>220</v>
      </c>
      <c r="AF633" s="6">
        <v>55050</v>
      </c>
    </row>
    <row r="634" spans="30:32" ht="12" x14ac:dyDescent="0.3">
      <c r="AD634" s="6"/>
      <c r="AE634" s="6" t="s">
        <v>223</v>
      </c>
      <c r="AF634" s="6">
        <v>55051</v>
      </c>
    </row>
    <row r="635" spans="30:32" ht="12" x14ac:dyDescent="0.3">
      <c r="AD635" s="6"/>
      <c r="AE635" s="6" t="s">
        <v>226</v>
      </c>
      <c r="AF635" s="6">
        <v>55052</v>
      </c>
    </row>
    <row r="636" spans="30:32" ht="12" x14ac:dyDescent="0.3">
      <c r="AD636" s="6"/>
      <c r="AE636" s="6" t="s">
        <v>229</v>
      </c>
      <c r="AF636" s="6">
        <v>55053</v>
      </c>
    </row>
    <row r="637" spans="30:32" ht="12" x14ac:dyDescent="0.3">
      <c r="AD637" s="6"/>
      <c r="AE637" s="6" t="s">
        <v>232</v>
      </c>
      <c r="AF637" s="6">
        <v>55054</v>
      </c>
    </row>
    <row r="638" spans="30:32" ht="12" x14ac:dyDescent="0.3">
      <c r="AD638" s="6"/>
      <c r="AE638" s="6" t="s">
        <v>235</v>
      </c>
      <c r="AF638" s="6">
        <v>55055</v>
      </c>
    </row>
    <row r="639" spans="30:32" ht="12" x14ac:dyDescent="0.3">
      <c r="AD639" s="6"/>
      <c r="AE639" s="6" t="s">
        <v>238</v>
      </c>
      <c r="AF639" s="6">
        <v>55056</v>
      </c>
    </row>
    <row r="640" spans="30:32" ht="12" x14ac:dyDescent="0.3">
      <c r="AD640" s="6"/>
      <c r="AE640" s="6" t="s">
        <v>241</v>
      </c>
      <c r="AF640" s="6">
        <v>55057</v>
      </c>
    </row>
    <row r="641" spans="30:32" ht="12" x14ac:dyDescent="0.3">
      <c r="AD641" s="6"/>
      <c r="AE641" s="6" t="s">
        <v>244</v>
      </c>
      <c r="AF641" s="6">
        <v>55058</v>
      </c>
    </row>
    <row r="642" spans="30:32" ht="12" x14ac:dyDescent="0.3">
      <c r="AD642" s="6"/>
      <c r="AE642" s="6" t="s">
        <v>247</v>
      </c>
      <c r="AF642" s="6">
        <v>55059</v>
      </c>
    </row>
    <row r="643" spans="30:32" ht="12" x14ac:dyDescent="0.3">
      <c r="AD643" s="6"/>
      <c r="AE643" s="6" t="s">
        <v>250</v>
      </c>
      <c r="AF643" s="6">
        <v>55060</v>
      </c>
    </row>
    <row r="644" spans="30:32" ht="12" x14ac:dyDescent="0.3">
      <c r="AD644" s="6"/>
      <c r="AE644" s="6" t="s">
        <v>253</v>
      </c>
      <c r="AF644" s="6">
        <v>55061</v>
      </c>
    </row>
    <row r="645" spans="30:32" ht="12" x14ac:dyDescent="0.3">
      <c r="AD645" s="6"/>
      <c r="AE645" s="6" t="s">
        <v>256</v>
      </c>
      <c r="AF645" s="6">
        <v>55062</v>
      </c>
    </row>
    <row r="646" spans="30:32" ht="12" x14ac:dyDescent="0.3">
      <c r="AD646" s="6"/>
      <c r="AE646" s="6" t="s">
        <v>259</v>
      </c>
      <c r="AF646" s="6">
        <v>55063</v>
      </c>
    </row>
    <row r="647" spans="30:32" ht="12" x14ac:dyDescent="0.3">
      <c r="AD647" s="6"/>
      <c r="AE647" s="6" t="s">
        <v>261</v>
      </c>
      <c r="AF647" s="6">
        <v>55064</v>
      </c>
    </row>
    <row r="648" spans="30:32" ht="12" x14ac:dyDescent="0.3">
      <c r="AD648" s="6"/>
      <c r="AE648" s="6" t="s">
        <v>264</v>
      </c>
      <c r="AF648" s="6">
        <v>55065</v>
      </c>
    </row>
    <row r="649" spans="30:32" ht="12" x14ac:dyDescent="0.3">
      <c r="AD649" s="6"/>
      <c r="AE649" s="6" t="s">
        <v>267</v>
      </c>
      <c r="AF649" s="6">
        <v>55066</v>
      </c>
    </row>
    <row r="650" spans="30:32" ht="12" x14ac:dyDescent="0.3">
      <c r="AD650" s="6"/>
      <c r="AE650" s="6" t="s">
        <v>270</v>
      </c>
      <c r="AF650" s="6">
        <v>55067</v>
      </c>
    </row>
    <row r="651" spans="30:32" ht="12" x14ac:dyDescent="0.3">
      <c r="AD651" s="6"/>
      <c r="AE651" s="6" t="s">
        <v>273</v>
      </c>
      <c r="AF651" s="6">
        <v>55068</v>
      </c>
    </row>
    <row r="652" spans="30:32" ht="12" x14ac:dyDescent="0.3">
      <c r="AD652" s="6"/>
      <c r="AE652" s="6" t="s">
        <v>276</v>
      </c>
      <c r="AF652" s="6">
        <v>55069</v>
      </c>
    </row>
    <row r="653" spans="30:32" ht="12" x14ac:dyDescent="0.3">
      <c r="AD653" s="6"/>
      <c r="AE653" s="6" t="s">
        <v>279</v>
      </c>
      <c r="AF653" s="6">
        <v>55070</v>
      </c>
    </row>
    <row r="654" spans="30:32" ht="12" x14ac:dyDescent="0.3">
      <c r="AD654" s="6"/>
      <c r="AE654" s="6" t="s">
        <v>282</v>
      </c>
      <c r="AF654" s="6">
        <v>55071</v>
      </c>
    </row>
    <row r="655" spans="30:32" ht="12" x14ac:dyDescent="0.3">
      <c r="AD655" s="6"/>
      <c r="AE655" s="6" t="s">
        <v>285</v>
      </c>
      <c r="AF655" s="6">
        <v>55072</v>
      </c>
    </row>
    <row r="656" spans="30:32" ht="12" x14ac:dyDescent="0.3">
      <c r="AD656" s="6"/>
      <c r="AE656" s="6" t="s">
        <v>285</v>
      </c>
      <c r="AF656" s="6">
        <v>155072</v>
      </c>
    </row>
    <row r="657" spans="30:32" ht="12" x14ac:dyDescent="0.3">
      <c r="AD657" s="6"/>
      <c r="AE657" s="6" t="s">
        <v>288</v>
      </c>
      <c r="AF657" s="6">
        <v>55073</v>
      </c>
    </row>
    <row r="658" spans="30:32" ht="12" x14ac:dyDescent="0.3">
      <c r="AD658" s="6"/>
      <c r="AE658" s="6" t="s">
        <v>288</v>
      </c>
      <c r="AF658" s="6">
        <v>155073</v>
      </c>
    </row>
    <row r="659" spans="30:32" ht="12" x14ac:dyDescent="0.3">
      <c r="AD659" s="6"/>
      <c r="AE659" s="6" t="s">
        <v>291</v>
      </c>
      <c r="AF659" s="6">
        <v>55074</v>
      </c>
    </row>
    <row r="660" spans="30:32" ht="12" x14ac:dyDescent="0.3">
      <c r="AD660" s="6"/>
      <c r="AE660" s="6" t="s">
        <v>291</v>
      </c>
      <c r="AF660" s="6">
        <v>155074</v>
      </c>
    </row>
    <row r="661" spans="30:32" ht="12" x14ac:dyDescent="0.3">
      <c r="AD661" s="6"/>
      <c r="AE661" s="6" t="s">
        <v>1086</v>
      </c>
      <c r="AF661" s="6">
        <v>55075</v>
      </c>
    </row>
    <row r="662" spans="30:32" ht="12" x14ac:dyDescent="0.3">
      <c r="AD662" s="6"/>
      <c r="AE662" s="6" t="s">
        <v>1086</v>
      </c>
      <c r="AF662" s="6">
        <v>155075</v>
      </c>
    </row>
    <row r="663" spans="30:32" ht="12" x14ac:dyDescent="0.3">
      <c r="AD663" s="6"/>
      <c r="AE663" s="6" t="s">
        <v>285</v>
      </c>
      <c r="AF663" s="6">
        <v>255072</v>
      </c>
    </row>
    <row r="664" spans="30:32" ht="12" x14ac:dyDescent="0.3">
      <c r="AD664" s="6"/>
      <c r="AE664" s="6" t="s">
        <v>285</v>
      </c>
      <c r="AF664" s="6">
        <v>355072</v>
      </c>
    </row>
    <row r="665" spans="30:32" ht="12" x14ac:dyDescent="0.3">
      <c r="AD665" s="6"/>
      <c r="AE665" s="6" t="s">
        <v>288</v>
      </c>
      <c r="AF665" s="6">
        <v>255073</v>
      </c>
    </row>
    <row r="666" spans="30:32" ht="12" x14ac:dyDescent="0.3">
      <c r="AD666" s="6"/>
      <c r="AE666" s="6" t="s">
        <v>288</v>
      </c>
      <c r="AF666" s="6">
        <v>355073</v>
      </c>
    </row>
    <row r="667" spans="30:32" ht="12" x14ac:dyDescent="0.3">
      <c r="AD667" s="6"/>
      <c r="AE667" s="6" t="s">
        <v>291</v>
      </c>
      <c r="AF667" s="6">
        <v>255074</v>
      </c>
    </row>
    <row r="668" spans="30:32" ht="12" x14ac:dyDescent="0.3">
      <c r="AD668" s="6"/>
      <c r="AE668" s="6" t="s">
        <v>291</v>
      </c>
      <c r="AF668" s="6">
        <v>355074</v>
      </c>
    </row>
    <row r="669" spans="30:32" ht="12" x14ac:dyDescent="0.3">
      <c r="AD669" s="6"/>
      <c r="AE669" s="6" t="s">
        <v>1086</v>
      </c>
      <c r="AF669" s="6">
        <v>255075</v>
      </c>
    </row>
    <row r="670" spans="30:32" ht="12" x14ac:dyDescent="0.3">
      <c r="AD670" s="6"/>
      <c r="AE670" s="6" t="s">
        <v>1086</v>
      </c>
      <c r="AF670" s="6">
        <v>355075</v>
      </c>
    </row>
    <row r="671" spans="30:32" ht="12" x14ac:dyDescent="0.3">
      <c r="AD671" s="6"/>
      <c r="AE671" s="6" t="s">
        <v>296</v>
      </c>
      <c r="AF671" s="6">
        <v>55076</v>
      </c>
    </row>
    <row r="672" spans="30:32" ht="12" x14ac:dyDescent="0.3">
      <c r="AD672" s="6"/>
      <c r="AE672" s="6" t="s">
        <v>1050</v>
      </c>
      <c r="AF672" s="6">
        <v>55077</v>
      </c>
    </row>
    <row r="673" spans="30:32" ht="12" x14ac:dyDescent="0.3">
      <c r="AD673" s="6"/>
      <c r="AE673" s="6" t="s">
        <v>1052</v>
      </c>
      <c r="AF673" s="6">
        <v>55078</v>
      </c>
    </row>
    <row r="674" spans="30:32" ht="12" x14ac:dyDescent="0.3">
      <c r="AD674" s="6"/>
      <c r="AE674" s="6" t="s">
        <v>1053</v>
      </c>
      <c r="AF674" s="6">
        <v>55079</v>
      </c>
    </row>
    <row r="675" spans="30:32" ht="12" x14ac:dyDescent="0.3">
      <c r="AD675" s="6"/>
      <c r="AE675" s="6" t="s">
        <v>301</v>
      </c>
      <c r="AF675" s="6">
        <v>55080</v>
      </c>
    </row>
    <row r="676" spans="30:32" ht="12" x14ac:dyDescent="0.3">
      <c r="AD676" s="6"/>
      <c r="AE676" s="6" t="s">
        <v>304</v>
      </c>
      <c r="AF676" s="6">
        <v>55081</v>
      </c>
    </row>
    <row r="677" spans="30:32" ht="12" x14ac:dyDescent="0.3">
      <c r="AD677" s="6"/>
      <c r="AE677" s="6" t="s">
        <v>307</v>
      </c>
      <c r="AF677" s="6">
        <v>55082</v>
      </c>
    </row>
    <row r="678" spans="30:32" ht="12" x14ac:dyDescent="0.3">
      <c r="AD678" s="6"/>
      <c r="AE678" s="6" t="s">
        <v>310</v>
      </c>
      <c r="AF678" s="6">
        <v>55083</v>
      </c>
    </row>
    <row r="679" spans="30:32" ht="12" x14ac:dyDescent="0.3">
      <c r="AD679" s="6"/>
      <c r="AE679" s="6" t="s">
        <v>313</v>
      </c>
      <c r="AF679" s="6">
        <v>55084</v>
      </c>
    </row>
    <row r="680" spans="30:32" ht="12" x14ac:dyDescent="0.3">
      <c r="AD680" s="6"/>
      <c r="AE680" s="6" t="s">
        <v>1088</v>
      </c>
      <c r="AF680" s="6">
        <v>55085</v>
      </c>
    </row>
    <row r="681" spans="30:32" ht="12" x14ac:dyDescent="0.3">
      <c r="AD681" s="6"/>
      <c r="AE681" s="6" t="s">
        <v>1055</v>
      </c>
      <c r="AF681" s="6">
        <v>55086</v>
      </c>
    </row>
    <row r="682" spans="30:32" ht="12" x14ac:dyDescent="0.3">
      <c r="AD682" s="6"/>
      <c r="AE682" s="6" t="s">
        <v>1056</v>
      </c>
      <c r="AF682" s="6">
        <v>55087</v>
      </c>
    </row>
    <row r="683" spans="30:32" ht="12" x14ac:dyDescent="0.3">
      <c r="AD683" s="6"/>
      <c r="AE683" s="6" t="s">
        <v>1060</v>
      </c>
      <c r="AF683" s="6">
        <v>55088</v>
      </c>
    </row>
    <row r="684" spans="30:32" ht="12" x14ac:dyDescent="0.3">
      <c r="AD684" s="6"/>
      <c r="AE684" s="6" t="s">
        <v>1061</v>
      </c>
      <c r="AF684" s="6">
        <v>55089</v>
      </c>
    </row>
    <row r="685" spans="30:32" ht="12" x14ac:dyDescent="0.3">
      <c r="AD685" s="6"/>
      <c r="AE685" s="6" t="s">
        <v>1064</v>
      </c>
      <c r="AF685" s="6">
        <v>55090</v>
      </c>
    </row>
    <row r="686" spans="30:32" ht="12" x14ac:dyDescent="0.3">
      <c r="AD686" s="6"/>
      <c r="AE686" s="6" t="s">
        <v>1065</v>
      </c>
      <c r="AF686" s="6">
        <v>55091</v>
      </c>
    </row>
    <row r="687" spans="30:32" ht="12" x14ac:dyDescent="0.3">
      <c r="AD687" s="6"/>
      <c r="AE687" s="6" t="s">
        <v>1067</v>
      </c>
      <c r="AF687" s="6">
        <v>55092</v>
      </c>
    </row>
    <row r="688" spans="30:32" ht="12" x14ac:dyDescent="0.3">
      <c r="AD688" s="6"/>
      <c r="AE688" s="6" t="s">
        <v>1068</v>
      </c>
      <c r="AF688" s="6">
        <v>55093</v>
      </c>
    </row>
    <row r="689" spans="30:32" ht="12" x14ac:dyDescent="0.3">
      <c r="AD689" s="6"/>
      <c r="AE689" s="6" t="s">
        <v>1069</v>
      </c>
      <c r="AF689" s="6">
        <v>55094</v>
      </c>
    </row>
    <row r="690" spans="30:32" ht="12" x14ac:dyDescent="0.3">
      <c r="AD690" s="6"/>
      <c r="AE690" s="6" t="s">
        <v>1070</v>
      </c>
      <c r="AF690" s="6">
        <v>55095</v>
      </c>
    </row>
    <row r="691" spans="30:32" ht="12" x14ac:dyDescent="0.3">
      <c r="AD691" s="6"/>
      <c r="AE691" s="6" t="s">
        <v>1071</v>
      </c>
      <c r="AF691" s="6">
        <v>55096</v>
      </c>
    </row>
    <row r="692" spans="30:32" ht="12" x14ac:dyDescent="0.3">
      <c r="AD692" s="6"/>
      <c r="AE692" s="6" t="s">
        <v>1080</v>
      </c>
      <c r="AF692" s="6">
        <v>56001</v>
      </c>
    </row>
    <row r="693" spans="30:32" ht="12" x14ac:dyDescent="0.3">
      <c r="AD693" s="6"/>
      <c r="AE693" s="6" t="s">
        <v>43</v>
      </c>
      <c r="AF693" s="6">
        <v>56002</v>
      </c>
    </row>
    <row r="694" spans="30:32" ht="12" x14ac:dyDescent="0.3">
      <c r="AD694" s="6"/>
      <c r="AE694" s="6" t="s">
        <v>54</v>
      </c>
      <c r="AF694" s="6">
        <v>56003</v>
      </c>
    </row>
    <row r="695" spans="30:32" ht="12" x14ac:dyDescent="0.3">
      <c r="AD695" s="6"/>
      <c r="AE695" s="6" t="s">
        <v>65</v>
      </c>
      <c r="AF695" s="6">
        <v>56004</v>
      </c>
    </row>
    <row r="696" spans="30:32" ht="12" x14ac:dyDescent="0.3">
      <c r="AD696" s="6"/>
      <c r="AE696" s="6" t="s">
        <v>69</v>
      </c>
      <c r="AF696" s="6">
        <v>56005</v>
      </c>
    </row>
    <row r="697" spans="30:32" ht="12" x14ac:dyDescent="0.3">
      <c r="AD697" s="6"/>
      <c r="AE697" s="6" t="s">
        <v>80</v>
      </c>
      <c r="AF697" s="6">
        <v>56006</v>
      </c>
    </row>
    <row r="698" spans="30:32" ht="12" x14ac:dyDescent="0.3">
      <c r="AD698" s="6"/>
      <c r="AE698" s="6" t="s">
        <v>95</v>
      </c>
      <c r="AF698" s="6">
        <v>56007</v>
      </c>
    </row>
    <row r="699" spans="30:32" ht="12" x14ac:dyDescent="0.3">
      <c r="AD699" s="6"/>
      <c r="AE699" s="6" t="s">
        <v>101</v>
      </c>
      <c r="AF699" s="6">
        <v>56008</v>
      </c>
    </row>
    <row r="700" spans="30:32" ht="12" x14ac:dyDescent="0.3">
      <c r="AD700" s="6"/>
      <c r="AE700" s="6" t="s">
        <v>101</v>
      </c>
      <c r="AF700" s="6">
        <v>156008</v>
      </c>
    </row>
    <row r="701" spans="30:32" ht="12" x14ac:dyDescent="0.3">
      <c r="AD701" s="6"/>
      <c r="AE701" s="6" t="s">
        <v>104</v>
      </c>
      <c r="AF701" s="6">
        <v>56009</v>
      </c>
    </row>
    <row r="702" spans="30:32" ht="12" x14ac:dyDescent="0.3">
      <c r="AD702" s="6"/>
      <c r="AE702" s="6" t="s">
        <v>104</v>
      </c>
      <c r="AF702" s="6">
        <v>156009</v>
      </c>
    </row>
    <row r="703" spans="30:32" ht="12" x14ac:dyDescent="0.3">
      <c r="AD703" s="6"/>
      <c r="AE703" s="6" t="s">
        <v>107</v>
      </c>
      <c r="AF703" s="6">
        <v>56010</v>
      </c>
    </row>
    <row r="704" spans="30:32" ht="12" x14ac:dyDescent="0.3">
      <c r="AD704" s="6"/>
      <c r="AE704" s="6" t="s">
        <v>107</v>
      </c>
      <c r="AF704" s="6">
        <v>156010</v>
      </c>
    </row>
    <row r="705" spans="30:32" ht="12" x14ac:dyDescent="0.3">
      <c r="AD705" s="6"/>
      <c r="AE705" s="6" t="s">
        <v>110</v>
      </c>
      <c r="AF705" s="6">
        <v>56011</v>
      </c>
    </row>
    <row r="706" spans="30:32" ht="12" x14ac:dyDescent="0.3">
      <c r="AD706" s="6"/>
      <c r="AE706" s="6" t="s">
        <v>110</v>
      </c>
      <c r="AF706" s="6">
        <v>156011</v>
      </c>
    </row>
    <row r="707" spans="30:32" ht="12" x14ac:dyDescent="0.3">
      <c r="AD707" s="6"/>
      <c r="AE707" s="6" t="s">
        <v>113</v>
      </c>
      <c r="AF707" s="6">
        <v>56012</v>
      </c>
    </row>
    <row r="708" spans="30:32" ht="12" x14ac:dyDescent="0.3">
      <c r="AD708" s="6"/>
      <c r="AE708" s="6" t="s">
        <v>120</v>
      </c>
      <c r="AF708" s="6">
        <v>56014</v>
      </c>
    </row>
    <row r="709" spans="30:32" ht="12" x14ac:dyDescent="0.3">
      <c r="AD709" s="6"/>
      <c r="AE709" s="6" t="s">
        <v>117</v>
      </c>
      <c r="AF709" s="6">
        <v>56013</v>
      </c>
    </row>
    <row r="710" spans="30:32" ht="12" x14ac:dyDescent="0.3">
      <c r="AD710" s="6"/>
      <c r="AE710" s="6" t="s">
        <v>126</v>
      </c>
      <c r="AF710" s="6">
        <v>56016</v>
      </c>
    </row>
    <row r="711" spans="30:32" ht="12" x14ac:dyDescent="0.3">
      <c r="AD711" s="6"/>
      <c r="AE711" s="6" t="s">
        <v>132</v>
      </c>
      <c r="AF711" s="6">
        <v>56018</v>
      </c>
    </row>
    <row r="712" spans="30:32" ht="12" x14ac:dyDescent="0.3">
      <c r="AD712" s="6"/>
      <c r="AE712" s="6" t="s">
        <v>129</v>
      </c>
      <c r="AF712" s="6">
        <v>56017</v>
      </c>
    </row>
    <row r="713" spans="30:32" ht="12" x14ac:dyDescent="0.3">
      <c r="AD713" s="6"/>
      <c r="AE713" s="6" t="s">
        <v>135</v>
      </c>
      <c r="AF713" s="6">
        <v>56019</v>
      </c>
    </row>
    <row r="714" spans="30:32" ht="12" x14ac:dyDescent="0.3">
      <c r="AD714" s="6"/>
      <c r="AE714" s="6" t="s">
        <v>123</v>
      </c>
      <c r="AF714" s="6">
        <v>56015</v>
      </c>
    </row>
    <row r="715" spans="30:32" ht="12" x14ac:dyDescent="0.3">
      <c r="AD715" s="6"/>
      <c r="AE715" s="6" t="s">
        <v>138</v>
      </c>
      <c r="AF715" s="6">
        <v>56020</v>
      </c>
    </row>
    <row r="716" spans="30:32" ht="12" x14ac:dyDescent="0.3">
      <c r="AD716" s="6"/>
      <c r="AE716" s="6" t="s">
        <v>126</v>
      </c>
      <c r="AF716" s="6">
        <v>156016</v>
      </c>
    </row>
    <row r="717" spans="30:32" ht="12" x14ac:dyDescent="0.3">
      <c r="AD717" s="6"/>
      <c r="AE717" s="6" t="s">
        <v>126</v>
      </c>
      <c r="AF717" s="6">
        <v>256016</v>
      </c>
    </row>
    <row r="718" spans="30:32" ht="12" x14ac:dyDescent="0.3">
      <c r="AD718" s="6"/>
      <c r="AE718" s="6" t="s">
        <v>135</v>
      </c>
      <c r="AF718" s="6">
        <v>156019</v>
      </c>
    </row>
    <row r="719" spans="30:32" ht="12" x14ac:dyDescent="0.3">
      <c r="AD719" s="6"/>
      <c r="AE719" s="6" t="s">
        <v>135</v>
      </c>
      <c r="AF719" s="6">
        <v>256019</v>
      </c>
    </row>
    <row r="720" spans="30:32" ht="12" x14ac:dyDescent="0.3">
      <c r="AD720" s="6"/>
      <c r="AE720" s="6" t="s">
        <v>138</v>
      </c>
      <c r="AF720" s="6">
        <v>156020</v>
      </c>
    </row>
    <row r="721" spans="30:32" ht="12" x14ac:dyDescent="0.3">
      <c r="AD721" s="6"/>
      <c r="AE721" s="6" t="s">
        <v>138</v>
      </c>
      <c r="AF721" s="6">
        <v>256020</v>
      </c>
    </row>
    <row r="722" spans="30:32" ht="12" x14ac:dyDescent="0.3">
      <c r="AD722" s="6"/>
      <c r="AE722" s="6" t="s">
        <v>141</v>
      </c>
      <c r="AF722" s="6">
        <v>56021</v>
      </c>
    </row>
    <row r="723" spans="30:32" ht="12" x14ac:dyDescent="0.3">
      <c r="AD723" s="6"/>
      <c r="AE723" s="6" t="s">
        <v>141</v>
      </c>
      <c r="AF723" s="6">
        <v>156021</v>
      </c>
    </row>
    <row r="724" spans="30:32" ht="12" x14ac:dyDescent="0.3">
      <c r="AD724" s="6"/>
      <c r="AE724" s="6" t="s">
        <v>144</v>
      </c>
      <c r="AF724" s="6">
        <v>56022</v>
      </c>
    </row>
    <row r="725" spans="30:32" ht="12" x14ac:dyDescent="0.3">
      <c r="AD725" s="6"/>
      <c r="AE725" s="6" t="s">
        <v>147</v>
      </c>
      <c r="AF725" s="6">
        <v>56023</v>
      </c>
    </row>
    <row r="726" spans="30:32" ht="12" x14ac:dyDescent="0.3">
      <c r="AD726" s="6"/>
      <c r="AE726" s="6" t="s">
        <v>150</v>
      </c>
      <c r="AF726" s="6">
        <v>56024</v>
      </c>
    </row>
    <row r="727" spans="30:32" ht="12" x14ac:dyDescent="0.3">
      <c r="AD727" s="6"/>
      <c r="AE727" s="6" t="s">
        <v>153</v>
      </c>
      <c r="AF727" s="6">
        <v>56025</v>
      </c>
    </row>
    <row r="728" spans="30:32" ht="12" x14ac:dyDescent="0.3">
      <c r="AD728" s="6"/>
      <c r="AE728" s="6" t="s">
        <v>156</v>
      </c>
      <c r="AF728" s="6">
        <v>56026</v>
      </c>
    </row>
    <row r="729" spans="30:32" ht="12" x14ac:dyDescent="0.3">
      <c r="AD729" s="6"/>
      <c r="AE729" s="6" t="s">
        <v>162</v>
      </c>
      <c r="AF729" s="6">
        <v>56028</v>
      </c>
    </row>
    <row r="730" spans="30:32" ht="12" x14ac:dyDescent="0.3">
      <c r="AD730" s="6"/>
      <c r="AE730" s="6" t="s">
        <v>159</v>
      </c>
      <c r="AF730" s="6">
        <v>56027</v>
      </c>
    </row>
    <row r="731" spans="30:32" ht="12" x14ac:dyDescent="0.3">
      <c r="AD731" s="6"/>
      <c r="AE731" s="6" t="s">
        <v>165</v>
      </c>
      <c r="AF731" s="6">
        <v>56029</v>
      </c>
    </row>
    <row r="732" spans="30:32" ht="12" x14ac:dyDescent="0.3">
      <c r="AD732" s="6"/>
      <c r="AE732" s="6" t="s">
        <v>167</v>
      </c>
      <c r="AF732" s="6">
        <v>56030</v>
      </c>
    </row>
    <row r="733" spans="30:32" ht="12" x14ac:dyDescent="0.3">
      <c r="AD733" s="6"/>
      <c r="AE733" s="6" t="s">
        <v>167</v>
      </c>
      <c r="AF733" s="6">
        <v>156030</v>
      </c>
    </row>
    <row r="734" spans="30:32" ht="12" x14ac:dyDescent="0.3">
      <c r="AD734" s="6"/>
      <c r="AE734" s="6" t="s">
        <v>1057</v>
      </c>
      <c r="AF734" s="6">
        <v>56031</v>
      </c>
    </row>
    <row r="735" spans="30:32" ht="12" x14ac:dyDescent="0.3">
      <c r="AD735" s="6"/>
      <c r="AE735" s="6" t="s">
        <v>1057</v>
      </c>
      <c r="AF735" s="6">
        <v>156031</v>
      </c>
    </row>
    <row r="736" spans="30:32" ht="12" x14ac:dyDescent="0.3">
      <c r="AD736" s="6"/>
      <c r="AE736" s="6" t="s">
        <v>1058</v>
      </c>
      <c r="AF736" s="6">
        <v>56032</v>
      </c>
    </row>
    <row r="737" spans="30:32" ht="12" x14ac:dyDescent="0.3">
      <c r="AD737" s="6"/>
      <c r="AE737" s="6" t="s">
        <v>1058</v>
      </c>
      <c r="AF737" s="6">
        <v>156032</v>
      </c>
    </row>
    <row r="738" spans="30:32" ht="12" x14ac:dyDescent="0.3">
      <c r="AD738" s="6"/>
      <c r="AE738" s="6" t="s">
        <v>1059</v>
      </c>
      <c r="AF738" s="6">
        <v>56033</v>
      </c>
    </row>
    <row r="739" spans="30:32" ht="12" x14ac:dyDescent="0.3">
      <c r="AD739" s="6"/>
      <c r="AE739" s="6" t="s">
        <v>1059</v>
      </c>
      <c r="AF739" s="6">
        <v>156033</v>
      </c>
    </row>
    <row r="740" spans="30:32" ht="12" x14ac:dyDescent="0.3">
      <c r="AD740" s="6"/>
      <c r="AE740" s="6" t="s">
        <v>179</v>
      </c>
      <c r="AF740" s="6">
        <v>56036</v>
      </c>
    </row>
    <row r="741" spans="30:32" ht="12" x14ac:dyDescent="0.3">
      <c r="AD741" s="6"/>
      <c r="AE741" s="6" t="s">
        <v>173</v>
      </c>
      <c r="AF741" s="6">
        <v>56034</v>
      </c>
    </row>
    <row r="742" spans="30:32" ht="12" x14ac:dyDescent="0.3">
      <c r="AD742" s="6"/>
      <c r="AE742" s="6" t="s">
        <v>176</v>
      </c>
      <c r="AF742" s="6">
        <v>56035</v>
      </c>
    </row>
    <row r="743" spans="30:32" ht="12" x14ac:dyDescent="0.3">
      <c r="AD743" s="6"/>
      <c r="AE743" s="6" t="s">
        <v>182</v>
      </c>
      <c r="AF743" s="6">
        <v>56037</v>
      </c>
    </row>
    <row r="744" spans="30:32" ht="12" x14ac:dyDescent="0.3">
      <c r="AD744" s="6"/>
      <c r="AE744" s="6" t="s">
        <v>185</v>
      </c>
      <c r="AF744" s="6">
        <v>56038</v>
      </c>
    </row>
    <row r="745" spans="30:32" ht="12" x14ac:dyDescent="0.3">
      <c r="AD745" s="6"/>
      <c r="AE745" s="6" t="s">
        <v>188</v>
      </c>
      <c r="AF745" s="6">
        <v>56039</v>
      </c>
    </row>
    <row r="746" spans="30:32" ht="12" x14ac:dyDescent="0.3">
      <c r="AD746" s="6"/>
      <c r="AE746" s="6" t="s">
        <v>194</v>
      </c>
      <c r="AF746" s="6">
        <v>56041</v>
      </c>
    </row>
    <row r="747" spans="30:32" ht="12" x14ac:dyDescent="0.3">
      <c r="AD747" s="6"/>
      <c r="AE747" s="6" t="s">
        <v>191</v>
      </c>
      <c r="AF747" s="6">
        <v>56040</v>
      </c>
    </row>
    <row r="748" spans="30:32" ht="12" x14ac:dyDescent="0.3">
      <c r="AD748" s="6"/>
      <c r="AE748" s="6" t="s">
        <v>197</v>
      </c>
      <c r="AF748" s="6">
        <v>56042</v>
      </c>
    </row>
    <row r="749" spans="30:32" ht="12" x14ac:dyDescent="0.3">
      <c r="AD749" s="6"/>
      <c r="AE749" s="6" t="s">
        <v>200</v>
      </c>
      <c r="AF749" s="6">
        <v>56043</v>
      </c>
    </row>
    <row r="750" spans="30:32" ht="12" x14ac:dyDescent="0.3">
      <c r="AD750" s="6"/>
      <c r="AE750" s="6" t="s">
        <v>203</v>
      </c>
      <c r="AF750" s="6">
        <v>56044</v>
      </c>
    </row>
    <row r="751" spans="30:32" ht="12" x14ac:dyDescent="0.3">
      <c r="AD751" s="6"/>
      <c r="AE751" s="6" t="s">
        <v>206</v>
      </c>
      <c r="AF751" s="6">
        <v>56045</v>
      </c>
    </row>
    <row r="752" spans="30:32" ht="12" x14ac:dyDescent="0.3">
      <c r="AD752" s="6"/>
      <c r="AE752" s="6" t="s">
        <v>209</v>
      </c>
      <c r="AF752" s="6">
        <v>56046</v>
      </c>
    </row>
    <row r="753" spans="30:32" ht="12" x14ac:dyDescent="0.3">
      <c r="AD753" s="6"/>
      <c r="AE753" s="6" t="s">
        <v>1087</v>
      </c>
      <c r="AF753" s="6">
        <v>56047</v>
      </c>
    </row>
    <row r="754" spans="30:32" ht="12" x14ac:dyDescent="0.3">
      <c r="AD754" s="6"/>
      <c r="AE754" s="6" t="s">
        <v>214</v>
      </c>
      <c r="AF754" s="6">
        <v>56048</v>
      </c>
    </row>
    <row r="755" spans="30:32" ht="12" x14ac:dyDescent="0.3">
      <c r="AD755" s="6"/>
      <c r="AE755" s="6" t="s">
        <v>217</v>
      </c>
      <c r="AF755" s="6">
        <v>56049</v>
      </c>
    </row>
    <row r="756" spans="30:32" ht="12" x14ac:dyDescent="0.3">
      <c r="AD756" s="6"/>
      <c r="AE756" s="6" t="s">
        <v>220</v>
      </c>
      <c r="AF756" s="6">
        <v>56050</v>
      </c>
    </row>
    <row r="757" spans="30:32" ht="12" x14ac:dyDescent="0.3">
      <c r="AD757" s="6"/>
      <c r="AE757" s="6" t="s">
        <v>223</v>
      </c>
      <c r="AF757" s="6">
        <v>56051</v>
      </c>
    </row>
    <row r="758" spans="30:32" ht="12" x14ac:dyDescent="0.3">
      <c r="AD758" s="6"/>
      <c r="AE758" s="6" t="s">
        <v>226</v>
      </c>
      <c r="AF758" s="6">
        <v>56052</v>
      </c>
    </row>
    <row r="759" spans="30:32" ht="12" x14ac:dyDescent="0.3">
      <c r="AD759" s="6"/>
      <c r="AE759" s="6" t="s">
        <v>229</v>
      </c>
      <c r="AF759" s="6">
        <v>56053</v>
      </c>
    </row>
    <row r="760" spans="30:32" ht="12" x14ac:dyDescent="0.3">
      <c r="AD760" s="6"/>
      <c r="AE760" s="6" t="s">
        <v>232</v>
      </c>
      <c r="AF760" s="6">
        <v>56054</v>
      </c>
    </row>
    <row r="761" spans="30:32" ht="12" x14ac:dyDescent="0.3">
      <c r="AD761" s="6"/>
      <c r="AE761" s="6" t="s">
        <v>235</v>
      </c>
      <c r="AF761" s="6">
        <v>56055</v>
      </c>
    </row>
    <row r="762" spans="30:32" ht="12" x14ac:dyDescent="0.3">
      <c r="AD762" s="6"/>
      <c r="AE762" s="6" t="s">
        <v>238</v>
      </c>
      <c r="AF762" s="6">
        <v>56056</v>
      </c>
    </row>
    <row r="763" spans="30:32" ht="12" x14ac:dyDescent="0.3">
      <c r="AD763" s="6"/>
      <c r="AE763" s="6" t="s">
        <v>241</v>
      </c>
      <c r="AF763" s="6">
        <v>56057</v>
      </c>
    </row>
    <row r="764" spans="30:32" ht="12" x14ac:dyDescent="0.3">
      <c r="AD764" s="6"/>
      <c r="AE764" s="6" t="s">
        <v>244</v>
      </c>
      <c r="AF764" s="6">
        <v>56058</v>
      </c>
    </row>
    <row r="765" spans="30:32" ht="12" x14ac:dyDescent="0.3">
      <c r="AD765" s="6"/>
      <c r="AE765" s="6" t="s">
        <v>247</v>
      </c>
      <c r="AF765" s="6">
        <v>56059</v>
      </c>
    </row>
    <row r="766" spans="30:32" ht="12" x14ac:dyDescent="0.3">
      <c r="AD766" s="6"/>
      <c r="AE766" s="6" t="s">
        <v>250</v>
      </c>
      <c r="AF766" s="6">
        <v>56060</v>
      </c>
    </row>
    <row r="767" spans="30:32" ht="12" x14ac:dyDescent="0.3">
      <c r="AD767" s="6"/>
      <c r="AE767" s="6" t="s">
        <v>253</v>
      </c>
      <c r="AF767" s="6">
        <v>56061</v>
      </c>
    </row>
    <row r="768" spans="30:32" ht="12" x14ac:dyDescent="0.3">
      <c r="AD768" s="6"/>
      <c r="AE768" s="6" t="s">
        <v>256</v>
      </c>
      <c r="AF768" s="6">
        <v>56062</v>
      </c>
    </row>
    <row r="769" spans="30:32" ht="12" x14ac:dyDescent="0.3">
      <c r="AD769" s="6"/>
      <c r="AE769" s="6" t="s">
        <v>259</v>
      </c>
      <c r="AF769" s="6">
        <v>56063</v>
      </c>
    </row>
    <row r="770" spans="30:32" ht="12" x14ac:dyDescent="0.3">
      <c r="AD770" s="6"/>
      <c r="AE770" s="6" t="s">
        <v>261</v>
      </c>
      <c r="AF770" s="6">
        <v>56064</v>
      </c>
    </row>
    <row r="771" spans="30:32" ht="12" x14ac:dyDescent="0.3">
      <c r="AD771" s="6"/>
      <c r="AE771" s="6" t="s">
        <v>264</v>
      </c>
      <c r="AF771" s="6">
        <v>56065</v>
      </c>
    </row>
    <row r="772" spans="30:32" ht="12" x14ac:dyDescent="0.3">
      <c r="AD772" s="6"/>
      <c r="AE772" s="6" t="s">
        <v>267</v>
      </c>
      <c r="AF772" s="6">
        <v>56066</v>
      </c>
    </row>
    <row r="773" spans="30:32" ht="12" x14ac:dyDescent="0.3">
      <c r="AD773" s="6"/>
      <c r="AE773" s="6" t="s">
        <v>270</v>
      </c>
      <c r="AF773" s="6">
        <v>56067</v>
      </c>
    </row>
    <row r="774" spans="30:32" ht="12" x14ac:dyDescent="0.3">
      <c r="AD774" s="6"/>
      <c r="AE774" s="6" t="s">
        <v>273</v>
      </c>
      <c r="AF774" s="6">
        <v>56068</v>
      </c>
    </row>
    <row r="775" spans="30:32" ht="12" x14ac:dyDescent="0.3">
      <c r="AD775" s="6"/>
      <c r="AE775" s="6" t="s">
        <v>276</v>
      </c>
      <c r="AF775" s="6">
        <v>56069</v>
      </c>
    </row>
    <row r="776" spans="30:32" ht="12" x14ac:dyDescent="0.3">
      <c r="AD776" s="6"/>
      <c r="AE776" s="6" t="s">
        <v>279</v>
      </c>
      <c r="AF776" s="6">
        <v>56070</v>
      </c>
    </row>
    <row r="777" spans="30:32" ht="12" x14ac:dyDescent="0.3">
      <c r="AD777" s="6"/>
      <c r="AE777" s="6" t="s">
        <v>282</v>
      </c>
      <c r="AF777" s="6">
        <v>56071</v>
      </c>
    </row>
    <row r="778" spans="30:32" ht="12" x14ac:dyDescent="0.3">
      <c r="AD778" s="6"/>
      <c r="AE778" s="6" t="s">
        <v>285</v>
      </c>
      <c r="AF778" s="6">
        <v>56072</v>
      </c>
    </row>
    <row r="779" spans="30:32" ht="12" x14ac:dyDescent="0.3">
      <c r="AD779" s="6"/>
      <c r="AE779" s="6" t="s">
        <v>285</v>
      </c>
      <c r="AF779" s="6">
        <v>156072</v>
      </c>
    </row>
    <row r="780" spans="30:32" ht="12" x14ac:dyDescent="0.3">
      <c r="AD780" s="6"/>
      <c r="AE780" s="6" t="s">
        <v>288</v>
      </c>
      <c r="AF780" s="6">
        <v>56073</v>
      </c>
    </row>
    <row r="781" spans="30:32" ht="12" x14ac:dyDescent="0.3">
      <c r="AD781" s="6"/>
      <c r="AE781" s="6" t="s">
        <v>288</v>
      </c>
      <c r="AF781" s="6">
        <v>156073</v>
      </c>
    </row>
    <row r="782" spans="30:32" ht="12" x14ac:dyDescent="0.3">
      <c r="AD782" s="6"/>
      <c r="AE782" s="6" t="s">
        <v>291</v>
      </c>
      <c r="AF782" s="6">
        <v>56074</v>
      </c>
    </row>
    <row r="783" spans="30:32" ht="12" x14ac:dyDescent="0.3">
      <c r="AD783" s="6"/>
      <c r="AE783" s="6" t="s">
        <v>291</v>
      </c>
      <c r="AF783" s="6">
        <v>156074</v>
      </c>
    </row>
    <row r="784" spans="30:32" ht="12" x14ac:dyDescent="0.3">
      <c r="AD784" s="6"/>
      <c r="AE784" s="6" t="s">
        <v>1086</v>
      </c>
      <c r="AF784" s="6">
        <v>56075</v>
      </c>
    </row>
    <row r="785" spans="30:32" ht="12" x14ac:dyDescent="0.3">
      <c r="AD785" s="6"/>
      <c r="AE785" s="6" t="s">
        <v>1086</v>
      </c>
      <c r="AF785" s="6">
        <v>156075</v>
      </c>
    </row>
    <row r="786" spans="30:32" ht="12" x14ac:dyDescent="0.3">
      <c r="AD786" s="6"/>
      <c r="AE786" s="6" t="s">
        <v>285</v>
      </c>
      <c r="AF786" s="6">
        <v>256072</v>
      </c>
    </row>
    <row r="787" spans="30:32" ht="12" x14ac:dyDescent="0.3">
      <c r="AD787" s="6"/>
      <c r="AE787" s="6" t="s">
        <v>285</v>
      </c>
      <c r="AF787" s="6">
        <v>356072</v>
      </c>
    </row>
    <row r="788" spans="30:32" ht="12" x14ac:dyDescent="0.3">
      <c r="AD788" s="6"/>
      <c r="AE788" s="6" t="s">
        <v>288</v>
      </c>
      <c r="AF788" s="6">
        <v>256073</v>
      </c>
    </row>
    <row r="789" spans="30:32" ht="12" x14ac:dyDescent="0.3">
      <c r="AD789" s="6"/>
      <c r="AE789" s="6" t="s">
        <v>288</v>
      </c>
      <c r="AF789" s="6">
        <v>356073</v>
      </c>
    </row>
    <row r="790" spans="30:32" ht="12" x14ac:dyDescent="0.3">
      <c r="AD790" s="6"/>
      <c r="AE790" s="6" t="s">
        <v>291</v>
      </c>
      <c r="AF790" s="6">
        <v>256074</v>
      </c>
    </row>
    <row r="791" spans="30:32" ht="12" x14ac:dyDescent="0.3">
      <c r="AD791" s="6"/>
      <c r="AE791" s="6" t="s">
        <v>291</v>
      </c>
      <c r="AF791" s="6">
        <v>356074</v>
      </c>
    </row>
    <row r="792" spans="30:32" ht="12" x14ac:dyDescent="0.3">
      <c r="AD792" s="6"/>
      <c r="AE792" s="6" t="s">
        <v>1086</v>
      </c>
      <c r="AF792" s="6">
        <v>256075</v>
      </c>
    </row>
    <row r="793" spans="30:32" ht="12" x14ac:dyDescent="0.3">
      <c r="AD793" s="6"/>
      <c r="AE793" s="6" t="s">
        <v>1086</v>
      </c>
      <c r="AF793" s="6">
        <v>356075</v>
      </c>
    </row>
    <row r="794" spans="30:32" ht="12" x14ac:dyDescent="0.3">
      <c r="AD794" s="6"/>
      <c r="AE794" s="6" t="s">
        <v>296</v>
      </c>
      <c r="AF794" s="6">
        <v>56076</v>
      </c>
    </row>
    <row r="795" spans="30:32" ht="12" x14ac:dyDescent="0.3">
      <c r="AD795" s="6"/>
      <c r="AE795" s="6" t="s">
        <v>1050</v>
      </c>
      <c r="AF795" s="6">
        <v>56077</v>
      </c>
    </row>
    <row r="796" spans="30:32" ht="12" x14ac:dyDescent="0.3">
      <c r="AD796" s="6"/>
      <c r="AE796" s="6" t="s">
        <v>1052</v>
      </c>
      <c r="AF796" s="6">
        <v>56078</v>
      </c>
    </row>
    <row r="797" spans="30:32" ht="12" x14ac:dyDescent="0.3">
      <c r="AD797" s="6"/>
      <c r="AE797" s="6" t="s">
        <v>1053</v>
      </c>
      <c r="AF797" s="6">
        <v>56079</v>
      </c>
    </row>
    <row r="798" spans="30:32" ht="12" x14ac:dyDescent="0.3">
      <c r="AD798" s="6"/>
      <c r="AE798" s="6" t="s">
        <v>301</v>
      </c>
      <c r="AF798" s="6">
        <v>56080</v>
      </c>
    </row>
    <row r="799" spans="30:32" ht="12" x14ac:dyDescent="0.3">
      <c r="AD799" s="6"/>
      <c r="AE799" s="6" t="s">
        <v>304</v>
      </c>
      <c r="AF799" s="6">
        <v>56081</v>
      </c>
    </row>
    <row r="800" spans="30:32" ht="12" x14ac:dyDescent="0.3">
      <c r="AD800" s="6"/>
      <c r="AE800" s="6" t="s">
        <v>307</v>
      </c>
      <c r="AF800" s="6">
        <v>56082</v>
      </c>
    </row>
    <row r="801" spans="30:32" ht="12" x14ac:dyDescent="0.3">
      <c r="AD801" s="6"/>
      <c r="AE801" s="6" t="s">
        <v>310</v>
      </c>
      <c r="AF801" s="6">
        <v>56083</v>
      </c>
    </row>
    <row r="802" spans="30:32" ht="12" x14ac:dyDescent="0.3">
      <c r="AD802" s="6"/>
      <c r="AE802" s="6" t="s">
        <v>313</v>
      </c>
      <c r="AF802" s="6">
        <v>56084</v>
      </c>
    </row>
    <row r="803" spans="30:32" ht="12" x14ac:dyDescent="0.3">
      <c r="AD803" s="6"/>
      <c r="AE803" s="6" t="s">
        <v>1088</v>
      </c>
      <c r="AF803" s="6">
        <v>56085</v>
      </c>
    </row>
    <row r="804" spans="30:32" ht="12" x14ac:dyDescent="0.3">
      <c r="AD804" s="6"/>
      <c r="AE804" s="6" t="s">
        <v>1055</v>
      </c>
      <c r="AF804" s="6">
        <v>56086</v>
      </c>
    </row>
    <row r="805" spans="30:32" ht="12" x14ac:dyDescent="0.3">
      <c r="AD805" s="6"/>
      <c r="AE805" s="6" t="s">
        <v>1056</v>
      </c>
      <c r="AF805" s="6">
        <v>56087</v>
      </c>
    </row>
    <row r="806" spans="30:32" ht="12" x14ac:dyDescent="0.3">
      <c r="AD806" s="6"/>
      <c r="AE806" s="6" t="s">
        <v>1060</v>
      </c>
      <c r="AF806" s="6">
        <v>56088</v>
      </c>
    </row>
    <row r="807" spans="30:32" ht="12" x14ac:dyDescent="0.3">
      <c r="AD807" s="6"/>
      <c r="AE807" s="6" t="s">
        <v>1061</v>
      </c>
      <c r="AF807" s="6">
        <v>56089</v>
      </c>
    </row>
    <row r="808" spans="30:32" ht="12" x14ac:dyDescent="0.3">
      <c r="AD808" s="6"/>
      <c r="AE808" s="6" t="s">
        <v>1064</v>
      </c>
      <c r="AF808" s="6">
        <v>56090</v>
      </c>
    </row>
    <row r="809" spans="30:32" ht="12" x14ac:dyDescent="0.3">
      <c r="AD809" s="6"/>
      <c r="AE809" s="6" t="s">
        <v>1065</v>
      </c>
      <c r="AF809" s="6">
        <v>56091</v>
      </c>
    </row>
    <row r="810" spans="30:32" ht="12" x14ac:dyDescent="0.3">
      <c r="AD810" s="6"/>
      <c r="AE810" s="6" t="s">
        <v>1067</v>
      </c>
      <c r="AF810" s="6">
        <v>56092</v>
      </c>
    </row>
    <row r="811" spans="30:32" ht="12" x14ac:dyDescent="0.3">
      <c r="AD811" s="6"/>
      <c r="AE811" s="6" t="s">
        <v>1068</v>
      </c>
      <c r="AF811" s="6">
        <v>56093</v>
      </c>
    </row>
    <row r="812" spans="30:32" ht="12" x14ac:dyDescent="0.3">
      <c r="AD812" s="6"/>
      <c r="AE812" s="6" t="s">
        <v>1069</v>
      </c>
      <c r="AF812" s="6">
        <v>56094</v>
      </c>
    </row>
    <row r="813" spans="30:32" ht="12" x14ac:dyDescent="0.3">
      <c r="AD813" s="6"/>
      <c r="AE813" s="6" t="s">
        <v>1070</v>
      </c>
      <c r="AF813" s="6">
        <v>56095</v>
      </c>
    </row>
    <row r="814" spans="30:32" ht="12" x14ac:dyDescent="0.3">
      <c r="AD814" s="6"/>
      <c r="AE814" s="6" t="s">
        <v>1071</v>
      </c>
      <c r="AF814" s="6">
        <v>56096</v>
      </c>
    </row>
    <row r="815" spans="30:32" ht="12" x14ac:dyDescent="0.3">
      <c r="AD815" s="6"/>
      <c r="AE815" s="6" t="s">
        <v>1080</v>
      </c>
      <c r="AF815" s="6">
        <v>57001</v>
      </c>
    </row>
    <row r="816" spans="30:32" ht="12" x14ac:dyDescent="0.3">
      <c r="AD816" s="6"/>
      <c r="AE816" s="6" t="s">
        <v>43</v>
      </c>
      <c r="AF816" s="6">
        <v>57002</v>
      </c>
    </row>
    <row r="817" spans="30:32" ht="12" x14ac:dyDescent="0.3">
      <c r="AD817" s="6"/>
      <c r="AE817" s="6" t="s">
        <v>54</v>
      </c>
      <c r="AF817" s="6">
        <v>57003</v>
      </c>
    </row>
    <row r="818" spans="30:32" ht="12" x14ac:dyDescent="0.3">
      <c r="AD818" s="6"/>
      <c r="AE818" s="6" t="s">
        <v>65</v>
      </c>
      <c r="AF818" s="6">
        <v>57004</v>
      </c>
    </row>
    <row r="819" spans="30:32" ht="12" x14ac:dyDescent="0.3">
      <c r="AD819" s="6"/>
      <c r="AE819" s="6" t="s">
        <v>69</v>
      </c>
      <c r="AF819" s="6">
        <v>57005</v>
      </c>
    </row>
    <row r="820" spans="30:32" ht="12" x14ac:dyDescent="0.3">
      <c r="AD820" s="6"/>
      <c r="AE820" s="6" t="s">
        <v>80</v>
      </c>
      <c r="AF820" s="6">
        <v>57006</v>
      </c>
    </row>
    <row r="821" spans="30:32" ht="12" x14ac:dyDescent="0.3">
      <c r="AD821" s="6"/>
      <c r="AE821" s="6" t="s">
        <v>95</v>
      </c>
      <c r="AF821" s="6">
        <v>57007</v>
      </c>
    </row>
    <row r="822" spans="30:32" ht="12" x14ac:dyDescent="0.3">
      <c r="AD822" s="6"/>
      <c r="AE822" s="6" t="s">
        <v>101</v>
      </c>
      <c r="AF822" s="6">
        <v>57008</v>
      </c>
    </row>
    <row r="823" spans="30:32" ht="12" x14ac:dyDescent="0.3">
      <c r="AD823" s="6"/>
      <c r="AE823" s="6" t="s">
        <v>101</v>
      </c>
      <c r="AF823" s="6">
        <v>157008</v>
      </c>
    </row>
    <row r="824" spans="30:32" ht="12" x14ac:dyDescent="0.3">
      <c r="AD824" s="6"/>
      <c r="AE824" s="6" t="s">
        <v>104</v>
      </c>
      <c r="AF824" s="6">
        <v>57009</v>
      </c>
    </row>
    <row r="825" spans="30:32" ht="12" x14ac:dyDescent="0.3">
      <c r="AD825" s="6"/>
      <c r="AE825" s="6" t="s">
        <v>104</v>
      </c>
      <c r="AF825" s="6">
        <v>157009</v>
      </c>
    </row>
    <row r="826" spans="30:32" ht="12" x14ac:dyDescent="0.3">
      <c r="AD826" s="6"/>
      <c r="AE826" s="6" t="s">
        <v>107</v>
      </c>
      <c r="AF826" s="6">
        <v>57010</v>
      </c>
    </row>
    <row r="827" spans="30:32" ht="12" x14ac:dyDescent="0.3">
      <c r="AD827" s="6"/>
      <c r="AE827" s="6" t="s">
        <v>107</v>
      </c>
      <c r="AF827" s="6">
        <v>157010</v>
      </c>
    </row>
    <row r="828" spans="30:32" ht="12" x14ac:dyDescent="0.3">
      <c r="AD828" s="6"/>
      <c r="AE828" s="6" t="s">
        <v>110</v>
      </c>
      <c r="AF828" s="6">
        <v>57011</v>
      </c>
    </row>
    <row r="829" spans="30:32" ht="12" x14ac:dyDescent="0.3">
      <c r="AD829" s="6"/>
      <c r="AE829" s="6" t="s">
        <v>110</v>
      </c>
      <c r="AF829" s="6">
        <v>157011</v>
      </c>
    </row>
    <row r="830" spans="30:32" ht="12" x14ac:dyDescent="0.3">
      <c r="AD830" s="6"/>
      <c r="AE830" s="6" t="s">
        <v>113</v>
      </c>
      <c r="AF830" s="6">
        <v>57012</v>
      </c>
    </row>
    <row r="831" spans="30:32" ht="12" x14ac:dyDescent="0.3">
      <c r="AD831" s="6"/>
      <c r="AE831" s="6" t="s">
        <v>120</v>
      </c>
      <c r="AF831" s="6">
        <v>57014</v>
      </c>
    </row>
    <row r="832" spans="30:32" ht="12" x14ac:dyDescent="0.3">
      <c r="AD832" s="6"/>
      <c r="AE832" s="6" t="s">
        <v>117</v>
      </c>
      <c r="AF832" s="6">
        <v>57013</v>
      </c>
    </row>
    <row r="833" spans="30:32" ht="12" x14ac:dyDescent="0.3">
      <c r="AD833" s="6"/>
      <c r="AE833" s="6" t="s">
        <v>126</v>
      </c>
      <c r="AF833" s="6">
        <v>57016</v>
      </c>
    </row>
    <row r="834" spans="30:32" ht="12" x14ac:dyDescent="0.3">
      <c r="AD834" s="6"/>
      <c r="AE834" s="6" t="s">
        <v>132</v>
      </c>
      <c r="AF834" s="6">
        <v>57018</v>
      </c>
    </row>
    <row r="835" spans="30:32" ht="12" x14ac:dyDescent="0.3">
      <c r="AD835" s="6"/>
      <c r="AE835" s="6" t="s">
        <v>129</v>
      </c>
      <c r="AF835" s="6">
        <v>57017</v>
      </c>
    </row>
    <row r="836" spans="30:32" ht="12" x14ac:dyDescent="0.3">
      <c r="AD836" s="6"/>
      <c r="AE836" s="6" t="s">
        <v>135</v>
      </c>
      <c r="AF836" s="6">
        <v>57019</v>
      </c>
    </row>
    <row r="837" spans="30:32" ht="12" x14ac:dyDescent="0.3">
      <c r="AD837" s="6"/>
      <c r="AE837" s="6" t="s">
        <v>123</v>
      </c>
      <c r="AF837" s="6">
        <v>57015</v>
      </c>
    </row>
    <row r="838" spans="30:32" ht="12" x14ac:dyDescent="0.3">
      <c r="AD838" s="6"/>
      <c r="AE838" s="6" t="s">
        <v>138</v>
      </c>
      <c r="AF838" s="6">
        <v>57020</v>
      </c>
    </row>
    <row r="839" spans="30:32" ht="12" x14ac:dyDescent="0.3">
      <c r="AD839" s="6"/>
      <c r="AE839" s="6" t="s">
        <v>126</v>
      </c>
      <c r="AF839" s="6">
        <v>157016</v>
      </c>
    </row>
    <row r="840" spans="30:32" ht="12" x14ac:dyDescent="0.3">
      <c r="AD840" s="6"/>
      <c r="AE840" s="6" t="s">
        <v>126</v>
      </c>
      <c r="AF840" s="6">
        <v>257016</v>
      </c>
    </row>
    <row r="841" spans="30:32" ht="12" x14ac:dyDescent="0.3">
      <c r="AD841" s="6"/>
      <c r="AE841" s="6" t="s">
        <v>135</v>
      </c>
      <c r="AF841" s="6">
        <v>157019</v>
      </c>
    </row>
    <row r="842" spans="30:32" ht="12" x14ac:dyDescent="0.3">
      <c r="AD842" s="6"/>
      <c r="AE842" s="6" t="s">
        <v>135</v>
      </c>
      <c r="AF842" s="6">
        <v>257019</v>
      </c>
    </row>
    <row r="843" spans="30:32" ht="12" x14ac:dyDescent="0.3">
      <c r="AD843" s="6"/>
      <c r="AE843" s="6" t="s">
        <v>138</v>
      </c>
      <c r="AF843" s="6">
        <v>157020</v>
      </c>
    </row>
    <row r="844" spans="30:32" ht="12" x14ac:dyDescent="0.3">
      <c r="AD844" s="6"/>
      <c r="AE844" s="6" t="s">
        <v>138</v>
      </c>
      <c r="AF844" s="6">
        <v>257020</v>
      </c>
    </row>
    <row r="845" spans="30:32" ht="12" x14ac:dyDescent="0.3">
      <c r="AD845" s="6"/>
      <c r="AE845" s="6" t="s">
        <v>141</v>
      </c>
      <c r="AF845" s="6">
        <v>57021</v>
      </c>
    </row>
    <row r="846" spans="30:32" ht="12" x14ac:dyDescent="0.3">
      <c r="AD846" s="6"/>
      <c r="AE846" s="6" t="s">
        <v>141</v>
      </c>
      <c r="AF846" s="6">
        <v>157021</v>
      </c>
    </row>
    <row r="847" spans="30:32" ht="12" x14ac:dyDescent="0.3">
      <c r="AD847" s="6"/>
      <c r="AE847" s="6" t="s">
        <v>144</v>
      </c>
      <c r="AF847" s="6">
        <v>57022</v>
      </c>
    </row>
    <row r="848" spans="30:32" ht="12" x14ac:dyDescent="0.3">
      <c r="AD848" s="6"/>
      <c r="AE848" s="6" t="s">
        <v>147</v>
      </c>
      <c r="AF848" s="6">
        <v>57023</v>
      </c>
    </row>
    <row r="849" spans="30:32" ht="12" x14ac:dyDescent="0.3">
      <c r="AD849" s="6"/>
      <c r="AE849" s="6" t="s">
        <v>150</v>
      </c>
      <c r="AF849" s="6">
        <v>57024</v>
      </c>
    </row>
    <row r="850" spans="30:32" ht="12" x14ac:dyDescent="0.3">
      <c r="AD850" s="6"/>
      <c r="AE850" s="6" t="s">
        <v>153</v>
      </c>
      <c r="AF850" s="6">
        <v>57025</v>
      </c>
    </row>
    <row r="851" spans="30:32" ht="12" x14ac:dyDescent="0.3">
      <c r="AD851" s="6"/>
      <c r="AE851" s="6" t="s">
        <v>156</v>
      </c>
      <c r="AF851" s="6">
        <v>57026</v>
      </c>
    </row>
    <row r="852" spans="30:32" ht="12" x14ac:dyDescent="0.3">
      <c r="AD852" s="6"/>
      <c r="AE852" s="6" t="s">
        <v>162</v>
      </c>
      <c r="AF852" s="6">
        <v>57028</v>
      </c>
    </row>
    <row r="853" spans="30:32" ht="12" x14ac:dyDescent="0.3">
      <c r="AD853" s="6"/>
      <c r="AE853" s="6" t="s">
        <v>159</v>
      </c>
      <c r="AF853" s="6">
        <v>57027</v>
      </c>
    </row>
    <row r="854" spans="30:32" ht="12" x14ac:dyDescent="0.3">
      <c r="AD854" s="6"/>
      <c r="AE854" s="6" t="s">
        <v>165</v>
      </c>
      <c r="AF854" s="6">
        <v>57029</v>
      </c>
    </row>
    <row r="855" spans="30:32" ht="12" x14ac:dyDescent="0.3">
      <c r="AD855" s="6"/>
      <c r="AE855" s="6" t="s">
        <v>167</v>
      </c>
      <c r="AF855" s="6">
        <v>57030</v>
      </c>
    </row>
    <row r="856" spans="30:32" ht="12" x14ac:dyDescent="0.3">
      <c r="AD856" s="6"/>
      <c r="AE856" s="6" t="s">
        <v>167</v>
      </c>
      <c r="AF856" s="6">
        <v>157030</v>
      </c>
    </row>
    <row r="857" spans="30:32" ht="12" x14ac:dyDescent="0.3">
      <c r="AD857" s="6"/>
      <c r="AE857" s="6" t="s">
        <v>1057</v>
      </c>
      <c r="AF857" s="6">
        <v>57031</v>
      </c>
    </row>
    <row r="858" spans="30:32" ht="12" x14ac:dyDescent="0.3">
      <c r="AD858" s="6"/>
      <c r="AE858" s="6" t="s">
        <v>1057</v>
      </c>
      <c r="AF858" s="6">
        <v>157031</v>
      </c>
    </row>
    <row r="859" spans="30:32" ht="12" x14ac:dyDescent="0.3">
      <c r="AD859" s="6"/>
      <c r="AE859" s="6" t="s">
        <v>1058</v>
      </c>
      <c r="AF859" s="6">
        <v>57032</v>
      </c>
    </row>
    <row r="860" spans="30:32" ht="12" x14ac:dyDescent="0.3">
      <c r="AD860" s="6"/>
      <c r="AE860" s="6" t="s">
        <v>1058</v>
      </c>
      <c r="AF860" s="6">
        <v>157032</v>
      </c>
    </row>
    <row r="861" spans="30:32" ht="12" x14ac:dyDescent="0.3">
      <c r="AD861" s="6"/>
      <c r="AE861" s="6" t="s">
        <v>1059</v>
      </c>
      <c r="AF861" s="6">
        <v>57033</v>
      </c>
    </row>
    <row r="862" spans="30:32" ht="12" x14ac:dyDescent="0.3">
      <c r="AD862" s="6"/>
      <c r="AE862" s="6" t="s">
        <v>1059</v>
      </c>
      <c r="AF862" s="6">
        <v>157033</v>
      </c>
    </row>
    <row r="863" spans="30:32" ht="12" x14ac:dyDescent="0.3">
      <c r="AD863" s="6"/>
      <c r="AE863" s="6" t="s">
        <v>179</v>
      </c>
      <c r="AF863" s="6">
        <v>57036</v>
      </c>
    </row>
    <row r="864" spans="30:32" ht="12" x14ac:dyDescent="0.3">
      <c r="AD864" s="6"/>
      <c r="AE864" s="6" t="s">
        <v>173</v>
      </c>
      <c r="AF864" s="6">
        <v>57034</v>
      </c>
    </row>
    <row r="865" spans="30:32" ht="12" x14ac:dyDescent="0.3">
      <c r="AD865" s="6"/>
      <c r="AE865" s="6" t="s">
        <v>176</v>
      </c>
      <c r="AF865" s="6">
        <v>57035</v>
      </c>
    </row>
    <row r="866" spans="30:32" ht="12" x14ac:dyDescent="0.3">
      <c r="AD866" s="6"/>
      <c r="AE866" s="6" t="s">
        <v>182</v>
      </c>
      <c r="AF866" s="6">
        <v>57037</v>
      </c>
    </row>
    <row r="867" spans="30:32" ht="12" x14ac:dyDescent="0.3">
      <c r="AD867" s="6"/>
      <c r="AE867" s="6" t="s">
        <v>185</v>
      </c>
      <c r="AF867" s="6">
        <v>57038</v>
      </c>
    </row>
    <row r="868" spans="30:32" ht="12" x14ac:dyDescent="0.3">
      <c r="AD868" s="6"/>
      <c r="AE868" s="6" t="s">
        <v>188</v>
      </c>
      <c r="AF868" s="6">
        <v>57039</v>
      </c>
    </row>
    <row r="869" spans="30:32" ht="12" x14ac:dyDescent="0.3">
      <c r="AD869" s="6"/>
      <c r="AE869" s="6" t="s">
        <v>194</v>
      </c>
      <c r="AF869" s="6">
        <v>57041</v>
      </c>
    </row>
    <row r="870" spans="30:32" ht="12" x14ac:dyDescent="0.3">
      <c r="AD870" s="6"/>
      <c r="AE870" s="6" t="s">
        <v>191</v>
      </c>
      <c r="AF870" s="6">
        <v>57040</v>
      </c>
    </row>
    <row r="871" spans="30:32" ht="12" x14ac:dyDescent="0.3">
      <c r="AD871" s="6"/>
      <c r="AE871" s="6" t="s">
        <v>197</v>
      </c>
      <c r="AF871" s="6">
        <v>57042</v>
      </c>
    </row>
    <row r="872" spans="30:32" ht="12" x14ac:dyDescent="0.3">
      <c r="AD872" s="6"/>
      <c r="AE872" s="6" t="s">
        <v>200</v>
      </c>
      <c r="AF872" s="6">
        <v>57043</v>
      </c>
    </row>
    <row r="873" spans="30:32" ht="12" x14ac:dyDescent="0.3">
      <c r="AD873" s="6"/>
      <c r="AE873" s="6" t="s">
        <v>203</v>
      </c>
      <c r="AF873" s="6">
        <v>57044</v>
      </c>
    </row>
    <row r="874" spans="30:32" ht="12" x14ac:dyDescent="0.3">
      <c r="AD874" s="6"/>
      <c r="AE874" s="6" t="s">
        <v>206</v>
      </c>
      <c r="AF874" s="6">
        <v>57045</v>
      </c>
    </row>
    <row r="875" spans="30:32" ht="12" x14ac:dyDescent="0.3">
      <c r="AD875" s="6"/>
      <c r="AE875" s="6" t="s">
        <v>209</v>
      </c>
      <c r="AF875" s="6">
        <v>57046</v>
      </c>
    </row>
    <row r="876" spans="30:32" ht="12" x14ac:dyDescent="0.3">
      <c r="AD876" s="6"/>
      <c r="AE876" s="6" t="s">
        <v>1087</v>
      </c>
      <c r="AF876" s="6">
        <v>57047</v>
      </c>
    </row>
    <row r="877" spans="30:32" ht="12" x14ac:dyDescent="0.3">
      <c r="AD877" s="6"/>
      <c r="AE877" s="6" t="s">
        <v>214</v>
      </c>
      <c r="AF877" s="6">
        <v>57048</v>
      </c>
    </row>
    <row r="878" spans="30:32" ht="12" x14ac:dyDescent="0.3">
      <c r="AD878" s="6"/>
      <c r="AE878" s="6" t="s">
        <v>217</v>
      </c>
      <c r="AF878" s="6">
        <v>57049</v>
      </c>
    </row>
    <row r="879" spans="30:32" ht="12" x14ac:dyDescent="0.3">
      <c r="AD879" s="6"/>
      <c r="AE879" s="6" t="s">
        <v>220</v>
      </c>
      <c r="AF879" s="6">
        <v>57050</v>
      </c>
    </row>
    <row r="880" spans="30:32" ht="12" x14ac:dyDescent="0.3">
      <c r="AD880" s="6"/>
      <c r="AE880" s="6" t="s">
        <v>223</v>
      </c>
      <c r="AF880" s="6">
        <v>57051</v>
      </c>
    </row>
    <row r="881" spans="30:32" ht="12" x14ac:dyDescent="0.3">
      <c r="AD881" s="6"/>
      <c r="AE881" s="6" t="s">
        <v>226</v>
      </c>
      <c r="AF881" s="6">
        <v>57052</v>
      </c>
    </row>
    <row r="882" spans="30:32" ht="12" x14ac:dyDescent="0.3">
      <c r="AD882" s="6"/>
      <c r="AE882" s="6" t="s">
        <v>229</v>
      </c>
      <c r="AF882" s="6">
        <v>57053</v>
      </c>
    </row>
    <row r="883" spans="30:32" ht="12" x14ac:dyDescent="0.3">
      <c r="AD883" s="6"/>
      <c r="AE883" s="6" t="s">
        <v>232</v>
      </c>
      <c r="AF883" s="6">
        <v>57054</v>
      </c>
    </row>
    <row r="884" spans="30:32" ht="12" x14ac:dyDescent="0.3">
      <c r="AD884" s="6"/>
      <c r="AE884" s="6" t="s">
        <v>235</v>
      </c>
      <c r="AF884" s="6">
        <v>57055</v>
      </c>
    </row>
    <row r="885" spans="30:32" ht="12" x14ac:dyDescent="0.3">
      <c r="AD885" s="6"/>
      <c r="AE885" s="6" t="s">
        <v>238</v>
      </c>
      <c r="AF885" s="6">
        <v>57056</v>
      </c>
    </row>
    <row r="886" spans="30:32" ht="12" x14ac:dyDescent="0.3">
      <c r="AD886" s="6"/>
      <c r="AE886" s="6" t="s">
        <v>241</v>
      </c>
      <c r="AF886" s="6">
        <v>57057</v>
      </c>
    </row>
    <row r="887" spans="30:32" ht="12" x14ac:dyDescent="0.3">
      <c r="AD887" s="6"/>
      <c r="AE887" s="6" t="s">
        <v>244</v>
      </c>
      <c r="AF887" s="6">
        <v>57058</v>
      </c>
    </row>
    <row r="888" spans="30:32" ht="12" x14ac:dyDescent="0.3">
      <c r="AD888" s="6"/>
      <c r="AE888" s="6" t="s">
        <v>247</v>
      </c>
      <c r="AF888" s="6">
        <v>57059</v>
      </c>
    </row>
    <row r="889" spans="30:32" ht="12" x14ac:dyDescent="0.3">
      <c r="AD889" s="6"/>
      <c r="AE889" s="6" t="s">
        <v>250</v>
      </c>
      <c r="AF889" s="6">
        <v>57060</v>
      </c>
    </row>
    <row r="890" spans="30:32" ht="12" x14ac:dyDescent="0.3">
      <c r="AD890" s="6"/>
      <c r="AE890" s="6" t="s">
        <v>253</v>
      </c>
      <c r="AF890" s="6">
        <v>57061</v>
      </c>
    </row>
    <row r="891" spans="30:32" ht="12" x14ac:dyDescent="0.3">
      <c r="AD891" s="6"/>
      <c r="AE891" s="6" t="s">
        <v>256</v>
      </c>
      <c r="AF891" s="6">
        <v>57062</v>
      </c>
    </row>
    <row r="892" spans="30:32" ht="12" x14ac:dyDescent="0.3">
      <c r="AD892" s="6"/>
      <c r="AE892" s="6" t="s">
        <v>259</v>
      </c>
      <c r="AF892" s="6">
        <v>57063</v>
      </c>
    </row>
    <row r="893" spans="30:32" ht="12" x14ac:dyDescent="0.3">
      <c r="AD893" s="6"/>
      <c r="AE893" s="6" t="s">
        <v>261</v>
      </c>
      <c r="AF893" s="6">
        <v>57064</v>
      </c>
    </row>
    <row r="894" spans="30:32" ht="12" x14ac:dyDescent="0.3">
      <c r="AD894" s="6"/>
      <c r="AE894" s="6" t="s">
        <v>264</v>
      </c>
      <c r="AF894" s="6">
        <v>57065</v>
      </c>
    </row>
    <row r="895" spans="30:32" ht="12" x14ac:dyDescent="0.3">
      <c r="AD895" s="6"/>
      <c r="AE895" s="6" t="s">
        <v>267</v>
      </c>
      <c r="AF895" s="6">
        <v>57066</v>
      </c>
    </row>
    <row r="896" spans="30:32" ht="12" x14ac:dyDescent="0.3">
      <c r="AD896" s="6"/>
      <c r="AE896" s="6" t="s">
        <v>270</v>
      </c>
      <c r="AF896" s="6">
        <v>57067</v>
      </c>
    </row>
    <row r="897" spans="30:32" ht="12" x14ac:dyDescent="0.3">
      <c r="AD897" s="6"/>
      <c r="AE897" s="6" t="s">
        <v>273</v>
      </c>
      <c r="AF897" s="6">
        <v>57068</v>
      </c>
    </row>
    <row r="898" spans="30:32" ht="12" x14ac:dyDescent="0.3">
      <c r="AD898" s="6"/>
      <c r="AE898" s="6" t="s">
        <v>276</v>
      </c>
      <c r="AF898" s="6">
        <v>57069</v>
      </c>
    </row>
    <row r="899" spans="30:32" ht="12" x14ac:dyDescent="0.3">
      <c r="AD899" s="6"/>
      <c r="AE899" s="6" t="s">
        <v>279</v>
      </c>
      <c r="AF899" s="6">
        <v>57070</v>
      </c>
    </row>
    <row r="900" spans="30:32" ht="12" x14ac:dyDescent="0.3">
      <c r="AD900" s="6"/>
      <c r="AE900" s="6" t="s">
        <v>282</v>
      </c>
      <c r="AF900" s="6">
        <v>57071</v>
      </c>
    </row>
    <row r="901" spans="30:32" ht="12" x14ac:dyDescent="0.3">
      <c r="AD901" s="6"/>
      <c r="AE901" s="6" t="s">
        <v>285</v>
      </c>
      <c r="AF901" s="6">
        <v>57072</v>
      </c>
    </row>
    <row r="902" spans="30:32" ht="12" x14ac:dyDescent="0.3">
      <c r="AD902" s="6"/>
      <c r="AE902" s="6" t="s">
        <v>285</v>
      </c>
      <c r="AF902" s="6">
        <v>157072</v>
      </c>
    </row>
    <row r="903" spans="30:32" ht="12" x14ac:dyDescent="0.3">
      <c r="AD903" s="6"/>
      <c r="AE903" s="6" t="s">
        <v>288</v>
      </c>
      <c r="AF903" s="6">
        <v>57073</v>
      </c>
    </row>
    <row r="904" spans="30:32" ht="12" x14ac:dyDescent="0.3">
      <c r="AD904" s="6"/>
      <c r="AE904" s="6" t="s">
        <v>288</v>
      </c>
      <c r="AF904" s="6">
        <v>157073</v>
      </c>
    </row>
    <row r="905" spans="30:32" ht="12" x14ac:dyDescent="0.3">
      <c r="AD905" s="6"/>
      <c r="AE905" s="6" t="s">
        <v>291</v>
      </c>
      <c r="AF905" s="6">
        <v>57074</v>
      </c>
    </row>
    <row r="906" spans="30:32" ht="12" x14ac:dyDescent="0.3">
      <c r="AD906" s="6"/>
      <c r="AE906" s="6" t="s">
        <v>291</v>
      </c>
      <c r="AF906" s="6">
        <v>157074</v>
      </c>
    </row>
    <row r="907" spans="30:32" ht="12" x14ac:dyDescent="0.3">
      <c r="AD907" s="6"/>
      <c r="AE907" s="6" t="s">
        <v>1086</v>
      </c>
      <c r="AF907" s="6">
        <v>57075</v>
      </c>
    </row>
    <row r="908" spans="30:32" ht="12" x14ac:dyDescent="0.3">
      <c r="AD908" s="6"/>
      <c r="AE908" s="6" t="s">
        <v>1086</v>
      </c>
      <c r="AF908" s="6">
        <v>157075</v>
      </c>
    </row>
    <row r="909" spans="30:32" ht="12" x14ac:dyDescent="0.3">
      <c r="AD909" s="6"/>
      <c r="AE909" s="6" t="s">
        <v>285</v>
      </c>
      <c r="AF909" s="6">
        <v>257072</v>
      </c>
    </row>
    <row r="910" spans="30:32" ht="12" x14ac:dyDescent="0.3">
      <c r="AD910" s="6"/>
      <c r="AE910" s="6" t="s">
        <v>285</v>
      </c>
      <c r="AF910" s="6">
        <v>357072</v>
      </c>
    </row>
    <row r="911" spans="30:32" ht="12" x14ac:dyDescent="0.3">
      <c r="AD911" s="6"/>
      <c r="AE911" s="6" t="s">
        <v>288</v>
      </c>
      <c r="AF911" s="6">
        <v>257073</v>
      </c>
    </row>
    <row r="912" spans="30:32" ht="12" x14ac:dyDescent="0.3">
      <c r="AD912" s="6"/>
      <c r="AE912" s="6" t="s">
        <v>288</v>
      </c>
      <c r="AF912" s="6">
        <v>357073</v>
      </c>
    </row>
    <row r="913" spans="30:32" ht="12" x14ac:dyDescent="0.3">
      <c r="AD913" s="6"/>
      <c r="AE913" s="6" t="s">
        <v>291</v>
      </c>
      <c r="AF913" s="6">
        <v>257074</v>
      </c>
    </row>
    <row r="914" spans="30:32" ht="12" x14ac:dyDescent="0.3">
      <c r="AD914" s="6"/>
      <c r="AE914" s="6" t="s">
        <v>291</v>
      </c>
      <c r="AF914" s="6">
        <v>357074</v>
      </c>
    </row>
    <row r="915" spans="30:32" ht="12" x14ac:dyDescent="0.3">
      <c r="AD915" s="6"/>
      <c r="AE915" s="6" t="s">
        <v>1086</v>
      </c>
      <c r="AF915" s="6">
        <v>257075</v>
      </c>
    </row>
    <row r="916" spans="30:32" ht="12" x14ac:dyDescent="0.3">
      <c r="AD916" s="6"/>
      <c r="AE916" s="6" t="s">
        <v>1086</v>
      </c>
      <c r="AF916" s="6">
        <v>357075</v>
      </c>
    </row>
    <row r="917" spans="30:32" ht="12" x14ac:dyDescent="0.3">
      <c r="AD917" s="6"/>
      <c r="AE917" s="6" t="s">
        <v>296</v>
      </c>
      <c r="AF917" s="6">
        <v>57076</v>
      </c>
    </row>
    <row r="918" spans="30:32" ht="12" x14ac:dyDescent="0.3">
      <c r="AD918" s="6"/>
      <c r="AE918" s="6" t="s">
        <v>1050</v>
      </c>
      <c r="AF918" s="6">
        <v>57077</v>
      </c>
    </row>
    <row r="919" spans="30:32" ht="12" x14ac:dyDescent="0.3">
      <c r="AD919" s="6"/>
      <c r="AE919" s="6" t="s">
        <v>1052</v>
      </c>
      <c r="AF919" s="6">
        <v>57078</v>
      </c>
    </row>
    <row r="920" spans="30:32" ht="12" x14ac:dyDescent="0.3">
      <c r="AD920" s="6"/>
      <c r="AE920" s="6" t="s">
        <v>1053</v>
      </c>
      <c r="AF920" s="6">
        <v>57079</v>
      </c>
    </row>
    <row r="921" spans="30:32" ht="12" x14ac:dyDescent="0.3">
      <c r="AD921" s="6"/>
      <c r="AE921" s="6" t="s">
        <v>301</v>
      </c>
      <c r="AF921" s="6">
        <v>57080</v>
      </c>
    </row>
    <row r="922" spans="30:32" ht="12" x14ac:dyDescent="0.3">
      <c r="AD922" s="6"/>
      <c r="AE922" s="6" t="s">
        <v>304</v>
      </c>
      <c r="AF922" s="6">
        <v>57081</v>
      </c>
    </row>
    <row r="923" spans="30:32" ht="12" x14ac:dyDescent="0.3">
      <c r="AD923" s="6"/>
      <c r="AE923" s="6" t="s">
        <v>307</v>
      </c>
      <c r="AF923" s="6">
        <v>57082</v>
      </c>
    </row>
    <row r="924" spans="30:32" ht="12" x14ac:dyDescent="0.3">
      <c r="AD924" s="6"/>
      <c r="AE924" s="6" t="s">
        <v>310</v>
      </c>
      <c r="AF924" s="6">
        <v>57083</v>
      </c>
    </row>
    <row r="925" spans="30:32" ht="12" x14ac:dyDescent="0.3">
      <c r="AD925" s="6"/>
      <c r="AE925" s="6" t="s">
        <v>313</v>
      </c>
      <c r="AF925" s="6">
        <v>57084</v>
      </c>
    </row>
    <row r="926" spans="30:32" ht="12" x14ac:dyDescent="0.3">
      <c r="AD926" s="6"/>
      <c r="AE926" s="6" t="s">
        <v>1088</v>
      </c>
      <c r="AF926" s="6">
        <v>57085</v>
      </c>
    </row>
    <row r="927" spans="30:32" ht="12" x14ac:dyDescent="0.3">
      <c r="AD927" s="6"/>
      <c r="AE927" s="6" t="s">
        <v>1055</v>
      </c>
      <c r="AF927" s="6">
        <v>57086</v>
      </c>
    </row>
    <row r="928" spans="30:32" ht="12" x14ac:dyDescent="0.3">
      <c r="AD928" s="6"/>
      <c r="AE928" s="6" t="s">
        <v>1056</v>
      </c>
      <c r="AF928" s="6">
        <v>57087</v>
      </c>
    </row>
    <row r="929" spans="30:32" ht="12" x14ac:dyDescent="0.3">
      <c r="AD929" s="6"/>
      <c r="AE929" s="6" t="s">
        <v>1060</v>
      </c>
      <c r="AF929" s="6">
        <v>57088</v>
      </c>
    </row>
    <row r="930" spans="30:32" ht="12" x14ac:dyDescent="0.3">
      <c r="AD930" s="6"/>
      <c r="AE930" s="6" t="s">
        <v>1061</v>
      </c>
      <c r="AF930" s="6">
        <v>57089</v>
      </c>
    </row>
    <row r="931" spans="30:32" ht="12" x14ac:dyDescent="0.3">
      <c r="AD931" s="6"/>
      <c r="AE931" s="6" t="s">
        <v>1064</v>
      </c>
      <c r="AF931" s="6">
        <v>57090</v>
      </c>
    </row>
    <row r="932" spans="30:32" ht="12" x14ac:dyDescent="0.3">
      <c r="AD932" s="6"/>
      <c r="AE932" s="6" t="s">
        <v>1065</v>
      </c>
      <c r="AF932" s="6">
        <v>57091</v>
      </c>
    </row>
    <row r="933" spans="30:32" ht="12" x14ac:dyDescent="0.3">
      <c r="AD933" s="6"/>
      <c r="AE933" s="6" t="s">
        <v>1067</v>
      </c>
      <c r="AF933" s="6">
        <v>57092</v>
      </c>
    </row>
    <row r="934" spans="30:32" ht="12" x14ac:dyDescent="0.3">
      <c r="AD934" s="6"/>
      <c r="AE934" s="6" t="s">
        <v>1068</v>
      </c>
      <c r="AF934" s="6">
        <v>57093</v>
      </c>
    </row>
    <row r="935" spans="30:32" ht="12" x14ac:dyDescent="0.3">
      <c r="AD935" s="6"/>
      <c r="AE935" s="6" t="s">
        <v>1069</v>
      </c>
      <c r="AF935" s="6">
        <v>57094</v>
      </c>
    </row>
    <row r="936" spans="30:32" ht="12" x14ac:dyDescent="0.3">
      <c r="AD936" s="6"/>
      <c r="AE936" s="6" t="s">
        <v>1070</v>
      </c>
      <c r="AF936" s="6">
        <v>57095</v>
      </c>
    </row>
    <row r="937" spans="30:32" ht="12" x14ac:dyDescent="0.3">
      <c r="AD937" s="6"/>
      <c r="AE937" s="6" t="s">
        <v>1071</v>
      </c>
      <c r="AF937" s="6">
        <v>57096</v>
      </c>
    </row>
    <row r="938" spans="30:32" ht="12" x14ac:dyDescent="0.3">
      <c r="AD938" s="6"/>
      <c r="AE938" s="6" t="s">
        <v>1050</v>
      </c>
      <c r="AF938" s="6">
        <v>59001</v>
      </c>
    </row>
    <row r="939" spans="30:32" ht="12" x14ac:dyDescent="0.3">
      <c r="AD939" s="6"/>
      <c r="AE939" s="6" t="s">
        <v>1052</v>
      </c>
      <c r="AF939" s="6">
        <v>59002</v>
      </c>
    </row>
    <row r="940" spans="30:32" ht="12" x14ac:dyDescent="0.3">
      <c r="AD940" s="6"/>
      <c r="AE940" s="6" t="s">
        <v>1053</v>
      </c>
      <c r="AF940" s="6">
        <v>59003</v>
      </c>
    </row>
    <row r="941" spans="30:32" ht="12" x14ac:dyDescent="0.3">
      <c r="AD941" s="6"/>
      <c r="AE941" s="6" t="s">
        <v>301</v>
      </c>
      <c r="AF941" s="6">
        <v>59004</v>
      </c>
    </row>
    <row r="942" spans="30:32" ht="12" x14ac:dyDescent="0.3">
      <c r="AD942" s="6"/>
      <c r="AE942" s="6" t="s">
        <v>95</v>
      </c>
      <c r="AF942" s="6">
        <v>59007</v>
      </c>
    </row>
    <row r="943" spans="30:32" ht="12" x14ac:dyDescent="0.3">
      <c r="AD943" s="6"/>
      <c r="AE943" s="6" t="s">
        <v>113</v>
      </c>
      <c r="AF943" s="6">
        <v>59012</v>
      </c>
    </row>
    <row r="944" spans="30:32" ht="12" x14ac:dyDescent="0.3">
      <c r="AD944" s="6"/>
      <c r="AE944" s="6" t="s">
        <v>296</v>
      </c>
      <c r="AF944" s="6">
        <v>59076</v>
      </c>
    </row>
    <row r="945" spans="30:32" ht="12" x14ac:dyDescent="0.3">
      <c r="AD945" s="6"/>
      <c r="AE945" s="6" t="s">
        <v>1088</v>
      </c>
      <c r="AF945" s="6">
        <v>59085</v>
      </c>
    </row>
    <row r="946" spans="30:32" ht="12" x14ac:dyDescent="0.3">
      <c r="AD946" s="6"/>
      <c r="AE946" s="6" t="s">
        <v>1055</v>
      </c>
      <c r="AF946" s="6">
        <v>59086</v>
      </c>
    </row>
    <row r="947" spans="30:32" ht="12" x14ac:dyDescent="0.3">
      <c r="AD947" s="6"/>
      <c r="AE947" s="6" t="s">
        <v>1056</v>
      </c>
      <c r="AF947" s="6">
        <v>59087</v>
      </c>
    </row>
    <row r="948" spans="30:32" ht="12" x14ac:dyDescent="0.3">
      <c r="AD948" s="6"/>
      <c r="AE948" s="6" t="s">
        <v>1060</v>
      </c>
      <c r="AF948" s="6">
        <v>59088</v>
      </c>
    </row>
    <row r="949" spans="30:32" ht="12" x14ac:dyDescent="0.3">
      <c r="AD949" s="6"/>
      <c r="AE949" s="6" t="s">
        <v>1061</v>
      </c>
      <c r="AF949" s="6">
        <v>59089</v>
      </c>
    </row>
    <row r="950" spans="30:32" ht="12" x14ac:dyDescent="0.3">
      <c r="AD950" s="6"/>
      <c r="AE950" s="6" t="s">
        <v>1064</v>
      </c>
      <c r="AF950" s="6">
        <v>59090</v>
      </c>
    </row>
    <row r="951" spans="30:32" ht="12" x14ac:dyDescent="0.3">
      <c r="AD951" s="6"/>
      <c r="AE951" s="6" t="s">
        <v>1065</v>
      </c>
      <c r="AF951" s="6">
        <v>59091</v>
      </c>
    </row>
    <row r="952" spans="30:32" ht="12" x14ac:dyDescent="0.3">
      <c r="AD952" s="6"/>
      <c r="AE952" s="6" t="s">
        <v>1067</v>
      </c>
      <c r="AF952" s="6">
        <v>59092</v>
      </c>
    </row>
    <row r="953" spans="30:32" ht="12" x14ac:dyDescent="0.3">
      <c r="AD953" s="6"/>
      <c r="AE953" s="6" t="s">
        <v>1071</v>
      </c>
      <c r="AF953" s="6">
        <v>59096</v>
      </c>
    </row>
    <row r="954" spans="30:32" ht="12" x14ac:dyDescent="0.3">
      <c r="AD954" s="6"/>
      <c r="AE954" s="6">
        <v>0</v>
      </c>
      <c r="AF954" s="6">
        <v>59901</v>
      </c>
    </row>
    <row r="955" spans="30:32" ht="12" x14ac:dyDescent="0.3">
      <c r="AD955" s="6"/>
      <c r="AE955" s="6">
        <v>0</v>
      </c>
      <c r="AF955" s="6">
        <v>59902</v>
      </c>
    </row>
    <row r="956" spans="30:32" ht="12" x14ac:dyDescent="0.3">
      <c r="AD956" s="6"/>
      <c r="AE956" s="6">
        <v>0</v>
      </c>
      <c r="AF956" s="6">
        <v>59903</v>
      </c>
    </row>
    <row r="957" spans="30:32" ht="12" x14ac:dyDescent="0.3">
      <c r="AD957" s="6"/>
      <c r="AE957" s="6">
        <v>0</v>
      </c>
      <c r="AF957" s="6">
        <v>59904</v>
      </c>
    </row>
    <row r="958" spans="30:32" ht="12" x14ac:dyDescent="0.3">
      <c r="AD958" s="6"/>
      <c r="AE958" s="6">
        <v>0</v>
      </c>
      <c r="AF958" s="6">
        <v>59905</v>
      </c>
    </row>
    <row r="959" spans="30:32" ht="12" x14ac:dyDescent="0.3">
      <c r="AD959" s="6"/>
      <c r="AE959" s="6">
        <v>0</v>
      </c>
      <c r="AF959" s="6">
        <v>59906</v>
      </c>
    </row>
    <row r="960" spans="30:32" ht="12" x14ac:dyDescent="0.3">
      <c r="AD960" s="6"/>
      <c r="AE960" s="6">
        <v>0</v>
      </c>
      <c r="AF960" s="6">
        <v>59907</v>
      </c>
    </row>
    <row r="961" spans="30:32" ht="12" x14ac:dyDescent="0.3">
      <c r="AD961" s="6"/>
      <c r="AE961" s="6">
        <v>0</v>
      </c>
      <c r="AF961" s="6">
        <v>59908</v>
      </c>
    </row>
    <row r="962" spans="30:32" ht="12" x14ac:dyDescent="0.3">
      <c r="AD962" s="6"/>
      <c r="AE962" s="6">
        <v>0</v>
      </c>
      <c r="AF962" s="6">
        <v>59909</v>
      </c>
    </row>
    <row r="963" spans="30:32" ht="12" x14ac:dyDescent="0.3">
      <c r="AD963" s="6"/>
      <c r="AE963" s="6">
        <v>0</v>
      </c>
      <c r="AF963" s="6">
        <v>59910</v>
      </c>
    </row>
    <row r="964" spans="30:32" ht="12" x14ac:dyDescent="0.3">
      <c r="AD964" s="6"/>
      <c r="AE964" s="6" t="s">
        <v>167</v>
      </c>
      <c r="AF964" s="6">
        <v>59911</v>
      </c>
    </row>
    <row r="965" spans="30:32" ht="12" x14ac:dyDescent="0.3">
      <c r="AD965" s="6"/>
      <c r="AE965" s="6" t="s">
        <v>1058</v>
      </c>
      <c r="AF965" s="6">
        <v>59912</v>
      </c>
    </row>
    <row r="966" spans="30:32" ht="12" x14ac:dyDescent="0.3">
      <c r="AD966" s="6"/>
      <c r="AE966" s="6" t="s">
        <v>1057</v>
      </c>
      <c r="AF966" s="6">
        <v>59913</v>
      </c>
    </row>
    <row r="967" spans="30:32" ht="12" x14ac:dyDescent="0.3">
      <c r="AD967" s="6"/>
      <c r="AE967" s="6" t="s">
        <v>1059</v>
      </c>
      <c r="AF967" s="6">
        <v>59914</v>
      </c>
    </row>
    <row r="968" spans="30:32" ht="12" x14ac:dyDescent="0.3">
      <c r="AD968" s="6"/>
      <c r="AE968" s="6" t="s">
        <v>209</v>
      </c>
      <c r="AF968" s="6">
        <v>59915</v>
      </c>
    </row>
    <row r="969" spans="30:32" ht="12" x14ac:dyDescent="0.3">
      <c r="AD969" s="6"/>
      <c r="AE969" s="6" t="s">
        <v>1087</v>
      </c>
      <c r="AF969" s="6">
        <v>59916</v>
      </c>
    </row>
    <row r="970" spans="30:32" ht="12" x14ac:dyDescent="0.3">
      <c r="AD970" s="6"/>
      <c r="AE970" s="6" t="s">
        <v>214</v>
      </c>
      <c r="AF970" s="6">
        <v>59917</v>
      </c>
    </row>
    <row r="971" spans="30:32" ht="12" x14ac:dyDescent="0.3">
      <c r="AD971" s="6"/>
      <c r="AE971" s="6" t="s">
        <v>217</v>
      </c>
      <c r="AF971" s="6">
        <v>59918</v>
      </c>
    </row>
    <row r="972" spans="30:32" ht="12" x14ac:dyDescent="0.3">
      <c r="AD972" s="6"/>
      <c r="AE972" s="6" t="s">
        <v>167</v>
      </c>
      <c r="AF972" s="6">
        <v>59919</v>
      </c>
    </row>
    <row r="973" spans="30:32" ht="12" x14ac:dyDescent="0.3">
      <c r="AD973" s="6"/>
      <c r="AE973" s="6" t="s">
        <v>1058</v>
      </c>
      <c r="AF973" s="6">
        <v>59920</v>
      </c>
    </row>
    <row r="974" spans="30:32" ht="12" x14ac:dyDescent="0.3">
      <c r="AD974" s="6"/>
      <c r="AE974" s="6" t="s">
        <v>1057</v>
      </c>
      <c r="AF974" s="6">
        <v>59921</v>
      </c>
    </row>
    <row r="975" spans="30:32" ht="12" x14ac:dyDescent="0.3">
      <c r="AD975" s="6"/>
      <c r="AE975" s="6" t="s">
        <v>1059</v>
      </c>
      <c r="AF975" s="6">
        <v>59922</v>
      </c>
    </row>
    <row r="976" spans="30:32" ht="12" x14ac:dyDescent="0.3">
      <c r="AD976" s="6"/>
    </row>
    <row r="977" spans="30:30" ht="12" x14ac:dyDescent="0.3">
      <c r="AD977" s="6"/>
    </row>
    <row r="978" spans="30:30" ht="12" x14ac:dyDescent="0.3">
      <c r="AD978" s="6"/>
    </row>
    <row r="979" spans="30:30" ht="12" x14ac:dyDescent="0.3">
      <c r="AD979" s="6"/>
    </row>
    <row r="980" spans="30:30" ht="12" x14ac:dyDescent="0.3">
      <c r="AD980" s="6"/>
    </row>
    <row r="981" spans="30:30" ht="12" x14ac:dyDescent="0.3">
      <c r="AD981" s="6"/>
    </row>
    <row r="982" spans="30:30" ht="12" x14ac:dyDescent="0.3">
      <c r="AD982" s="6"/>
    </row>
    <row r="983" spans="30:30" ht="12" x14ac:dyDescent="0.3">
      <c r="AD983" s="6"/>
    </row>
    <row r="984" spans="30:30" ht="12" x14ac:dyDescent="0.3">
      <c r="AD984" s="6"/>
    </row>
    <row r="985" spans="30:30" ht="12" x14ac:dyDescent="0.3">
      <c r="AD985" s="6"/>
    </row>
    <row r="986" spans="30:30" ht="12" x14ac:dyDescent="0.3">
      <c r="AD986" s="6"/>
    </row>
    <row r="987" spans="30:30" ht="12" x14ac:dyDescent="0.3">
      <c r="AD987" s="6"/>
    </row>
    <row r="988" spans="30:30" ht="12" x14ac:dyDescent="0.3">
      <c r="AD988" s="6"/>
    </row>
    <row r="989" spans="30:30" ht="12" x14ac:dyDescent="0.3">
      <c r="AD989" s="6"/>
    </row>
    <row r="990" spans="30:30" ht="12" x14ac:dyDescent="0.3">
      <c r="AD990" s="6"/>
    </row>
    <row r="991" spans="30:30" ht="12" x14ac:dyDescent="0.3">
      <c r="AD991" s="6"/>
    </row>
    <row r="992" spans="30:30" ht="12" x14ac:dyDescent="0.3">
      <c r="AD992" s="6"/>
    </row>
    <row r="993" spans="30:30" ht="12" x14ac:dyDescent="0.3">
      <c r="AD993" s="6"/>
    </row>
    <row r="994" spans="30:30" ht="12" x14ac:dyDescent="0.3">
      <c r="AD994" s="6"/>
    </row>
    <row r="995" spans="30:30" ht="12" x14ac:dyDescent="0.3">
      <c r="AD995" s="6"/>
    </row>
    <row r="996" spans="30:30" ht="12" x14ac:dyDescent="0.3">
      <c r="AD996" s="6"/>
    </row>
    <row r="997" spans="30:30" ht="12" x14ac:dyDescent="0.3">
      <c r="AD997" s="6"/>
    </row>
    <row r="998" spans="30:30" ht="12" x14ac:dyDescent="0.3">
      <c r="AD998" s="6"/>
    </row>
    <row r="999" spans="30:30" ht="12" x14ac:dyDescent="0.3">
      <c r="AD999" s="6"/>
    </row>
    <row r="1000" spans="30:30" ht="12" x14ac:dyDescent="0.3">
      <c r="AD1000" s="6"/>
    </row>
    <row r="1001" spans="30:30" ht="12" x14ac:dyDescent="0.3">
      <c r="AD1001" s="6"/>
    </row>
    <row r="1002" spans="30:30" ht="12" x14ac:dyDescent="0.3">
      <c r="AD1002" s="6"/>
    </row>
    <row r="1003" spans="30:30" ht="12" x14ac:dyDescent="0.3">
      <c r="AD1003" s="6"/>
    </row>
    <row r="1004" spans="30:30" ht="12" x14ac:dyDescent="0.3">
      <c r="AD1004" s="6"/>
    </row>
    <row r="1005" spans="30:30" ht="12" x14ac:dyDescent="0.3">
      <c r="AD1005" s="6"/>
    </row>
    <row r="1006" spans="30:30" ht="12" x14ac:dyDescent="0.3">
      <c r="AD1006" s="6"/>
    </row>
    <row r="1007" spans="30:30" ht="12" x14ac:dyDescent="0.3">
      <c r="AD1007" s="6"/>
    </row>
    <row r="1008" spans="30:30" ht="12" x14ac:dyDescent="0.3">
      <c r="AD1008" s="6"/>
    </row>
    <row r="1009" spans="30:30" ht="12" x14ac:dyDescent="0.3">
      <c r="AD1009" s="6"/>
    </row>
    <row r="1010" spans="30:30" ht="12" x14ac:dyDescent="0.3">
      <c r="AD1010" s="6"/>
    </row>
    <row r="1011" spans="30:30" ht="12" x14ac:dyDescent="0.3">
      <c r="AD1011" s="6"/>
    </row>
    <row r="1012" spans="30:30" ht="12" x14ac:dyDescent="0.3">
      <c r="AD1012" s="6"/>
    </row>
    <row r="1013" spans="30:30" ht="12" x14ac:dyDescent="0.3">
      <c r="AD1013" s="6"/>
    </row>
    <row r="1014" spans="30:30" ht="12" x14ac:dyDescent="0.3">
      <c r="AD1014" s="6"/>
    </row>
    <row r="1015" spans="30:30" ht="12" x14ac:dyDescent="0.3">
      <c r="AD1015" s="6"/>
    </row>
    <row r="1016" spans="30:30" ht="12" x14ac:dyDescent="0.3">
      <c r="AD1016" s="6"/>
    </row>
    <row r="1017" spans="30:30" ht="12" x14ac:dyDescent="0.3">
      <c r="AD1017" s="6"/>
    </row>
    <row r="1018" spans="30:30" ht="12" x14ac:dyDescent="0.3">
      <c r="AD1018" s="6"/>
    </row>
    <row r="1019" spans="30:30" ht="12" x14ac:dyDescent="0.3">
      <c r="AD1019" s="6"/>
    </row>
    <row r="1020" spans="30:30" ht="12" x14ac:dyDescent="0.3">
      <c r="AD1020" s="6"/>
    </row>
    <row r="1021" spans="30:30" ht="12" x14ac:dyDescent="0.3">
      <c r="AD1021" s="6"/>
    </row>
    <row r="1022" spans="30:30" ht="12" x14ac:dyDescent="0.3">
      <c r="AD1022" s="6"/>
    </row>
    <row r="1023" spans="30:30" ht="12" x14ac:dyDescent="0.3">
      <c r="AD1023" s="6"/>
    </row>
    <row r="1024" spans="30:30" ht="12" x14ac:dyDescent="0.3">
      <c r="AD1024" s="6"/>
    </row>
    <row r="1025" spans="30:30" ht="12" x14ac:dyDescent="0.3">
      <c r="AD1025" s="6"/>
    </row>
    <row r="1026" spans="30:30" ht="12" x14ac:dyDescent="0.3">
      <c r="AD1026" s="6"/>
    </row>
    <row r="1027" spans="30:30" ht="12" x14ac:dyDescent="0.3">
      <c r="AD1027" s="6"/>
    </row>
    <row r="1028" spans="30:30" ht="12" x14ac:dyDescent="0.3">
      <c r="AD1028" s="6"/>
    </row>
    <row r="1029" spans="30:30" ht="12" x14ac:dyDescent="0.3">
      <c r="AD1029" s="6"/>
    </row>
    <row r="1030" spans="30:30" ht="12" x14ac:dyDescent="0.3">
      <c r="AD1030" s="6"/>
    </row>
    <row r="1031" spans="30:30" ht="12" x14ac:dyDescent="0.3">
      <c r="AD1031" s="6"/>
    </row>
    <row r="1032" spans="30:30" ht="12" x14ac:dyDescent="0.3">
      <c r="AD1032" s="6"/>
    </row>
    <row r="1033" spans="30:30" ht="12" x14ac:dyDescent="0.3">
      <c r="AD1033" s="6"/>
    </row>
    <row r="1034" spans="30:30" ht="12" x14ac:dyDescent="0.3">
      <c r="AD1034" s="6"/>
    </row>
    <row r="1035" spans="30:30" ht="12" x14ac:dyDescent="0.3">
      <c r="AD1035" s="6"/>
    </row>
    <row r="1036" spans="30:30" ht="12" x14ac:dyDescent="0.3">
      <c r="AD1036" s="6"/>
    </row>
    <row r="1037" spans="30:30" ht="12" x14ac:dyDescent="0.3">
      <c r="AD1037" s="6"/>
    </row>
    <row r="1038" spans="30:30" ht="12" x14ac:dyDescent="0.3">
      <c r="AD1038" s="6"/>
    </row>
    <row r="1039" spans="30:30" ht="12" x14ac:dyDescent="0.3">
      <c r="AD1039" s="6"/>
    </row>
    <row r="1040" spans="30:30" ht="12" x14ac:dyDescent="0.3">
      <c r="AD1040" s="6"/>
    </row>
    <row r="1041" spans="30:30" ht="12" x14ac:dyDescent="0.3">
      <c r="AD1041" s="6"/>
    </row>
    <row r="1042" spans="30:30" ht="12" x14ac:dyDescent="0.3">
      <c r="AD1042" s="6"/>
    </row>
    <row r="1043" spans="30:30" ht="12" x14ac:dyDescent="0.3">
      <c r="AD1043" s="6"/>
    </row>
    <row r="1044" spans="30:30" ht="12" x14ac:dyDescent="0.3">
      <c r="AD1044" s="6"/>
    </row>
    <row r="1045" spans="30:30" ht="12" x14ac:dyDescent="0.3">
      <c r="AD1045" s="6"/>
    </row>
    <row r="1046" spans="30:30" ht="12" x14ac:dyDescent="0.3">
      <c r="AD1046" s="6"/>
    </row>
    <row r="1047" spans="30:30" ht="12" x14ac:dyDescent="0.3">
      <c r="AD1047" s="6"/>
    </row>
    <row r="1048" spans="30:30" ht="12" x14ac:dyDescent="0.3">
      <c r="AD1048" s="6"/>
    </row>
    <row r="1049" spans="30:30" ht="12" x14ac:dyDescent="0.3">
      <c r="AD1049" s="6"/>
    </row>
    <row r="1050" spans="30:30" ht="12" x14ac:dyDescent="0.3">
      <c r="AD1050" s="6"/>
    </row>
    <row r="1051" spans="30:30" ht="12" x14ac:dyDescent="0.3">
      <c r="AD1051" s="6"/>
    </row>
    <row r="1052" spans="30:30" ht="12" x14ac:dyDescent="0.3">
      <c r="AD1052" s="6"/>
    </row>
    <row r="1053" spans="30:30" ht="12" x14ac:dyDescent="0.3">
      <c r="AD1053" s="6"/>
    </row>
    <row r="1054" spans="30:30" ht="12" x14ac:dyDescent="0.3">
      <c r="AD1054" s="6"/>
    </row>
    <row r="1055" spans="30:30" ht="12" x14ac:dyDescent="0.3">
      <c r="AD1055" s="6"/>
    </row>
    <row r="1056" spans="30:30" ht="12" x14ac:dyDescent="0.3">
      <c r="AD1056" s="6"/>
    </row>
    <row r="1057" spans="30:30" ht="12" x14ac:dyDescent="0.3">
      <c r="AD1057" s="6"/>
    </row>
    <row r="1058" spans="30:30" ht="12" x14ac:dyDescent="0.3">
      <c r="AD1058" s="6"/>
    </row>
    <row r="1059" spans="30:30" ht="12" x14ac:dyDescent="0.3">
      <c r="AD1059" s="6"/>
    </row>
    <row r="1060" spans="30:30" ht="12" x14ac:dyDescent="0.3">
      <c r="AD1060" s="6"/>
    </row>
    <row r="1061" spans="30:30" ht="12" x14ac:dyDescent="0.3">
      <c r="AD1061" s="6"/>
    </row>
    <row r="1062" spans="30:30" ht="12" x14ac:dyDescent="0.3">
      <c r="AD1062" s="6"/>
    </row>
    <row r="1063" spans="30:30" ht="12" x14ac:dyDescent="0.3">
      <c r="AD1063" s="6"/>
    </row>
    <row r="1064" spans="30:30" ht="12" x14ac:dyDescent="0.3">
      <c r="AD1064" s="6"/>
    </row>
    <row r="1065" spans="30:30" ht="12" x14ac:dyDescent="0.3">
      <c r="AD1065" s="6"/>
    </row>
    <row r="1066" spans="30:30" ht="12" x14ac:dyDescent="0.3">
      <c r="AD1066" s="6"/>
    </row>
    <row r="1067" spans="30:30" ht="12" x14ac:dyDescent="0.3">
      <c r="AD1067" s="6"/>
    </row>
    <row r="1068" spans="30:30" ht="12" x14ac:dyDescent="0.3">
      <c r="AD1068" s="6"/>
    </row>
    <row r="1069" spans="30:30" ht="12" x14ac:dyDescent="0.3">
      <c r="AD1069" s="6"/>
    </row>
    <row r="1070" spans="30:30" ht="12" x14ac:dyDescent="0.3">
      <c r="AD1070" s="6"/>
    </row>
    <row r="1071" spans="30:30" ht="12" x14ac:dyDescent="0.3">
      <c r="AD1071" s="6"/>
    </row>
    <row r="1072" spans="30:30" ht="12" x14ac:dyDescent="0.3">
      <c r="AD1072" s="6"/>
    </row>
    <row r="1073" spans="30:30" ht="12" x14ac:dyDescent="0.3">
      <c r="AD1073" s="6"/>
    </row>
    <row r="1074" spans="30:30" ht="12" x14ac:dyDescent="0.3">
      <c r="AD1074" s="6"/>
    </row>
    <row r="1075" spans="30:30" ht="12" x14ac:dyDescent="0.3">
      <c r="AD1075" s="6"/>
    </row>
    <row r="1076" spans="30:30" ht="12" x14ac:dyDescent="0.3">
      <c r="AD1076" s="6"/>
    </row>
    <row r="1077" spans="30:30" ht="12" x14ac:dyDescent="0.3">
      <c r="AD1077" s="6"/>
    </row>
    <row r="1078" spans="30:30" ht="12" x14ac:dyDescent="0.3">
      <c r="AD1078" s="6"/>
    </row>
    <row r="1079" spans="30:30" ht="12" x14ac:dyDescent="0.3">
      <c r="AD1079" s="6"/>
    </row>
    <row r="1080" spans="30:30" ht="12" x14ac:dyDescent="0.3">
      <c r="AD1080" s="6"/>
    </row>
    <row r="1081" spans="30:30" ht="12" x14ac:dyDescent="0.3">
      <c r="AD1081" s="6"/>
    </row>
    <row r="1082" spans="30:30" ht="12" x14ac:dyDescent="0.3">
      <c r="AD1082" s="6"/>
    </row>
    <row r="1083" spans="30:30" ht="12" x14ac:dyDescent="0.3">
      <c r="AD1083" s="6"/>
    </row>
    <row r="1084" spans="30:30" ht="12" x14ac:dyDescent="0.3">
      <c r="AD1084" s="6"/>
    </row>
    <row r="1085" spans="30:30" ht="12" x14ac:dyDescent="0.3">
      <c r="AD1085" s="6"/>
    </row>
    <row r="1086" spans="30:30" ht="12" x14ac:dyDescent="0.3">
      <c r="AD1086" s="6"/>
    </row>
    <row r="1087" spans="30:30" ht="12" x14ac:dyDescent="0.3">
      <c r="AD1087" s="6"/>
    </row>
    <row r="1088" spans="30:30" ht="12" x14ac:dyDescent="0.3">
      <c r="AD1088" s="6"/>
    </row>
    <row r="1089" spans="30:30" ht="12" x14ac:dyDescent="0.3">
      <c r="AD1089" s="6"/>
    </row>
    <row r="1090" spans="30:30" ht="12" x14ac:dyDescent="0.3">
      <c r="AD1090" s="6"/>
    </row>
    <row r="1091" spans="30:30" ht="12" x14ac:dyDescent="0.3">
      <c r="AD1091" s="6"/>
    </row>
    <row r="1092" spans="30:30" ht="12" x14ac:dyDescent="0.3">
      <c r="AD1092" s="6"/>
    </row>
    <row r="1093" spans="30:30" ht="12" x14ac:dyDescent="0.3">
      <c r="AD1093" s="6"/>
    </row>
    <row r="1094" spans="30:30" ht="12" x14ac:dyDescent="0.3">
      <c r="AD1094" s="6"/>
    </row>
    <row r="1095" spans="30:30" ht="12" x14ac:dyDescent="0.3">
      <c r="AD1095" s="6"/>
    </row>
    <row r="1096" spans="30:30" ht="12" x14ac:dyDescent="0.3">
      <c r="AD1096" s="6"/>
    </row>
    <row r="1097" spans="30:30" ht="12" x14ac:dyDescent="0.3">
      <c r="AD1097" s="6"/>
    </row>
    <row r="1098" spans="30:30" ht="12" x14ac:dyDescent="0.3">
      <c r="AD1098" s="6"/>
    </row>
    <row r="1099" spans="30:30" ht="12" x14ac:dyDescent="0.3">
      <c r="AD1099" s="6"/>
    </row>
    <row r="1100" spans="30:30" ht="12" x14ac:dyDescent="0.3">
      <c r="AD1100" s="6"/>
    </row>
    <row r="1101" spans="30:30" ht="12" x14ac:dyDescent="0.3">
      <c r="AD1101" s="6"/>
    </row>
    <row r="1102" spans="30:30" ht="12" x14ac:dyDescent="0.3">
      <c r="AD1102" s="6"/>
    </row>
    <row r="1103" spans="30:30" ht="12" x14ac:dyDescent="0.3">
      <c r="AD1103" s="6"/>
    </row>
    <row r="1104" spans="30:30" ht="12" x14ac:dyDescent="0.3">
      <c r="AD1104" s="6"/>
    </row>
    <row r="1105" spans="30:30" ht="12" x14ac:dyDescent="0.3">
      <c r="AD1105" s="6"/>
    </row>
    <row r="1106" spans="30:30" ht="12" x14ac:dyDescent="0.3">
      <c r="AD1106" s="6"/>
    </row>
    <row r="1107" spans="30:30" ht="12" x14ac:dyDescent="0.3">
      <c r="AD1107" s="6"/>
    </row>
    <row r="1108" spans="30:30" ht="12" x14ac:dyDescent="0.3">
      <c r="AD1108" s="6"/>
    </row>
    <row r="1109" spans="30:30" ht="12" x14ac:dyDescent="0.3">
      <c r="AD1109" s="6"/>
    </row>
    <row r="1110" spans="30:30" ht="12" x14ac:dyDescent="0.3">
      <c r="AD1110" s="6"/>
    </row>
    <row r="1111" spans="30:30" ht="12" x14ac:dyDescent="0.3">
      <c r="AD1111" s="6"/>
    </row>
    <row r="1112" spans="30:30" ht="12" x14ac:dyDescent="0.3">
      <c r="AD1112" s="6"/>
    </row>
    <row r="1113" spans="30:30" ht="12" x14ac:dyDescent="0.3">
      <c r="AD1113" s="6"/>
    </row>
    <row r="1114" spans="30:30" ht="12" x14ac:dyDescent="0.3">
      <c r="AD1114" s="6"/>
    </row>
    <row r="1115" spans="30:30" ht="12" x14ac:dyDescent="0.3">
      <c r="AD1115" s="6"/>
    </row>
    <row r="1116" spans="30:30" ht="12" x14ac:dyDescent="0.3">
      <c r="AD1116" s="6"/>
    </row>
    <row r="1117" spans="30:30" ht="12" x14ac:dyDescent="0.3">
      <c r="AD1117" s="6"/>
    </row>
    <row r="1118" spans="30:30" ht="12" x14ac:dyDescent="0.3">
      <c r="AD1118" s="6"/>
    </row>
    <row r="1119" spans="30:30" ht="12" x14ac:dyDescent="0.3">
      <c r="AD1119" s="6"/>
    </row>
    <row r="1120" spans="30:30" ht="12" x14ac:dyDescent="0.3">
      <c r="AD1120" s="6"/>
    </row>
    <row r="1121" spans="30:30" ht="12" x14ac:dyDescent="0.3">
      <c r="AD1121" s="6"/>
    </row>
    <row r="1122" spans="30:30" ht="12" x14ac:dyDescent="0.3">
      <c r="AD1122" s="6"/>
    </row>
    <row r="1123" spans="30:30" ht="12" x14ac:dyDescent="0.3">
      <c r="AD1123" s="6"/>
    </row>
    <row r="1124" spans="30:30" ht="12" x14ac:dyDescent="0.3">
      <c r="AD1124" s="6"/>
    </row>
    <row r="1125" spans="30:30" ht="12" x14ac:dyDescent="0.3">
      <c r="AD1125" s="6"/>
    </row>
    <row r="1126" spans="30:30" ht="12" x14ac:dyDescent="0.3">
      <c r="AD1126" s="6"/>
    </row>
    <row r="1127" spans="30:30" ht="12" x14ac:dyDescent="0.3">
      <c r="AD1127" s="6"/>
    </row>
    <row r="1128" spans="30:30" ht="12" x14ac:dyDescent="0.3">
      <c r="AD1128" s="6"/>
    </row>
    <row r="1129" spans="30:30" ht="12" x14ac:dyDescent="0.3">
      <c r="AD1129" s="6"/>
    </row>
    <row r="1130" spans="30:30" ht="12" x14ac:dyDescent="0.3">
      <c r="AD1130" s="6"/>
    </row>
    <row r="1131" spans="30:30" ht="12" x14ac:dyDescent="0.3">
      <c r="AD1131" s="6"/>
    </row>
    <row r="1132" spans="30:30" ht="12" x14ac:dyDescent="0.3">
      <c r="AD1132" s="6"/>
    </row>
    <row r="1133" spans="30:30" ht="12" x14ac:dyDescent="0.3">
      <c r="AD1133" s="6"/>
    </row>
    <row r="1134" spans="30:30" ht="12" x14ac:dyDescent="0.3">
      <c r="AD1134" s="6"/>
    </row>
    <row r="1135" spans="30:30" ht="12" x14ac:dyDescent="0.3">
      <c r="AD1135" s="6"/>
    </row>
    <row r="1136" spans="30:30" ht="12" x14ac:dyDescent="0.3">
      <c r="AD1136" s="6"/>
    </row>
    <row r="1137" spans="30:30" ht="12" x14ac:dyDescent="0.3">
      <c r="AD1137" s="6"/>
    </row>
    <row r="1138" spans="30:30" ht="12" x14ac:dyDescent="0.3">
      <c r="AD1138" s="6"/>
    </row>
    <row r="1139" spans="30:30" ht="12" x14ac:dyDescent="0.3">
      <c r="AD1139" s="6"/>
    </row>
    <row r="1140" spans="30:30" ht="12" x14ac:dyDescent="0.3">
      <c r="AD1140" s="6"/>
    </row>
    <row r="1141" spans="30:30" ht="12" x14ac:dyDescent="0.3">
      <c r="AD1141" s="6"/>
    </row>
    <row r="1142" spans="30:30" ht="12" x14ac:dyDescent="0.3">
      <c r="AD1142" s="6"/>
    </row>
    <row r="1143" spans="30:30" ht="12" x14ac:dyDescent="0.3">
      <c r="AD1143" s="6"/>
    </row>
    <row r="1144" spans="30:30" ht="12" x14ac:dyDescent="0.3">
      <c r="AD1144" s="6"/>
    </row>
    <row r="1145" spans="30:30" ht="12" x14ac:dyDescent="0.3">
      <c r="AD1145" s="6"/>
    </row>
    <row r="1146" spans="30:30" ht="12" x14ac:dyDescent="0.3">
      <c r="AD1146" s="6"/>
    </row>
    <row r="1147" spans="30:30" ht="12" x14ac:dyDescent="0.3">
      <c r="AD1147" s="6"/>
    </row>
    <row r="1148" spans="30:30" ht="12" x14ac:dyDescent="0.3">
      <c r="AD1148" s="6"/>
    </row>
    <row r="1149" spans="30:30" ht="12" x14ac:dyDescent="0.3">
      <c r="AD1149" s="6"/>
    </row>
    <row r="1150" spans="30:30" ht="12" x14ac:dyDescent="0.3">
      <c r="AD1150" s="6"/>
    </row>
    <row r="1151" spans="30:30" ht="12" x14ac:dyDescent="0.3">
      <c r="AD1151" s="6"/>
    </row>
    <row r="1152" spans="30:30" ht="12" x14ac:dyDescent="0.3">
      <c r="AD1152" s="6"/>
    </row>
    <row r="1153" spans="30:30" ht="12" x14ac:dyDescent="0.3">
      <c r="AD1153" s="6"/>
    </row>
    <row r="1154" spans="30:30" ht="12" x14ac:dyDescent="0.3">
      <c r="AD1154" s="6"/>
    </row>
    <row r="1155" spans="30:30" ht="12" x14ac:dyDescent="0.3">
      <c r="AD1155" s="6"/>
    </row>
    <row r="1156" spans="30:30" ht="12" x14ac:dyDescent="0.3">
      <c r="AD1156" s="6"/>
    </row>
    <row r="1157" spans="30:30" ht="12" x14ac:dyDescent="0.3">
      <c r="AD1157" s="6"/>
    </row>
    <row r="1158" spans="30:30" ht="12" x14ac:dyDescent="0.3">
      <c r="AD1158" s="6"/>
    </row>
    <row r="1159" spans="30:30" ht="12" x14ac:dyDescent="0.3">
      <c r="AD1159" s="6"/>
    </row>
    <row r="1160" spans="30:30" ht="12" x14ac:dyDescent="0.3">
      <c r="AD1160" s="6"/>
    </row>
    <row r="1161" spans="30:30" ht="12" x14ac:dyDescent="0.3">
      <c r="AD1161" s="6"/>
    </row>
    <row r="1162" spans="30:30" ht="12" x14ac:dyDescent="0.3">
      <c r="AD1162" s="6"/>
    </row>
    <row r="1163" spans="30:30" ht="12" x14ac:dyDescent="0.3">
      <c r="AD1163" s="6"/>
    </row>
    <row r="1164" spans="30:30" ht="12" x14ac:dyDescent="0.3">
      <c r="AD1164" s="6"/>
    </row>
    <row r="1165" spans="30:30" ht="12" x14ac:dyDescent="0.3">
      <c r="AD1165" s="6"/>
    </row>
    <row r="1166" spans="30:30" ht="12" x14ac:dyDescent="0.3">
      <c r="AD1166" s="6"/>
    </row>
    <row r="1167" spans="30:30" ht="12" x14ac:dyDescent="0.3">
      <c r="AD1167" s="6"/>
    </row>
    <row r="1168" spans="30:30" ht="12" x14ac:dyDescent="0.3">
      <c r="AD1168" s="6"/>
    </row>
    <row r="1169" spans="30:30" ht="12" x14ac:dyDescent="0.3">
      <c r="AD1169" s="6"/>
    </row>
    <row r="1170" spans="30:30" ht="12" x14ac:dyDescent="0.3">
      <c r="AD1170" s="6"/>
    </row>
    <row r="1171" spans="30:30" ht="12" x14ac:dyDescent="0.3">
      <c r="AD1171" s="6"/>
    </row>
    <row r="1172" spans="30:30" ht="12" x14ac:dyDescent="0.3">
      <c r="AD1172" s="6"/>
    </row>
    <row r="1173" spans="30:30" ht="12" x14ac:dyDescent="0.3">
      <c r="AD1173" s="6"/>
    </row>
    <row r="1174" spans="30:30" ht="12" x14ac:dyDescent="0.3">
      <c r="AD1174" s="6"/>
    </row>
    <row r="1175" spans="30:30" ht="12" x14ac:dyDescent="0.3">
      <c r="AD1175" s="6"/>
    </row>
    <row r="1176" spans="30:30" ht="12" x14ac:dyDescent="0.3">
      <c r="AD1176" s="6"/>
    </row>
    <row r="1177" spans="30:30" ht="12" x14ac:dyDescent="0.3">
      <c r="AD1177" s="6"/>
    </row>
    <row r="1178" spans="30:30" ht="12" x14ac:dyDescent="0.3">
      <c r="AD1178" s="6"/>
    </row>
    <row r="1179" spans="30:30" ht="12" x14ac:dyDescent="0.3">
      <c r="AD1179" s="6"/>
    </row>
    <row r="1180" spans="30:30" ht="12" x14ac:dyDescent="0.3">
      <c r="AD1180" s="6"/>
    </row>
    <row r="1181" spans="30:30" ht="12" x14ac:dyDescent="0.3">
      <c r="AD1181" s="6"/>
    </row>
    <row r="1182" spans="30:30" ht="12" x14ac:dyDescent="0.3">
      <c r="AD1182" s="6"/>
    </row>
    <row r="1183" spans="30:30" ht="12" x14ac:dyDescent="0.3">
      <c r="AD1183" s="6"/>
    </row>
    <row r="1184" spans="30:30" ht="12" x14ac:dyDescent="0.3">
      <c r="AD1184" s="6"/>
    </row>
    <row r="1185" spans="30:30" ht="12" x14ac:dyDescent="0.3">
      <c r="AD1185" s="6"/>
    </row>
    <row r="1186" spans="30:30" ht="12" x14ac:dyDescent="0.3">
      <c r="AD1186" s="6"/>
    </row>
    <row r="1187" spans="30:30" ht="12" x14ac:dyDescent="0.3">
      <c r="AD1187" s="6"/>
    </row>
    <row r="1188" spans="30:30" ht="12" x14ac:dyDescent="0.3">
      <c r="AD1188" s="6"/>
    </row>
    <row r="1189" spans="30:30" ht="12" x14ac:dyDescent="0.3">
      <c r="AD1189" s="6"/>
    </row>
    <row r="1190" spans="30:30" ht="12" x14ac:dyDescent="0.3">
      <c r="AD1190" s="6"/>
    </row>
    <row r="1191" spans="30:30" ht="12" x14ac:dyDescent="0.3">
      <c r="AD1191" s="6"/>
    </row>
    <row r="1192" spans="30:30" ht="12" x14ac:dyDescent="0.3">
      <c r="AD1192" s="6"/>
    </row>
    <row r="1193" spans="30:30" ht="12" x14ac:dyDescent="0.3">
      <c r="AD1193" s="6"/>
    </row>
    <row r="1194" spans="30:30" ht="12" x14ac:dyDescent="0.3">
      <c r="AD1194" s="6"/>
    </row>
    <row r="1195" spans="30:30" ht="12" x14ac:dyDescent="0.3">
      <c r="AD1195" s="6"/>
    </row>
    <row r="1196" spans="30:30" ht="12" x14ac:dyDescent="0.3">
      <c r="AD1196" s="6"/>
    </row>
    <row r="1197" spans="30:30" ht="12" x14ac:dyDescent="0.3">
      <c r="AD1197" s="6"/>
    </row>
    <row r="1198" spans="30:30" ht="12" x14ac:dyDescent="0.3">
      <c r="AD1198" s="6"/>
    </row>
    <row r="1199" spans="30:30" ht="12" x14ac:dyDescent="0.3">
      <c r="AD1199" s="6"/>
    </row>
    <row r="1200" spans="30:30" ht="12" x14ac:dyDescent="0.3">
      <c r="AD1200" s="6"/>
    </row>
    <row r="1201" spans="30:30" ht="12" x14ac:dyDescent="0.3">
      <c r="AD1201" s="6"/>
    </row>
    <row r="1202" spans="30:30" ht="12" x14ac:dyDescent="0.3">
      <c r="AD1202" s="6"/>
    </row>
    <row r="1203" spans="30:30" ht="12" x14ac:dyDescent="0.3">
      <c r="AD1203" s="6"/>
    </row>
    <row r="1204" spans="30:30" ht="12" x14ac:dyDescent="0.3">
      <c r="AD1204" s="6"/>
    </row>
    <row r="1205" spans="30:30" ht="12" x14ac:dyDescent="0.3">
      <c r="AD1205" s="6"/>
    </row>
    <row r="1206" spans="30:30" ht="12" x14ac:dyDescent="0.3">
      <c r="AD1206" s="6"/>
    </row>
    <row r="1207" spans="30:30" ht="12" x14ac:dyDescent="0.3">
      <c r="AD1207" s="6"/>
    </row>
    <row r="1208" spans="30:30" ht="12" x14ac:dyDescent="0.3">
      <c r="AD1208" s="6"/>
    </row>
    <row r="1209" spans="30:30" ht="12" x14ac:dyDescent="0.3">
      <c r="AD1209" s="6"/>
    </row>
    <row r="1210" spans="30:30" ht="12" x14ac:dyDescent="0.3">
      <c r="AD1210" s="6"/>
    </row>
    <row r="1211" spans="30:30" ht="12" x14ac:dyDescent="0.3">
      <c r="AD1211" s="6"/>
    </row>
    <row r="1212" spans="30:30" ht="12" x14ac:dyDescent="0.3">
      <c r="AD1212" s="6"/>
    </row>
    <row r="1213" spans="30:30" ht="12" x14ac:dyDescent="0.3">
      <c r="AD1213" s="6"/>
    </row>
    <row r="1214" spans="30:30" ht="12" x14ac:dyDescent="0.3">
      <c r="AD1214" s="6"/>
    </row>
    <row r="1215" spans="30:30" ht="12" x14ac:dyDescent="0.3">
      <c r="AD1215" s="6"/>
    </row>
    <row r="1216" spans="30:30" ht="12" x14ac:dyDescent="0.3">
      <c r="AD1216" s="6"/>
    </row>
    <row r="1217" spans="30:30" ht="12" x14ac:dyDescent="0.3">
      <c r="AD1217" s="6"/>
    </row>
    <row r="1218" spans="30:30" ht="12" x14ac:dyDescent="0.3">
      <c r="AD1218" s="6"/>
    </row>
    <row r="1219" spans="30:30" ht="12" x14ac:dyDescent="0.3">
      <c r="AD1219" s="6"/>
    </row>
    <row r="1220" spans="30:30" ht="12" x14ac:dyDescent="0.3">
      <c r="AD1220" s="6"/>
    </row>
    <row r="1221" spans="30:30" ht="12" x14ac:dyDescent="0.3">
      <c r="AD1221" s="6"/>
    </row>
    <row r="1222" spans="30:30" ht="12" x14ac:dyDescent="0.3">
      <c r="AD1222" s="6"/>
    </row>
    <row r="1223" spans="30:30" ht="12" x14ac:dyDescent="0.3">
      <c r="AD1223" s="6"/>
    </row>
    <row r="1224" spans="30:30" ht="12" x14ac:dyDescent="0.3">
      <c r="AD1224" s="6"/>
    </row>
    <row r="1225" spans="30:30" ht="12" x14ac:dyDescent="0.3">
      <c r="AD1225" s="6"/>
    </row>
    <row r="1226" spans="30:30" ht="12" x14ac:dyDescent="0.3">
      <c r="AD1226" s="6"/>
    </row>
    <row r="1227" spans="30:30" ht="12" x14ac:dyDescent="0.3">
      <c r="AD1227" s="6"/>
    </row>
    <row r="1228" spans="30:30" ht="12" x14ac:dyDescent="0.3">
      <c r="AD1228" s="6"/>
    </row>
    <row r="1229" spans="30:30" ht="12" x14ac:dyDescent="0.3">
      <c r="AD1229" s="6"/>
    </row>
    <row r="1230" spans="30:30" ht="12" x14ac:dyDescent="0.3">
      <c r="AD1230" s="6"/>
    </row>
    <row r="1231" spans="30:30" ht="12" x14ac:dyDescent="0.3">
      <c r="AD1231" s="6"/>
    </row>
    <row r="1232" spans="30:30" ht="12" x14ac:dyDescent="0.3">
      <c r="AD1232" s="6"/>
    </row>
    <row r="1233" spans="30:30" ht="12" x14ac:dyDescent="0.3">
      <c r="AD1233" s="6"/>
    </row>
    <row r="1234" spans="30:30" ht="12" x14ac:dyDescent="0.3">
      <c r="AD1234" s="6"/>
    </row>
    <row r="1235" spans="30:30" ht="12" x14ac:dyDescent="0.3">
      <c r="AD1235" s="6"/>
    </row>
    <row r="1236" spans="30:30" ht="12" x14ac:dyDescent="0.3">
      <c r="AD1236" s="6"/>
    </row>
    <row r="1237" spans="30:30" ht="12" x14ac:dyDescent="0.3">
      <c r="AD1237" s="6"/>
    </row>
    <row r="1238" spans="30:30" ht="12" x14ac:dyDescent="0.3">
      <c r="AD1238" s="6"/>
    </row>
    <row r="1239" spans="30:30" ht="12" x14ac:dyDescent="0.3">
      <c r="AD1239" s="6"/>
    </row>
    <row r="1240" spans="30:30" ht="12" x14ac:dyDescent="0.3">
      <c r="AD1240" s="6"/>
    </row>
    <row r="1241" spans="30:30" ht="12" x14ac:dyDescent="0.3">
      <c r="AD1241" s="6"/>
    </row>
    <row r="1242" spans="30:30" ht="12" x14ac:dyDescent="0.3">
      <c r="AD1242" s="6"/>
    </row>
    <row r="1243" spans="30:30" ht="12" x14ac:dyDescent="0.3">
      <c r="AD1243" s="6"/>
    </row>
    <row r="1244" spans="30:30" ht="12" x14ac:dyDescent="0.3">
      <c r="AD1244" s="6"/>
    </row>
    <row r="1245" spans="30:30" ht="12" x14ac:dyDescent="0.3">
      <c r="AD1245" s="6"/>
    </row>
    <row r="1246" spans="30:30" ht="12" x14ac:dyDescent="0.3">
      <c r="AD1246" s="6"/>
    </row>
    <row r="1247" spans="30:30" ht="12" x14ac:dyDescent="0.3">
      <c r="AD1247" s="6"/>
    </row>
    <row r="1248" spans="30:30" ht="12" x14ac:dyDescent="0.3">
      <c r="AD1248" s="6"/>
    </row>
    <row r="1249" spans="30:30" ht="12" x14ac:dyDescent="0.3">
      <c r="AD1249" s="6"/>
    </row>
    <row r="1250" spans="30:30" ht="12" x14ac:dyDescent="0.3">
      <c r="AD1250" s="6"/>
    </row>
    <row r="1251" spans="30:30" ht="12" x14ac:dyDescent="0.3">
      <c r="AD1251" s="6"/>
    </row>
    <row r="1252" spans="30:30" ht="12" x14ac:dyDescent="0.3">
      <c r="AD1252" s="6"/>
    </row>
    <row r="1253" spans="30:30" ht="12" x14ac:dyDescent="0.3">
      <c r="AD1253" s="6"/>
    </row>
    <row r="1254" spans="30:30" ht="12" x14ac:dyDescent="0.3">
      <c r="AD1254" s="6"/>
    </row>
    <row r="1255" spans="30:30" ht="12" x14ac:dyDescent="0.3">
      <c r="AD1255" s="6"/>
    </row>
    <row r="1256" spans="30:30" ht="12" x14ac:dyDescent="0.3">
      <c r="AD1256" s="6"/>
    </row>
    <row r="1257" spans="30:30" ht="12" x14ac:dyDescent="0.3">
      <c r="AD1257" s="6"/>
    </row>
    <row r="1258" spans="30:30" ht="12" x14ac:dyDescent="0.3">
      <c r="AD1258" s="6"/>
    </row>
    <row r="1259" spans="30:30" ht="12" x14ac:dyDescent="0.3">
      <c r="AD1259" s="6"/>
    </row>
    <row r="1260" spans="30:30" ht="12" x14ac:dyDescent="0.3">
      <c r="AD1260" s="6"/>
    </row>
    <row r="1261" spans="30:30" ht="12" x14ac:dyDescent="0.3">
      <c r="AD1261" s="6"/>
    </row>
    <row r="1262" spans="30:30" ht="12" x14ac:dyDescent="0.3">
      <c r="AD1262" s="6"/>
    </row>
    <row r="1263" spans="30:30" ht="12" x14ac:dyDescent="0.3">
      <c r="AD1263" s="6"/>
    </row>
    <row r="1264" spans="30:30" ht="12" x14ac:dyDescent="0.3">
      <c r="AD1264" s="6"/>
    </row>
    <row r="1265" spans="30:30" ht="12" x14ac:dyDescent="0.3">
      <c r="AD1265" s="6"/>
    </row>
    <row r="1266" spans="30:30" ht="12" x14ac:dyDescent="0.3">
      <c r="AD1266" s="6"/>
    </row>
    <row r="1267" spans="30:30" ht="12" x14ac:dyDescent="0.3">
      <c r="AD1267" s="6"/>
    </row>
    <row r="1268" spans="30:30" ht="12" x14ac:dyDescent="0.3">
      <c r="AD1268" s="6"/>
    </row>
    <row r="1269" spans="30:30" ht="12" x14ac:dyDescent="0.3">
      <c r="AD1269" s="6"/>
    </row>
    <row r="1270" spans="30:30" ht="12" x14ac:dyDescent="0.3">
      <c r="AD1270" s="6"/>
    </row>
    <row r="1271" spans="30:30" ht="12" x14ac:dyDescent="0.3">
      <c r="AD1271" s="6"/>
    </row>
    <row r="1272" spans="30:30" ht="12" x14ac:dyDescent="0.3">
      <c r="AD1272" s="6"/>
    </row>
    <row r="1273" spans="30:30" ht="12" x14ac:dyDescent="0.3">
      <c r="AD1273" s="6"/>
    </row>
    <row r="1274" spans="30:30" ht="12" x14ac:dyDescent="0.3">
      <c r="AD1274" s="6"/>
    </row>
    <row r="1275" spans="30:30" ht="12" x14ac:dyDescent="0.3">
      <c r="AD1275" s="6"/>
    </row>
    <row r="1276" spans="30:30" ht="12" x14ac:dyDescent="0.3">
      <c r="AD1276" s="6"/>
    </row>
    <row r="1277" spans="30:30" ht="12" x14ac:dyDescent="0.3">
      <c r="AD1277" s="6"/>
    </row>
    <row r="1278" spans="30:30" ht="12" x14ac:dyDescent="0.3">
      <c r="AD1278" s="6"/>
    </row>
    <row r="1279" spans="30:30" ht="12" x14ac:dyDescent="0.3">
      <c r="AD1279" s="6"/>
    </row>
    <row r="1280" spans="30:30" ht="12" x14ac:dyDescent="0.3">
      <c r="AD1280" s="6"/>
    </row>
    <row r="1281" spans="30:30" ht="12" x14ac:dyDescent="0.3">
      <c r="AD1281" s="6"/>
    </row>
    <row r="1282" spans="30:30" ht="12" x14ac:dyDescent="0.3">
      <c r="AD1282" s="6"/>
    </row>
    <row r="1283" spans="30:30" ht="12" x14ac:dyDescent="0.3">
      <c r="AD1283" s="6"/>
    </row>
    <row r="1284" spans="30:30" ht="12" x14ac:dyDescent="0.3">
      <c r="AD1284" s="6"/>
    </row>
    <row r="1285" spans="30:30" ht="12" x14ac:dyDescent="0.3">
      <c r="AD1285" s="6"/>
    </row>
    <row r="1286" spans="30:30" ht="12" x14ac:dyDescent="0.3">
      <c r="AD1286" s="6"/>
    </row>
    <row r="1287" spans="30:30" ht="12" x14ac:dyDescent="0.3">
      <c r="AD1287" s="6"/>
    </row>
    <row r="1288" spans="30:30" ht="12" x14ac:dyDescent="0.3">
      <c r="AD1288" s="6"/>
    </row>
    <row r="1289" spans="30:30" ht="12" x14ac:dyDescent="0.3">
      <c r="AD1289" s="6"/>
    </row>
    <row r="1290" spans="30:30" ht="12" x14ac:dyDescent="0.3">
      <c r="AD1290" s="6"/>
    </row>
    <row r="1291" spans="30:30" ht="12" x14ac:dyDescent="0.3">
      <c r="AD1291" s="6"/>
    </row>
    <row r="1292" spans="30:30" ht="12" x14ac:dyDescent="0.3">
      <c r="AD1292" s="6"/>
    </row>
    <row r="1293" spans="30:30" ht="12" x14ac:dyDescent="0.3">
      <c r="AD1293" s="6"/>
    </row>
    <row r="1294" spans="30:30" ht="12" x14ac:dyDescent="0.3">
      <c r="AD1294" s="6"/>
    </row>
    <row r="1295" spans="30:30" ht="12" x14ac:dyDescent="0.3">
      <c r="AD1295" s="6"/>
    </row>
    <row r="1296" spans="30:30" ht="12" x14ac:dyDescent="0.3">
      <c r="AD1296" s="6"/>
    </row>
    <row r="1297" spans="30:30" ht="12" x14ac:dyDescent="0.3">
      <c r="AD1297" s="6"/>
    </row>
    <row r="1298" spans="30:30" ht="12" x14ac:dyDescent="0.3">
      <c r="AD1298" s="6"/>
    </row>
    <row r="1299" spans="30:30" ht="12" x14ac:dyDescent="0.3">
      <c r="AD1299" s="6"/>
    </row>
    <row r="1300" spans="30:30" ht="12" x14ac:dyDescent="0.3">
      <c r="AD1300" s="6"/>
    </row>
    <row r="1301" spans="30:30" ht="12" x14ac:dyDescent="0.3">
      <c r="AD1301" s="6"/>
    </row>
    <row r="1302" spans="30:30" ht="12" x14ac:dyDescent="0.3">
      <c r="AD1302" s="6"/>
    </row>
    <row r="1303" spans="30:30" ht="12" x14ac:dyDescent="0.3">
      <c r="AD1303" s="6"/>
    </row>
    <row r="1304" spans="30:30" ht="12" x14ac:dyDescent="0.3">
      <c r="AD1304" s="6"/>
    </row>
    <row r="1305" spans="30:30" ht="12" x14ac:dyDescent="0.3">
      <c r="AD1305" s="6"/>
    </row>
    <row r="1306" spans="30:30" ht="12" x14ac:dyDescent="0.3">
      <c r="AD1306" s="6"/>
    </row>
    <row r="1307" spans="30:30" ht="12" x14ac:dyDescent="0.3">
      <c r="AD1307" s="6"/>
    </row>
    <row r="1308" spans="30:30" ht="12" x14ac:dyDescent="0.3">
      <c r="AD1308" s="6"/>
    </row>
    <row r="1309" spans="30:30" ht="12" x14ac:dyDescent="0.3">
      <c r="AD1309" s="6"/>
    </row>
    <row r="1310" spans="30:30" ht="12" x14ac:dyDescent="0.3">
      <c r="AD1310" s="6"/>
    </row>
    <row r="1311" spans="30:30" ht="12" x14ac:dyDescent="0.3">
      <c r="AD1311" s="6"/>
    </row>
    <row r="1312" spans="30:30" ht="12" x14ac:dyDescent="0.3">
      <c r="AD1312" s="6"/>
    </row>
    <row r="1313" spans="30:30" ht="12" x14ac:dyDescent="0.3">
      <c r="AD1313" s="6"/>
    </row>
    <row r="1314" spans="30:30" ht="12" x14ac:dyDescent="0.3">
      <c r="AD1314" s="6"/>
    </row>
    <row r="1315" spans="30:30" ht="12" x14ac:dyDescent="0.3">
      <c r="AD1315" s="6"/>
    </row>
    <row r="1316" spans="30:30" ht="12" x14ac:dyDescent="0.3">
      <c r="AD1316" s="6"/>
    </row>
    <row r="1317" spans="30:30" ht="12" x14ac:dyDescent="0.3">
      <c r="AD1317" s="6"/>
    </row>
    <row r="1318" spans="30:30" ht="12" x14ac:dyDescent="0.3">
      <c r="AD1318" s="6"/>
    </row>
    <row r="1319" spans="30:30" ht="12" x14ac:dyDescent="0.3">
      <c r="AD1319" s="6"/>
    </row>
    <row r="1320" spans="30:30" ht="12" x14ac:dyDescent="0.3">
      <c r="AD1320" s="6"/>
    </row>
    <row r="1321" spans="30:30" ht="12" x14ac:dyDescent="0.3">
      <c r="AD1321" s="6"/>
    </row>
    <row r="1322" spans="30:30" ht="12" x14ac:dyDescent="0.3">
      <c r="AD1322" s="6"/>
    </row>
    <row r="1323" spans="30:30" ht="12" x14ac:dyDescent="0.3">
      <c r="AD1323" s="6"/>
    </row>
    <row r="1324" spans="30:30" ht="12" x14ac:dyDescent="0.3">
      <c r="AD1324" s="6"/>
    </row>
    <row r="1325" spans="30:30" ht="12" x14ac:dyDescent="0.3">
      <c r="AD1325" s="6"/>
    </row>
    <row r="1326" spans="30:30" ht="12" x14ac:dyDescent="0.3">
      <c r="AD1326" s="6"/>
    </row>
    <row r="1327" spans="30:30" ht="12" x14ac:dyDescent="0.3">
      <c r="AD1327" s="6"/>
    </row>
    <row r="1328" spans="30:30" ht="12" x14ac:dyDescent="0.3">
      <c r="AD1328" s="6"/>
    </row>
    <row r="1329" spans="30:30" ht="12" x14ac:dyDescent="0.3">
      <c r="AD1329" s="6"/>
    </row>
    <row r="1330" spans="30:30" ht="12" x14ac:dyDescent="0.3">
      <c r="AD1330" s="6"/>
    </row>
    <row r="1331" spans="30:30" ht="12" x14ac:dyDescent="0.3">
      <c r="AD1331" s="6"/>
    </row>
    <row r="1332" spans="30:30" ht="12" x14ac:dyDescent="0.3">
      <c r="AD1332" s="6"/>
    </row>
    <row r="1333" spans="30:30" ht="12" x14ac:dyDescent="0.3">
      <c r="AD1333" s="6"/>
    </row>
    <row r="1334" spans="30:30" ht="12" x14ac:dyDescent="0.3">
      <c r="AD1334" s="6"/>
    </row>
    <row r="1335" spans="30:30" ht="12" x14ac:dyDescent="0.3">
      <c r="AD1335" s="6"/>
    </row>
    <row r="1336" spans="30:30" ht="12" x14ac:dyDescent="0.3">
      <c r="AD1336" s="6"/>
    </row>
    <row r="1337" spans="30:30" ht="12" x14ac:dyDescent="0.3">
      <c r="AD1337" s="6"/>
    </row>
    <row r="1338" spans="30:30" ht="12" x14ac:dyDescent="0.3">
      <c r="AD1338" s="6"/>
    </row>
    <row r="1339" spans="30:30" ht="12" x14ac:dyDescent="0.3">
      <c r="AD1339" s="6"/>
    </row>
    <row r="1340" spans="30:30" ht="12" x14ac:dyDescent="0.3">
      <c r="AD1340" s="6"/>
    </row>
    <row r="1341" spans="30:30" ht="12" x14ac:dyDescent="0.3">
      <c r="AD1341" s="6"/>
    </row>
    <row r="1342" spans="30:30" ht="12" x14ac:dyDescent="0.3">
      <c r="AD1342" s="6"/>
    </row>
    <row r="1343" spans="30:30" ht="12" x14ac:dyDescent="0.3">
      <c r="AD1343" s="6"/>
    </row>
    <row r="1344" spans="30:30" ht="12" x14ac:dyDescent="0.3">
      <c r="AD1344" s="6"/>
    </row>
    <row r="1345" spans="30:30" ht="12" x14ac:dyDescent="0.3">
      <c r="AD1345" s="6"/>
    </row>
    <row r="1346" spans="30:30" ht="12" x14ac:dyDescent="0.3">
      <c r="AD1346" s="6"/>
    </row>
    <row r="1347" spans="30:30" ht="12" x14ac:dyDescent="0.3">
      <c r="AD1347" s="6"/>
    </row>
    <row r="1348" spans="30:30" ht="12" x14ac:dyDescent="0.3">
      <c r="AD1348" s="6"/>
    </row>
    <row r="1349" spans="30:30" ht="12" x14ac:dyDescent="0.3">
      <c r="AD1349" s="6"/>
    </row>
    <row r="1350" spans="30:30" ht="12" x14ac:dyDescent="0.3">
      <c r="AD1350" s="6"/>
    </row>
    <row r="1351" spans="30:30" ht="12" x14ac:dyDescent="0.3">
      <c r="AD1351" s="6"/>
    </row>
    <row r="1352" spans="30:30" ht="12" x14ac:dyDescent="0.3">
      <c r="AD1352" s="6"/>
    </row>
    <row r="1353" spans="30:30" ht="12" x14ac:dyDescent="0.3">
      <c r="AD1353" s="6"/>
    </row>
    <row r="1354" spans="30:30" ht="12" x14ac:dyDescent="0.3">
      <c r="AD1354" s="6"/>
    </row>
    <row r="1355" spans="30:30" ht="12" x14ac:dyDescent="0.3">
      <c r="AD1355" s="6"/>
    </row>
    <row r="1356" spans="30:30" ht="12" x14ac:dyDescent="0.3">
      <c r="AD1356" s="6"/>
    </row>
    <row r="1357" spans="30:30" ht="12" x14ac:dyDescent="0.3">
      <c r="AD1357" s="6"/>
    </row>
    <row r="1358" spans="30:30" ht="12" x14ac:dyDescent="0.3">
      <c r="AD1358" s="6"/>
    </row>
    <row r="1359" spans="30:30" ht="12" x14ac:dyDescent="0.3">
      <c r="AD1359" s="6"/>
    </row>
    <row r="1360" spans="30:30" ht="12" x14ac:dyDescent="0.3">
      <c r="AD1360" s="6"/>
    </row>
    <row r="1361" spans="30:30" ht="12" x14ac:dyDescent="0.3">
      <c r="AD1361" s="6"/>
    </row>
    <row r="1362" spans="30:30" ht="12" x14ac:dyDescent="0.3">
      <c r="AD1362" s="6"/>
    </row>
    <row r="1363" spans="30:30" ht="12" x14ac:dyDescent="0.3">
      <c r="AD1363" s="6"/>
    </row>
    <row r="1364" spans="30:30" ht="12" x14ac:dyDescent="0.3">
      <c r="AD1364" s="6"/>
    </row>
    <row r="1365" spans="30:30" ht="12" x14ac:dyDescent="0.3">
      <c r="AD1365" s="6"/>
    </row>
    <row r="1366" spans="30:30" ht="12" x14ac:dyDescent="0.3">
      <c r="AD1366" s="6"/>
    </row>
    <row r="1367" spans="30:30" ht="12" x14ac:dyDescent="0.3">
      <c r="AD1367" s="6"/>
    </row>
    <row r="1368" spans="30:30" ht="12" x14ac:dyDescent="0.3">
      <c r="AD1368" s="6"/>
    </row>
    <row r="1369" spans="30:30" ht="12" x14ac:dyDescent="0.3">
      <c r="AD1369" s="6"/>
    </row>
    <row r="1370" spans="30:30" ht="12" x14ac:dyDescent="0.3">
      <c r="AD1370" s="6"/>
    </row>
    <row r="1371" spans="30:30" ht="12" x14ac:dyDescent="0.3">
      <c r="AD1371" s="6"/>
    </row>
    <row r="1372" spans="30:30" ht="12" x14ac:dyDescent="0.3">
      <c r="AD1372" s="6"/>
    </row>
    <row r="1373" spans="30:30" ht="12" x14ac:dyDescent="0.3">
      <c r="AD1373" s="6"/>
    </row>
    <row r="1374" spans="30:30" ht="12" x14ac:dyDescent="0.3">
      <c r="AD1374" s="6"/>
    </row>
    <row r="1375" spans="30:30" ht="12" x14ac:dyDescent="0.3">
      <c r="AD1375" s="6"/>
    </row>
    <row r="1376" spans="30:30" ht="12" x14ac:dyDescent="0.3">
      <c r="AD1376" s="6"/>
    </row>
    <row r="1377" spans="30:30" ht="12" x14ac:dyDescent="0.3">
      <c r="AD1377" s="6"/>
    </row>
    <row r="1378" spans="30:30" ht="12" x14ac:dyDescent="0.3">
      <c r="AD1378" s="6"/>
    </row>
    <row r="1379" spans="30:30" ht="12" x14ac:dyDescent="0.3">
      <c r="AD1379" s="6"/>
    </row>
    <row r="1380" spans="30:30" ht="12" x14ac:dyDescent="0.3">
      <c r="AD1380" s="6"/>
    </row>
    <row r="1381" spans="30:30" ht="12" x14ac:dyDescent="0.3">
      <c r="AD1381" s="6"/>
    </row>
    <row r="1382" spans="30:30" ht="12" x14ac:dyDescent="0.3">
      <c r="AD1382" s="6"/>
    </row>
    <row r="1383" spans="30:30" ht="12" x14ac:dyDescent="0.3">
      <c r="AD1383" s="6"/>
    </row>
    <row r="1384" spans="30:30" ht="12" x14ac:dyDescent="0.3">
      <c r="AD1384" s="6"/>
    </row>
    <row r="1385" spans="30:30" ht="12" x14ac:dyDescent="0.3">
      <c r="AD1385" s="6"/>
    </row>
    <row r="1386" spans="30:30" ht="12" x14ac:dyDescent="0.3">
      <c r="AD1386" s="6"/>
    </row>
    <row r="1387" spans="30:30" ht="12" x14ac:dyDescent="0.3">
      <c r="AD1387" s="6"/>
    </row>
    <row r="1388" spans="30:30" ht="12" x14ac:dyDescent="0.3">
      <c r="AD1388" s="6"/>
    </row>
    <row r="1389" spans="30:30" ht="12" x14ac:dyDescent="0.3">
      <c r="AD1389" s="6"/>
    </row>
    <row r="1390" spans="30:30" ht="12" x14ac:dyDescent="0.3">
      <c r="AD1390" s="6"/>
    </row>
    <row r="1391" spans="30:30" ht="12" x14ac:dyDescent="0.3">
      <c r="AD1391" s="6"/>
    </row>
    <row r="1392" spans="30:30" ht="12" x14ac:dyDescent="0.3">
      <c r="AD1392" s="6"/>
    </row>
    <row r="1393" spans="30:30" ht="12" x14ac:dyDescent="0.3">
      <c r="AD1393" s="6"/>
    </row>
    <row r="1394" spans="30:30" ht="12" x14ac:dyDescent="0.3">
      <c r="AD1394" s="6"/>
    </row>
    <row r="1395" spans="30:30" ht="12" x14ac:dyDescent="0.3">
      <c r="AD1395" s="6"/>
    </row>
    <row r="1396" spans="30:30" ht="12" x14ac:dyDescent="0.3">
      <c r="AD1396" s="6"/>
    </row>
    <row r="1397" spans="30:30" ht="12" x14ac:dyDescent="0.3">
      <c r="AD1397" s="6"/>
    </row>
    <row r="1398" spans="30:30" ht="12" x14ac:dyDescent="0.3">
      <c r="AD1398" s="6"/>
    </row>
    <row r="1399" spans="30:30" ht="12" x14ac:dyDescent="0.3">
      <c r="AD1399" s="6"/>
    </row>
    <row r="1400" spans="30:30" ht="12" x14ac:dyDescent="0.3">
      <c r="AD1400" s="6"/>
    </row>
    <row r="1401" spans="30:30" ht="12" x14ac:dyDescent="0.3">
      <c r="AD1401" s="6"/>
    </row>
    <row r="1402" spans="30:30" ht="12" x14ac:dyDescent="0.3">
      <c r="AD1402" s="6"/>
    </row>
    <row r="1403" spans="30:30" ht="12" x14ac:dyDescent="0.3">
      <c r="AD1403" s="6"/>
    </row>
    <row r="1404" spans="30:30" ht="12" x14ac:dyDescent="0.3">
      <c r="AD1404" s="6"/>
    </row>
    <row r="1405" spans="30:30" ht="12" x14ac:dyDescent="0.3">
      <c r="AD1405" s="6"/>
    </row>
    <row r="1406" spans="30:30" ht="12" x14ac:dyDescent="0.3">
      <c r="AD1406" s="6"/>
    </row>
    <row r="1407" spans="30:30" ht="12" x14ac:dyDescent="0.3">
      <c r="AD1407" s="6"/>
    </row>
    <row r="1408" spans="30:30" ht="12" x14ac:dyDescent="0.3">
      <c r="AD1408" s="6"/>
    </row>
    <row r="1409" spans="30:30" ht="12" x14ac:dyDescent="0.3">
      <c r="AD1409" s="6"/>
    </row>
    <row r="1410" spans="30:30" ht="12" x14ac:dyDescent="0.3">
      <c r="AD1410" s="6"/>
    </row>
    <row r="1411" spans="30:30" ht="12" x14ac:dyDescent="0.3">
      <c r="AD1411" s="6"/>
    </row>
    <row r="1412" spans="30:30" ht="12" x14ac:dyDescent="0.3">
      <c r="AD1412" s="6"/>
    </row>
    <row r="1413" spans="30:30" ht="12" x14ac:dyDescent="0.3">
      <c r="AD1413" s="6"/>
    </row>
    <row r="1414" spans="30:30" ht="12" x14ac:dyDescent="0.3">
      <c r="AD1414" s="6"/>
    </row>
    <row r="1415" spans="30:30" ht="12" x14ac:dyDescent="0.3">
      <c r="AD1415" s="6"/>
    </row>
    <row r="1416" spans="30:30" ht="12" x14ac:dyDescent="0.3">
      <c r="AD1416" s="6"/>
    </row>
    <row r="1417" spans="30:30" ht="12" x14ac:dyDescent="0.3">
      <c r="AD1417" s="6"/>
    </row>
    <row r="1418" spans="30:30" ht="12" x14ac:dyDescent="0.3">
      <c r="AD1418" s="6"/>
    </row>
    <row r="1419" spans="30:30" ht="12" x14ac:dyDescent="0.3">
      <c r="AD1419" s="6"/>
    </row>
    <row r="1420" spans="30:30" ht="12" x14ac:dyDescent="0.3">
      <c r="AD1420" s="6"/>
    </row>
    <row r="1421" spans="30:30" ht="12" x14ac:dyDescent="0.3">
      <c r="AD1421" s="6"/>
    </row>
    <row r="1422" spans="30:30" ht="12" x14ac:dyDescent="0.3">
      <c r="AD1422" s="6"/>
    </row>
    <row r="1423" spans="30:30" ht="12" x14ac:dyDescent="0.3">
      <c r="AD1423" s="6"/>
    </row>
    <row r="1424" spans="30:30" ht="12" x14ac:dyDescent="0.3">
      <c r="AD1424" s="6"/>
    </row>
    <row r="1425" spans="30:30" ht="12" x14ac:dyDescent="0.3">
      <c r="AD1425" s="6"/>
    </row>
    <row r="1426" spans="30:30" ht="12" x14ac:dyDescent="0.3">
      <c r="AD1426" s="6"/>
    </row>
    <row r="1427" spans="30:30" ht="12" x14ac:dyDescent="0.3">
      <c r="AD1427" s="6"/>
    </row>
    <row r="1428" spans="30:30" ht="12" x14ac:dyDescent="0.3">
      <c r="AD1428" s="6"/>
    </row>
    <row r="1429" spans="30:30" ht="12" x14ac:dyDescent="0.3">
      <c r="AD1429" s="6"/>
    </row>
    <row r="1430" spans="30:30" ht="12" x14ac:dyDescent="0.3">
      <c r="AD1430" s="6"/>
    </row>
    <row r="1431" spans="30:30" ht="12" x14ac:dyDescent="0.3">
      <c r="AD1431" s="6"/>
    </row>
    <row r="1432" spans="30:30" ht="12" x14ac:dyDescent="0.3">
      <c r="AD1432" s="6"/>
    </row>
    <row r="1433" spans="30:30" ht="12" x14ac:dyDescent="0.3">
      <c r="AD1433" s="6"/>
    </row>
    <row r="1434" spans="30:30" ht="12" x14ac:dyDescent="0.3">
      <c r="AD1434" s="6"/>
    </row>
    <row r="1435" spans="30:30" ht="12" x14ac:dyDescent="0.3">
      <c r="AD1435" s="6"/>
    </row>
    <row r="1436" spans="30:30" ht="12" x14ac:dyDescent="0.3">
      <c r="AD1436" s="6"/>
    </row>
    <row r="1437" spans="30:30" ht="12" x14ac:dyDescent="0.3">
      <c r="AD1437" s="6"/>
    </row>
    <row r="1438" spans="30:30" ht="12" x14ac:dyDescent="0.3">
      <c r="AD1438" s="6"/>
    </row>
    <row r="1439" spans="30:30" ht="12" x14ac:dyDescent="0.3">
      <c r="AD1439" s="6"/>
    </row>
    <row r="1440" spans="30:30" ht="12" x14ac:dyDescent="0.3">
      <c r="AD1440" s="6"/>
    </row>
    <row r="1441" spans="30:30" ht="12" x14ac:dyDescent="0.3">
      <c r="AD1441" s="6"/>
    </row>
    <row r="1442" spans="30:30" ht="12" x14ac:dyDescent="0.3">
      <c r="AD1442" s="6"/>
    </row>
    <row r="1443" spans="30:30" ht="12" x14ac:dyDescent="0.3">
      <c r="AD1443" s="6"/>
    </row>
    <row r="1444" spans="30:30" ht="12" x14ac:dyDescent="0.3">
      <c r="AD1444" s="6"/>
    </row>
    <row r="1445" spans="30:30" ht="12" x14ac:dyDescent="0.3">
      <c r="AD1445" s="6"/>
    </row>
    <row r="1446" spans="30:30" ht="12" x14ac:dyDescent="0.3">
      <c r="AD1446" s="6"/>
    </row>
    <row r="1447" spans="30:30" ht="12" x14ac:dyDescent="0.3">
      <c r="AD1447" s="6"/>
    </row>
    <row r="1448" spans="30:30" ht="12" x14ac:dyDescent="0.3">
      <c r="AD1448" s="6"/>
    </row>
    <row r="1449" spans="30:30" ht="12" x14ac:dyDescent="0.3">
      <c r="AD1449" s="6"/>
    </row>
    <row r="1450" spans="30:30" ht="12" x14ac:dyDescent="0.3">
      <c r="AD1450" s="6"/>
    </row>
    <row r="1451" spans="30:30" ht="12" x14ac:dyDescent="0.3">
      <c r="AD1451" s="6"/>
    </row>
    <row r="1452" spans="30:30" ht="12" x14ac:dyDescent="0.3">
      <c r="AD1452" s="6"/>
    </row>
    <row r="1453" spans="30:30" ht="12" x14ac:dyDescent="0.3">
      <c r="AD1453" s="6"/>
    </row>
    <row r="1454" spans="30:30" ht="12" x14ac:dyDescent="0.3">
      <c r="AD1454" s="6"/>
    </row>
    <row r="1455" spans="30:30" ht="12" x14ac:dyDescent="0.3">
      <c r="AD1455" s="6"/>
    </row>
    <row r="1456" spans="30:30" ht="12" x14ac:dyDescent="0.3">
      <c r="AD1456" s="6"/>
    </row>
    <row r="1457" spans="30:30" ht="12" x14ac:dyDescent="0.3">
      <c r="AD1457" s="6"/>
    </row>
    <row r="1458" spans="30:30" ht="12" x14ac:dyDescent="0.3">
      <c r="AD1458" s="6"/>
    </row>
    <row r="1459" spans="30:30" ht="12" x14ac:dyDescent="0.3">
      <c r="AD1459" s="6"/>
    </row>
    <row r="1460" spans="30:30" ht="12" x14ac:dyDescent="0.3">
      <c r="AD1460" s="6"/>
    </row>
    <row r="1461" spans="30:30" ht="12" x14ac:dyDescent="0.3">
      <c r="AD1461" s="6"/>
    </row>
    <row r="1462" spans="30:30" ht="12" x14ac:dyDescent="0.3">
      <c r="AD1462" s="6"/>
    </row>
    <row r="1463" spans="30:30" ht="12" x14ac:dyDescent="0.3">
      <c r="AD1463" s="6"/>
    </row>
    <row r="1464" spans="30:30" ht="12" x14ac:dyDescent="0.3">
      <c r="AD1464" s="6"/>
    </row>
    <row r="1465" spans="30:30" ht="12" x14ac:dyDescent="0.3">
      <c r="AD1465" s="6"/>
    </row>
    <row r="1466" spans="30:30" ht="12" x14ac:dyDescent="0.3">
      <c r="AD1466" s="6"/>
    </row>
    <row r="1467" spans="30:30" ht="12" x14ac:dyDescent="0.3">
      <c r="AD1467" s="6"/>
    </row>
    <row r="1468" spans="30:30" ht="12" x14ac:dyDescent="0.3">
      <c r="AD1468" s="6"/>
    </row>
    <row r="1469" spans="30:30" ht="12" x14ac:dyDescent="0.3">
      <c r="AD1469" s="6"/>
    </row>
    <row r="1470" spans="30:30" ht="12" x14ac:dyDescent="0.3">
      <c r="AD1470" s="6"/>
    </row>
    <row r="1471" spans="30:30" ht="12" x14ac:dyDescent="0.3">
      <c r="AD1471" s="6"/>
    </row>
    <row r="1472" spans="30:30" ht="12" x14ac:dyDescent="0.3">
      <c r="AD1472" s="6"/>
    </row>
    <row r="1473" spans="30:30" ht="12" x14ac:dyDescent="0.3">
      <c r="AD1473" s="6"/>
    </row>
    <row r="1474" spans="30:30" ht="12" x14ac:dyDescent="0.3">
      <c r="AD1474" s="6"/>
    </row>
    <row r="1475" spans="30:30" ht="12" x14ac:dyDescent="0.3">
      <c r="AD1475" s="6"/>
    </row>
    <row r="1476" spans="30:30" ht="12" x14ac:dyDescent="0.3">
      <c r="AD1476" s="6"/>
    </row>
    <row r="1477" spans="30:30" ht="12" x14ac:dyDescent="0.3">
      <c r="AD1477" s="6"/>
    </row>
    <row r="1478" spans="30:30" ht="12" x14ac:dyDescent="0.3">
      <c r="AD1478" s="6"/>
    </row>
    <row r="1479" spans="30:30" ht="12" x14ac:dyDescent="0.3">
      <c r="AD1479" s="6"/>
    </row>
    <row r="1480" spans="30:30" ht="12" x14ac:dyDescent="0.3">
      <c r="AD1480" s="6"/>
    </row>
    <row r="1481" spans="30:30" ht="12" x14ac:dyDescent="0.3">
      <c r="AD1481" s="6"/>
    </row>
    <row r="1482" spans="30:30" ht="12" x14ac:dyDescent="0.3">
      <c r="AD1482" s="6"/>
    </row>
    <row r="1483" spans="30:30" ht="12" x14ac:dyDescent="0.3">
      <c r="AD1483" s="6"/>
    </row>
    <row r="1484" spans="30:30" ht="12" x14ac:dyDescent="0.3">
      <c r="AD1484" s="6"/>
    </row>
    <row r="1485" spans="30:30" ht="12" x14ac:dyDescent="0.3">
      <c r="AD1485" s="6"/>
    </row>
    <row r="1486" spans="30:30" ht="12" x14ac:dyDescent="0.3">
      <c r="AD1486" s="6"/>
    </row>
    <row r="1487" spans="30:30" ht="12" x14ac:dyDescent="0.3">
      <c r="AD1487" s="6"/>
    </row>
    <row r="1488" spans="30:30" ht="12" x14ac:dyDescent="0.3">
      <c r="AD1488" s="6"/>
    </row>
    <row r="1489" spans="30:30" ht="12" x14ac:dyDescent="0.3">
      <c r="AD1489" s="6"/>
    </row>
    <row r="1490" spans="30:30" ht="12" x14ac:dyDescent="0.3">
      <c r="AD1490" s="6"/>
    </row>
    <row r="1491" spans="30:30" ht="12" x14ac:dyDescent="0.3">
      <c r="AD1491" s="6"/>
    </row>
    <row r="1492" spans="30:30" ht="12" x14ac:dyDescent="0.3">
      <c r="AD1492" s="6"/>
    </row>
    <row r="1493" spans="30:30" ht="12" x14ac:dyDescent="0.3">
      <c r="AD1493" s="6"/>
    </row>
    <row r="1494" spans="30:30" ht="12" x14ac:dyDescent="0.3">
      <c r="AD1494" s="6"/>
    </row>
    <row r="1495" spans="30:30" ht="12" x14ac:dyDescent="0.3">
      <c r="AD1495" s="6"/>
    </row>
    <row r="1496" spans="30:30" ht="12" x14ac:dyDescent="0.3">
      <c r="AD1496" s="6"/>
    </row>
    <row r="1497" spans="30:30" ht="12" x14ac:dyDescent="0.3">
      <c r="AD1497" s="6"/>
    </row>
    <row r="1498" spans="30:30" ht="12" x14ac:dyDescent="0.3">
      <c r="AD1498" s="6"/>
    </row>
    <row r="1499" spans="30:30" ht="12" x14ac:dyDescent="0.3">
      <c r="AD1499" s="6"/>
    </row>
    <row r="1500" spans="30:30" ht="12" x14ac:dyDescent="0.3">
      <c r="AD1500" s="6"/>
    </row>
    <row r="1501" spans="30:30" ht="12" x14ac:dyDescent="0.3">
      <c r="AD1501" s="6"/>
    </row>
    <row r="1502" spans="30:30" ht="12" x14ac:dyDescent="0.3">
      <c r="AD1502" s="6"/>
    </row>
    <row r="1503" spans="30:30" ht="12" x14ac:dyDescent="0.3">
      <c r="AD1503" s="6"/>
    </row>
    <row r="1504" spans="30:30" ht="12" x14ac:dyDescent="0.3">
      <c r="AD1504" s="6"/>
    </row>
    <row r="1505" spans="30:30" ht="12" x14ac:dyDescent="0.3">
      <c r="AD1505" s="6"/>
    </row>
    <row r="1506" spans="30:30" ht="12" x14ac:dyDescent="0.3">
      <c r="AD1506" s="6"/>
    </row>
    <row r="1507" spans="30:30" ht="12" x14ac:dyDescent="0.3">
      <c r="AD1507" s="6"/>
    </row>
    <row r="1508" spans="30:30" ht="12" x14ac:dyDescent="0.3">
      <c r="AD1508" s="6"/>
    </row>
    <row r="1509" spans="30:30" ht="12" x14ac:dyDescent="0.3">
      <c r="AD1509" s="6"/>
    </row>
    <row r="1510" spans="30:30" ht="12" x14ac:dyDescent="0.3">
      <c r="AD1510" s="6"/>
    </row>
    <row r="1511" spans="30:30" ht="12" x14ac:dyDescent="0.3">
      <c r="AD1511" s="6"/>
    </row>
    <row r="1512" spans="30:30" ht="12" x14ac:dyDescent="0.3">
      <c r="AD1512" s="6"/>
    </row>
    <row r="1513" spans="30:30" ht="12" x14ac:dyDescent="0.3">
      <c r="AD1513" s="6"/>
    </row>
    <row r="1514" spans="30:30" ht="12" x14ac:dyDescent="0.3">
      <c r="AD1514" s="6"/>
    </row>
    <row r="1515" spans="30:30" ht="12" x14ac:dyDescent="0.3">
      <c r="AD1515" s="6"/>
    </row>
    <row r="1516" spans="30:30" ht="12" x14ac:dyDescent="0.3">
      <c r="AD1516" s="6"/>
    </row>
    <row r="1517" spans="30:30" ht="12" x14ac:dyDescent="0.3">
      <c r="AD1517" s="6"/>
    </row>
    <row r="1518" spans="30:30" ht="12" x14ac:dyDescent="0.3">
      <c r="AD1518" s="6"/>
    </row>
    <row r="1519" spans="30:30" ht="12" x14ac:dyDescent="0.3">
      <c r="AD1519" s="6"/>
    </row>
    <row r="1520" spans="30:30" ht="12" x14ac:dyDescent="0.3">
      <c r="AD1520" s="6"/>
    </row>
    <row r="1521" spans="30:30" ht="12" x14ac:dyDescent="0.3">
      <c r="AD1521" s="6"/>
    </row>
    <row r="1522" spans="30:30" ht="12" x14ac:dyDescent="0.3">
      <c r="AD1522" s="6"/>
    </row>
    <row r="1523" spans="30:30" ht="12" x14ac:dyDescent="0.3">
      <c r="AD1523" s="6"/>
    </row>
    <row r="1524" spans="30:30" ht="12" x14ac:dyDescent="0.3">
      <c r="AD1524" s="6"/>
    </row>
    <row r="1525" spans="30:30" ht="12" x14ac:dyDescent="0.3">
      <c r="AD1525" s="6"/>
    </row>
    <row r="1526" spans="30:30" ht="12" x14ac:dyDescent="0.3">
      <c r="AD1526" s="6"/>
    </row>
    <row r="1527" spans="30:30" ht="12" x14ac:dyDescent="0.3">
      <c r="AD1527" s="6"/>
    </row>
    <row r="1528" spans="30:30" ht="12" x14ac:dyDescent="0.3">
      <c r="AD1528" s="6"/>
    </row>
    <row r="1529" spans="30:30" ht="12" x14ac:dyDescent="0.3">
      <c r="AD1529" s="6"/>
    </row>
    <row r="1530" spans="30:30" ht="12" x14ac:dyDescent="0.3">
      <c r="AD1530" s="6"/>
    </row>
    <row r="1531" spans="30:30" ht="12" x14ac:dyDescent="0.3">
      <c r="AD1531" s="6"/>
    </row>
    <row r="1532" spans="30:30" ht="12" x14ac:dyDescent="0.3">
      <c r="AD1532" s="6"/>
    </row>
    <row r="1533" spans="30:30" ht="12" x14ac:dyDescent="0.3">
      <c r="AD1533" s="6"/>
    </row>
    <row r="1534" spans="30:30" ht="12" x14ac:dyDescent="0.3">
      <c r="AD1534" s="6"/>
    </row>
    <row r="1535" spans="30:30" ht="12" x14ac:dyDescent="0.3">
      <c r="AD1535" s="6"/>
    </row>
    <row r="1536" spans="30:30" ht="12" x14ac:dyDescent="0.3">
      <c r="AD1536" s="6"/>
    </row>
    <row r="1537" spans="30:30" ht="12" x14ac:dyDescent="0.3">
      <c r="AD1537" s="6"/>
    </row>
    <row r="1538" spans="30:30" ht="12" x14ac:dyDescent="0.3">
      <c r="AD1538" s="6"/>
    </row>
    <row r="1539" spans="30:30" ht="12" x14ac:dyDescent="0.3">
      <c r="AD1539" s="6"/>
    </row>
    <row r="1540" spans="30:30" ht="12" x14ac:dyDescent="0.3">
      <c r="AD1540" s="6"/>
    </row>
    <row r="1541" spans="30:30" ht="12" x14ac:dyDescent="0.3">
      <c r="AD1541" s="6"/>
    </row>
    <row r="1542" spans="30:30" ht="12" x14ac:dyDescent="0.3">
      <c r="AD1542" s="6"/>
    </row>
    <row r="1543" spans="30:30" ht="12" x14ac:dyDescent="0.3">
      <c r="AD1543" s="6"/>
    </row>
    <row r="1544" spans="30:30" ht="12" x14ac:dyDescent="0.3">
      <c r="AD1544" s="6"/>
    </row>
    <row r="1545" spans="30:30" ht="12" x14ac:dyDescent="0.3">
      <c r="AD1545" s="6"/>
    </row>
    <row r="1546" spans="30:30" ht="12" x14ac:dyDescent="0.3">
      <c r="AD1546" s="6"/>
    </row>
    <row r="1547" spans="30:30" ht="12" x14ac:dyDescent="0.3">
      <c r="AD1547" s="6"/>
    </row>
    <row r="1548" spans="30:30" ht="12" x14ac:dyDescent="0.3">
      <c r="AD1548" s="6"/>
    </row>
    <row r="1549" spans="30:30" ht="12" x14ac:dyDescent="0.3">
      <c r="AD1549" s="6"/>
    </row>
    <row r="1550" spans="30:30" ht="12" x14ac:dyDescent="0.3">
      <c r="AD1550" s="6"/>
    </row>
    <row r="1551" spans="30:30" ht="12" x14ac:dyDescent="0.3">
      <c r="AD1551" s="6"/>
    </row>
    <row r="1552" spans="30:30" ht="12" x14ac:dyDescent="0.3">
      <c r="AD1552" s="6"/>
    </row>
    <row r="1553" spans="30:30" ht="12" x14ac:dyDescent="0.3">
      <c r="AD1553" s="6"/>
    </row>
    <row r="1554" spans="30:30" ht="12" x14ac:dyDescent="0.3">
      <c r="AD1554" s="6"/>
    </row>
    <row r="1555" spans="30:30" ht="12" x14ac:dyDescent="0.3">
      <c r="AD1555" s="6"/>
    </row>
    <row r="1556" spans="30:30" ht="12" x14ac:dyDescent="0.3">
      <c r="AD1556" s="6"/>
    </row>
    <row r="1557" spans="30:30" ht="12" x14ac:dyDescent="0.3">
      <c r="AD1557" s="6"/>
    </row>
    <row r="1558" spans="30:30" ht="12" x14ac:dyDescent="0.3">
      <c r="AD1558" s="6"/>
    </row>
    <row r="1559" spans="30:30" ht="12" x14ac:dyDescent="0.3">
      <c r="AD1559" s="6"/>
    </row>
    <row r="1560" spans="30:30" ht="12" x14ac:dyDescent="0.3">
      <c r="AD1560" s="6"/>
    </row>
    <row r="1561" spans="30:30" ht="12" x14ac:dyDescent="0.3">
      <c r="AD1561" s="6"/>
    </row>
    <row r="1562" spans="30:30" ht="12" x14ac:dyDescent="0.3">
      <c r="AD1562" s="6"/>
    </row>
    <row r="1563" spans="30:30" ht="12" x14ac:dyDescent="0.3">
      <c r="AD1563" s="6"/>
    </row>
    <row r="1564" spans="30:30" ht="12" x14ac:dyDescent="0.3">
      <c r="AD1564" s="6"/>
    </row>
    <row r="1565" spans="30:30" ht="12" x14ac:dyDescent="0.3">
      <c r="AD1565" s="6"/>
    </row>
    <row r="1566" spans="30:30" ht="12" x14ac:dyDescent="0.3">
      <c r="AD1566" s="6"/>
    </row>
    <row r="1567" spans="30:30" ht="12" x14ac:dyDescent="0.3">
      <c r="AD1567" s="6"/>
    </row>
    <row r="1568" spans="30:30" ht="12" x14ac:dyDescent="0.3">
      <c r="AD1568" s="6"/>
    </row>
    <row r="1569" spans="30:30" ht="12" x14ac:dyDescent="0.3">
      <c r="AD1569" s="6"/>
    </row>
    <row r="1570" spans="30:30" ht="12" x14ac:dyDescent="0.3">
      <c r="AD1570" s="6"/>
    </row>
    <row r="1571" spans="30:30" ht="12" x14ac:dyDescent="0.3">
      <c r="AD1571" s="6"/>
    </row>
    <row r="1572" spans="30:30" ht="12" x14ac:dyDescent="0.3">
      <c r="AD1572" s="6"/>
    </row>
    <row r="1573" spans="30:30" ht="12" x14ac:dyDescent="0.3">
      <c r="AD1573" s="6"/>
    </row>
    <row r="1574" spans="30:30" ht="12" x14ac:dyDescent="0.3">
      <c r="AD1574" s="6"/>
    </row>
    <row r="1575" spans="30:30" ht="12" x14ac:dyDescent="0.3">
      <c r="AD1575" s="6"/>
    </row>
    <row r="1576" spans="30:30" ht="12" x14ac:dyDescent="0.3">
      <c r="AD1576" s="6"/>
    </row>
    <row r="1577" spans="30:30" ht="12" x14ac:dyDescent="0.3">
      <c r="AD1577" s="6"/>
    </row>
    <row r="1578" spans="30:30" ht="12" x14ac:dyDescent="0.3">
      <c r="AD1578" s="6"/>
    </row>
    <row r="1579" spans="30:30" ht="12" x14ac:dyDescent="0.3">
      <c r="AD1579" s="6"/>
    </row>
    <row r="1580" spans="30:30" ht="12" x14ac:dyDescent="0.3">
      <c r="AD1580" s="6"/>
    </row>
    <row r="1581" spans="30:30" ht="12" x14ac:dyDescent="0.3">
      <c r="AD1581" s="6"/>
    </row>
    <row r="1582" spans="30:30" ht="12" x14ac:dyDescent="0.3">
      <c r="AD1582" s="6"/>
    </row>
    <row r="1583" spans="30:30" ht="12" x14ac:dyDescent="0.3">
      <c r="AD1583" s="6"/>
    </row>
    <row r="1584" spans="30:30" ht="12" x14ac:dyDescent="0.3">
      <c r="AD1584" s="6"/>
    </row>
    <row r="1585" spans="30:30" ht="12" x14ac:dyDescent="0.3">
      <c r="AD1585" s="6"/>
    </row>
    <row r="1586" spans="30:30" ht="12" x14ac:dyDescent="0.3">
      <c r="AD1586" s="6"/>
    </row>
    <row r="1587" spans="30:30" ht="12" x14ac:dyDescent="0.3">
      <c r="AD1587" s="6"/>
    </row>
    <row r="1588" spans="30:30" ht="12" x14ac:dyDescent="0.3">
      <c r="AD1588" s="6"/>
    </row>
    <row r="1589" spans="30:30" ht="12" x14ac:dyDescent="0.3">
      <c r="AD1589" s="6"/>
    </row>
    <row r="1590" spans="30:30" ht="12" x14ac:dyDescent="0.3">
      <c r="AD1590" s="6"/>
    </row>
    <row r="1591" spans="30:30" ht="12" x14ac:dyDescent="0.3">
      <c r="AD1591" s="6"/>
    </row>
    <row r="1592" spans="30:30" ht="12" x14ac:dyDescent="0.3">
      <c r="AD1592" s="6"/>
    </row>
    <row r="1593" spans="30:30" ht="12" x14ac:dyDescent="0.3">
      <c r="AD1593" s="6"/>
    </row>
    <row r="1594" spans="30:30" ht="12" x14ac:dyDescent="0.3">
      <c r="AD1594" s="6"/>
    </row>
    <row r="1595" spans="30:30" ht="12" x14ac:dyDescent="0.3">
      <c r="AD1595" s="6"/>
    </row>
    <row r="1596" spans="30:30" ht="12" x14ac:dyDescent="0.3">
      <c r="AD1596" s="6"/>
    </row>
    <row r="1597" spans="30:30" ht="12" x14ac:dyDescent="0.3">
      <c r="AD1597" s="6"/>
    </row>
    <row r="1598" spans="30:30" ht="12" x14ac:dyDescent="0.3">
      <c r="AD1598" s="6"/>
    </row>
    <row r="1599" spans="30:30" ht="12" x14ac:dyDescent="0.3">
      <c r="AD1599" s="6"/>
    </row>
    <row r="1600" spans="30:30" ht="12" x14ac:dyDescent="0.3">
      <c r="AD1600" s="6"/>
    </row>
    <row r="1601" spans="30:30" ht="12" x14ac:dyDescent="0.3">
      <c r="AD1601" s="6"/>
    </row>
    <row r="1602" spans="30:30" ht="12" x14ac:dyDescent="0.3">
      <c r="AD1602" s="6"/>
    </row>
    <row r="1603" spans="30:30" ht="12" x14ac:dyDescent="0.3">
      <c r="AD1603" s="6"/>
    </row>
    <row r="1604" spans="30:30" ht="12" x14ac:dyDescent="0.3">
      <c r="AD1604" s="6"/>
    </row>
    <row r="1605" spans="30:30" ht="12" x14ac:dyDescent="0.3">
      <c r="AD1605" s="6"/>
    </row>
    <row r="1606" spans="30:30" ht="12" x14ac:dyDescent="0.3">
      <c r="AD1606" s="6"/>
    </row>
    <row r="1607" spans="30:30" ht="12" x14ac:dyDescent="0.3">
      <c r="AD1607" s="6"/>
    </row>
    <row r="1608" spans="30:30" ht="12" x14ac:dyDescent="0.3">
      <c r="AD1608" s="6"/>
    </row>
    <row r="1609" spans="30:30" ht="12" x14ac:dyDescent="0.3">
      <c r="AD1609" s="6"/>
    </row>
    <row r="1610" spans="30:30" ht="12" x14ac:dyDescent="0.3">
      <c r="AD1610" s="6"/>
    </row>
    <row r="1611" spans="30:30" ht="12" x14ac:dyDescent="0.3">
      <c r="AD1611" s="6"/>
    </row>
    <row r="1612" spans="30:30" ht="12" x14ac:dyDescent="0.3">
      <c r="AD1612" s="6"/>
    </row>
    <row r="1613" spans="30:30" ht="12" x14ac:dyDescent="0.3">
      <c r="AD1613" s="6"/>
    </row>
    <row r="1614" spans="30:30" ht="12" x14ac:dyDescent="0.3">
      <c r="AD1614" s="6"/>
    </row>
    <row r="1615" spans="30:30" ht="12" x14ac:dyDescent="0.3">
      <c r="AD1615" s="6"/>
    </row>
    <row r="1616" spans="30:30" ht="12" x14ac:dyDescent="0.3">
      <c r="AD1616" s="6"/>
    </row>
    <row r="1617" spans="30:30" ht="12" x14ac:dyDescent="0.3">
      <c r="AD1617" s="6"/>
    </row>
    <row r="1618" spans="30:30" ht="12" x14ac:dyDescent="0.3">
      <c r="AD1618" s="6"/>
    </row>
    <row r="1619" spans="30:30" ht="12" x14ac:dyDescent="0.3">
      <c r="AD1619" s="6"/>
    </row>
    <row r="1620" spans="30:30" ht="12" x14ac:dyDescent="0.3">
      <c r="AD1620" s="6"/>
    </row>
    <row r="1621" spans="30:30" ht="12" x14ac:dyDescent="0.3">
      <c r="AD1621" s="6"/>
    </row>
    <row r="1622" spans="30:30" ht="12" x14ac:dyDescent="0.3">
      <c r="AD1622" s="6"/>
    </row>
    <row r="1623" spans="30:30" ht="12" x14ac:dyDescent="0.3">
      <c r="AD1623" s="6"/>
    </row>
    <row r="1624" spans="30:30" ht="12" x14ac:dyDescent="0.3">
      <c r="AD1624" s="6"/>
    </row>
    <row r="1625" spans="30:30" ht="12" x14ac:dyDescent="0.3">
      <c r="AD1625" s="6"/>
    </row>
    <row r="1626" spans="30:30" ht="12" x14ac:dyDescent="0.3">
      <c r="AD1626" s="6"/>
    </row>
    <row r="1627" spans="30:30" ht="12" x14ac:dyDescent="0.3">
      <c r="AD1627" s="6"/>
    </row>
    <row r="1628" spans="30:30" ht="12" x14ac:dyDescent="0.3">
      <c r="AD1628" s="6"/>
    </row>
    <row r="1629" spans="30:30" ht="12" x14ac:dyDescent="0.3">
      <c r="AD1629" s="6"/>
    </row>
    <row r="1630" spans="30:30" ht="12" x14ac:dyDescent="0.3">
      <c r="AD1630" s="6"/>
    </row>
    <row r="1631" spans="30:30" ht="12" x14ac:dyDescent="0.3">
      <c r="AD1631" s="6"/>
    </row>
    <row r="1632" spans="30:30" ht="12" x14ac:dyDescent="0.3">
      <c r="AD1632" s="6"/>
    </row>
    <row r="1633" spans="30:30" ht="12" x14ac:dyDescent="0.3">
      <c r="AD1633" s="6"/>
    </row>
    <row r="1634" spans="30:30" ht="12" x14ac:dyDescent="0.3">
      <c r="AD1634" s="6"/>
    </row>
    <row r="1635" spans="30:30" ht="12" x14ac:dyDescent="0.3">
      <c r="AD1635" s="6"/>
    </row>
    <row r="1636" spans="30:30" ht="12" x14ac:dyDescent="0.3">
      <c r="AD1636" s="6"/>
    </row>
    <row r="1637" spans="30:30" ht="12" x14ac:dyDescent="0.3">
      <c r="AD1637" s="6"/>
    </row>
    <row r="1638" spans="30:30" ht="12" x14ac:dyDescent="0.3">
      <c r="AD1638" s="6"/>
    </row>
    <row r="1639" spans="30:30" ht="12" x14ac:dyDescent="0.3">
      <c r="AD1639" s="6"/>
    </row>
    <row r="1640" spans="30:30" ht="12" x14ac:dyDescent="0.3">
      <c r="AD1640" s="6"/>
    </row>
    <row r="1641" spans="30:30" ht="12" x14ac:dyDescent="0.3">
      <c r="AD1641" s="6"/>
    </row>
    <row r="1642" spans="30:30" ht="12" x14ac:dyDescent="0.3">
      <c r="AD1642" s="6"/>
    </row>
    <row r="1643" spans="30:30" ht="12" x14ac:dyDescent="0.3">
      <c r="AD1643" s="6"/>
    </row>
    <row r="1644" spans="30:30" ht="12" x14ac:dyDescent="0.3">
      <c r="AD1644" s="6"/>
    </row>
    <row r="1645" spans="30:30" ht="12" x14ac:dyDescent="0.3">
      <c r="AD1645" s="6"/>
    </row>
    <row r="1646" spans="30:30" ht="12" x14ac:dyDescent="0.3">
      <c r="AD1646" s="6"/>
    </row>
    <row r="1647" spans="30:30" ht="12" x14ac:dyDescent="0.3">
      <c r="AD1647" s="6"/>
    </row>
    <row r="1648" spans="30:30" ht="12" x14ac:dyDescent="0.3">
      <c r="AD1648" s="6"/>
    </row>
    <row r="1649" spans="30:30" ht="12" x14ac:dyDescent="0.3">
      <c r="AD1649" s="6"/>
    </row>
    <row r="1650" spans="30:30" ht="12" x14ac:dyDescent="0.3">
      <c r="AD1650" s="6"/>
    </row>
    <row r="1651" spans="30:30" ht="12" x14ac:dyDescent="0.3">
      <c r="AD1651" s="6"/>
    </row>
    <row r="1652" spans="30:30" ht="12" x14ac:dyDescent="0.3">
      <c r="AD1652" s="6"/>
    </row>
    <row r="1653" spans="30:30" ht="12" x14ac:dyDescent="0.3">
      <c r="AD1653" s="6"/>
    </row>
    <row r="1654" spans="30:30" ht="12" x14ac:dyDescent="0.3">
      <c r="AD1654" s="6"/>
    </row>
    <row r="1655" spans="30:30" ht="12" x14ac:dyDescent="0.3">
      <c r="AD1655" s="6"/>
    </row>
    <row r="1656" spans="30:30" ht="12" x14ac:dyDescent="0.3">
      <c r="AD1656" s="6"/>
    </row>
    <row r="1657" spans="30:30" ht="12" x14ac:dyDescent="0.3">
      <c r="AD1657" s="6"/>
    </row>
    <row r="1658" spans="30:30" ht="12" x14ac:dyDescent="0.3">
      <c r="AD1658" s="6"/>
    </row>
    <row r="1659" spans="30:30" ht="12" x14ac:dyDescent="0.3">
      <c r="AD1659" s="6"/>
    </row>
    <row r="1660" spans="30:30" ht="12" x14ac:dyDescent="0.3">
      <c r="AD1660" s="6"/>
    </row>
    <row r="1661" spans="30:30" ht="12" x14ac:dyDescent="0.3">
      <c r="AD1661" s="6"/>
    </row>
    <row r="1662" spans="30:30" ht="12" x14ac:dyDescent="0.3">
      <c r="AD1662" s="6"/>
    </row>
    <row r="1663" spans="30:30" ht="12" x14ac:dyDescent="0.3">
      <c r="AD1663" s="6"/>
    </row>
    <row r="1664" spans="30:30" ht="12" x14ac:dyDescent="0.3">
      <c r="AD1664" s="6"/>
    </row>
    <row r="1665" spans="30:30" ht="12" x14ac:dyDescent="0.3">
      <c r="AD1665" s="6"/>
    </row>
    <row r="1666" spans="30:30" ht="12" x14ac:dyDescent="0.3">
      <c r="AD1666" s="6"/>
    </row>
    <row r="1667" spans="30:30" ht="12" x14ac:dyDescent="0.3">
      <c r="AD1667" s="6"/>
    </row>
    <row r="1668" spans="30:30" ht="12" x14ac:dyDescent="0.3">
      <c r="AD1668" s="6"/>
    </row>
    <row r="1669" spans="30:30" ht="12" x14ac:dyDescent="0.3">
      <c r="AD1669" s="6"/>
    </row>
    <row r="1670" spans="30:30" ht="12" x14ac:dyDescent="0.3">
      <c r="AD1670" s="6"/>
    </row>
    <row r="1671" spans="30:30" ht="12" x14ac:dyDescent="0.3">
      <c r="AD1671" s="6"/>
    </row>
    <row r="1672" spans="30:30" ht="12" x14ac:dyDescent="0.3">
      <c r="AD1672" s="6"/>
    </row>
    <row r="1673" spans="30:30" ht="12" x14ac:dyDescent="0.3">
      <c r="AD1673" s="6"/>
    </row>
    <row r="1674" spans="30:30" ht="12" x14ac:dyDescent="0.3">
      <c r="AD1674" s="6"/>
    </row>
    <row r="1675" spans="30:30" ht="12" x14ac:dyDescent="0.3">
      <c r="AD1675" s="6"/>
    </row>
    <row r="1676" spans="30:30" ht="12" x14ac:dyDescent="0.3">
      <c r="AD1676" s="6"/>
    </row>
    <row r="1677" spans="30:30" ht="12" x14ac:dyDescent="0.3">
      <c r="AD1677" s="6"/>
    </row>
    <row r="1678" spans="30:30" ht="12" x14ac:dyDescent="0.3">
      <c r="AD1678" s="6"/>
    </row>
    <row r="1679" spans="30:30" ht="12" x14ac:dyDescent="0.3">
      <c r="AD1679" s="6"/>
    </row>
    <row r="1680" spans="30:30" ht="12" x14ac:dyDescent="0.3">
      <c r="AD1680" s="6"/>
    </row>
    <row r="1681" spans="30:30" ht="12" x14ac:dyDescent="0.3">
      <c r="AD1681" s="6"/>
    </row>
    <row r="1682" spans="30:30" ht="12" x14ac:dyDescent="0.3">
      <c r="AD1682" s="6"/>
    </row>
    <row r="1683" spans="30:30" ht="12" x14ac:dyDescent="0.3">
      <c r="AD1683" s="6"/>
    </row>
    <row r="1684" spans="30:30" ht="12" x14ac:dyDescent="0.3">
      <c r="AD1684" s="6"/>
    </row>
    <row r="1685" spans="30:30" ht="12" x14ac:dyDescent="0.3">
      <c r="AD1685" s="6"/>
    </row>
    <row r="1686" spans="30:30" ht="12" x14ac:dyDescent="0.3">
      <c r="AD1686" s="6"/>
    </row>
    <row r="1687" spans="30:30" ht="12" x14ac:dyDescent="0.3">
      <c r="AD1687" s="6"/>
    </row>
    <row r="1688" spans="30:30" ht="12" x14ac:dyDescent="0.3">
      <c r="AD1688" s="6"/>
    </row>
    <row r="1689" spans="30:30" ht="12" x14ac:dyDescent="0.3">
      <c r="AD1689" s="6"/>
    </row>
    <row r="1690" spans="30:30" ht="12" x14ac:dyDescent="0.3">
      <c r="AD1690" s="6"/>
    </row>
    <row r="1691" spans="30:30" ht="12" x14ac:dyDescent="0.3">
      <c r="AD1691" s="6"/>
    </row>
    <row r="1692" spans="30:30" ht="12" x14ac:dyDescent="0.3">
      <c r="AD1692" s="6"/>
    </row>
    <row r="1693" spans="30:30" ht="12" x14ac:dyDescent="0.3">
      <c r="AD1693" s="6"/>
    </row>
    <row r="1694" spans="30:30" ht="12" x14ac:dyDescent="0.3">
      <c r="AD1694" s="6"/>
    </row>
    <row r="1695" spans="30:30" ht="12" x14ac:dyDescent="0.3">
      <c r="AD1695" s="6"/>
    </row>
    <row r="1696" spans="30:30" ht="12" x14ac:dyDescent="0.3">
      <c r="AD1696" s="6"/>
    </row>
    <row r="1697" spans="30:30" ht="12" x14ac:dyDescent="0.3">
      <c r="AD1697" s="6"/>
    </row>
    <row r="1698" spans="30:30" ht="12" x14ac:dyDescent="0.3">
      <c r="AD1698" s="6"/>
    </row>
    <row r="1699" spans="30:30" ht="12" x14ac:dyDescent="0.3">
      <c r="AD1699" s="6"/>
    </row>
    <row r="1700" spans="30:30" ht="12" x14ac:dyDescent="0.3">
      <c r="AD1700" s="6"/>
    </row>
    <row r="1701" spans="30:30" ht="12" x14ac:dyDescent="0.3">
      <c r="AD1701" s="6"/>
    </row>
    <row r="1702" spans="30:30" ht="12" x14ac:dyDescent="0.3">
      <c r="AD1702" s="6"/>
    </row>
    <row r="1703" spans="30:30" ht="12" x14ac:dyDescent="0.3">
      <c r="AD1703" s="6"/>
    </row>
    <row r="1704" spans="30:30" ht="12" x14ac:dyDescent="0.3">
      <c r="AD1704" s="6"/>
    </row>
    <row r="1705" spans="30:30" ht="12" x14ac:dyDescent="0.3">
      <c r="AD1705" s="6"/>
    </row>
    <row r="1706" spans="30:30" ht="12" x14ac:dyDescent="0.3">
      <c r="AD1706" s="6"/>
    </row>
    <row r="1707" spans="30:30" ht="12" x14ac:dyDescent="0.3">
      <c r="AD1707" s="6"/>
    </row>
    <row r="1708" spans="30:30" ht="12" x14ac:dyDescent="0.3">
      <c r="AD1708" s="6"/>
    </row>
    <row r="1709" spans="30:30" ht="12" x14ac:dyDescent="0.3">
      <c r="AD1709" s="6"/>
    </row>
    <row r="1710" spans="30:30" ht="12" x14ac:dyDescent="0.3">
      <c r="AD1710" s="6"/>
    </row>
    <row r="1711" spans="30:30" ht="12" x14ac:dyDescent="0.3">
      <c r="AD1711" s="6"/>
    </row>
    <row r="1712" spans="30:30" ht="12" x14ac:dyDescent="0.3">
      <c r="AD1712" s="6"/>
    </row>
    <row r="1713" spans="30:30" ht="12" x14ac:dyDescent="0.3">
      <c r="AD1713" s="6"/>
    </row>
    <row r="1714" spans="30:30" ht="12" x14ac:dyDescent="0.3">
      <c r="AD1714" s="6"/>
    </row>
    <row r="1715" spans="30:30" ht="12" x14ac:dyDescent="0.3">
      <c r="AD1715" s="6"/>
    </row>
    <row r="1716" spans="30:30" ht="12" x14ac:dyDescent="0.3">
      <c r="AD1716" s="6"/>
    </row>
    <row r="1717" spans="30:30" ht="12" x14ac:dyDescent="0.3">
      <c r="AD1717" s="6"/>
    </row>
    <row r="1718" spans="30:30" ht="12" x14ac:dyDescent="0.3">
      <c r="AD1718" s="6"/>
    </row>
    <row r="1719" spans="30:30" ht="12" x14ac:dyDescent="0.3">
      <c r="AD1719" s="6"/>
    </row>
    <row r="1720" spans="30:30" ht="12" x14ac:dyDescent="0.3">
      <c r="AD1720" s="6"/>
    </row>
    <row r="1721" spans="30:30" ht="12" x14ac:dyDescent="0.3">
      <c r="AD1721" s="6"/>
    </row>
    <row r="1722" spans="30:30" ht="12" x14ac:dyDescent="0.3">
      <c r="AD1722" s="6"/>
    </row>
    <row r="1723" spans="30:30" ht="12" x14ac:dyDescent="0.3">
      <c r="AD1723" s="6"/>
    </row>
    <row r="1724" spans="30:30" ht="12" x14ac:dyDescent="0.3">
      <c r="AD1724" s="6"/>
    </row>
    <row r="1725" spans="30:30" ht="12" x14ac:dyDescent="0.3">
      <c r="AD1725" s="6"/>
    </row>
    <row r="1726" spans="30:30" ht="12" x14ac:dyDescent="0.3">
      <c r="AD1726" s="6"/>
    </row>
    <row r="1727" spans="30:30" ht="12" x14ac:dyDescent="0.3">
      <c r="AD1727" s="6"/>
    </row>
    <row r="1728" spans="30:30" ht="12" x14ac:dyDescent="0.3">
      <c r="AD1728" s="6"/>
    </row>
    <row r="1729" spans="30:30" ht="12" x14ac:dyDescent="0.3">
      <c r="AD1729" s="6"/>
    </row>
    <row r="1730" spans="30:30" ht="12" x14ac:dyDescent="0.3">
      <c r="AD1730" s="6"/>
    </row>
    <row r="1731" spans="30:30" ht="12" x14ac:dyDescent="0.3">
      <c r="AD1731" s="6"/>
    </row>
    <row r="1732" spans="30:30" ht="12" x14ac:dyDescent="0.3">
      <c r="AD1732" s="6"/>
    </row>
    <row r="1733" spans="30:30" ht="12" x14ac:dyDescent="0.3">
      <c r="AD1733" s="6"/>
    </row>
    <row r="1734" spans="30:30" ht="12" x14ac:dyDescent="0.3">
      <c r="AD1734" s="6"/>
    </row>
    <row r="1735" spans="30:30" ht="12" x14ac:dyDescent="0.3">
      <c r="AD1735" s="6"/>
    </row>
    <row r="1736" spans="30:30" ht="12" x14ac:dyDescent="0.3">
      <c r="AD1736" s="6"/>
    </row>
    <row r="1737" spans="30:30" ht="12" x14ac:dyDescent="0.3">
      <c r="AD1737" s="6"/>
    </row>
    <row r="1738" spans="30:30" ht="12" x14ac:dyDescent="0.3">
      <c r="AD1738" s="6"/>
    </row>
    <row r="1739" spans="30:30" ht="12" x14ac:dyDescent="0.3">
      <c r="AD1739" s="6"/>
    </row>
    <row r="1740" spans="30:30" ht="12" x14ac:dyDescent="0.3">
      <c r="AD1740" s="6"/>
    </row>
    <row r="1741" spans="30:30" ht="12" x14ac:dyDescent="0.3">
      <c r="AD1741" s="6"/>
    </row>
    <row r="1742" spans="30:30" ht="12" x14ac:dyDescent="0.3">
      <c r="AD1742" s="6"/>
    </row>
    <row r="1743" spans="30:30" ht="12" x14ac:dyDescent="0.3">
      <c r="AD1743" s="6"/>
    </row>
    <row r="1744" spans="30:30" ht="12" x14ac:dyDescent="0.3">
      <c r="AD1744" s="6"/>
    </row>
    <row r="1745" spans="30:30" ht="12" x14ac:dyDescent="0.3">
      <c r="AD1745" s="6"/>
    </row>
    <row r="1746" spans="30:30" ht="12" x14ac:dyDescent="0.3">
      <c r="AD1746" s="6"/>
    </row>
    <row r="1747" spans="30:30" ht="12" x14ac:dyDescent="0.3">
      <c r="AD1747" s="6"/>
    </row>
    <row r="1748" spans="30:30" ht="12" x14ac:dyDescent="0.3">
      <c r="AD1748" s="6"/>
    </row>
    <row r="1749" spans="30:30" ht="12" x14ac:dyDescent="0.3">
      <c r="AD1749" s="6"/>
    </row>
    <row r="1750" spans="30:30" ht="12" x14ac:dyDescent="0.3">
      <c r="AD1750" s="6"/>
    </row>
    <row r="1751" spans="30:30" ht="12" x14ac:dyDescent="0.3">
      <c r="AD1751" s="6"/>
    </row>
    <row r="1752" spans="30:30" ht="12" x14ac:dyDescent="0.3">
      <c r="AD1752" s="6"/>
    </row>
    <row r="1753" spans="30:30" ht="12" x14ac:dyDescent="0.3">
      <c r="AD1753" s="6"/>
    </row>
    <row r="1754" spans="30:30" ht="12" x14ac:dyDescent="0.3">
      <c r="AD1754" s="6"/>
    </row>
    <row r="1755" spans="30:30" ht="12" x14ac:dyDescent="0.3">
      <c r="AD1755" s="6"/>
    </row>
    <row r="1756" spans="30:30" ht="12" x14ac:dyDescent="0.3">
      <c r="AD1756" s="6"/>
    </row>
    <row r="1757" spans="30:30" ht="12" x14ac:dyDescent="0.3">
      <c r="AD1757" s="6"/>
    </row>
    <row r="1758" spans="30:30" ht="12" x14ac:dyDescent="0.3">
      <c r="AD1758" s="6"/>
    </row>
    <row r="1759" spans="30:30" ht="12" x14ac:dyDescent="0.3">
      <c r="AD1759" s="6"/>
    </row>
    <row r="1760" spans="30:30" ht="12" x14ac:dyDescent="0.3">
      <c r="AD1760" s="6"/>
    </row>
    <row r="1761" spans="30:30" ht="12" x14ac:dyDescent="0.3">
      <c r="AD1761" s="6"/>
    </row>
    <row r="1762" spans="30:30" ht="12" x14ac:dyDescent="0.3">
      <c r="AD1762" s="6"/>
    </row>
    <row r="1763" spans="30:30" ht="12" x14ac:dyDescent="0.3">
      <c r="AD1763" s="6"/>
    </row>
    <row r="1764" spans="30:30" ht="12" x14ac:dyDescent="0.3">
      <c r="AD1764" s="6"/>
    </row>
    <row r="1765" spans="30:30" ht="12" x14ac:dyDescent="0.3">
      <c r="AD1765" s="6"/>
    </row>
    <row r="1766" spans="30:30" ht="12" x14ac:dyDescent="0.3">
      <c r="AD1766" s="6"/>
    </row>
    <row r="1767" spans="30:30" ht="12" x14ac:dyDescent="0.3">
      <c r="AD1767" s="6"/>
    </row>
    <row r="1768" spans="30:30" ht="12" x14ac:dyDescent="0.3">
      <c r="AD1768" s="6"/>
    </row>
    <row r="1769" spans="30:30" ht="12" x14ac:dyDescent="0.3">
      <c r="AD1769" s="6"/>
    </row>
    <row r="1770" spans="30:30" ht="12" x14ac:dyDescent="0.3">
      <c r="AD1770" s="6"/>
    </row>
    <row r="1771" spans="30:30" ht="12" x14ac:dyDescent="0.3">
      <c r="AD1771" s="6"/>
    </row>
    <row r="1772" spans="30:30" ht="12" x14ac:dyDescent="0.3">
      <c r="AD1772" s="6"/>
    </row>
    <row r="1773" spans="30:30" ht="12" x14ac:dyDescent="0.3">
      <c r="AD1773" s="6"/>
    </row>
    <row r="1774" spans="30:30" ht="12" x14ac:dyDescent="0.3">
      <c r="AD1774" s="6"/>
    </row>
    <row r="1775" spans="30:30" ht="12" x14ac:dyDescent="0.3">
      <c r="AD1775" s="6"/>
    </row>
    <row r="1776" spans="30:30" ht="12" x14ac:dyDescent="0.3">
      <c r="AD1776" s="6"/>
    </row>
    <row r="1777" spans="30:30" ht="12" x14ac:dyDescent="0.3">
      <c r="AD1777" s="6"/>
    </row>
    <row r="1778" spans="30:30" ht="12" x14ac:dyDescent="0.3">
      <c r="AD1778" s="6"/>
    </row>
    <row r="1779" spans="30:30" ht="12" x14ac:dyDescent="0.3">
      <c r="AD1779" s="6"/>
    </row>
    <row r="1780" spans="30:30" ht="12" x14ac:dyDescent="0.3">
      <c r="AD1780" s="6"/>
    </row>
    <row r="1781" spans="30:30" ht="12" x14ac:dyDescent="0.3">
      <c r="AD1781" s="6"/>
    </row>
    <row r="1782" spans="30:30" ht="12" x14ac:dyDescent="0.3">
      <c r="AD1782" s="6"/>
    </row>
    <row r="1783" spans="30:30" ht="12" x14ac:dyDescent="0.3">
      <c r="AD1783" s="6"/>
    </row>
    <row r="1784" spans="30:30" ht="12" x14ac:dyDescent="0.3">
      <c r="AD1784" s="6"/>
    </row>
    <row r="1785" spans="30:30" ht="12" x14ac:dyDescent="0.3">
      <c r="AD1785" s="6"/>
    </row>
    <row r="1786" spans="30:30" ht="12" x14ac:dyDescent="0.3">
      <c r="AD1786" s="6"/>
    </row>
    <row r="1787" spans="30:30" ht="12" x14ac:dyDescent="0.3">
      <c r="AD1787" s="6"/>
    </row>
    <row r="1788" spans="30:30" ht="12" x14ac:dyDescent="0.3">
      <c r="AD1788" s="6"/>
    </row>
    <row r="1789" spans="30:30" ht="12" x14ac:dyDescent="0.3">
      <c r="AD1789" s="6"/>
    </row>
    <row r="1790" spans="30:30" ht="12" x14ac:dyDescent="0.3">
      <c r="AD1790" s="6"/>
    </row>
    <row r="1791" spans="30:30" ht="12" x14ac:dyDescent="0.3">
      <c r="AD1791" s="6"/>
    </row>
    <row r="1792" spans="30:30" ht="12" x14ac:dyDescent="0.3">
      <c r="AD1792" s="6"/>
    </row>
    <row r="1793" spans="30:30" ht="12" x14ac:dyDescent="0.3">
      <c r="AD1793" s="6"/>
    </row>
    <row r="1794" spans="30:30" ht="12" x14ac:dyDescent="0.3">
      <c r="AD1794" s="6"/>
    </row>
    <row r="1795" spans="30:30" ht="12" x14ac:dyDescent="0.3">
      <c r="AD1795" s="6"/>
    </row>
    <row r="1796" spans="30:30" ht="12" x14ac:dyDescent="0.3">
      <c r="AD1796" s="6"/>
    </row>
    <row r="1797" spans="30:30" ht="12" x14ac:dyDescent="0.3">
      <c r="AD1797" s="6"/>
    </row>
    <row r="1798" spans="30:30" ht="12" x14ac:dyDescent="0.3">
      <c r="AD1798" s="6"/>
    </row>
    <row r="1799" spans="30:30" ht="12" x14ac:dyDescent="0.3">
      <c r="AD1799" s="6"/>
    </row>
    <row r="1800" spans="30:30" ht="12" x14ac:dyDescent="0.3">
      <c r="AD1800" s="6"/>
    </row>
    <row r="1801" spans="30:30" ht="12" x14ac:dyDescent="0.3">
      <c r="AD1801" s="6"/>
    </row>
    <row r="1802" spans="30:30" ht="12" x14ac:dyDescent="0.3">
      <c r="AD1802" s="6"/>
    </row>
    <row r="1803" spans="30:30" ht="12" x14ac:dyDescent="0.3">
      <c r="AD1803" s="6"/>
    </row>
    <row r="1804" spans="30:30" ht="12" x14ac:dyDescent="0.3">
      <c r="AD1804" s="6"/>
    </row>
    <row r="1805" spans="30:30" ht="12" x14ac:dyDescent="0.3">
      <c r="AD1805" s="6"/>
    </row>
    <row r="1806" spans="30:30" ht="12" x14ac:dyDescent="0.3">
      <c r="AD1806" s="6"/>
    </row>
    <row r="1807" spans="30:30" ht="12" x14ac:dyDescent="0.3">
      <c r="AD1807" s="6"/>
    </row>
    <row r="1808" spans="30:30" ht="12" x14ac:dyDescent="0.3">
      <c r="AD1808" s="6"/>
    </row>
    <row r="1809" spans="30:30" ht="12" x14ac:dyDescent="0.3">
      <c r="AD1809" s="6"/>
    </row>
    <row r="1810" spans="30:30" ht="12" x14ac:dyDescent="0.3">
      <c r="AD1810" s="6"/>
    </row>
    <row r="1811" spans="30:30" ht="12" x14ac:dyDescent="0.3">
      <c r="AD1811" s="6"/>
    </row>
    <row r="1812" spans="30:30" ht="12" x14ac:dyDescent="0.3">
      <c r="AD1812" s="6"/>
    </row>
    <row r="1813" spans="30:30" ht="12" x14ac:dyDescent="0.3">
      <c r="AD1813" s="6"/>
    </row>
    <row r="1814" spans="30:30" ht="12" x14ac:dyDescent="0.3">
      <c r="AD1814" s="6"/>
    </row>
    <row r="1815" spans="30:30" ht="12" x14ac:dyDescent="0.3">
      <c r="AD1815" s="6"/>
    </row>
    <row r="1816" spans="30:30" ht="12" x14ac:dyDescent="0.3">
      <c r="AD1816" s="6"/>
    </row>
    <row r="1817" spans="30:30" ht="12" x14ac:dyDescent="0.3">
      <c r="AD1817" s="6"/>
    </row>
    <row r="1818" spans="30:30" ht="12" x14ac:dyDescent="0.3">
      <c r="AD1818" s="6"/>
    </row>
    <row r="1819" spans="30:30" ht="12" x14ac:dyDescent="0.3">
      <c r="AD1819" s="6"/>
    </row>
    <row r="1820" spans="30:30" ht="12" x14ac:dyDescent="0.3">
      <c r="AD1820" s="6"/>
    </row>
    <row r="1821" spans="30:30" ht="12" x14ac:dyDescent="0.3">
      <c r="AD1821" s="6"/>
    </row>
    <row r="1822" spans="30:30" ht="12" x14ac:dyDescent="0.3">
      <c r="AD1822" s="6"/>
    </row>
    <row r="1823" spans="30:30" ht="12" x14ac:dyDescent="0.3">
      <c r="AD1823" s="6"/>
    </row>
    <row r="1824" spans="30:30" ht="12" x14ac:dyDescent="0.3">
      <c r="AD1824" s="6"/>
    </row>
    <row r="1825" spans="30:30" ht="12" x14ac:dyDescent="0.3">
      <c r="AD1825" s="6"/>
    </row>
    <row r="1826" spans="30:30" ht="12" x14ac:dyDescent="0.3">
      <c r="AD1826" s="6"/>
    </row>
    <row r="1827" spans="30:30" ht="12" x14ac:dyDescent="0.3">
      <c r="AD1827" s="6"/>
    </row>
    <row r="1828" spans="30:30" ht="12" x14ac:dyDescent="0.3">
      <c r="AD1828" s="6"/>
    </row>
    <row r="1829" spans="30:30" ht="12" x14ac:dyDescent="0.3">
      <c r="AD1829" s="6"/>
    </row>
    <row r="1830" spans="30:30" ht="12" x14ac:dyDescent="0.3">
      <c r="AD1830" s="6"/>
    </row>
    <row r="1831" spans="30:30" ht="12" x14ac:dyDescent="0.3">
      <c r="AD1831" s="6"/>
    </row>
    <row r="1832" spans="30:30" ht="12" x14ac:dyDescent="0.3">
      <c r="AD1832" s="6"/>
    </row>
    <row r="1833" spans="30:30" ht="12" x14ac:dyDescent="0.3">
      <c r="AD1833" s="6"/>
    </row>
    <row r="1834" spans="30:30" ht="12" x14ac:dyDescent="0.3">
      <c r="AD1834" s="6"/>
    </row>
    <row r="1835" spans="30:30" ht="12" x14ac:dyDescent="0.3">
      <c r="AD1835" s="6"/>
    </row>
    <row r="1836" spans="30:30" ht="12" x14ac:dyDescent="0.3">
      <c r="AD1836" s="6"/>
    </row>
    <row r="1837" spans="30:30" ht="12" x14ac:dyDescent="0.3">
      <c r="AD1837" s="6"/>
    </row>
    <row r="1838" spans="30:30" ht="12" x14ac:dyDescent="0.3">
      <c r="AD1838" s="6"/>
    </row>
    <row r="1839" spans="30:30" ht="12" x14ac:dyDescent="0.3">
      <c r="AD1839" s="6"/>
    </row>
    <row r="1840" spans="30:30" ht="12" x14ac:dyDescent="0.3">
      <c r="AD1840" s="6"/>
    </row>
    <row r="1841" spans="30:30" ht="12" x14ac:dyDescent="0.3">
      <c r="AD1841" s="6"/>
    </row>
    <row r="1842" spans="30:30" ht="12" x14ac:dyDescent="0.3">
      <c r="AD1842" s="6"/>
    </row>
    <row r="1843" spans="30:30" ht="12" x14ac:dyDescent="0.3">
      <c r="AD1843" s="6"/>
    </row>
    <row r="1844" spans="30:30" ht="12" x14ac:dyDescent="0.3">
      <c r="AD1844" s="6"/>
    </row>
    <row r="1845" spans="30:30" ht="12" x14ac:dyDescent="0.3">
      <c r="AD1845" s="6"/>
    </row>
    <row r="1846" spans="30:30" ht="12" x14ac:dyDescent="0.3">
      <c r="AD1846" s="6"/>
    </row>
    <row r="1847" spans="30:30" ht="12" x14ac:dyDescent="0.3">
      <c r="AD1847" s="6"/>
    </row>
    <row r="1848" spans="30:30" ht="12" x14ac:dyDescent="0.3">
      <c r="AD1848" s="6"/>
    </row>
    <row r="1849" spans="30:30" ht="12" x14ac:dyDescent="0.3">
      <c r="AD1849" s="6"/>
    </row>
    <row r="1850" spans="30:30" ht="12" x14ac:dyDescent="0.3">
      <c r="AD1850" s="6"/>
    </row>
    <row r="1851" spans="30:30" ht="12" x14ac:dyDescent="0.3">
      <c r="AD1851" s="6"/>
    </row>
    <row r="1852" spans="30:30" ht="12" x14ac:dyDescent="0.3">
      <c r="AD1852" s="6"/>
    </row>
    <row r="1853" spans="30:30" ht="12" x14ac:dyDescent="0.3">
      <c r="AD1853" s="6"/>
    </row>
    <row r="1854" spans="30:30" ht="12" x14ac:dyDescent="0.3">
      <c r="AD1854" s="6"/>
    </row>
    <row r="1855" spans="30:30" ht="12" x14ac:dyDescent="0.3">
      <c r="AD1855" s="6"/>
    </row>
    <row r="1856" spans="30:30" ht="12" x14ac:dyDescent="0.3">
      <c r="AD1856" s="6"/>
    </row>
    <row r="1857" spans="30:30" ht="12" x14ac:dyDescent="0.3">
      <c r="AD1857" s="6"/>
    </row>
    <row r="1858" spans="30:30" ht="12" x14ac:dyDescent="0.3">
      <c r="AD1858" s="6"/>
    </row>
    <row r="1859" spans="30:30" ht="12" x14ac:dyDescent="0.3">
      <c r="AD1859" s="6"/>
    </row>
    <row r="1860" spans="30:30" ht="12" x14ac:dyDescent="0.3">
      <c r="AD1860" s="6"/>
    </row>
    <row r="1861" spans="30:30" ht="12" x14ac:dyDescent="0.3">
      <c r="AD1861" s="6"/>
    </row>
    <row r="1862" spans="30:30" ht="12" x14ac:dyDescent="0.3">
      <c r="AD1862" s="6"/>
    </row>
    <row r="1863" spans="30:30" ht="12" x14ac:dyDescent="0.3">
      <c r="AD1863" s="6"/>
    </row>
    <row r="1864" spans="30:30" ht="12" x14ac:dyDescent="0.3">
      <c r="AD1864" s="6"/>
    </row>
    <row r="1865" spans="30:30" ht="12" x14ac:dyDescent="0.3">
      <c r="AD1865" s="6"/>
    </row>
    <row r="1866" spans="30:30" ht="12" x14ac:dyDescent="0.3">
      <c r="AD1866" s="6"/>
    </row>
    <row r="1867" spans="30:30" ht="12" x14ac:dyDescent="0.3">
      <c r="AD1867" s="6"/>
    </row>
    <row r="1868" spans="30:30" ht="12" x14ac:dyDescent="0.3">
      <c r="AD1868" s="6"/>
    </row>
    <row r="1869" spans="30:30" ht="12" x14ac:dyDescent="0.3">
      <c r="AD1869" s="6"/>
    </row>
    <row r="1870" spans="30:30" ht="12" x14ac:dyDescent="0.3">
      <c r="AD1870" s="6"/>
    </row>
    <row r="1871" spans="30:30" ht="12" x14ac:dyDescent="0.3">
      <c r="AD1871" s="6"/>
    </row>
    <row r="1872" spans="30:30" ht="12" x14ac:dyDescent="0.3">
      <c r="AD1872" s="6"/>
    </row>
    <row r="1873" spans="30:30" ht="12" x14ac:dyDescent="0.3">
      <c r="AD1873" s="6"/>
    </row>
    <row r="1874" spans="30:30" ht="12" x14ac:dyDescent="0.3">
      <c r="AD1874" s="6"/>
    </row>
    <row r="1875" spans="30:30" ht="12" x14ac:dyDescent="0.3">
      <c r="AD1875" s="6"/>
    </row>
    <row r="1876" spans="30:30" ht="12" x14ac:dyDescent="0.3">
      <c r="AD1876" s="6"/>
    </row>
    <row r="1877" spans="30:30" ht="12" x14ac:dyDescent="0.3">
      <c r="AD1877" s="6"/>
    </row>
    <row r="1878" spans="30:30" ht="12" x14ac:dyDescent="0.3">
      <c r="AD1878" s="6"/>
    </row>
    <row r="1879" spans="30:30" ht="12" x14ac:dyDescent="0.3">
      <c r="AD1879" s="6"/>
    </row>
    <row r="1880" spans="30:30" ht="12" x14ac:dyDescent="0.3">
      <c r="AD1880" s="6"/>
    </row>
    <row r="1881" spans="30:30" ht="12" x14ac:dyDescent="0.3">
      <c r="AD1881" s="6"/>
    </row>
    <row r="1882" spans="30:30" ht="12" x14ac:dyDescent="0.3">
      <c r="AD1882" s="6"/>
    </row>
    <row r="1883" spans="30:30" ht="12" x14ac:dyDescent="0.3">
      <c r="AD1883" s="6"/>
    </row>
    <row r="1884" spans="30:30" ht="12" x14ac:dyDescent="0.3">
      <c r="AD1884" s="6"/>
    </row>
    <row r="1885" spans="30:30" ht="12" x14ac:dyDescent="0.3">
      <c r="AD1885" s="6"/>
    </row>
    <row r="1886" spans="30:30" ht="12" x14ac:dyDescent="0.3">
      <c r="AD1886" s="6"/>
    </row>
    <row r="1887" spans="30:30" ht="12" x14ac:dyDescent="0.3">
      <c r="AD1887" s="6"/>
    </row>
    <row r="1888" spans="30:30" ht="12" x14ac:dyDescent="0.3">
      <c r="AD1888" s="6"/>
    </row>
    <row r="1889" spans="30:30" ht="12" x14ac:dyDescent="0.3">
      <c r="AD1889" s="6"/>
    </row>
    <row r="1890" spans="30:30" ht="12" x14ac:dyDescent="0.3">
      <c r="AD1890" s="6"/>
    </row>
    <row r="1891" spans="30:30" ht="12" x14ac:dyDescent="0.3">
      <c r="AD1891" s="6"/>
    </row>
    <row r="1892" spans="30:30" ht="12" x14ac:dyDescent="0.3">
      <c r="AD1892" s="6"/>
    </row>
    <row r="1893" spans="30:30" ht="12" x14ac:dyDescent="0.3">
      <c r="AD1893" s="6"/>
    </row>
    <row r="1894" spans="30:30" ht="12" x14ac:dyDescent="0.3">
      <c r="AD1894" s="6"/>
    </row>
    <row r="1895" spans="30:30" ht="12" x14ac:dyDescent="0.3">
      <c r="AD1895" s="6"/>
    </row>
    <row r="1896" spans="30:30" ht="12" x14ac:dyDescent="0.3">
      <c r="AD1896" s="6"/>
    </row>
    <row r="1897" spans="30:30" ht="12" x14ac:dyDescent="0.3">
      <c r="AD1897" s="6"/>
    </row>
    <row r="1898" spans="30:30" ht="12" x14ac:dyDescent="0.3">
      <c r="AD1898" s="6"/>
    </row>
    <row r="1899" spans="30:30" ht="12" x14ac:dyDescent="0.3">
      <c r="AD1899" s="6"/>
    </row>
    <row r="1900" spans="30:30" ht="12" x14ac:dyDescent="0.3">
      <c r="AD1900" s="6"/>
    </row>
    <row r="1901" spans="30:30" ht="12" x14ac:dyDescent="0.3">
      <c r="AD1901" s="6"/>
    </row>
    <row r="1902" spans="30:30" ht="12" x14ac:dyDescent="0.3">
      <c r="AD1902" s="6"/>
    </row>
    <row r="1903" spans="30:30" ht="12" x14ac:dyDescent="0.3">
      <c r="AD1903" s="6"/>
    </row>
    <row r="1904" spans="30:30" ht="12" x14ac:dyDescent="0.3">
      <c r="AD1904" s="6"/>
    </row>
    <row r="1905" spans="30:30" ht="12" x14ac:dyDescent="0.3">
      <c r="AD1905" s="6"/>
    </row>
    <row r="1906" spans="30:30" ht="12" x14ac:dyDescent="0.3">
      <c r="AD1906" s="6"/>
    </row>
    <row r="1907" spans="30:30" ht="12" x14ac:dyDescent="0.3">
      <c r="AD1907" s="6"/>
    </row>
    <row r="1908" spans="30:30" ht="12" x14ac:dyDescent="0.3">
      <c r="AD1908" s="6"/>
    </row>
    <row r="1909" spans="30:30" ht="12" x14ac:dyDescent="0.3">
      <c r="AD1909" s="6"/>
    </row>
    <row r="1910" spans="30:30" ht="12" x14ac:dyDescent="0.3">
      <c r="AD1910" s="6"/>
    </row>
    <row r="1911" spans="30:30" ht="12" x14ac:dyDescent="0.3">
      <c r="AD1911" s="6"/>
    </row>
    <row r="1912" spans="30:30" ht="12" x14ac:dyDescent="0.3">
      <c r="AD1912" s="6"/>
    </row>
    <row r="1913" spans="30:30" ht="12" x14ac:dyDescent="0.3">
      <c r="AD1913" s="6"/>
    </row>
    <row r="1914" spans="30:30" ht="12" x14ac:dyDescent="0.3">
      <c r="AD1914" s="6"/>
    </row>
    <row r="1915" spans="30:30" ht="12" x14ac:dyDescent="0.3">
      <c r="AD1915" s="6"/>
    </row>
    <row r="1916" spans="30:30" ht="12" x14ac:dyDescent="0.3">
      <c r="AD1916" s="6"/>
    </row>
    <row r="1917" spans="30:30" ht="12" x14ac:dyDescent="0.3">
      <c r="AD1917" s="6"/>
    </row>
    <row r="1918" spans="30:30" ht="12" x14ac:dyDescent="0.3">
      <c r="AD1918" s="6"/>
    </row>
    <row r="1919" spans="30:30" ht="12" x14ac:dyDescent="0.3">
      <c r="AD1919" s="6"/>
    </row>
    <row r="1920" spans="30:30" ht="12" x14ac:dyDescent="0.3">
      <c r="AD1920" s="6"/>
    </row>
    <row r="1921" spans="30:30" ht="12" x14ac:dyDescent="0.3">
      <c r="AD1921" s="6"/>
    </row>
    <row r="1922" spans="30:30" ht="12" x14ac:dyDescent="0.3">
      <c r="AD1922" s="6"/>
    </row>
    <row r="1923" spans="30:30" ht="12" x14ac:dyDescent="0.3">
      <c r="AD1923" s="6"/>
    </row>
    <row r="1924" spans="30:30" ht="12" x14ac:dyDescent="0.3">
      <c r="AD1924" s="6"/>
    </row>
    <row r="1925" spans="30:30" ht="12" x14ac:dyDescent="0.3">
      <c r="AD1925" s="6"/>
    </row>
    <row r="1926" spans="30:30" ht="12" x14ac:dyDescent="0.3">
      <c r="AD1926" s="6"/>
    </row>
    <row r="1927" spans="30:30" ht="12" x14ac:dyDescent="0.3">
      <c r="AD1927" s="6"/>
    </row>
    <row r="1928" spans="30:30" ht="12" x14ac:dyDescent="0.3">
      <c r="AD1928" s="6"/>
    </row>
    <row r="1929" spans="30:30" ht="12" x14ac:dyDescent="0.3">
      <c r="AD1929" s="6"/>
    </row>
    <row r="1930" spans="30:30" ht="12" x14ac:dyDescent="0.3">
      <c r="AD1930" s="6"/>
    </row>
    <row r="1931" spans="30:30" ht="12" x14ac:dyDescent="0.3">
      <c r="AD1931" s="6"/>
    </row>
    <row r="1932" spans="30:30" ht="12" x14ac:dyDescent="0.3">
      <c r="AD1932" s="6"/>
    </row>
    <row r="1933" spans="30:30" ht="12" x14ac:dyDescent="0.3">
      <c r="AD1933" s="6"/>
    </row>
    <row r="1934" spans="30:30" ht="12" x14ac:dyDescent="0.3">
      <c r="AD1934" s="6"/>
    </row>
    <row r="1935" spans="30:30" ht="12" x14ac:dyDescent="0.3">
      <c r="AD1935" s="6"/>
    </row>
    <row r="1936" spans="30:30" ht="12" x14ac:dyDescent="0.3">
      <c r="AD1936" s="6"/>
    </row>
    <row r="1937" spans="30:30" ht="12" x14ac:dyDescent="0.3">
      <c r="AD1937" s="6"/>
    </row>
    <row r="1938" spans="30:30" ht="12" x14ac:dyDescent="0.3">
      <c r="AD1938" s="6"/>
    </row>
    <row r="1939" spans="30:30" ht="12" x14ac:dyDescent="0.3">
      <c r="AD1939" s="6"/>
    </row>
    <row r="1940" spans="30:30" ht="12" x14ac:dyDescent="0.3">
      <c r="AD1940" s="6"/>
    </row>
    <row r="1941" spans="30:30" ht="12" x14ac:dyDescent="0.3">
      <c r="AD1941" s="6"/>
    </row>
    <row r="1942" spans="30:30" ht="12" x14ac:dyDescent="0.3">
      <c r="AD1942" s="6"/>
    </row>
    <row r="1943" spans="30:30" ht="12" x14ac:dyDescent="0.3">
      <c r="AD1943" s="6"/>
    </row>
    <row r="1944" spans="30:30" ht="12" x14ac:dyDescent="0.3">
      <c r="AD1944" s="6"/>
    </row>
    <row r="1945" spans="30:30" ht="12" x14ac:dyDescent="0.3">
      <c r="AD1945" s="6"/>
    </row>
    <row r="1946" spans="30:30" ht="12" x14ac:dyDescent="0.3">
      <c r="AD1946" s="6"/>
    </row>
    <row r="1947" spans="30:30" ht="12" x14ac:dyDescent="0.3">
      <c r="AD1947" s="6"/>
    </row>
    <row r="1948" spans="30:30" ht="12" x14ac:dyDescent="0.3">
      <c r="AD1948" s="6"/>
    </row>
    <row r="1949" spans="30:30" ht="12" x14ac:dyDescent="0.3">
      <c r="AD1949" s="6"/>
    </row>
    <row r="1950" spans="30:30" ht="12" x14ac:dyDescent="0.3">
      <c r="AD1950" s="6"/>
    </row>
    <row r="1951" spans="30:30" ht="12" x14ac:dyDescent="0.3">
      <c r="AD1951" s="6"/>
    </row>
    <row r="1952" spans="30:30" ht="12" x14ac:dyDescent="0.3">
      <c r="AD1952" s="6"/>
    </row>
    <row r="1953" spans="30:30" ht="12" x14ac:dyDescent="0.3">
      <c r="AD1953" s="6"/>
    </row>
    <row r="1954" spans="30:30" ht="12" x14ac:dyDescent="0.3">
      <c r="AD1954" s="6"/>
    </row>
    <row r="1955" spans="30:30" ht="12" x14ac:dyDescent="0.3">
      <c r="AD1955" s="6"/>
    </row>
    <row r="1956" spans="30:30" ht="12" x14ac:dyDescent="0.3">
      <c r="AD1956" s="6"/>
    </row>
    <row r="1957" spans="30:30" ht="12" x14ac:dyDescent="0.3">
      <c r="AD1957" s="6"/>
    </row>
    <row r="1958" spans="30:30" ht="12" x14ac:dyDescent="0.3">
      <c r="AD1958" s="6"/>
    </row>
    <row r="1959" spans="30:30" ht="12" x14ac:dyDescent="0.3">
      <c r="AD1959" s="6"/>
    </row>
    <row r="1960" spans="30:30" ht="12" x14ac:dyDescent="0.3">
      <c r="AD1960" s="6"/>
    </row>
    <row r="1961" spans="30:30" ht="12" x14ac:dyDescent="0.3">
      <c r="AD1961" s="6"/>
    </row>
    <row r="1962" spans="30:30" ht="12" x14ac:dyDescent="0.3">
      <c r="AD1962" s="6"/>
    </row>
    <row r="1963" spans="30:30" ht="12" x14ac:dyDescent="0.3">
      <c r="AD1963" s="6"/>
    </row>
    <row r="1964" spans="30:30" ht="12" x14ac:dyDescent="0.3">
      <c r="AD1964" s="6"/>
    </row>
    <row r="1965" spans="30:30" ht="12" x14ac:dyDescent="0.3">
      <c r="AD1965" s="6"/>
    </row>
    <row r="1966" spans="30:30" ht="12" x14ac:dyDescent="0.3">
      <c r="AD1966" s="6"/>
    </row>
    <row r="1967" spans="30:30" ht="12" x14ac:dyDescent="0.3">
      <c r="AD1967" s="6"/>
    </row>
    <row r="1968" spans="30:30" ht="12" x14ac:dyDescent="0.3">
      <c r="AD1968" s="6"/>
    </row>
    <row r="1969" spans="30:30" ht="12" x14ac:dyDescent="0.3">
      <c r="AD1969" s="6"/>
    </row>
    <row r="1970" spans="30:30" ht="12" x14ac:dyDescent="0.3">
      <c r="AD1970" s="6"/>
    </row>
    <row r="1971" spans="30:30" ht="12" x14ac:dyDescent="0.3">
      <c r="AD1971" s="6"/>
    </row>
    <row r="1972" spans="30:30" ht="12" x14ac:dyDescent="0.3">
      <c r="AD1972" s="6"/>
    </row>
    <row r="1973" spans="30:30" ht="12" x14ac:dyDescent="0.3">
      <c r="AD1973" s="6"/>
    </row>
    <row r="1974" spans="30:30" ht="12" x14ac:dyDescent="0.3">
      <c r="AD1974" s="6"/>
    </row>
    <row r="1975" spans="30:30" ht="12" x14ac:dyDescent="0.3">
      <c r="AD1975" s="6"/>
    </row>
    <row r="1976" spans="30:30" ht="12" x14ac:dyDescent="0.3">
      <c r="AD1976" s="6"/>
    </row>
    <row r="1977" spans="30:30" ht="12" x14ac:dyDescent="0.3">
      <c r="AD1977" s="6"/>
    </row>
    <row r="1978" spans="30:30" ht="12" x14ac:dyDescent="0.3">
      <c r="AD1978" s="6"/>
    </row>
    <row r="1979" spans="30:30" ht="12" x14ac:dyDescent="0.3">
      <c r="AD1979" s="6"/>
    </row>
    <row r="1980" spans="30:30" ht="12" x14ac:dyDescent="0.3">
      <c r="AD1980" s="6"/>
    </row>
    <row r="1981" spans="30:30" ht="12" x14ac:dyDescent="0.3">
      <c r="AD1981" s="6"/>
    </row>
    <row r="1982" spans="30:30" ht="12" x14ac:dyDescent="0.3">
      <c r="AD1982" s="6"/>
    </row>
    <row r="1983" spans="30:30" ht="12" x14ac:dyDescent="0.3">
      <c r="AD1983" s="6"/>
    </row>
    <row r="1984" spans="30:30" ht="12" x14ac:dyDescent="0.3">
      <c r="AD1984" s="6"/>
    </row>
    <row r="1985" spans="30:30" ht="12" x14ac:dyDescent="0.3">
      <c r="AD1985" s="6"/>
    </row>
    <row r="1986" spans="30:30" ht="12" x14ac:dyDescent="0.3">
      <c r="AD1986" s="6"/>
    </row>
    <row r="1987" spans="30:30" ht="12" x14ac:dyDescent="0.3">
      <c r="AD1987" s="6"/>
    </row>
    <row r="1988" spans="30:30" ht="12" x14ac:dyDescent="0.3">
      <c r="AD1988" s="6"/>
    </row>
    <row r="1989" spans="30:30" ht="12" x14ac:dyDescent="0.3">
      <c r="AD1989" s="6"/>
    </row>
    <row r="1990" spans="30:30" ht="12" x14ac:dyDescent="0.3">
      <c r="AD1990" s="6"/>
    </row>
    <row r="1991" spans="30:30" ht="12" x14ac:dyDescent="0.3">
      <c r="AD1991" s="6"/>
    </row>
    <row r="1992" spans="30:30" ht="12" x14ac:dyDescent="0.3">
      <c r="AD1992" s="6"/>
    </row>
    <row r="1993" spans="30:30" ht="12" x14ac:dyDescent="0.3">
      <c r="AD1993" s="6"/>
    </row>
    <row r="1994" spans="30:30" ht="12" x14ac:dyDescent="0.3">
      <c r="AD1994" s="6"/>
    </row>
    <row r="1995" spans="30:30" ht="12" x14ac:dyDescent="0.3">
      <c r="AD1995" s="6"/>
    </row>
    <row r="1996" spans="30:30" ht="12" x14ac:dyDescent="0.3">
      <c r="AD1996" s="6"/>
    </row>
    <row r="1997" spans="30:30" ht="12" x14ac:dyDescent="0.3">
      <c r="AD1997" s="6"/>
    </row>
    <row r="1998" spans="30:30" ht="12" x14ac:dyDescent="0.3">
      <c r="AD1998" s="6"/>
    </row>
    <row r="1999" spans="30:30" ht="12" x14ac:dyDescent="0.3">
      <c r="AD1999" s="6"/>
    </row>
    <row r="2000" spans="30:30" ht="12" x14ac:dyDescent="0.3">
      <c r="AD2000" s="6"/>
    </row>
    <row r="2001" spans="30:30" ht="12" x14ac:dyDescent="0.3">
      <c r="AD2001" s="6"/>
    </row>
    <row r="2002" spans="30:30" ht="12" x14ac:dyDescent="0.3">
      <c r="AD2002" s="6"/>
    </row>
    <row r="2003" spans="30:30" ht="12" x14ac:dyDescent="0.3">
      <c r="AD2003" s="6"/>
    </row>
    <row r="2004" spans="30:30" ht="12" x14ac:dyDescent="0.3">
      <c r="AD2004" s="6"/>
    </row>
    <row r="2005" spans="30:30" ht="12" x14ac:dyDescent="0.3">
      <c r="AD2005" s="6"/>
    </row>
    <row r="2006" spans="30:30" ht="12" x14ac:dyDescent="0.3">
      <c r="AD2006" s="6"/>
    </row>
    <row r="2007" spans="30:30" ht="12" x14ac:dyDescent="0.3">
      <c r="AD2007" s="6"/>
    </row>
    <row r="2008" spans="30:30" ht="12" x14ac:dyDescent="0.3">
      <c r="AD2008" s="6"/>
    </row>
    <row r="2009" spans="30:30" ht="12" x14ac:dyDescent="0.3">
      <c r="AD2009" s="6"/>
    </row>
    <row r="2010" spans="30:30" ht="12" x14ac:dyDescent="0.3">
      <c r="AD2010" s="6"/>
    </row>
    <row r="2011" spans="30:30" ht="12" x14ac:dyDescent="0.3">
      <c r="AD2011" s="6"/>
    </row>
    <row r="2012" spans="30:30" ht="12" x14ac:dyDescent="0.3">
      <c r="AD2012" s="6"/>
    </row>
    <row r="2013" spans="30:30" ht="12" x14ac:dyDescent="0.3">
      <c r="AD2013" s="6"/>
    </row>
    <row r="2014" spans="30:30" ht="12" x14ac:dyDescent="0.3">
      <c r="AD2014" s="6"/>
    </row>
    <row r="2015" spans="30:30" ht="12" x14ac:dyDescent="0.3">
      <c r="AD2015" s="6"/>
    </row>
    <row r="2016" spans="30:30" ht="12" x14ac:dyDescent="0.3">
      <c r="AD2016" s="6"/>
    </row>
    <row r="2017" spans="30:30" ht="12" x14ac:dyDescent="0.3">
      <c r="AD2017" s="6"/>
    </row>
    <row r="2018" spans="30:30" ht="12" x14ac:dyDescent="0.3">
      <c r="AD2018" s="6"/>
    </row>
    <row r="2019" spans="30:30" ht="12" x14ac:dyDescent="0.3">
      <c r="AD2019" s="6"/>
    </row>
    <row r="2020" spans="30:30" ht="12" x14ac:dyDescent="0.3">
      <c r="AD2020" s="6"/>
    </row>
    <row r="2021" spans="30:30" ht="12" x14ac:dyDescent="0.3">
      <c r="AD2021" s="6"/>
    </row>
    <row r="2022" spans="30:30" ht="12" x14ac:dyDescent="0.3">
      <c r="AD2022" s="6"/>
    </row>
    <row r="2023" spans="30:30" ht="12" x14ac:dyDescent="0.3">
      <c r="AD2023" s="6"/>
    </row>
    <row r="2024" spans="30:30" ht="12" x14ac:dyDescent="0.3">
      <c r="AD2024" s="6"/>
    </row>
    <row r="2025" spans="30:30" ht="12" x14ac:dyDescent="0.3">
      <c r="AD2025" s="6"/>
    </row>
    <row r="2026" spans="30:30" ht="12" x14ac:dyDescent="0.3">
      <c r="AD2026" s="6"/>
    </row>
    <row r="2027" spans="30:30" ht="12" x14ac:dyDescent="0.3">
      <c r="AD2027" s="6"/>
    </row>
    <row r="2028" spans="30:30" ht="12" x14ac:dyDescent="0.3">
      <c r="AD2028" s="6"/>
    </row>
    <row r="2029" spans="30:30" ht="12" x14ac:dyDescent="0.3">
      <c r="AD2029" s="6"/>
    </row>
    <row r="2030" spans="30:30" ht="12" x14ac:dyDescent="0.3">
      <c r="AD2030" s="6"/>
    </row>
    <row r="2031" spans="30:30" ht="12" x14ac:dyDescent="0.3">
      <c r="AD2031" s="6"/>
    </row>
    <row r="2032" spans="30:30" ht="12" x14ac:dyDescent="0.3">
      <c r="AD2032" s="6"/>
    </row>
    <row r="2033" spans="30:30" ht="12" x14ac:dyDescent="0.3">
      <c r="AD2033" s="6"/>
    </row>
    <row r="2034" spans="30:30" ht="12" x14ac:dyDescent="0.3">
      <c r="AD2034" s="6"/>
    </row>
    <row r="2035" spans="30:30" ht="12" x14ac:dyDescent="0.3">
      <c r="AD2035" s="6"/>
    </row>
    <row r="2036" spans="30:30" ht="12" x14ac:dyDescent="0.3">
      <c r="AD2036" s="6"/>
    </row>
    <row r="2037" spans="30:30" ht="12" x14ac:dyDescent="0.3">
      <c r="AD2037" s="6"/>
    </row>
    <row r="2038" spans="30:30" ht="12" x14ac:dyDescent="0.3">
      <c r="AD2038" s="6"/>
    </row>
    <row r="2039" spans="30:30" ht="12" x14ac:dyDescent="0.3">
      <c r="AD2039" s="6"/>
    </row>
    <row r="2040" spans="30:30" ht="12" x14ac:dyDescent="0.3">
      <c r="AD2040" s="6"/>
    </row>
    <row r="2041" spans="30:30" ht="12" x14ac:dyDescent="0.3">
      <c r="AD2041" s="6"/>
    </row>
    <row r="2042" spans="30:30" ht="12" x14ac:dyDescent="0.3">
      <c r="AD2042" s="6"/>
    </row>
    <row r="2043" spans="30:30" ht="12" x14ac:dyDescent="0.3">
      <c r="AD2043" s="6"/>
    </row>
    <row r="2044" spans="30:30" ht="12" x14ac:dyDescent="0.3">
      <c r="AD2044" s="6"/>
    </row>
    <row r="2045" spans="30:30" ht="12" x14ac:dyDescent="0.3">
      <c r="AD2045" s="6"/>
    </row>
    <row r="2046" spans="30:30" ht="12" x14ac:dyDescent="0.3">
      <c r="AD2046" s="6"/>
    </row>
    <row r="2047" spans="30:30" ht="12" x14ac:dyDescent="0.3">
      <c r="AD2047" s="6"/>
    </row>
    <row r="2048" spans="30:30" ht="12" x14ac:dyDescent="0.3">
      <c r="AD2048" s="6"/>
    </row>
    <row r="2049" spans="30:30" ht="12" x14ac:dyDescent="0.3">
      <c r="AD2049" s="6"/>
    </row>
    <row r="2050" spans="30:30" ht="12" x14ac:dyDescent="0.3">
      <c r="AD2050" s="6"/>
    </row>
    <row r="2051" spans="30:30" ht="12" x14ac:dyDescent="0.3">
      <c r="AD2051" s="6"/>
    </row>
    <row r="2052" spans="30:30" ht="12" x14ac:dyDescent="0.3">
      <c r="AD2052" s="6"/>
    </row>
    <row r="2053" spans="30:30" ht="12" x14ac:dyDescent="0.3">
      <c r="AD2053" s="6"/>
    </row>
    <row r="2054" spans="30:30" ht="12" x14ac:dyDescent="0.3">
      <c r="AD2054" s="6"/>
    </row>
    <row r="2055" spans="30:30" ht="12" x14ac:dyDescent="0.3">
      <c r="AD2055" s="6"/>
    </row>
    <row r="2056" spans="30:30" ht="12" x14ac:dyDescent="0.3">
      <c r="AD2056" s="6"/>
    </row>
    <row r="2057" spans="30:30" ht="12" x14ac:dyDescent="0.3">
      <c r="AD2057" s="6"/>
    </row>
    <row r="2058" spans="30:30" ht="12" x14ac:dyDescent="0.3">
      <c r="AD2058" s="6"/>
    </row>
    <row r="2059" spans="30:30" ht="12" x14ac:dyDescent="0.3">
      <c r="AD2059" s="6"/>
    </row>
    <row r="2060" spans="30:30" ht="12" x14ac:dyDescent="0.3">
      <c r="AD2060" s="6"/>
    </row>
    <row r="2061" spans="30:30" ht="12" x14ac:dyDescent="0.3">
      <c r="AD2061" s="6"/>
    </row>
    <row r="2062" spans="30:30" ht="12" x14ac:dyDescent="0.3">
      <c r="AD2062" s="6"/>
    </row>
    <row r="2063" spans="30:30" ht="12" x14ac:dyDescent="0.3">
      <c r="AD2063" s="6"/>
    </row>
    <row r="2064" spans="30:30" ht="12" x14ac:dyDescent="0.3">
      <c r="AD2064" s="6"/>
    </row>
    <row r="2065" spans="30:30" ht="12" x14ac:dyDescent="0.3">
      <c r="AD2065" s="6"/>
    </row>
    <row r="2066" spans="30:30" ht="12" x14ac:dyDescent="0.3">
      <c r="AD2066" s="6"/>
    </row>
    <row r="2067" spans="30:30" ht="12" x14ac:dyDescent="0.3">
      <c r="AD2067" s="6"/>
    </row>
    <row r="2068" spans="30:30" ht="12" x14ac:dyDescent="0.3">
      <c r="AD2068" s="6"/>
    </row>
    <row r="2069" spans="30:30" ht="12" x14ac:dyDescent="0.3">
      <c r="AD2069" s="6"/>
    </row>
    <row r="2070" spans="30:30" ht="12" x14ac:dyDescent="0.3">
      <c r="AD2070" s="6"/>
    </row>
    <row r="2071" spans="30:30" ht="12" x14ac:dyDescent="0.3">
      <c r="AD2071" s="6"/>
    </row>
    <row r="2072" spans="30:30" ht="12" x14ac:dyDescent="0.3">
      <c r="AD2072" s="6"/>
    </row>
    <row r="2073" spans="30:30" ht="12" x14ac:dyDescent="0.3">
      <c r="AD2073" s="6"/>
    </row>
    <row r="2074" spans="30:30" ht="12" x14ac:dyDescent="0.3">
      <c r="AD2074" s="6"/>
    </row>
    <row r="2075" spans="30:30" ht="12" x14ac:dyDescent="0.3">
      <c r="AD2075" s="6"/>
    </row>
    <row r="2076" spans="30:30" ht="12" x14ac:dyDescent="0.3">
      <c r="AD2076" s="6"/>
    </row>
    <row r="2077" spans="30:30" ht="12" x14ac:dyDescent="0.3">
      <c r="AD2077" s="6"/>
    </row>
    <row r="2078" spans="30:30" ht="12" x14ac:dyDescent="0.3">
      <c r="AD2078" s="6"/>
    </row>
    <row r="2079" spans="30:30" ht="12" x14ac:dyDescent="0.3">
      <c r="AD2079" s="6"/>
    </row>
    <row r="2080" spans="30:30" ht="12" x14ac:dyDescent="0.3">
      <c r="AD2080" s="6"/>
    </row>
    <row r="2081" spans="30:30" ht="12" x14ac:dyDescent="0.3">
      <c r="AD2081" s="6"/>
    </row>
    <row r="2082" spans="30:30" ht="12" x14ac:dyDescent="0.3">
      <c r="AD2082" s="6"/>
    </row>
    <row r="2083" spans="30:30" ht="12" x14ac:dyDescent="0.3">
      <c r="AD2083" s="6"/>
    </row>
    <row r="2084" spans="30:30" ht="12" x14ac:dyDescent="0.3">
      <c r="AD2084" s="6"/>
    </row>
    <row r="2085" spans="30:30" ht="12" x14ac:dyDescent="0.3">
      <c r="AD2085" s="6"/>
    </row>
    <row r="2086" spans="30:30" ht="12" x14ac:dyDescent="0.3">
      <c r="AD2086" s="6"/>
    </row>
    <row r="2087" spans="30:30" ht="12" x14ac:dyDescent="0.3">
      <c r="AD2087" s="6"/>
    </row>
    <row r="2088" spans="30:30" ht="12" x14ac:dyDescent="0.3">
      <c r="AD2088" s="6"/>
    </row>
    <row r="2089" spans="30:30" ht="12" x14ac:dyDescent="0.3">
      <c r="AD2089" s="6"/>
    </row>
    <row r="2090" spans="30:30" ht="12" x14ac:dyDescent="0.3">
      <c r="AD2090" s="6"/>
    </row>
    <row r="2091" spans="30:30" ht="12" x14ac:dyDescent="0.3">
      <c r="AD2091" s="6"/>
    </row>
    <row r="2092" spans="30:30" ht="12" x14ac:dyDescent="0.3">
      <c r="AD2092" s="6"/>
    </row>
    <row r="2093" spans="30:30" ht="12" x14ac:dyDescent="0.3">
      <c r="AD2093" s="6"/>
    </row>
    <row r="2094" spans="30:30" ht="12" x14ac:dyDescent="0.3">
      <c r="AD2094" s="6"/>
    </row>
    <row r="2095" spans="30:30" ht="12" x14ac:dyDescent="0.3">
      <c r="AD2095" s="6"/>
    </row>
    <row r="2096" spans="30:30" ht="12" x14ac:dyDescent="0.3">
      <c r="AD2096" s="6"/>
    </row>
    <row r="2097" spans="30:30" ht="12" x14ac:dyDescent="0.3">
      <c r="AD2097" s="6"/>
    </row>
    <row r="2098" spans="30:30" ht="12" x14ac:dyDescent="0.3">
      <c r="AD2098" s="6"/>
    </row>
    <row r="2099" spans="30:30" ht="12" x14ac:dyDescent="0.3">
      <c r="AD2099" s="6"/>
    </row>
    <row r="2100" spans="30:30" ht="12" x14ac:dyDescent="0.3">
      <c r="AD2100" s="6"/>
    </row>
    <row r="2101" spans="30:30" ht="12" x14ac:dyDescent="0.3">
      <c r="AD2101" s="6"/>
    </row>
    <row r="2102" spans="30:30" ht="12" x14ac:dyDescent="0.3">
      <c r="AD2102" s="6"/>
    </row>
    <row r="2103" spans="30:30" ht="12" x14ac:dyDescent="0.3">
      <c r="AD2103" s="6"/>
    </row>
    <row r="2104" spans="30:30" ht="12" x14ac:dyDescent="0.3">
      <c r="AD2104" s="6"/>
    </row>
    <row r="2105" spans="30:30" ht="12" x14ac:dyDescent="0.3">
      <c r="AD2105" s="6"/>
    </row>
    <row r="2106" spans="30:30" ht="12" x14ac:dyDescent="0.3">
      <c r="AD2106" s="6"/>
    </row>
    <row r="2107" spans="30:30" ht="12" x14ac:dyDescent="0.3">
      <c r="AD2107" s="6"/>
    </row>
    <row r="2108" spans="30:30" ht="12" x14ac:dyDescent="0.3">
      <c r="AD2108" s="6"/>
    </row>
    <row r="2109" spans="30:30" ht="12" x14ac:dyDescent="0.3">
      <c r="AD2109" s="6"/>
    </row>
    <row r="2110" spans="30:30" ht="12" x14ac:dyDescent="0.3">
      <c r="AD2110" s="6"/>
    </row>
    <row r="2111" spans="30:30" ht="12" x14ac:dyDescent="0.3">
      <c r="AD2111" s="6"/>
    </row>
    <row r="2112" spans="30:30" ht="12" x14ac:dyDescent="0.3">
      <c r="AD2112" s="6"/>
    </row>
    <row r="2113" spans="30:30" ht="12" x14ac:dyDescent="0.3">
      <c r="AD2113" s="6"/>
    </row>
    <row r="2114" spans="30:30" ht="12" x14ac:dyDescent="0.3">
      <c r="AD2114" s="6"/>
    </row>
    <row r="2115" spans="30:30" ht="12" x14ac:dyDescent="0.3">
      <c r="AD2115" s="6"/>
    </row>
    <row r="2116" spans="30:30" ht="12" x14ac:dyDescent="0.3">
      <c r="AD2116" s="6"/>
    </row>
    <row r="2117" spans="30:30" ht="12" x14ac:dyDescent="0.3">
      <c r="AD2117" s="6"/>
    </row>
    <row r="2118" spans="30:30" ht="12" x14ac:dyDescent="0.3">
      <c r="AD2118" s="6"/>
    </row>
    <row r="2119" spans="30:30" ht="12" x14ac:dyDescent="0.3">
      <c r="AD2119" s="6"/>
    </row>
    <row r="2120" spans="30:30" ht="12" x14ac:dyDescent="0.3">
      <c r="AD2120" s="6"/>
    </row>
    <row r="2121" spans="30:30" ht="12" x14ac:dyDescent="0.3">
      <c r="AD2121" s="6"/>
    </row>
    <row r="2122" spans="30:30" ht="12" x14ac:dyDescent="0.3">
      <c r="AD2122" s="6"/>
    </row>
    <row r="2123" spans="30:30" ht="12" x14ac:dyDescent="0.3">
      <c r="AD2123" s="6"/>
    </row>
    <row r="2124" spans="30:30" ht="12" x14ac:dyDescent="0.3">
      <c r="AD2124" s="6"/>
    </row>
    <row r="2125" spans="30:30" ht="12" x14ac:dyDescent="0.3">
      <c r="AD2125" s="6"/>
    </row>
    <row r="2126" spans="30:30" ht="12" x14ac:dyDescent="0.3">
      <c r="AD2126" s="6"/>
    </row>
    <row r="2127" spans="30:30" ht="12" x14ac:dyDescent="0.3">
      <c r="AD2127" s="6"/>
    </row>
    <row r="2128" spans="30:30" ht="12" x14ac:dyDescent="0.3">
      <c r="AD2128" s="6"/>
    </row>
    <row r="2129" spans="30:30" ht="12" x14ac:dyDescent="0.3">
      <c r="AD2129" s="6"/>
    </row>
    <row r="2130" spans="30:30" ht="12" x14ac:dyDescent="0.3">
      <c r="AD2130" s="6"/>
    </row>
    <row r="2131" spans="30:30" ht="12" x14ac:dyDescent="0.3">
      <c r="AD2131" s="6"/>
    </row>
    <row r="2132" spans="30:30" ht="12" x14ac:dyDescent="0.3">
      <c r="AD2132" s="6"/>
    </row>
    <row r="2133" spans="30:30" ht="12" x14ac:dyDescent="0.3">
      <c r="AD2133" s="6"/>
    </row>
    <row r="2134" spans="30:30" ht="12" x14ac:dyDescent="0.3">
      <c r="AD2134" s="6"/>
    </row>
    <row r="2135" spans="30:30" ht="12" x14ac:dyDescent="0.3">
      <c r="AD2135" s="6"/>
    </row>
    <row r="2136" spans="30:30" ht="12" x14ac:dyDescent="0.3">
      <c r="AD2136" s="6"/>
    </row>
    <row r="2137" spans="30:30" ht="12" x14ac:dyDescent="0.3">
      <c r="AD2137" s="6"/>
    </row>
    <row r="2138" spans="30:30" ht="12" x14ac:dyDescent="0.3">
      <c r="AD2138" s="6"/>
    </row>
    <row r="2139" spans="30:30" ht="12" x14ac:dyDescent="0.3">
      <c r="AD2139" s="6"/>
    </row>
    <row r="2140" spans="30:30" ht="12" x14ac:dyDescent="0.3">
      <c r="AD2140" s="6"/>
    </row>
    <row r="2141" spans="30:30" ht="12" x14ac:dyDescent="0.3">
      <c r="AD2141" s="6"/>
    </row>
    <row r="2142" spans="30:30" ht="12" x14ac:dyDescent="0.3">
      <c r="AD2142" s="6"/>
    </row>
    <row r="2143" spans="30:30" ht="12" x14ac:dyDescent="0.3">
      <c r="AD2143" s="6"/>
    </row>
    <row r="2144" spans="30:30" ht="12" x14ac:dyDescent="0.3">
      <c r="AD2144" s="6"/>
    </row>
    <row r="2145" spans="30:30" ht="12" x14ac:dyDescent="0.3">
      <c r="AD2145" s="6"/>
    </row>
    <row r="2146" spans="30:30" ht="12" x14ac:dyDescent="0.3">
      <c r="AD2146" s="6"/>
    </row>
    <row r="2147" spans="30:30" ht="12" x14ac:dyDescent="0.3">
      <c r="AD2147" s="6"/>
    </row>
    <row r="2148" spans="30:30" ht="12" x14ac:dyDescent="0.3">
      <c r="AD2148" s="6"/>
    </row>
    <row r="2149" spans="30:30" ht="12" x14ac:dyDescent="0.3">
      <c r="AD2149" s="6"/>
    </row>
    <row r="2150" spans="30:30" ht="12" x14ac:dyDescent="0.3">
      <c r="AD2150" s="6"/>
    </row>
    <row r="2151" spans="30:30" ht="12" x14ac:dyDescent="0.3">
      <c r="AD2151" s="6"/>
    </row>
    <row r="2152" spans="30:30" ht="12" x14ac:dyDescent="0.3">
      <c r="AD2152" s="6"/>
    </row>
    <row r="2153" spans="30:30" ht="12" x14ac:dyDescent="0.3">
      <c r="AD2153" s="6"/>
    </row>
    <row r="2154" spans="30:30" ht="12" x14ac:dyDescent="0.3">
      <c r="AD2154" s="6"/>
    </row>
    <row r="2155" spans="30:30" ht="12" x14ac:dyDescent="0.3">
      <c r="AD2155" s="6"/>
    </row>
    <row r="2156" spans="30:30" ht="12" x14ac:dyDescent="0.3">
      <c r="AD2156" s="6"/>
    </row>
    <row r="2157" spans="30:30" ht="12" x14ac:dyDescent="0.3">
      <c r="AD2157" s="6"/>
    </row>
    <row r="2158" spans="30:30" ht="12" x14ac:dyDescent="0.3">
      <c r="AD2158" s="6"/>
    </row>
    <row r="2159" spans="30:30" ht="12" x14ac:dyDescent="0.3">
      <c r="AD2159" s="6"/>
    </row>
    <row r="2160" spans="30:30" ht="12" x14ac:dyDescent="0.3">
      <c r="AD2160" s="6"/>
    </row>
    <row r="2161" spans="30:30" ht="12" x14ac:dyDescent="0.3">
      <c r="AD2161" s="6"/>
    </row>
    <row r="2162" spans="30:30" ht="12" x14ac:dyDescent="0.3">
      <c r="AD2162" s="6"/>
    </row>
    <row r="2163" spans="30:30" ht="12" x14ac:dyDescent="0.3">
      <c r="AD2163" s="6"/>
    </row>
    <row r="2164" spans="30:30" ht="12" x14ac:dyDescent="0.3">
      <c r="AD2164" s="6"/>
    </row>
    <row r="2165" spans="30:30" ht="12" x14ac:dyDescent="0.3">
      <c r="AD2165" s="6"/>
    </row>
    <row r="2166" spans="30:30" ht="12" x14ac:dyDescent="0.3">
      <c r="AD2166" s="6"/>
    </row>
    <row r="2167" spans="30:30" ht="12" x14ac:dyDescent="0.3">
      <c r="AD2167" s="6"/>
    </row>
    <row r="2168" spans="30:30" ht="12" x14ac:dyDescent="0.3">
      <c r="AD2168" s="6"/>
    </row>
    <row r="2169" spans="30:30" ht="12" x14ac:dyDescent="0.3">
      <c r="AD2169" s="6"/>
    </row>
    <row r="2170" spans="30:30" ht="12" x14ac:dyDescent="0.3">
      <c r="AD2170" s="6"/>
    </row>
    <row r="2171" spans="30:30" ht="12" x14ac:dyDescent="0.3">
      <c r="AD2171" s="6"/>
    </row>
    <row r="2172" spans="30:30" ht="12" x14ac:dyDescent="0.3">
      <c r="AD2172" s="6"/>
    </row>
    <row r="2173" spans="30:30" ht="12" x14ac:dyDescent="0.3">
      <c r="AD2173" s="6"/>
    </row>
    <row r="2174" spans="30:30" ht="12" x14ac:dyDescent="0.3">
      <c r="AD2174" s="6"/>
    </row>
    <row r="2175" spans="30:30" ht="12" x14ac:dyDescent="0.3">
      <c r="AD2175" s="6"/>
    </row>
    <row r="2176" spans="30:30" ht="12" x14ac:dyDescent="0.3">
      <c r="AD2176" s="6"/>
    </row>
    <row r="2177" spans="30:30" ht="12" x14ac:dyDescent="0.3">
      <c r="AD2177" s="6"/>
    </row>
    <row r="2178" spans="30:30" ht="12" x14ac:dyDescent="0.3">
      <c r="AD2178" s="6"/>
    </row>
    <row r="2179" spans="30:30" ht="12" x14ac:dyDescent="0.3">
      <c r="AD2179" s="6"/>
    </row>
    <row r="2180" spans="30:30" ht="12" x14ac:dyDescent="0.3">
      <c r="AD2180" s="6"/>
    </row>
    <row r="2181" spans="30:30" ht="12" x14ac:dyDescent="0.3">
      <c r="AD2181" s="6"/>
    </row>
    <row r="2182" spans="30:30" ht="12" x14ac:dyDescent="0.3">
      <c r="AD2182" s="6"/>
    </row>
    <row r="2183" spans="30:30" ht="12" x14ac:dyDescent="0.3">
      <c r="AD2183" s="6"/>
    </row>
    <row r="2184" spans="30:30" ht="12" x14ac:dyDescent="0.3">
      <c r="AD2184" s="6"/>
    </row>
    <row r="2185" spans="30:30" ht="12" x14ac:dyDescent="0.3">
      <c r="AD2185" s="6"/>
    </row>
    <row r="2186" spans="30:30" ht="12" x14ac:dyDescent="0.3">
      <c r="AD2186" s="6"/>
    </row>
    <row r="2187" spans="30:30" ht="12" x14ac:dyDescent="0.3">
      <c r="AD2187" s="6"/>
    </row>
    <row r="2188" spans="30:30" ht="12" x14ac:dyDescent="0.3">
      <c r="AD2188" s="6"/>
    </row>
    <row r="2189" spans="30:30" ht="12" x14ac:dyDescent="0.3">
      <c r="AD2189" s="6"/>
    </row>
    <row r="2190" spans="30:30" ht="12" x14ac:dyDescent="0.3">
      <c r="AD2190" s="6"/>
    </row>
    <row r="2191" spans="30:30" ht="12" x14ac:dyDescent="0.3">
      <c r="AD2191" s="6"/>
    </row>
    <row r="2192" spans="30:30" ht="12" x14ac:dyDescent="0.3">
      <c r="AD2192" s="6"/>
    </row>
    <row r="2193" spans="30:30" ht="12" x14ac:dyDescent="0.3">
      <c r="AD2193" s="6"/>
    </row>
    <row r="2194" spans="30:30" ht="12" x14ac:dyDescent="0.3">
      <c r="AD2194" s="6"/>
    </row>
    <row r="2195" spans="30:30" ht="12" x14ac:dyDescent="0.3">
      <c r="AD2195" s="6"/>
    </row>
    <row r="2196" spans="30:30" ht="12" x14ac:dyDescent="0.3">
      <c r="AD2196" s="6"/>
    </row>
    <row r="2197" spans="30:30" ht="12" x14ac:dyDescent="0.3">
      <c r="AD2197" s="6"/>
    </row>
    <row r="2198" spans="30:30" ht="12" x14ac:dyDescent="0.3">
      <c r="AD2198" s="6"/>
    </row>
    <row r="2199" spans="30:30" ht="12" x14ac:dyDescent="0.3">
      <c r="AD2199" s="6"/>
    </row>
    <row r="2200" spans="30:30" ht="12" x14ac:dyDescent="0.3">
      <c r="AD2200" s="6"/>
    </row>
    <row r="2201" spans="30:30" ht="12" x14ac:dyDescent="0.3">
      <c r="AD2201" s="6"/>
    </row>
    <row r="2202" spans="30:30" ht="12" x14ac:dyDescent="0.3">
      <c r="AD2202" s="6"/>
    </row>
    <row r="2203" spans="30:30" ht="12" x14ac:dyDescent="0.3">
      <c r="AD2203" s="6"/>
    </row>
    <row r="2204" spans="30:30" ht="12" x14ac:dyDescent="0.3">
      <c r="AD2204" s="6"/>
    </row>
    <row r="2205" spans="30:30" ht="12" x14ac:dyDescent="0.3">
      <c r="AD2205" s="6"/>
    </row>
    <row r="2206" spans="30:30" ht="12" x14ac:dyDescent="0.3">
      <c r="AD2206" s="6"/>
    </row>
    <row r="2207" spans="30:30" ht="12" x14ac:dyDescent="0.3">
      <c r="AD2207" s="6"/>
    </row>
    <row r="2208" spans="30:30" ht="12" x14ac:dyDescent="0.3">
      <c r="AD2208" s="6"/>
    </row>
    <row r="2209" spans="30:30" ht="12" x14ac:dyDescent="0.3">
      <c r="AD2209" s="6"/>
    </row>
    <row r="2210" spans="30:30" ht="12" x14ac:dyDescent="0.3">
      <c r="AD2210" s="6"/>
    </row>
    <row r="2211" spans="30:30" ht="12" x14ac:dyDescent="0.3">
      <c r="AD2211" s="6"/>
    </row>
    <row r="2212" spans="30:30" ht="12" x14ac:dyDescent="0.3">
      <c r="AD2212" s="6"/>
    </row>
    <row r="2213" spans="30:30" ht="12" x14ac:dyDescent="0.3">
      <c r="AD2213" s="6"/>
    </row>
    <row r="2214" spans="30:30" ht="12" x14ac:dyDescent="0.3">
      <c r="AD2214" s="6"/>
    </row>
    <row r="2215" spans="30:30" ht="12" x14ac:dyDescent="0.3">
      <c r="AD2215" s="6"/>
    </row>
    <row r="2216" spans="30:30" ht="12" x14ac:dyDescent="0.3">
      <c r="AD2216" s="6"/>
    </row>
    <row r="2217" spans="30:30" ht="12" x14ac:dyDescent="0.3">
      <c r="AD2217" s="6"/>
    </row>
    <row r="2218" spans="30:30" ht="12" x14ac:dyDescent="0.3">
      <c r="AD2218" s="6"/>
    </row>
    <row r="2219" spans="30:30" ht="12" x14ac:dyDescent="0.3">
      <c r="AD2219" s="6"/>
    </row>
    <row r="2220" spans="30:30" ht="12" x14ac:dyDescent="0.3">
      <c r="AD2220" s="6"/>
    </row>
    <row r="2221" spans="30:30" ht="12" x14ac:dyDescent="0.3">
      <c r="AD2221" s="6"/>
    </row>
    <row r="2222" spans="30:30" ht="12" x14ac:dyDescent="0.3">
      <c r="AD2222" s="6"/>
    </row>
    <row r="2223" spans="30:30" ht="12" x14ac:dyDescent="0.3">
      <c r="AD2223" s="6"/>
    </row>
    <row r="2224" spans="30:30" ht="12" x14ac:dyDescent="0.3">
      <c r="AD2224" s="6"/>
    </row>
    <row r="2225" spans="30:30" ht="12" x14ac:dyDescent="0.3">
      <c r="AD2225" s="6"/>
    </row>
    <row r="2226" spans="30:30" ht="12" x14ac:dyDescent="0.3">
      <c r="AD2226" s="6"/>
    </row>
    <row r="2227" spans="30:30" ht="12" x14ac:dyDescent="0.3">
      <c r="AD2227" s="6"/>
    </row>
    <row r="2228" spans="30:30" ht="12" x14ac:dyDescent="0.3">
      <c r="AD2228" s="6"/>
    </row>
    <row r="2229" spans="30:30" ht="12" x14ac:dyDescent="0.3">
      <c r="AD2229" s="6"/>
    </row>
    <row r="2230" spans="30:30" ht="12" x14ac:dyDescent="0.3">
      <c r="AD2230" s="6"/>
    </row>
    <row r="2231" spans="30:30" ht="12" x14ac:dyDescent="0.3">
      <c r="AD2231" s="6"/>
    </row>
    <row r="2232" spans="30:30" ht="12" x14ac:dyDescent="0.3">
      <c r="AD2232" s="6"/>
    </row>
    <row r="2233" spans="30:30" ht="12" x14ac:dyDescent="0.3">
      <c r="AD2233" s="6"/>
    </row>
    <row r="2234" spans="30:30" ht="12" x14ac:dyDescent="0.3">
      <c r="AD2234" s="6"/>
    </row>
    <row r="2235" spans="30:30" ht="12" x14ac:dyDescent="0.3">
      <c r="AD2235" s="6"/>
    </row>
    <row r="2236" spans="30:30" ht="12" x14ac:dyDescent="0.3">
      <c r="AD2236" s="6"/>
    </row>
    <row r="2237" spans="30:30" ht="12" x14ac:dyDescent="0.3">
      <c r="AD2237" s="6"/>
    </row>
    <row r="2238" spans="30:30" ht="12" x14ac:dyDescent="0.3">
      <c r="AD2238" s="6"/>
    </row>
    <row r="2239" spans="30:30" ht="12" x14ac:dyDescent="0.3">
      <c r="AD2239" s="6"/>
    </row>
    <row r="2240" spans="30:30" ht="12" x14ac:dyDescent="0.3">
      <c r="AD2240" s="6"/>
    </row>
    <row r="2241" spans="30:30" ht="12" x14ac:dyDescent="0.3">
      <c r="AD2241" s="6"/>
    </row>
    <row r="2242" spans="30:30" ht="12" x14ac:dyDescent="0.3">
      <c r="AD2242" s="6"/>
    </row>
    <row r="2243" spans="30:30" ht="12" x14ac:dyDescent="0.3">
      <c r="AD2243" s="6"/>
    </row>
    <row r="2244" spans="30:30" ht="12" x14ac:dyDescent="0.3">
      <c r="AD2244" s="6"/>
    </row>
    <row r="2245" spans="30:30" ht="12" x14ac:dyDescent="0.3">
      <c r="AD2245" s="6"/>
    </row>
    <row r="2246" spans="30:30" ht="12" x14ac:dyDescent="0.3">
      <c r="AD2246" s="6"/>
    </row>
    <row r="2247" spans="30:30" ht="12" x14ac:dyDescent="0.3">
      <c r="AD2247" s="6"/>
    </row>
    <row r="2248" spans="30:30" ht="12" x14ac:dyDescent="0.3">
      <c r="AD2248" s="6"/>
    </row>
    <row r="2249" spans="30:30" ht="12" x14ac:dyDescent="0.3">
      <c r="AD2249" s="6"/>
    </row>
    <row r="2250" spans="30:30" ht="12" x14ac:dyDescent="0.3">
      <c r="AD2250" s="6"/>
    </row>
    <row r="2251" spans="30:30" ht="12" x14ac:dyDescent="0.3">
      <c r="AD2251" s="6"/>
    </row>
    <row r="2252" spans="30:30" ht="12" x14ac:dyDescent="0.3">
      <c r="AD2252" s="6"/>
    </row>
    <row r="2253" spans="30:30" ht="12" x14ac:dyDescent="0.3">
      <c r="AD2253" s="6"/>
    </row>
    <row r="2254" spans="30:30" ht="12" x14ac:dyDescent="0.3">
      <c r="AD2254" s="6"/>
    </row>
    <row r="2255" spans="30:30" ht="12" x14ac:dyDescent="0.3">
      <c r="AD2255" s="6"/>
    </row>
    <row r="2256" spans="30:30" ht="12" x14ac:dyDescent="0.3">
      <c r="AD2256" s="6"/>
    </row>
    <row r="2257" spans="30:30" ht="12" x14ac:dyDescent="0.3">
      <c r="AD2257" s="6"/>
    </row>
    <row r="2258" spans="30:30" ht="12" x14ac:dyDescent="0.3">
      <c r="AD2258" s="6"/>
    </row>
    <row r="2259" spans="30:30" ht="12" x14ac:dyDescent="0.3">
      <c r="AD2259" s="6"/>
    </row>
    <row r="2260" spans="30:30" ht="12" x14ac:dyDescent="0.3">
      <c r="AD2260" s="6"/>
    </row>
    <row r="2261" spans="30:30" ht="12" x14ac:dyDescent="0.3">
      <c r="AD2261" s="6"/>
    </row>
    <row r="2262" spans="30:30" ht="12" x14ac:dyDescent="0.3">
      <c r="AD2262" s="6"/>
    </row>
    <row r="2263" spans="30:30" ht="12" x14ac:dyDescent="0.3">
      <c r="AD2263" s="6"/>
    </row>
    <row r="2264" spans="30:30" ht="12" x14ac:dyDescent="0.3">
      <c r="AD2264" s="6"/>
    </row>
    <row r="2265" spans="30:30" ht="12" x14ac:dyDescent="0.3">
      <c r="AD2265" s="6"/>
    </row>
    <row r="2266" spans="30:30" ht="12" x14ac:dyDescent="0.3">
      <c r="AD2266" s="6"/>
    </row>
    <row r="2267" spans="30:30" ht="12" x14ac:dyDescent="0.3">
      <c r="AD2267" s="6"/>
    </row>
    <row r="2268" spans="30:30" ht="12" x14ac:dyDescent="0.3">
      <c r="AD2268" s="6"/>
    </row>
    <row r="2269" spans="30:30" ht="12" x14ac:dyDescent="0.3">
      <c r="AD2269" s="6"/>
    </row>
    <row r="2270" spans="30:30" ht="12" x14ac:dyDescent="0.3">
      <c r="AD2270" s="6"/>
    </row>
    <row r="2271" spans="30:30" ht="12" x14ac:dyDescent="0.3">
      <c r="AD2271" s="6"/>
    </row>
    <row r="2272" spans="30:30" ht="12" x14ac:dyDescent="0.3">
      <c r="AD2272" s="6"/>
    </row>
    <row r="2273" spans="30:30" ht="12" x14ac:dyDescent="0.3">
      <c r="AD2273" s="6"/>
    </row>
    <row r="2274" spans="30:30" ht="12" x14ac:dyDescent="0.3">
      <c r="AD2274" s="6"/>
    </row>
    <row r="2275" spans="30:30" ht="12" x14ac:dyDescent="0.3">
      <c r="AD2275" s="6"/>
    </row>
    <row r="2276" spans="30:30" ht="12" x14ac:dyDescent="0.3">
      <c r="AD2276" s="6"/>
    </row>
    <row r="2277" spans="30:30" ht="12" x14ac:dyDescent="0.3">
      <c r="AD2277" s="6"/>
    </row>
    <row r="2278" spans="30:30" ht="12" x14ac:dyDescent="0.3">
      <c r="AD2278" s="6"/>
    </row>
    <row r="2279" spans="30:30" ht="12" x14ac:dyDescent="0.3">
      <c r="AD2279" s="6"/>
    </row>
    <row r="2280" spans="30:30" ht="12" x14ac:dyDescent="0.3">
      <c r="AD2280" s="6"/>
    </row>
    <row r="2281" spans="30:30" ht="12" x14ac:dyDescent="0.3">
      <c r="AD2281" s="6"/>
    </row>
    <row r="2282" spans="30:30" ht="12" x14ac:dyDescent="0.3">
      <c r="AD2282" s="6"/>
    </row>
    <row r="2283" spans="30:30" ht="12" x14ac:dyDescent="0.3">
      <c r="AD2283" s="6"/>
    </row>
    <row r="2284" spans="30:30" ht="12" x14ac:dyDescent="0.3">
      <c r="AD2284" s="6"/>
    </row>
    <row r="2285" spans="30:30" ht="12" x14ac:dyDescent="0.3">
      <c r="AD2285" s="6"/>
    </row>
    <row r="2286" spans="30:30" ht="12" x14ac:dyDescent="0.3">
      <c r="AD2286" s="6"/>
    </row>
    <row r="2287" spans="30:30" ht="12" x14ac:dyDescent="0.3">
      <c r="AD2287" s="6"/>
    </row>
    <row r="2288" spans="30:30" ht="12" x14ac:dyDescent="0.3">
      <c r="AD2288" s="6"/>
    </row>
    <row r="2289" spans="30:30" ht="12" x14ac:dyDescent="0.3">
      <c r="AD2289" s="6"/>
    </row>
    <row r="2290" spans="30:30" ht="12" x14ac:dyDescent="0.3">
      <c r="AD2290" s="6"/>
    </row>
    <row r="2291" spans="30:30" ht="12" x14ac:dyDescent="0.3">
      <c r="AD2291" s="6"/>
    </row>
    <row r="2292" spans="30:30" ht="12" x14ac:dyDescent="0.3">
      <c r="AD2292" s="6"/>
    </row>
    <row r="2293" spans="30:30" ht="12" x14ac:dyDescent="0.3">
      <c r="AD2293" s="6"/>
    </row>
    <row r="2294" spans="30:30" ht="12" x14ac:dyDescent="0.3">
      <c r="AD2294" s="6"/>
    </row>
    <row r="2295" spans="30:30" ht="12" x14ac:dyDescent="0.3">
      <c r="AD2295" s="6"/>
    </row>
    <row r="2296" spans="30:30" ht="12" x14ac:dyDescent="0.3">
      <c r="AD2296" s="6"/>
    </row>
    <row r="2297" spans="30:30" ht="12" x14ac:dyDescent="0.3">
      <c r="AD2297" s="6"/>
    </row>
    <row r="2298" spans="30:30" ht="12" x14ac:dyDescent="0.3">
      <c r="AD2298" s="6"/>
    </row>
    <row r="2299" spans="30:30" ht="12" x14ac:dyDescent="0.3">
      <c r="AD2299" s="6"/>
    </row>
    <row r="2300" spans="30:30" ht="12" x14ac:dyDescent="0.3">
      <c r="AD2300" s="6"/>
    </row>
    <row r="2301" spans="30:30" ht="12" x14ac:dyDescent="0.3">
      <c r="AD2301" s="6"/>
    </row>
    <row r="2302" spans="30:30" ht="12" x14ac:dyDescent="0.3">
      <c r="AD2302" s="6"/>
    </row>
    <row r="2303" spans="30:30" ht="12" x14ac:dyDescent="0.3">
      <c r="AD2303" s="6"/>
    </row>
    <row r="2304" spans="30:30" ht="12" x14ac:dyDescent="0.3">
      <c r="AD2304" s="6"/>
    </row>
    <row r="2305" spans="30:30" ht="12" x14ac:dyDescent="0.3">
      <c r="AD2305" s="6"/>
    </row>
    <row r="2306" spans="30:30" ht="12" x14ac:dyDescent="0.3">
      <c r="AD2306" s="6"/>
    </row>
    <row r="2307" spans="30:30" ht="12" x14ac:dyDescent="0.3">
      <c r="AD2307" s="6"/>
    </row>
    <row r="2308" spans="30:30" ht="12" x14ac:dyDescent="0.3">
      <c r="AD2308" s="6"/>
    </row>
    <row r="2309" spans="30:30" ht="12" x14ac:dyDescent="0.3">
      <c r="AD2309" s="6"/>
    </row>
    <row r="2310" spans="30:30" ht="12" x14ac:dyDescent="0.3">
      <c r="AD2310" s="6"/>
    </row>
    <row r="2311" spans="30:30" ht="12" x14ac:dyDescent="0.3">
      <c r="AD2311" s="6"/>
    </row>
    <row r="2312" spans="30:30" ht="12" x14ac:dyDescent="0.3">
      <c r="AD2312" s="6"/>
    </row>
    <row r="2313" spans="30:30" ht="12" x14ac:dyDescent="0.3">
      <c r="AD2313" s="6"/>
    </row>
    <row r="2314" spans="30:30" ht="12" x14ac:dyDescent="0.3">
      <c r="AD2314" s="6"/>
    </row>
    <row r="2315" spans="30:30" ht="12" x14ac:dyDescent="0.3">
      <c r="AD2315" s="6"/>
    </row>
    <row r="2316" spans="30:30" ht="12" x14ac:dyDescent="0.3">
      <c r="AD2316" s="6"/>
    </row>
    <row r="2317" spans="30:30" ht="12" x14ac:dyDescent="0.3">
      <c r="AD2317" s="6"/>
    </row>
    <row r="2318" spans="30:30" ht="12" x14ac:dyDescent="0.3">
      <c r="AD2318" s="6"/>
    </row>
    <row r="2319" spans="30:30" ht="12" x14ac:dyDescent="0.3">
      <c r="AD2319" s="6"/>
    </row>
    <row r="2320" spans="30:30" ht="12" x14ac:dyDescent="0.3">
      <c r="AD2320" s="6"/>
    </row>
    <row r="2321" spans="30:30" ht="12" x14ac:dyDescent="0.3">
      <c r="AD2321" s="6"/>
    </row>
    <row r="2322" spans="30:30" ht="12" x14ac:dyDescent="0.3">
      <c r="AD2322" s="6"/>
    </row>
    <row r="2323" spans="30:30" ht="12" x14ac:dyDescent="0.3">
      <c r="AD2323" s="6"/>
    </row>
    <row r="2324" spans="30:30" ht="12" x14ac:dyDescent="0.3">
      <c r="AD2324" s="6"/>
    </row>
    <row r="2325" spans="30:30" ht="12" x14ac:dyDescent="0.3">
      <c r="AD2325" s="6"/>
    </row>
    <row r="2326" spans="30:30" ht="12" x14ac:dyDescent="0.3">
      <c r="AD2326" s="6"/>
    </row>
    <row r="2327" spans="30:30" ht="12" x14ac:dyDescent="0.3">
      <c r="AD2327" s="6"/>
    </row>
    <row r="2328" spans="30:30" ht="12" x14ac:dyDescent="0.3">
      <c r="AD2328" s="6"/>
    </row>
    <row r="2329" spans="30:30" ht="12" x14ac:dyDescent="0.3">
      <c r="AD2329" s="6"/>
    </row>
    <row r="2330" spans="30:30" ht="12" x14ac:dyDescent="0.3">
      <c r="AD2330" s="6"/>
    </row>
    <row r="2331" spans="30:30" ht="12" x14ac:dyDescent="0.3">
      <c r="AD2331" s="6"/>
    </row>
    <row r="2332" spans="30:30" ht="12" x14ac:dyDescent="0.3">
      <c r="AD2332" s="6"/>
    </row>
    <row r="2333" spans="30:30" ht="12" x14ac:dyDescent="0.3">
      <c r="AD2333" s="6"/>
    </row>
    <row r="2334" spans="30:30" ht="12" x14ac:dyDescent="0.3">
      <c r="AD2334" s="6"/>
    </row>
    <row r="2335" spans="30:30" ht="12" x14ac:dyDescent="0.3">
      <c r="AD2335" s="6"/>
    </row>
    <row r="2336" spans="30:30" ht="12" x14ac:dyDescent="0.3">
      <c r="AD2336" s="6"/>
    </row>
    <row r="2337" spans="30:30" ht="12" x14ac:dyDescent="0.3">
      <c r="AD2337" s="6"/>
    </row>
    <row r="2338" spans="30:30" ht="12" x14ac:dyDescent="0.3">
      <c r="AD2338" s="6"/>
    </row>
    <row r="2339" spans="30:30" ht="12" x14ac:dyDescent="0.3">
      <c r="AD2339" s="6"/>
    </row>
    <row r="2340" spans="30:30" ht="12" x14ac:dyDescent="0.3">
      <c r="AD2340" s="6"/>
    </row>
    <row r="2341" spans="30:30" ht="12" x14ac:dyDescent="0.3">
      <c r="AD2341" s="6"/>
    </row>
    <row r="2342" spans="30:30" ht="12" x14ac:dyDescent="0.3">
      <c r="AD2342" s="6"/>
    </row>
    <row r="2343" spans="30:30" ht="12" x14ac:dyDescent="0.3">
      <c r="AD2343" s="6"/>
    </row>
    <row r="2344" spans="30:30" ht="12" x14ac:dyDescent="0.3">
      <c r="AD2344" s="6"/>
    </row>
    <row r="2345" spans="30:30" ht="12" x14ac:dyDescent="0.3">
      <c r="AD2345" s="6"/>
    </row>
    <row r="2346" spans="30:30" ht="12" x14ac:dyDescent="0.3">
      <c r="AD2346" s="6"/>
    </row>
    <row r="2347" spans="30:30" ht="12" x14ac:dyDescent="0.3">
      <c r="AD2347" s="6"/>
    </row>
    <row r="2348" spans="30:30" ht="12" x14ac:dyDescent="0.3">
      <c r="AD2348" s="6"/>
    </row>
    <row r="2349" spans="30:30" ht="12" x14ac:dyDescent="0.3">
      <c r="AD2349" s="6"/>
    </row>
    <row r="2350" spans="30:30" ht="12" x14ac:dyDescent="0.3">
      <c r="AD2350" s="6"/>
    </row>
    <row r="2351" spans="30:30" ht="12" x14ac:dyDescent="0.3">
      <c r="AD2351" s="6"/>
    </row>
    <row r="2352" spans="30:30" ht="12" x14ac:dyDescent="0.3">
      <c r="AD2352" s="6"/>
    </row>
    <row r="2353" spans="30:30" ht="12" x14ac:dyDescent="0.3">
      <c r="AD2353" s="6"/>
    </row>
    <row r="2354" spans="30:30" ht="12" x14ac:dyDescent="0.3">
      <c r="AD2354" s="6"/>
    </row>
    <row r="2355" spans="30:30" ht="12" x14ac:dyDescent="0.3">
      <c r="AD2355" s="6"/>
    </row>
    <row r="2356" spans="30:30" ht="12" x14ac:dyDescent="0.3">
      <c r="AD2356" s="6"/>
    </row>
    <row r="2357" spans="30:30" ht="12" x14ac:dyDescent="0.3">
      <c r="AD2357" s="6"/>
    </row>
    <row r="2358" spans="30:30" ht="12" x14ac:dyDescent="0.3">
      <c r="AD2358" s="6"/>
    </row>
    <row r="2359" spans="30:30" ht="12" x14ac:dyDescent="0.3">
      <c r="AD2359" s="6"/>
    </row>
    <row r="2360" spans="30:30" ht="12" x14ac:dyDescent="0.3">
      <c r="AD2360" s="6"/>
    </row>
    <row r="2361" spans="30:30" ht="12" x14ac:dyDescent="0.3">
      <c r="AD2361" s="6"/>
    </row>
    <row r="2362" spans="30:30" ht="12" x14ac:dyDescent="0.3">
      <c r="AD2362" s="6"/>
    </row>
    <row r="2363" spans="30:30" ht="12" x14ac:dyDescent="0.3">
      <c r="AD2363" s="6"/>
    </row>
    <row r="2364" spans="30:30" ht="12" x14ac:dyDescent="0.3">
      <c r="AD2364" s="6"/>
    </row>
    <row r="2365" spans="30:30" ht="12" x14ac:dyDescent="0.3">
      <c r="AD2365" s="6"/>
    </row>
    <row r="2366" spans="30:30" ht="12" x14ac:dyDescent="0.3">
      <c r="AD2366" s="6"/>
    </row>
    <row r="2367" spans="30:30" ht="12" x14ac:dyDescent="0.3">
      <c r="AD2367" s="6"/>
    </row>
    <row r="2368" spans="30:30" ht="12" x14ac:dyDescent="0.3">
      <c r="AD2368" s="6"/>
    </row>
    <row r="2369" spans="30:30" ht="12" x14ac:dyDescent="0.3">
      <c r="AD2369" s="6"/>
    </row>
    <row r="2370" spans="30:30" ht="12" x14ac:dyDescent="0.3">
      <c r="AD2370" s="6"/>
    </row>
    <row r="2371" spans="30:30" ht="12" x14ac:dyDescent="0.3">
      <c r="AD2371" s="6"/>
    </row>
    <row r="2372" spans="30:30" ht="12" x14ac:dyDescent="0.3">
      <c r="AD2372" s="6"/>
    </row>
    <row r="2373" spans="30:30" ht="12" x14ac:dyDescent="0.3">
      <c r="AD2373" s="6"/>
    </row>
    <row r="2374" spans="30:30" ht="12" x14ac:dyDescent="0.3">
      <c r="AD2374" s="6"/>
    </row>
    <row r="2375" spans="30:30" ht="12" x14ac:dyDescent="0.3">
      <c r="AD2375" s="6"/>
    </row>
    <row r="2376" spans="30:30" ht="12" x14ac:dyDescent="0.3">
      <c r="AD2376" s="6"/>
    </row>
    <row r="2377" spans="30:30" ht="12" x14ac:dyDescent="0.3">
      <c r="AD2377" s="6"/>
    </row>
    <row r="2378" spans="30:30" ht="12" x14ac:dyDescent="0.3">
      <c r="AD2378" s="6"/>
    </row>
    <row r="2379" spans="30:30" ht="12" x14ac:dyDescent="0.3">
      <c r="AD2379" s="6"/>
    </row>
    <row r="2380" spans="30:30" ht="12" x14ac:dyDescent="0.3">
      <c r="AD2380" s="6"/>
    </row>
    <row r="2381" spans="30:30" ht="12" x14ac:dyDescent="0.3">
      <c r="AD2381" s="6"/>
    </row>
    <row r="2382" spans="30:30" ht="12" x14ac:dyDescent="0.3">
      <c r="AD2382" s="6"/>
    </row>
    <row r="2383" spans="30:30" ht="12" x14ac:dyDescent="0.3">
      <c r="AD2383" s="6"/>
    </row>
    <row r="2384" spans="30:30" ht="12" x14ac:dyDescent="0.3">
      <c r="AD2384" s="6"/>
    </row>
    <row r="2385" spans="30:30" ht="12" x14ac:dyDescent="0.3">
      <c r="AD2385" s="6"/>
    </row>
    <row r="2386" spans="30:30" ht="12" x14ac:dyDescent="0.3">
      <c r="AD2386" s="6"/>
    </row>
    <row r="2387" spans="30:30" ht="12" x14ac:dyDescent="0.3">
      <c r="AD2387" s="6"/>
    </row>
    <row r="2388" spans="30:30" ht="12" x14ac:dyDescent="0.3">
      <c r="AD2388" s="6"/>
    </row>
    <row r="2389" spans="30:30" ht="12" x14ac:dyDescent="0.3">
      <c r="AD2389" s="6"/>
    </row>
    <row r="2390" spans="30:30" ht="12" x14ac:dyDescent="0.3">
      <c r="AD2390" s="6"/>
    </row>
    <row r="2391" spans="30:30" ht="12" x14ac:dyDescent="0.3">
      <c r="AD2391" s="6"/>
    </row>
    <row r="2392" spans="30:30" ht="12" x14ac:dyDescent="0.3">
      <c r="AD2392" s="6"/>
    </row>
    <row r="2393" spans="30:30" ht="12" x14ac:dyDescent="0.3">
      <c r="AD2393" s="6"/>
    </row>
    <row r="2394" spans="30:30" ht="12" x14ac:dyDescent="0.3">
      <c r="AD2394" s="6"/>
    </row>
    <row r="2395" spans="30:30" ht="12" x14ac:dyDescent="0.3">
      <c r="AD2395" s="6"/>
    </row>
    <row r="2396" spans="30:30" ht="12" x14ac:dyDescent="0.3">
      <c r="AD2396" s="6"/>
    </row>
    <row r="2397" spans="30:30" ht="12" x14ac:dyDescent="0.3">
      <c r="AD2397" s="6"/>
    </row>
    <row r="2398" spans="30:30" ht="12" x14ac:dyDescent="0.3">
      <c r="AD2398" s="6"/>
    </row>
    <row r="2399" spans="30:30" ht="12" x14ac:dyDescent="0.3">
      <c r="AD2399" s="6"/>
    </row>
    <row r="2400" spans="30:30" ht="12" x14ac:dyDescent="0.3">
      <c r="AD2400" s="6"/>
    </row>
    <row r="2401" spans="30:30" ht="12" x14ac:dyDescent="0.3">
      <c r="AD2401" s="6"/>
    </row>
    <row r="2402" spans="30:30" ht="12" x14ac:dyDescent="0.3">
      <c r="AD2402" s="6"/>
    </row>
    <row r="2403" spans="30:30" ht="12" x14ac:dyDescent="0.3">
      <c r="AD2403" s="6"/>
    </row>
    <row r="2404" spans="30:30" ht="12" x14ac:dyDescent="0.3">
      <c r="AD2404" s="6"/>
    </row>
    <row r="2405" spans="30:30" ht="12" x14ac:dyDescent="0.3">
      <c r="AD2405" s="6"/>
    </row>
    <row r="2406" spans="30:30" ht="12" x14ac:dyDescent="0.3">
      <c r="AD2406" s="6"/>
    </row>
    <row r="2407" spans="30:30" ht="12" x14ac:dyDescent="0.3">
      <c r="AD2407" s="6"/>
    </row>
    <row r="2408" spans="30:30" ht="12" x14ac:dyDescent="0.3">
      <c r="AD2408" s="6"/>
    </row>
    <row r="2409" spans="30:30" ht="12" x14ac:dyDescent="0.3">
      <c r="AD2409" s="6"/>
    </row>
    <row r="2410" spans="30:30" ht="12" x14ac:dyDescent="0.3">
      <c r="AD2410" s="6"/>
    </row>
    <row r="2411" spans="30:30" ht="12" x14ac:dyDescent="0.3">
      <c r="AD2411" s="6"/>
    </row>
    <row r="2412" spans="30:30" ht="12" x14ac:dyDescent="0.3">
      <c r="AD2412" s="6"/>
    </row>
    <row r="2413" spans="30:30" ht="12" x14ac:dyDescent="0.3">
      <c r="AD2413" s="6"/>
    </row>
    <row r="2414" spans="30:30" ht="12" x14ac:dyDescent="0.3">
      <c r="AD2414" s="6"/>
    </row>
    <row r="2415" spans="30:30" ht="12" x14ac:dyDescent="0.3">
      <c r="AD2415" s="6"/>
    </row>
    <row r="2416" spans="30:30" ht="12" x14ac:dyDescent="0.3">
      <c r="AD2416" s="6"/>
    </row>
    <row r="2417" spans="30:30" ht="12" x14ac:dyDescent="0.3">
      <c r="AD2417" s="6"/>
    </row>
    <row r="2418" spans="30:30" ht="12" x14ac:dyDescent="0.3">
      <c r="AD2418" s="6"/>
    </row>
    <row r="2419" spans="30:30" ht="12" x14ac:dyDescent="0.3">
      <c r="AD2419" s="6"/>
    </row>
    <row r="2420" spans="30:30" ht="12" x14ac:dyDescent="0.3">
      <c r="AD2420" s="6"/>
    </row>
    <row r="2421" spans="30:30" ht="12" x14ac:dyDescent="0.3">
      <c r="AD2421" s="6"/>
    </row>
    <row r="2422" spans="30:30" ht="12" x14ac:dyDescent="0.3">
      <c r="AD2422" s="6"/>
    </row>
    <row r="2423" spans="30:30" ht="12" x14ac:dyDescent="0.3">
      <c r="AD2423" s="6"/>
    </row>
    <row r="2424" spans="30:30" ht="12" x14ac:dyDescent="0.3">
      <c r="AD2424" s="6"/>
    </row>
    <row r="2425" spans="30:30" ht="12" x14ac:dyDescent="0.3">
      <c r="AD2425" s="6"/>
    </row>
    <row r="2426" spans="30:30" ht="12" x14ac:dyDescent="0.3">
      <c r="AD2426" s="6"/>
    </row>
    <row r="2427" spans="30:30" ht="12" x14ac:dyDescent="0.3">
      <c r="AD2427" s="6"/>
    </row>
    <row r="2428" spans="30:30" ht="12" x14ac:dyDescent="0.3">
      <c r="AD2428" s="6"/>
    </row>
    <row r="2429" spans="30:30" ht="12" x14ac:dyDescent="0.3">
      <c r="AD2429" s="6"/>
    </row>
    <row r="2430" spans="30:30" ht="12" x14ac:dyDescent="0.3">
      <c r="AD2430" s="6"/>
    </row>
    <row r="2431" spans="30:30" ht="12" x14ac:dyDescent="0.3">
      <c r="AD2431" s="6"/>
    </row>
    <row r="2432" spans="30:30" ht="12" x14ac:dyDescent="0.3">
      <c r="AD2432" s="6"/>
    </row>
    <row r="2433" spans="30:30" ht="12" x14ac:dyDescent="0.3">
      <c r="AD2433" s="6"/>
    </row>
    <row r="2434" spans="30:30" ht="12" x14ac:dyDescent="0.3">
      <c r="AD2434" s="6"/>
    </row>
    <row r="2435" spans="30:30" ht="12" x14ac:dyDescent="0.3">
      <c r="AD2435" s="6"/>
    </row>
    <row r="2436" spans="30:30" ht="12" x14ac:dyDescent="0.3">
      <c r="AD2436" s="6"/>
    </row>
    <row r="2437" spans="30:30" ht="12" x14ac:dyDescent="0.3">
      <c r="AD2437" s="6"/>
    </row>
    <row r="2438" spans="30:30" ht="12" x14ac:dyDescent="0.3">
      <c r="AD2438" s="6"/>
    </row>
    <row r="2439" spans="30:30" ht="12" x14ac:dyDescent="0.3">
      <c r="AD2439" s="6"/>
    </row>
    <row r="2440" spans="30:30" ht="12" x14ac:dyDescent="0.3">
      <c r="AD2440" s="6"/>
    </row>
    <row r="2441" spans="30:30" ht="12" x14ac:dyDescent="0.3">
      <c r="AD2441" s="6"/>
    </row>
    <row r="2442" spans="30:30" ht="12" x14ac:dyDescent="0.3">
      <c r="AD2442" s="6"/>
    </row>
    <row r="2443" spans="30:30" ht="12" x14ac:dyDescent="0.3">
      <c r="AD2443" s="6"/>
    </row>
    <row r="2444" spans="30:30" ht="12" x14ac:dyDescent="0.3">
      <c r="AD2444" s="6"/>
    </row>
    <row r="2445" spans="30:30" ht="12" x14ac:dyDescent="0.3">
      <c r="AD2445" s="6"/>
    </row>
    <row r="2446" spans="30:30" ht="12" x14ac:dyDescent="0.3">
      <c r="AD2446" s="6"/>
    </row>
    <row r="2447" spans="30:30" ht="12" x14ac:dyDescent="0.3">
      <c r="AD2447" s="6"/>
    </row>
    <row r="2448" spans="30:30" ht="12" x14ac:dyDescent="0.3">
      <c r="AD2448" s="6"/>
    </row>
    <row r="2449" spans="30:30" ht="12" x14ac:dyDescent="0.3">
      <c r="AD2449" s="6"/>
    </row>
    <row r="2450" spans="30:30" ht="12" x14ac:dyDescent="0.3">
      <c r="AD2450" s="6"/>
    </row>
    <row r="2451" spans="30:30" ht="12" x14ac:dyDescent="0.3">
      <c r="AD2451" s="6"/>
    </row>
    <row r="2452" spans="30:30" ht="12" x14ac:dyDescent="0.3">
      <c r="AD2452" s="6"/>
    </row>
    <row r="2453" spans="30:30" ht="12" x14ac:dyDescent="0.3">
      <c r="AD2453" s="6"/>
    </row>
    <row r="2454" spans="30:30" ht="12" x14ac:dyDescent="0.3">
      <c r="AD2454" s="6"/>
    </row>
    <row r="2455" spans="30:30" ht="12" x14ac:dyDescent="0.3">
      <c r="AD2455" s="6"/>
    </row>
    <row r="2456" spans="30:30" ht="12" x14ac:dyDescent="0.3">
      <c r="AD2456" s="6"/>
    </row>
    <row r="2457" spans="30:30" ht="12" x14ac:dyDescent="0.3">
      <c r="AD2457" s="6"/>
    </row>
    <row r="2458" spans="30:30" ht="12" x14ac:dyDescent="0.3">
      <c r="AD2458" s="6"/>
    </row>
    <row r="2459" spans="30:30" ht="12" x14ac:dyDescent="0.3">
      <c r="AD2459" s="6"/>
    </row>
    <row r="2460" spans="30:30" ht="12" x14ac:dyDescent="0.3">
      <c r="AD2460" s="6"/>
    </row>
    <row r="2461" spans="30:30" ht="12" x14ac:dyDescent="0.3">
      <c r="AD2461" s="6"/>
    </row>
    <row r="2462" spans="30:30" ht="12" x14ac:dyDescent="0.3">
      <c r="AD2462" s="6"/>
    </row>
    <row r="2463" spans="30:30" ht="12" x14ac:dyDescent="0.3">
      <c r="AD2463" s="6"/>
    </row>
    <row r="2464" spans="30:30" ht="12" x14ac:dyDescent="0.3">
      <c r="AD2464" s="6"/>
    </row>
    <row r="2465" spans="30:30" ht="12" x14ac:dyDescent="0.3">
      <c r="AD2465" s="6"/>
    </row>
    <row r="2466" spans="30:30" ht="12" x14ac:dyDescent="0.3">
      <c r="AD2466" s="6"/>
    </row>
    <row r="2467" spans="30:30" ht="12" x14ac:dyDescent="0.3">
      <c r="AD2467" s="6"/>
    </row>
    <row r="2468" spans="30:30" ht="12" x14ac:dyDescent="0.3">
      <c r="AD2468" s="6"/>
    </row>
    <row r="2469" spans="30:30" ht="12" x14ac:dyDescent="0.3">
      <c r="AD2469" s="6"/>
    </row>
    <row r="2470" spans="30:30" ht="12" x14ac:dyDescent="0.3">
      <c r="AD2470" s="6"/>
    </row>
    <row r="2471" spans="30:30" ht="12" x14ac:dyDescent="0.3">
      <c r="AD2471" s="6"/>
    </row>
    <row r="2472" spans="30:30" ht="12" x14ac:dyDescent="0.3">
      <c r="AD2472" s="6"/>
    </row>
    <row r="2473" spans="30:30" ht="12" x14ac:dyDescent="0.3">
      <c r="AD2473" s="6"/>
    </row>
    <row r="2474" spans="30:30" ht="12" x14ac:dyDescent="0.3">
      <c r="AD2474" s="6"/>
    </row>
    <row r="2475" spans="30:30" ht="12" x14ac:dyDescent="0.3">
      <c r="AD2475" s="6"/>
    </row>
    <row r="2476" spans="30:30" ht="12" x14ac:dyDescent="0.3">
      <c r="AD2476" s="6"/>
    </row>
    <row r="2477" spans="30:30" ht="12" x14ac:dyDescent="0.3">
      <c r="AD2477" s="6"/>
    </row>
    <row r="2478" spans="30:30" ht="12" x14ac:dyDescent="0.3">
      <c r="AD2478" s="6"/>
    </row>
    <row r="2479" spans="30:30" ht="12" x14ac:dyDescent="0.3">
      <c r="AD2479" s="6"/>
    </row>
    <row r="2480" spans="30:30" ht="12" x14ac:dyDescent="0.3">
      <c r="AD2480" s="6"/>
    </row>
    <row r="2481" spans="30:30" ht="12" x14ac:dyDescent="0.3">
      <c r="AD2481" s="6"/>
    </row>
    <row r="2482" spans="30:30" ht="12" x14ac:dyDescent="0.3">
      <c r="AD2482" s="6"/>
    </row>
    <row r="2483" spans="30:30" ht="12" x14ac:dyDescent="0.3">
      <c r="AD2483" s="6"/>
    </row>
    <row r="2484" spans="30:30" ht="12" x14ac:dyDescent="0.3">
      <c r="AD2484" s="6"/>
    </row>
    <row r="2485" spans="30:30" ht="12" x14ac:dyDescent="0.3">
      <c r="AD2485" s="6"/>
    </row>
    <row r="2486" spans="30:30" ht="12" x14ac:dyDescent="0.3">
      <c r="AD2486" s="6"/>
    </row>
    <row r="2487" spans="30:30" ht="12" x14ac:dyDescent="0.3">
      <c r="AD2487" s="6"/>
    </row>
    <row r="2488" spans="30:30" ht="12" x14ac:dyDescent="0.3">
      <c r="AD2488" s="6"/>
    </row>
    <row r="2489" spans="30:30" ht="12" x14ac:dyDescent="0.3">
      <c r="AD2489" s="6"/>
    </row>
    <row r="2490" spans="30:30" ht="12" x14ac:dyDescent="0.3">
      <c r="AD2490" s="6"/>
    </row>
    <row r="2491" spans="30:30" ht="12" x14ac:dyDescent="0.3">
      <c r="AD2491" s="6"/>
    </row>
    <row r="2492" spans="30:30" ht="12" x14ac:dyDescent="0.3">
      <c r="AD2492" s="6"/>
    </row>
    <row r="2493" spans="30:30" ht="12" x14ac:dyDescent="0.3">
      <c r="AD2493" s="6"/>
    </row>
    <row r="2494" spans="30:30" ht="12" x14ac:dyDescent="0.3">
      <c r="AD2494" s="6"/>
    </row>
    <row r="2495" spans="30:30" ht="12" x14ac:dyDescent="0.3">
      <c r="AD2495" s="6"/>
    </row>
    <row r="2496" spans="30:30" ht="12" x14ac:dyDescent="0.3">
      <c r="AD2496" s="6"/>
    </row>
    <row r="2497" spans="30:30" ht="12" x14ac:dyDescent="0.3">
      <c r="AD2497" s="6"/>
    </row>
    <row r="2498" spans="30:30" ht="12" x14ac:dyDescent="0.3">
      <c r="AD2498" s="6"/>
    </row>
    <row r="2499" spans="30:30" ht="12" x14ac:dyDescent="0.3">
      <c r="AD2499" s="6"/>
    </row>
    <row r="2500" spans="30:30" ht="12" x14ac:dyDescent="0.3">
      <c r="AD2500" s="6"/>
    </row>
    <row r="2501" spans="30:30" ht="12" x14ac:dyDescent="0.3">
      <c r="AD2501" s="6"/>
    </row>
    <row r="2502" spans="30:30" ht="12" x14ac:dyDescent="0.3">
      <c r="AD2502" s="6"/>
    </row>
    <row r="2503" spans="30:30" ht="12" x14ac:dyDescent="0.3">
      <c r="AD2503" s="6"/>
    </row>
    <row r="2504" spans="30:30" ht="12" x14ac:dyDescent="0.3">
      <c r="AD2504" s="6"/>
    </row>
    <row r="2505" spans="30:30" ht="12" x14ac:dyDescent="0.3">
      <c r="AD2505" s="6"/>
    </row>
    <row r="2506" spans="30:30" ht="12" x14ac:dyDescent="0.3">
      <c r="AD2506" s="6"/>
    </row>
    <row r="2507" spans="30:30" ht="12" x14ac:dyDescent="0.3">
      <c r="AD2507" s="6"/>
    </row>
    <row r="2508" spans="30:30" ht="12" x14ac:dyDescent="0.3">
      <c r="AD2508" s="6"/>
    </row>
    <row r="2509" spans="30:30" ht="12" x14ac:dyDescent="0.3">
      <c r="AD2509" s="6"/>
    </row>
    <row r="2510" spans="30:30" ht="12" x14ac:dyDescent="0.3">
      <c r="AD2510" s="6"/>
    </row>
    <row r="2511" spans="30:30" ht="12" x14ac:dyDescent="0.3">
      <c r="AD2511" s="6"/>
    </row>
    <row r="2512" spans="30:30" ht="12" x14ac:dyDescent="0.3">
      <c r="AD2512" s="6"/>
    </row>
    <row r="2513" spans="30:30" ht="12" x14ac:dyDescent="0.3">
      <c r="AD2513" s="6"/>
    </row>
    <row r="2514" spans="30:30" ht="12" x14ac:dyDescent="0.3">
      <c r="AD2514" s="6"/>
    </row>
    <row r="2515" spans="30:30" ht="12" x14ac:dyDescent="0.3">
      <c r="AD2515" s="6"/>
    </row>
    <row r="2516" spans="30:30" ht="12" x14ac:dyDescent="0.3">
      <c r="AD2516" s="6"/>
    </row>
    <row r="2517" spans="30:30" ht="12" x14ac:dyDescent="0.3">
      <c r="AD2517" s="6"/>
    </row>
    <row r="2518" spans="30:30" ht="12" x14ac:dyDescent="0.3">
      <c r="AD2518" s="6"/>
    </row>
    <row r="2519" spans="30:30" ht="12" x14ac:dyDescent="0.3">
      <c r="AD2519" s="6"/>
    </row>
    <row r="2520" spans="30:30" ht="12" x14ac:dyDescent="0.3">
      <c r="AD2520" s="6"/>
    </row>
    <row r="2521" spans="30:30" ht="12" x14ac:dyDescent="0.3">
      <c r="AD2521" s="6"/>
    </row>
    <row r="2522" spans="30:30" ht="12" x14ac:dyDescent="0.3">
      <c r="AD2522" s="6"/>
    </row>
    <row r="2523" spans="30:30" ht="12" x14ac:dyDescent="0.3">
      <c r="AD2523" s="6"/>
    </row>
    <row r="2524" spans="30:30" ht="12" x14ac:dyDescent="0.3">
      <c r="AD2524" s="6"/>
    </row>
    <row r="2525" spans="30:30" ht="12" x14ac:dyDescent="0.3">
      <c r="AD2525" s="6"/>
    </row>
    <row r="2526" spans="30:30" ht="12" x14ac:dyDescent="0.3">
      <c r="AD2526" s="6"/>
    </row>
    <row r="2527" spans="30:30" ht="12" x14ac:dyDescent="0.3">
      <c r="AD2527" s="6"/>
    </row>
    <row r="2528" spans="30:30" ht="12" x14ac:dyDescent="0.3">
      <c r="AD2528" s="6"/>
    </row>
    <row r="2529" spans="30:30" ht="12" x14ac:dyDescent="0.3">
      <c r="AD2529" s="6"/>
    </row>
    <row r="2530" spans="30:30" ht="12" x14ac:dyDescent="0.3">
      <c r="AD2530" s="6"/>
    </row>
    <row r="2531" spans="30:30" ht="12" x14ac:dyDescent="0.3">
      <c r="AD2531" s="6"/>
    </row>
    <row r="2532" spans="30:30" ht="12" x14ac:dyDescent="0.3">
      <c r="AD2532" s="6"/>
    </row>
    <row r="2533" spans="30:30" ht="12" x14ac:dyDescent="0.3">
      <c r="AD2533" s="6"/>
    </row>
    <row r="2534" spans="30:30" ht="12" x14ac:dyDescent="0.3">
      <c r="AD2534" s="6"/>
    </row>
    <row r="2535" spans="30:30" ht="12" x14ac:dyDescent="0.3">
      <c r="AD2535" s="6"/>
    </row>
    <row r="2536" spans="30:30" ht="12" x14ac:dyDescent="0.3">
      <c r="AD2536" s="6"/>
    </row>
    <row r="2537" spans="30:30" ht="12" x14ac:dyDescent="0.3">
      <c r="AD2537" s="6"/>
    </row>
    <row r="2538" spans="30:30" ht="12" x14ac:dyDescent="0.3">
      <c r="AD2538" s="6"/>
    </row>
    <row r="2539" spans="30:30" ht="12" x14ac:dyDescent="0.3">
      <c r="AD2539" s="6"/>
    </row>
    <row r="2540" spans="30:30" ht="12" x14ac:dyDescent="0.3">
      <c r="AD2540" s="6"/>
    </row>
    <row r="2541" spans="30:30" ht="12" x14ac:dyDescent="0.3">
      <c r="AD2541" s="6"/>
    </row>
    <row r="2542" spans="30:30" ht="12" x14ac:dyDescent="0.3">
      <c r="AD2542" s="6"/>
    </row>
    <row r="2543" spans="30:30" ht="12" x14ac:dyDescent="0.3">
      <c r="AD2543" s="6"/>
    </row>
    <row r="2544" spans="30:30" ht="12" x14ac:dyDescent="0.3">
      <c r="AD2544" s="6"/>
    </row>
    <row r="2545" spans="30:30" ht="12" x14ac:dyDescent="0.3">
      <c r="AD2545" s="6"/>
    </row>
    <row r="2546" spans="30:30" ht="12" x14ac:dyDescent="0.3">
      <c r="AD2546" s="6"/>
    </row>
    <row r="2547" spans="30:30" ht="12" x14ac:dyDescent="0.3">
      <c r="AD2547" s="6"/>
    </row>
    <row r="2548" spans="30:30" ht="12" x14ac:dyDescent="0.3">
      <c r="AD2548" s="6"/>
    </row>
    <row r="2549" spans="30:30" ht="12" x14ac:dyDescent="0.3">
      <c r="AD2549" s="6"/>
    </row>
    <row r="2550" spans="30:30" ht="12" x14ac:dyDescent="0.3">
      <c r="AD2550" s="6"/>
    </row>
    <row r="2551" spans="30:30" ht="12" x14ac:dyDescent="0.3">
      <c r="AD2551" s="6"/>
    </row>
    <row r="2552" spans="30:30" ht="12" x14ac:dyDescent="0.3">
      <c r="AD2552" s="6"/>
    </row>
    <row r="2553" spans="30:30" ht="12" x14ac:dyDescent="0.3">
      <c r="AD2553" s="6"/>
    </row>
    <row r="2554" spans="30:30" ht="12" x14ac:dyDescent="0.3">
      <c r="AD2554" s="6"/>
    </row>
    <row r="2555" spans="30:30" ht="12" x14ac:dyDescent="0.3">
      <c r="AD2555" s="6"/>
    </row>
    <row r="2556" spans="30:30" ht="12" x14ac:dyDescent="0.3">
      <c r="AD2556" s="6"/>
    </row>
    <row r="2557" spans="30:30" ht="12" x14ac:dyDescent="0.3">
      <c r="AD2557" s="6"/>
    </row>
    <row r="2558" spans="30:30" ht="12" x14ac:dyDescent="0.3">
      <c r="AD2558" s="6"/>
    </row>
    <row r="2559" spans="30:30" ht="12" x14ac:dyDescent="0.3">
      <c r="AD2559" s="6"/>
    </row>
    <row r="2560" spans="30:30" ht="12" x14ac:dyDescent="0.3">
      <c r="AD2560" s="6"/>
    </row>
    <row r="2561" spans="30:30" ht="12" x14ac:dyDescent="0.3">
      <c r="AD2561" s="6"/>
    </row>
    <row r="2562" spans="30:30" ht="12" x14ac:dyDescent="0.3">
      <c r="AD2562" s="6"/>
    </row>
    <row r="2563" spans="30:30" ht="12" x14ac:dyDescent="0.3">
      <c r="AD2563" s="6"/>
    </row>
    <row r="2564" spans="30:30" ht="12" x14ac:dyDescent="0.3">
      <c r="AD2564" s="6"/>
    </row>
    <row r="2565" spans="30:30" ht="12" x14ac:dyDescent="0.3">
      <c r="AD2565" s="6"/>
    </row>
    <row r="2566" spans="30:30" ht="12" x14ac:dyDescent="0.3">
      <c r="AD2566" s="6"/>
    </row>
    <row r="2567" spans="30:30" ht="12" x14ac:dyDescent="0.3">
      <c r="AD2567" s="6"/>
    </row>
    <row r="2568" spans="30:30" ht="12" x14ac:dyDescent="0.3">
      <c r="AD2568" s="6"/>
    </row>
    <row r="2569" spans="30:30" ht="12" x14ac:dyDescent="0.3">
      <c r="AD2569" s="6"/>
    </row>
    <row r="2570" spans="30:30" ht="12" x14ac:dyDescent="0.3">
      <c r="AD2570" s="6"/>
    </row>
    <row r="2571" spans="30:30" ht="12" x14ac:dyDescent="0.3">
      <c r="AD2571" s="6"/>
    </row>
    <row r="2572" spans="30:30" ht="12" x14ac:dyDescent="0.3">
      <c r="AD2572" s="6"/>
    </row>
    <row r="2573" spans="30:30" ht="12" x14ac:dyDescent="0.3">
      <c r="AD2573" s="6"/>
    </row>
    <row r="2574" spans="30:30" ht="12" x14ac:dyDescent="0.3">
      <c r="AD2574" s="6"/>
    </row>
    <row r="2575" spans="30:30" ht="12" x14ac:dyDescent="0.3">
      <c r="AD2575" s="6"/>
    </row>
    <row r="2576" spans="30:30" ht="12" x14ac:dyDescent="0.3">
      <c r="AD2576" s="6"/>
    </row>
    <row r="2577" spans="30:30" ht="12" x14ac:dyDescent="0.3">
      <c r="AD2577" s="6"/>
    </row>
    <row r="2578" spans="30:30" ht="12" x14ac:dyDescent="0.3">
      <c r="AD2578" s="6"/>
    </row>
    <row r="2579" spans="30:30" ht="12" x14ac:dyDescent="0.3">
      <c r="AD2579" s="6"/>
    </row>
    <row r="2580" spans="30:30" ht="12" x14ac:dyDescent="0.3">
      <c r="AD2580" s="6"/>
    </row>
    <row r="2581" spans="30:30" ht="12" x14ac:dyDescent="0.3">
      <c r="AD2581" s="6"/>
    </row>
    <row r="2582" spans="30:30" ht="12" x14ac:dyDescent="0.3">
      <c r="AD2582" s="6"/>
    </row>
    <row r="2583" spans="30:30" ht="12" x14ac:dyDescent="0.3">
      <c r="AD2583" s="6"/>
    </row>
    <row r="2584" spans="30:30" ht="12" x14ac:dyDescent="0.3">
      <c r="AD2584" s="6"/>
    </row>
    <row r="2585" spans="30:30" ht="12" x14ac:dyDescent="0.3">
      <c r="AD2585" s="6"/>
    </row>
    <row r="2586" spans="30:30" ht="12" x14ac:dyDescent="0.3">
      <c r="AD2586" s="6"/>
    </row>
    <row r="2587" spans="30:30" ht="12" x14ac:dyDescent="0.3">
      <c r="AD2587" s="6"/>
    </row>
    <row r="2588" spans="30:30" ht="12" x14ac:dyDescent="0.3">
      <c r="AD2588" s="6"/>
    </row>
    <row r="2589" spans="30:30" ht="12" x14ac:dyDescent="0.3">
      <c r="AD2589" s="6"/>
    </row>
    <row r="2590" spans="30:30" ht="12" x14ac:dyDescent="0.3">
      <c r="AD2590" s="6"/>
    </row>
    <row r="2591" spans="30:30" ht="12" x14ac:dyDescent="0.3">
      <c r="AD2591" s="6"/>
    </row>
    <row r="2592" spans="30:30" ht="12" x14ac:dyDescent="0.3">
      <c r="AD2592" s="6"/>
    </row>
    <row r="2593" spans="30:30" ht="12" x14ac:dyDescent="0.3">
      <c r="AD2593" s="6"/>
    </row>
    <row r="2594" spans="30:30" ht="12" x14ac:dyDescent="0.3">
      <c r="AD2594" s="6"/>
    </row>
    <row r="2595" spans="30:30" ht="12" x14ac:dyDescent="0.3">
      <c r="AD2595" s="6"/>
    </row>
    <row r="2596" spans="30:30" ht="12" x14ac:dyDescent="0.3">
      <c r="AD2596" s="6"/>
    </row>
    <row r="2597" spans="30:30" ht="12" x14ac:dyDescent="0.3">
      <c r="AD2597" s="6"/>
    </row>
    <row r="2598" spans="30:30" ht="12" x14ac:dyDescent="0.3">
      <c r="AD2598" s="6"/>
    </row>
    <row r="2599" spans="30:30" ht="12" x14ac:dyDescent="0.3">
      <c r="AD2599" s="6"/>
    </row>
    <row r="2600" spans="30:30" ht="12" x14ac:dyDescent="0.3">
      <c r="AD2600" s="6"/>
    </row>
    <row r="2601" spans="30:30" ht="12" x14ac:dyDescent="0.3">
      <c r="AD2601" s="6"/>
    </row>
    <row r="2602" spans="30:30" ht="12" x14ac:dyDescent="0.3">
      <c r="AD2602" s="6"/>
    </row>
    <row r="2603" spans="30:30" ht="12" x14ac:dyDescent="0.3">
      <c r="AD2603" s="6"/>
    </row>
    <row r="2604" spans="30:30" ht="12" x14ac:dyDescent="0.3">
      <c r="AD2604" s="6"/>
    </row>
    <row r="2605" spans="30:30" ht="12" x14ac:dyDescent="0.3">
      <c r="AD2605" s="6"/>
    </row>
    <row r="2606" spans="30:30" ht="12" x14ac:dyDescent="0.3">
      <c r="AD2606" s="6"/>
    </row>
    <row r="2607" spans="30:30" ht="12" x14ac:dyDescent="0.3">
      <c r="AD2607" s="6"/>
    </row>
    <row r="2608" spans="30:30" ht="12" x14ac:dyDescent="0.3">
      <c r="AD2608" s="6"/>
    </row>
    <row r="2609" spans="30:30" ht="12" x14ac:dyDescent="0.3">
      <c r="AD2609" s="6"/>
    </row>
    <row r="2610" spans="30:30" ht="12" x14ac:dyDescent="0.3">
      <c r="AD2610" s="6"/>
    </row>
    <row r="2611" spans="30:30" ht="12" x14ac:dyDescent="0.3">
      <c r="AD2611" s="6"/>
    </row>
    <row r="2612" spans="30:30" ht="12" x14ac:dyDescent="0.3">
      <c r="AD2612" s="6"/>
    </row>
    <row r="2613" spans="30:30" ht="12" x14ac:dyDescent="0.3">
      <c r="AD2613" s="6"/>
    </row>
    <row r="2614" spans="30:30" ht="12" x14ac:dyDescent="0.3">
      <c r="AD2614" s="6"/>
    </row>
    <row r="2615" spans="30:30" ht="12" x14ac:dyDescent="0.3">
      <c r="AD2615" s="6"/>
    </row>
    <row r="2616" spans="30:30" ht="12" x14ac:dyDescent="0.3">
      <c r="AD2616" s="6"/>
    </row>
    <row r="2617" spans="30:30" ht="12" x14ac:dyDescent="0.3">
      <c r="AD2617" s="6"/>
    </row>
    <row r="2618" spans="30:30" ht="12" x14ac:dyDescent="0.3">
      <c r="AD2618" s="6"/>
    </row>
    <row r="2619" spans="30:30" ht="12" x14ac:dyDescent="0.3">
      <c r="AD2619" s="6"/>
    </row>
    <row r="2620" spans="30:30" ht="12" x14ac:dyDescent="0.3">
      <c r="AD2620" s="6"/>
    </row>
    <row r="2621" spans="30:30" ht="12" x14ac:dyDescent="0.3">
      <c r="AD2621" s="6"/>
    </row>
    <row r="2622" spans="30:30" ht="12" x14ac:dyDescent="0.3">
      <c r="AD2622" s="6"/>
    </row>
    <row r="2623" spans="30:30" ht="12" x14ac:dyDescent="0.3">
      <c r="AD2623" s="6"/>
    </row>
    <row r="2624" spans="30:30" ht="12" x14ac:dyDescent="0.3">
      <c r="AD2624" s="6"/>
    </row>
    <row r="2625" spans="30:30" ht="12" x14ac:dyDescent="0.3">
      <c r="AD2625" s="6"/>
    </row>
    <row r="2626" spans="30:30" ht="12" x14ac:dyDescent="0.3">
      <c r="AD2626" s="6"/>
    </row>
    <row r="2627" spans="30:30" ht="12" x14ac:dyDescent="0.3">
      <c r="AD2627" s="6"/>
    </row>
    <row r="2628" spans="30:30" ht="12" x14ac:dyDescent="0.3">
      <c r="AD2628" s="6"/>
    </row>
    <row r="2629" spans="30:30" ht="12" x14ac:dyDescent="0.3">
      <c r="AD2629" s="6"/>
    </row>
    <row r="2630" spans="30:30" ht="12" x14ac:dyDescent="0.3">
      <c r="AD2630" s="6"/>
    </row>
    <row r="2631" spans="30:30" ht="12" x14ac:dyDescent="0.3">
      <c r="AD2631" s="6"/>
    </row>
    <row r="2632" spans="30:30" ht="12" x14ac:dyDescent="0.3">
      <c r="AD2632" s="6"/>
    </row>
    <row r="2633" spans="30:30" ht="12" x14ac:dyDescent="0.3">
      <c r="AD2633" s="6"/>
    </row>
    <row r="2634" spans="30:30" ht="12" x14ac:dyDescent="0.3">
      <c r="AD2634" s="6"/>
    </row>
    <row r="2635" spans="30:30" ht="12" x14ac:dyDescent="0.3">
      <c r="AD2635" s="6"/>
    </row>
    <row r="2636" spans="30:30" ht="12" x14ac:dyDescent="0.3">
      <c r="AD2636" s="6"/>
    </row>
    <row r="2637" spans="30:30" ht="12" x14ac:dyDescent="0.3">
      <c r="AD2637" s="6"/>
    </row>
    <row r="2638" spans="30:30" ht="12" x14ac:dyDescent="0.3">
      <c r="AD2638" s="6"/>
    </row>
    <row r="2639" spans="30:30" ht="12" x14ac:dyDescent="0.3">
      <c r="AD2639" s="6"/>
    </row>
    <row r="2640" spans="30:30" ht="12" x14ac:dyDescent="0.3">
      <c r="AD2640" s="6"/>
    </row>
    <row r="2641" spans="30:30" ht="12" x14ac:dyDescent="0.3">
      <c r="AD2641" s="6"/>
    </row>
    <row r="2642" spans="30:30" ht="12" x14ac:dyDescent="0.3">
      <c r="AD2642" s="6"/>
    </row>
    <row r="2643" spans="30:30" ht="12" x14ac:dyDescent="0.3">
      <c r="AD2643" s="6"/>
    </row>
    <row r="2644" spans="30:30" ht="12" x14ac:dyDescent="0.3">
      <c r="AD2644" s="6"/>
    </row>
    <row r="2645" spans="30:30" ht="12" x14ac:dyDescent="0.3">
      <c r="AD2645" s="6"/>
    </row>
    <row r="2646" spans="30:30" ht="12" x14ac:dyDescent="0.3">
      <c r="AD2646" s="6"/>
    </row>
    <row r="2647" spans="30:30" ht="12" x14ac:dyDescent="0.3">
      <c r="AD2647" s="6"/>
    </row>
    <row r="2648" spans="30:30" ht="12" x14ac:dyDescent="0.3">
      <c r="AD2648" s="6"/>
    </row>
    <row r="2649" spans="30:30" ht="12" x14ac:dyDescent="0.3">
      <c r="AD2649" s="6"/>
    </row>
    <row r="2650" spans="30:30" ht="12" x14ac:dyDescent="0.3">
      <c r="AD2650" s="6"/>
    </row>
    <row r="2651" spans="30:30" ht="12" x14ac:dyDescent="0.3">
      <c r="AD2651" s="6"/>
    </row>
    <row r="2652" spans="30:30" ht="12" x14ac:dyDescent="0.3">
      <c r="AD2652" s="6"/>
    </row>
    <row r="2653" spans="30:30" ht="12" x14ac:dyDescent="0.3">
      <c r="AD2653" s="6"/>
    </row>
    <row r="2654" spans="30:30" ht="12" x14ac:dyDescent="0.3">
      <c r="AD2654" s="6"/>
    </row>
    <row r="2655" spans="30:30" ht="12" x14ac:dyDescent="0.3">
      <c r="AD2655" s="6"/>
    </row>
    <row r="2656" spans="30:30" ht="12" x14ac:dyDescent="0.3">
      <c r="AD2656" s="6"/>
    </row>
    <row r="2657" spans="30:30" ht="12" x14ac:dyDescent="0.3">
      <c r="AD2657" s="6"/>
    </row>
    <row r="2658" spans="30:30" ht="12" x14ac:dyDescent="0.3">
      <c r="AD2658" s="6"/>
    </row>
    <row r="2659" spans="30:30" ht="12" x14ac:dyDescent="0.3">
      <c r="AD2659" s="6"/>
    </row>
    <row r="2660" spans="30:30" ht="12" x14ac:dyDescent="0.3">
      <c r="AD2660" s="6"/>
    </row>
    <row r="2661" spans="30:30" ht="12" x14ac:dyDescent="0.3">
      <c r="AD2661" s="6"/>
    </row>
    <row r="2662" spans="30:30" ht="12" x14ac:dyDescent="0.3">
      <c r="AD2662" s="6"/>
    </row>
    <row r="2663" spans="30:30" ht="12" x14ac:dyDescent="0.3">
      <c r="AD2663" s="6"/>
    </row>
    <row r="2664" spans="30:30" ht="12" x14ac:dyDescent="0.3">
      <c r="AD2664" s="6"/>
    </row>
    <row r="2665" spans="30:30" ht="12" x14ac:dyDescent="0.3">
      <c r="AD2665" s="6"/>
    </row>
    <row r="2666" spans="30:30" ht="12" x14ac:dyDescent="0.3">
      <c r="AD2666" s="6"/>
    </row>
    <row r="2667" spans="30:30" ht="12" x14ac:dyDescent="0.3">
      <c r="AD2667" s="6"/>
    </row>
    <row r="2668" spans="30:30" ht="12" x14ac:dyDescent="0.3">
      <c r="AD2668" s="6"/>
    </row>
    <row r="2669" spans="30:30" ht="12" x14ac:dyDescent="0.3">
      <c r="AD2669" s="6"/>
    </row>
    <row r="2670" spans="30:30" ht="12" x14ac:dyDescent="0.3">
      <c r="AD2670" s="6"/>
    </row>
    <row r="2671" spans="30:30" ht="12" x14ac:dyDescent="0.3">
      <c r="AD2671" s="6"/>
    </row>
    <row r="2672" spans="30:30" ht="12" x14ac:dyDescent="0.3">
      <c r="AD2672" s="6"/>
    </row>
    <row r="2673" spans="30:30" ht="12" x14ac:dyDescent="0.3">
      <c r="AD2673" s="6"/>
    </row>
    <row r="2674" spans="30:30" ht="12" x14ac:dyDescent="0.3">
      <c r="AD2674" s="6"/>
    </row>
    <row r="2675" spans="30:30" ht="12" x14ac:dyDescent="0.3">
      <c r="AD2675" s="6"/>
    </row>
    <row r="2676" spans="30:30" ht="12" x14ac:dyDescent="0.3">
      <c r="AD2676" s="6"/>
    </row>
    <row r="2677" spans="30:30" ht="12" x14ac:dyDescent="0.3">
      <c r="AD2677" s="6"/>
    </row>
    <row r="2678" spans="30:30" ht="12" x14ac:dyDescent="0.3">
      <c r="AD2678" s="6"/>
    </row>
    <row r="2679" spans="30:30" ht="12" x14ac:dyDescent="0.3">
      <c r="AD2679" s="6"/>
    </row>
    <row r="2680" spans="30:30" ht="12" x14ac:dyDescent="0.3">
      <c r="AD2680" s="6"/>
    </row>
    <row r="2681" spans="30:30" ht="12" x14ac:dyDescent="0.3">
      <c r="AD2681" s="6"/>
    </row>
    <row r="2682" spans="30:30" ht="12" x14ac:dyDescent="0.3">
      <c r="AD2682" s="6"/>
    </row>
    <row r="2683" spans="30:30" ht="12" x14ac:dyDescent="0.3">
      <c r="AD2683" s="6"/>
    </row>
    <row r="2684" spans="30:30" ht="12" x14ac:dyDescent="0.3">
      <c r="AD2684" s="6"/>
    </row>
    <row r="2685" spans="30:30" ht="12" x14ac:dyDescent="0.3">
      <c r="AD2685" s="6"/>
    </row>
    <row r="2686" spans="30:30" ht="12" x14ac:dyDescent="0.3">
      <c r="AD2686" s="6"/>
    </row>
    <row r="2687" spans="30:30" ht="12" x14ac:dyDescent="0.3">
      <c r="AD2687" s="6"/>
    </row>
    <row r="2688" spans="30:30" ht="12" x14ac:dyDescent="0.3">
      <c r="AD2688" s="6"/>
    </row>
    <row r="2689" spans="30:30" ht="12" x14ac:dyDescent="0.3">
      <c r="AD2689" s="6"/>
    </row>
    <row r="2690" spans="30:30" ht="12" x14ac:dyDescent="0.3">
      <c r="AD2690" s="6"/>
    </row>
    <row r="2691" spans="30:30" ht="12" x14ac:dyDescent="0.3">
      <c r="AD2691" s="6"/>
    </row>
    <row r="2692" spans="30:30" ht="12" x14ac:dyDescent="0.3">
      <c r="AD2692" s="6"/>
    </row>
    <row r="2693" spans="30:30" ht="12" x14ac:dyDescent="0.3">
      <c r="AD2693" s="6"/>
    </row>
    <row r="2694" spans="30:30" ht="12" x14ac:dyDescent="0.3">
      <c r="AD2694" s="6"/>
    </row>
    <row r="2695" spans="30:30" ht="12" x14ac:dyDescent="0.3">
      <c r="AD2695" s="6"/>
    </row>
    <row r="2696" spans="30:30" ht="12" x14ac:dyDescent="0.3">
      <c r="AD2696" s="6"/>
    </row>
    <row r="2697" spans="30:30" ht="12" x14ac:dyDescent="0.3">
      <c r="AD2697" s="6"/>
    </row>
    <row r="2698" spans="30:30" ht="12" x14ac:dyDescent="0.3">
      <c r="AD2698" s="6"/>
    </row>
    <row r="2699" spans="30:30" ht="12" x14ac:dyDescent="0.3">
      <c r="AD2699" s="6"/>
    </row>
    <row r="2700" spans="30:30" ht="12" x14ac:dyDescent="0.3">
      <c r="AD2700" s="6"/>
    </row>
    <row r="2701" spans="30:30" ht="12" x14ac:dyDescent="0.3">
      <c r="AD2701" s="6"/>
    </row>
    <row r="2702" spans="30:30" ht="12" x14ac:dyDescent="0.3">
      <c r="AD2702" s="6"/>
    </row>
    <row r="2703" spans="30:30" ht="12" x14ac:dyDescent="0.3">
      <c r="AD2703" s="6"/>
    </row>
    <row r="2704" spans="30:30" ht="12" x14ac:dyDescent="0.3">
      <c r="AD2704" s="6"/>
    </row>
    <row r="2705" spans="30:30" ht="12" x14ac:dyDescent="0.3">
      <c r="AD2705" s="6"/>
    </row>
    <row r="2706" spans="30:30" ht="12" x14ac:dyDescent="0.3">
      <c r="AD2706" s="6"/>
    </row>
    <row r="2707" spans="30:30" ht="12" x14ac:dyDescent="0.3">
      <c r="AD2707" s="6"/>
    </row>
    <row r="2708" spans="30:30" ht="12" x14ac:dyDescent="0.3">
      <c r="AD2708" s="6"/>
    </row>
    <row r="2709" spans="30:30" ht="12" x14ac:dyDescent="0.3">
      <c r="AD2709" s="6"/>
    </row>
    <row r="2710" spans="30:30" ht="12" x14ac:dyDescent="0.3">
      <c r="AD2710" s="6"/>
    </row>
    <row r="2711" spans="30:30" ht="12" x14ac:dyDescent="0.3">
      <c r="AD2711" s="6"/>
    </row>
    <row r="2712" spans="30:30" ht="12" x14ac:dyDescent="0.3">
      <c r="AD2712" s="6"/>
    </row>
    <row r="2713" spans="30:30" ht="12" x14ac:dyDescent="0.3">
      <c r="AD2713" s="6"/>
    </row>
    <row r="2714" spans="30:30" ht="12" x14ac:dyDescent="0.3">
      <c r="AD2714" s="6"/>
    </row>
    <row r="2715" spans="30:30" ht="12" x14ac:dyDescent="0.3">
      <c r="AD2715" s="6"/>
    </row>
    <row r="2716" spans="30:30" ht="12" x14ac:dyDescent="0.3">
      <c r="AD2716" s="6"/>
    </row>
    <row r="2717" spans="30:30" ht="12" x14ac:dyDescent="0.3">
      <c r="AD2717" s="6"/>
    </row>
    <row r="2718" spans="30:30" ht="12" x14ac:dyDescent="0.3">
      <c r="AD2718" s="6"/>
    </row>
    <row r="2719" spans="30:30" ht="12" x14ac:dyDescent="0.3">
      <c r="AD2719" s="6"/>
    </row>
    <row r="2720" spans="30:30" ht="12" x14ac:dyDescent="0.3">
      <c r="AD2720" s="6"/>
    </row>
    <row r="2721" spans="30:30" ht="12" x14ac:dyDescent="0.3">
      <c r="AD2721" s="6"/>
    </row>
    <row r="2722" spans="30:30" ht="12" x14ac:dyDescent="0.3">
      <c r="AD2722" s="6"/>
    </row>
    <row r="2723" spans="30:30" ht="12" x14ac:dyDescent="0.3">
      <c r="AD2723" s="6"/>
    </row>
    <row r="2724" spans="30:30" ht="12" x14ac:dyDescent="0.3">
      <c r="AD2724" s="6"/>
    </row>
    <row r="2725" spans="30:30" ht="12" x14ac:dyDescent="0.3">
      <c r="AD2725" s="6"/>
    </row>
    <row r="2726" spans="30:30" ht="12" x14ac:dyDescent="0.3">
      <c r="AD2726" s="6"/>
    </row>
    <row r="2727" spans="30:30" ht="12" x14ac:dyDescent="0.3">
      <c r="AD2727" s="6"/>
    </row>
    <row r="2728" spans="30:30" ht="12" x14ac:dyDescent="0.3">
      <c r="AD2728" s="6"/>
    </row>
    <row r="2729" spans="30:30" ht="12" x14ac:dyDescent="0.3">
      <c r="AD2729" s="6"/>
    </row>
    <row r="2730" spans="30:30" ht="12" x14ac:dyDescent="0.3">
      <c r="AD2730" s="6"/>
    </row>
    <row r="2731" spans="30:30" ht="12" x14ac:dyDescent="0.3">
      <c r="AD2731" s="6"/>
    </row>
    <row r="2732" spans="30:30" ht="12" x14ac:dyDescent="0.3">
      <c r="AD2732" s="6"/>
    </row>
    <row r="2733" spans="30:30" ht="12" x14ac:dyDescent="0.3">
      <c r="AD2733" s="6"/>
    </row>
    <row r="2734" spans="30:30" ht="12" x14ac:dyDescent="0.3">
      <c r="AD2734" s="6"/>
    </row>
    <row r="2735" spans="30:30" ht="12" x14ac:dyDescent="0.3">
      <c r="AD2735" s="6"/>
    </row>
    <row r="2736" spans="30:30" ht="12" x14ac:dyDescent="0.3">
      <c r="AD2736" s="6"/>
    </row>
    <row r="2737" spans="30:30" ht="12" x14ac:dyDescent="0.3">
      <c r="AD2737" s="6"/>
    </row>
    <row r="2738" spans="30:30" ht="12" x14ac:dyDescent="0.3">
      <c r="AD2738" s="6"/>
    </row>
    <row r="2739" spans="30:30" ht="12" x14ac:dyDescent="0.3">
      <c r="AD2739" s="6"/>
    </row>
    <row r="2740" spans="30:30" ht="12" x14ac:dyDescent="0.3">
      <c r="AD2740" s="6"/>
    </row>
    <row r="2741" spans="30:30" ht="12" x14ac:dyDescent="0.3">
      <c r="AD2741" s="6"/>
    </row>
    <row r="2742" spans="30:30" ht="12" x14ac:dyDescent="0.3">
      <c r="AD2742" s="6"/>
    </row>
    <row r="2743" spans="30:30" ht="12" x14ac:dyDescent="0.3">
      <c r="AD2743" s="6"/>
    </row>
    <row r="2744" spans="30:30" ht="12" x14ac:dyDescent="0.3">
      <c r="AD2744" s="6"/>
    </row>
    <row r="2745" spans="30:30" ht="12" x14ac:dyDescent="0.3">
      <c r="AD2745" s="6"/>
    </row>
    <row r="2746" spans="30:30" ht="12" x14ac:dyDescent="0.3">
      <c r="AD2746" s="6"/>
    </row>
    <row r="2747" spans="30:30" ht="12" x14ac:dyDescent="0.3">
      <c r="AD2747" s="6"/>
    </row>
    <row r="2748" spans="30:30" ht="12" x14ac:dyDescent="0.3">
      <c r="AD2748" s="6"/>
    </row>
    <row r="2749" spans="30:30" ht="12" x14ac:dyDescent="0.3">
      <c r="AD2749" s="6"/>
    </row>
    <row r="2750" spans="30:30" ht="12" x14ac:dyDescent="0.3">
      <c r="AD2750" s="6"/>
    </row>
    <row r="2751" spans="30:30" ht="12" x14ac:dyDescent="0.3">
      <c r="AD2751" s="6"/>
    </row>
    <row r="2752" spans="30:30" ht="12" x14ac:dyDescent="0.3">
      <c r="AD2752" s="6"/>
    </row>
    <row r="2753" spans="30:30" ht="12" x14ac:dyDescent="0.3">
      <c r="AD2753" s="6"/>
    </row>
    <row r="2754" spans="30:30" ht="12" x14ac:dyDescent="0.3">
      <c r="AD2754" s="6"/>
    </row>
    <row r="2755" spans="30:30" ht="12" x14ac:dyDescent="0.3">
      <c r="AD2755" s="6"/>
    </row>
    <row r="2756" spans="30:30" ht="12" x14ac:dyDescent="0.3">
      <c r="AD2756" s="6"/>
    </row>
    <row r="2757" spans="30:30" ht="12" x14ac:dyDescent="0.3">
      <c r="AD2757" s="6"/>
    </row>
    <row r="2758" spans="30:30" ht="12" x14ac:dyDescent="0.3">
      <c r="AD2758" s="6"/>
    </row>
    <row r="2759" spans="30:30" ht="12" x14ac:dyDescent="0.3">
      <c r="AD2759" s="6"/>
    </row>
    <row r="2760" spans="30:30" ht="12" x14ac:dyDescent="0.3">
      <c r="AD2760" s="6"/>
    </row>
    <row r="2761" spans="30:30" ht="12" x14ac:dyDescent="0.3">
      <c r="AD2761" s="6"/>
    </row>
    <row r="2762" spans="30:30" ht="12" x14ac:dyDescent="0.3">
      <c r="AD2762" s="6"/>
    </row>
    <row r="2763" spans="30:30" ht="12" x14ac:dyDescent="0.3">
      <c r="AD2763" s="6"/>
    </row>
    <row r="2764" spans="30:30" ht="12" x14ac:dyDescent="0.3">
      <c r="AD2764" s="6"/>
    </row>
    <row r="2765" spans="30:30" ht="12" x14ac:dyDescent="0.3">
      <c r="AD2765" s="6"/>
    </row>
    <row r="2766" spans="30:30" ht="12" x14ac:dyDescent="0.3">
      <c r="AD2766" s="6"/>
    </row>
    <row r="2767" spans="30:30" ht="12" x14ac:dyDescent="0.3">
      <c r="AD2767" s="6"/>
    </row>
    <row r="2768" spans="30:30" ht="12" x14ac:dyDescent="0.3">
      <c r="AD2768" s="6"/>
    </row>
    <row r="2769" spans="30:30" ht="12" x14ac:dyDescent="0.3">
      <c r="AD2769" s="6"/>
    </row>
    <row r="2770" spans="30:30" ht="12" x14ac:dyDescent="0.3">
      <c r="AD2770" s="6"/>
    </row>
    <row r="2771" spans="30:30" ht="12" x14ac:dyDescent="0.3">
      <c r="AD2771" s="6"/>
    </row>
    <row r="2772" spans="30:30" ht="12" x14ac:dyDescent="0.3">
      <c r="AD2772" s="6"/>
    </row>
    <row r="2773" spans="30:30" ht="12" x14ac:dyDescent="0.3">
      <c r="AD2773" s="6"/>
    </row>
    <row r="2774" spans="30:30" ht="12" x14ac:dyDescent="0.3">
      <c r="AD2774" s="6"/>
    </row>
    <row r="2775" spans="30:30" ht="12" x14ac:dyDescent="0.3">
      <c r="AD2775" s="6"/>
    </row>
    <row r="2776" spans="30:30" ht="12" x14ac:dyDescent="0.3">
      <c r="AD2776" s="6"/>
    </row>
    <row r="2777" spans="30:30" ht="12" x14ac:dyDescent="0.3">
      <c r="AD2777" s="6"/>
    </row>
    <row r="2778" spans="30:30" ht="12" x14ac:dyDescent="0.3">
      <c r="AD2778" s="6"/>
    </row>
    <row r="2779" spans="30:30" ht="12" x14ac:dyDescent="0.3">
      <c r="AD2779" s="6"/>
    </row>
    <row r="2780" spans="30:30" ht="12" x14ac:dyDescent="0.3">
      <c r="AD2780" s="6"/>
    </row>
    <row r="2781" spans="30:30" ht="12" x14ac:dyDescent="0.3">
      <c r="AD2781" s="6"/>
    </row>
    <row r="2782" spans="30:30" ht="12" x14ac:dyDescent="0.3">
      <c r="AD2782" s="6"/>
    </row>
    <row r="2783" spans="30:30" ht="12" x14ac:dyDescent="0.3">
      <c r="AD2783" s="6"/>
    </row>
    <row r="2784" spans="30:30" ht="12" x14ac:dyDescent="0.3">
      <c r="AD2784" s="6"/>
    </row>
    <row r="2785" spans="30:30" ht="12" x14ac:dyDescent="0.3">
      <c r="AD2785" s="6"/>
    </row>
    <row r="2786" spans="30:30" ht="12" x14ac:dyDescent="0.3">
      <c r="AD2786" s="6"/>
    </row>
    <row r="2787" spans="30:30" ht="12" x14ac:dyDescent="0.3">
      <c r="AD2787" s="6"/>
    </row>
    <row r="2788" spans="30:30" ht="12" x14ac:dyDescent="0.3">
      <c r="AD2788" s="6"/>
    </row>
    <row r="2789" spans="30:30" ht="12" x14ac:dyDescent="0.3">
      <c r="AD2789" s="6"/>
    </row>
    <row r="2790" spans="30:30" ht="12" x14ac:dyDescent="0.3">
      <c r="AD2790" s="6"/>
    </row>
    <row r="2791" spans="30:30" ht="12" x14ac:dyDescent="0.3">
      <c r="AD2791" s="6"/>
    </row>
    <row r="2792" spans="30:30" ht="12" x14ac:dyDescent="0.3">
      <c r="AD2792" s="6"/>
    </row>
    <row r="2793" spans="30:30" ht="12" x14ac:dyDescent="0.3">
      <c r="AD2793" s="6"/>
    </row>
    <row r="2794" spans="30:30" ht="12" x14ac:dyDescent="0.3">
      <c r="AD2794" s="6"/>
    </row>
    <row r="2795" spans="30:30" ht="12" x14ac:dyDescent="0.3">
      <c r="AD2795" s="6"/>
    </row>
    <row r="2796" spans="30:30" ht="12" x14ac:dyDescent="0.3">
      <c r="AD2796" s="6"/>
    </row>
    <row r="2797" spans="30:30" ht="12" x14ac:dyDescent="0.3">
      <c r="AD2797" s="6"/>
    </row>
    <row r="2798" spans="30:30" ht="12" x14ac:dyDescent="0.3">
      <c r="AD2798" s="6"/>
    </row>
    <row r="2799" spans="30:30" ht="12" x14ac:dyDescent="0.3">
      <c r="AD2799" s="6"/>
    </row>
    <row r="2800" spans="30:30" ht="12" x14ac:dyDescent="0.3">
      <c r="AD2800" s="6"/>
    </row>
    <row r="2801" spans="30:30" ht="12" x14ac:dyDescent="0.3">
      <c r="AD2801" s="6"/>
    </row>
    <row r="2802" spans="30:30" ht="12" x14ac:dyDescent="0.3">
      <c r="AD2802" s="6"/>
    </row>
    <row r="2803" spans="30:30" ht="12" x14ac:dyDescent="0.3">
      <c r="AD2803" s="6"/>
    </row>
    <row r="2804" spans="30:30" ht="12" x14ac:dyDescent="0.3">
      <c r="AD2804" s="6"/>
    </row>
    <row r="2805" spans="30:30" ht="12" x14ac:dyDescent="0.3">
      <c r="AD2805" s="6"/>
    </row>
    <row r="2806" spans="30:30" ht="12" x14ac:dyDescent="0.3">
      <c r="AD2806" s="6"/>
    </row>
    <row r="2807" spans="30:30" ht="12" x14ac:dyDescent="0.3">
      <c r="AD2807" s="6"/>
    </row>
    <row r="2808" spans="30:30" ht="12" x14ac:dyDescent="0.3">
      <c r="AD2808" s="6"/>
    </row>
    <row r="2809" spans="30:30" ht="12" x14ac:dyDescent="0.3">
      <c r="AD2809" s="6"/>
    </row>
    <row r="2810" spans="30:30" ht="12" x14ac:dyDescent="0.3">
      <c r="AD2810" s="6"/>
    </row>
    <row r="2811" spans="30:30" ht="12" x14ac:dyDescent="0.3">
      <c r="AD2811" s="6"/>
    </row>
    <row r="2812" spans="30:30" ht="12" x14ac:dyDescent="0.3">
      <c r="AD2812" s="6"/>
    </row>
    <row r="2813" spans="30:30" ht="12" x14ac:dyDescent="0.3">
      <c r="AD2813" s="6"/>
    </row>
    <row r="2814" spans="30:30" ht="12" x14ac:dyDescent="0.3">
      <c r="AD2814" s="6"/>
    </row>
    <row r="2815" spans="30:30" ht="12" x14ac:dyDescent="0.3">
      <c r="AD2815" s="6"/>
    </row>
    <row r="2816" spans="30:30" ht="12" x14ac:dyDescent="0.3">
      <c r="AD2816" s="6"/>
    </row>
    <row r="2817" spans="30:30" ht="12" x14ac:dyDescent="0.3">
      <c r="AD2817" s="6"/>
    </row>
    <row r="2818" spans="30:30" ht="12" x14ac:dyDescent="0.3">
      <c r="AD2818" s="6"/>
    </row>
    <row r="2819" spans="30:30" ht="12" x14ac:dyDescent="0.3">
      <c r="AD2819" s="6"/>
    </row>
    <row r="2820" spans="30:30" ht="12" x14ac:dyDescent="0.3">
      <c r="AD2820" s="6"/>
    </row>
    <row r="2821" spans="30:30" ht="12" x14ac:dyDescent="0.3">
      <c r="AD2821" s="6"/>
    </row>
    <row r="2822" spans="30:30" ht="12" x14ac:dyDescent="0.3">
      <c r="AD2822" s="6"/>
    </row>
    <row r="2823" spans="30:30" ht="12" x14ac:dyDescent="0.3">
      <c r="AD2823" s="6"/>
    </row>
    <row r="2824" spans="30:30" ht="12" x14ac:dyDescent="0.3">
      <c r="AD2824" s="6"/>
    </row>
    <row r="2825" spans="30:30" ht="12" x14ac:dyDescent="0.3">
      <c r="AD2825" s="6"/>
    </row>
    <row r="2826" spans="30:30" ht="12" x14ac:dyDescent="0.3">
      <c r="AD2826" s="6"/>
    </row>
    <row r="2827" spans="30:30" ht="12" x14ac:dyDescent="0.3">
      <c r="AD2827" s="6"/>
    </row>
    <row r="2828" spans="30:30" ht="12" x14ac:dyDescent="0.3">
      <c r="AD2828" s="6"/>
    </row>
    <row r="2829" spans="30:30" ht="12" x14ac:dyDescent="0.3">
      <c r="AD2829" s="6"/>
    </row>
    <row r="2830" spans="30:30" ht="12" x14ac:dyDescent="0.3">
      <c r="AD2830" s="6"/>
    </row>
    <row r="2831" spans="30:30" ht="12" x14ac:dyDescent="0.3">
      <c r="AD2831" s="6"/>
    </row>
    <row r="2832" spans="30:30" ht="12" x14ac:dyDescent="0.3">
      <c r="AD2832" s="6"/>
    </row>
    <row r="2833" spans="30:30" ht="12" x14ac:dyDescent="0.3">
      <c r="AD2833" s="6"/>
    </row>
    <row r="2834" spans="30:30" ht="12" x14ac:dyDescent="0.3">
      <c r="AD2834" s="6"/>
    </row>
    <row r="2835" spans="30:30" ht="12" x14ac:dyDescent="0.3">
      <c r="AD2835" s="6"/>
    </row>
    <row r="2836" spans="30:30" ht="12" x14ac:dyDescent="0.3">
      <c r="AD2836" s="6"/>
    </row>
    <row r="2837" spans="30:30" ht="12" x14ac:dyDescent="0.3">
      <c r="AD2837" s="6"/>
    </row>
    <row r="2838" spans="30:30" ht="12" x14ac:dyDescent="0.3">
      <c r="AD2838" s="6"/>
    </row>
    <row r="2839" spans="30:30" ht="12" x14ac:dyDescent="0.3">
      <c r="AD2839" s="6"/>
    </row>
    <row r="2840" spans="30:30" ht="12" x14ac:dyDescent="0.3">
      <c r="AD2840" s="6"/>
    </row>
    <row r="2841" spans="30:30" ht="12" x14ac:dyDescent="0.3">
      <c r="AD2841" s="6"/>
    </row>
    <row r="2842" spans="30:30" ht="12" x14ac:dyDescent="0.3">
      <c r="AD2842" s="6"/>
    </row>
    <row r="2843" spans="30:30" ht="12" x14ac:dyDescent="0.3">
      <c r="AD2843" s="6"/>
    </row>
    <row r="2844" spans="30:30" ht="12" x14ac:dyDescent="0.3">
      <c r="AD2844" s="6"/>
    </row>
    <row r="2845" spans="30:30" ht="12" x14ac:dyDescent="0.3">
      <c r="AD2845" s="6"/>
    </row>
    <row r="2846" spans="30:30" ht="12" x14ac:dyDescent="0.3">
      <c r="AD2846" s="6"/>
    </row>
    <row r="2847" spans="30:30" ht="12" x14ac:dyDescent="0.3">
      <c r="AD2847" s="6"/>
    </row>
    <row r="2848" spans="30:30" ht="12" x14ac:dyDescent="0.3">
      <c r="AD2848" s="6"/>
    </row>
    <row r="2849" spans="30:30" ht="12" x14ac:dyDescent="0.3">
      <c r="AD2849" s="6"/>
    </row>
    <row r="2850" spans="30:30" ht="12" x14ac:dyDescent="0.3">
      <c r="AD2850" s="6"/>
    </row>
    <row r="2851" spans="30:30" ht="12" x14ac:dyDescent="0.3">
      <c r="AD2851" s="6"/>
    </row>
    <row r="2852" spans="30:30" ht="12" x14ac:dyDescent="0.3">
      <c r="AD2852" s="6"/>
    </row>
    <row r="2853" spans="30:30" ht="12" x14ac:dyDescent="0.3">
      <c r="AD2853" s="6"/>
    </row>
    <row r="2854" spans="30:30" ht="12" x14ac:dyDescent="0.3">
      <c r="AD2854" s="6"/>
    </row>
    <row r="2855" spans="30:30" ht="12" x14ac:dyDescent="0.3">
      <c r="AD2855" s="6"/>
    </row>
    <row r="2856" spans="30:30" ht="12" x14ac:dyDescent="0.3">
      <c r="AD2856" s="6"/>
    </row>
    <row r="2857" spans="30:30" ht="12" x14ac:dyDescent="0.3">
      <c r="AD2857" s="6"/>
    </row>
    <row r="2858" spans="30:30" ht="12" x14ac:dyDescent="0.3">
      <c r="AD2858" s="6"/>
    </row>
    <row r="2859" spans="30:30" ht="12" x14ac:dyDescent="0.3">
      <c r="AD2859" s="6"/>
    </row>
    <row r="2860" spans="30:30" ht="12" x14ac:dyDescent="0.3">
      <c r="AD2860" s="6"/>
    </row>
    <row r="2861" spans="30:30" ht="12" x14ac:dyDescent="0.3">
      <c r="AD2861" s="6"/>
    </row>
    <row r="2862" spans="30:30" ht="12" x14ac:dyDescent="0.3">
      <c r="AD2862" s="6"/>
    </row>
    <row r="2863" spans="30:30" ht="12" x14ac:dyDescent="0.3">
      <c r="AD2863" s="6"/>
    </row>
    <row r="2864" spans="30:30" ht="12" x14ac:dyDescent="0.3">
      <c r="AD2864" s="6"/>
    </row>
    <row r="2865" spans="30:30" ht="12" x14ac:dyDescent="0.3">
      <c r="AD2865" s="6"/>
    </row>
    <row r="2866" spans="30:30" ht="12" x14ac:dyDescent="0.3">
      <c r="AD2866" s="6"/>
    </row>
    <row r="2867" spans="30:30" ht="12" x14ac:dyDescent="0.3">
      <c r="AD2867" s="6"/>
    </row>
    <row r="2868" spans="30:30" ht="12" x14ac:dyDescent="0.3">
      <c r="AD2868" s="6"/>
    </row>
    <row r="2869" spans="30:30" ht="12" x14ac:dyDescent="0.3">
      <c r="AD2869" s="6"/>
    </row>
    <row r="2870" spans="30:30" ht="12" x14ac:dyDescent="0.3">
      <c r="AD2870" s="6"/>
    </row>
    <row r="2871" spans="30:30" ht="12" x14ac:dyDescent="0.3">
      <c r="AD2871" s="6"/>
    </row>
    <row r="2872" spans="30:30" ht="12" x14ac:dyDescent="0.3">
      <c r="AD2872" s="6"/>
    </row>
    <row r="2873" spans="30:30" ht="12" x14ac:dyDescent="0.3">
      <c r="AD2873" s="6"/>
    </row>
    <row r="2874" spans="30:30" ht="12" x14ac:dyDescent="0.3">
      <c r="AD2874" s="6"/>
    </row>
    <row r="2875" spans="30:30" ht="12" x14ac:dyDescent="0.3">
      <c r="AD2875" s="6"/>
    </row>
    <row r="2876" spans="30:30" ht="12" x14ac:dyDescent="0.3">
      <c r="AD2876" s="6"/>
    </row>
    <row r="2877" spans="30:30" ht="12" x14ac:dyDescent="0.3">
      <c r="AD2877" s="6"/>
    </row>
    <row r="2878" spans="30:30" ht="12" x14ac:dyDescent="0.3">
      <c r="AD2878" s="6"/>
    </row>
    <row r="2879" spans="30:30" ht="12" x14ac:dyDescent="0.3">
      <c r="AD2879" s="6"/>
    </row>
    <row r="2880" spans="30:30" ht="12" x14ac:dyDescent="0.3">
      <c r="AD2880" s="6"/>
    </row>
    <row r="2881" spans="30:30" ht="12" x14ac:dyDescent="0.3">
      <c r="AD2881" s="6"/>
    </row>
    <row r="2882" spans="30:30" ht="12" x14ac:dyDescent="0.3">
      <c r="AD2882" s="6"/>
    </row>
    <row r="2883" spans="30:30" ht="12" x14ac:dyDescent="0.3">
      <c r="AD2883" s="6"/>
    </row>
    <row r="2884" spans="30:30" ht="12" x14ac:dyDescent="0.3">
      <c r="AD2884" s="6"/>
    </row>
    <row r="2885" spans="30:30" ht="12" x14ac:dyDescent="0.3">
      <c r="AD2885" s="6"/>
    </row>
    <row r="2886" spans="30:30" ht="12" x14ac:dyDescent="0.3">
      <c r="AD2886" s="6"/>
    </row>
    <row r="2887" spans="30:30" ht="12" x14ac:dyDescent="0.3">
      <c r="AD2887" s="6"/>
    </row>
    <row r="2888" spans="30:30" ht="12" x14ac:dyDescent="0.3">
      <c r="AD2888" s="6"/>
    </row>
    <row r="2889" spans="30:30" ht="12" x14ac:dyDescent="0.3">
      <c r="AD2889" s="6"/>
    </row>
    <row r="2890" spans="30:30" ht="12" x14ac:dyDescent="0.3">
      <c r="AD2890" s="6"/>
    </row>
    <row r="2891" spans="30:30" ht="12" x14ac:dyDescent="0.3">
      <c r="AD2891" s="6"/>
    </row>
    <row r="2892" spans="30:30" ht="12" x14ac:dyDescent="0.3">
      <c r="AD2892" s="6"/>
    </row>
    <row r="2893" spans="30:30" ht="12" x14ac:dyDescent="0.3">
      <c r="AD2893" s="6"/>
    </row>
    <row r="2894" spans="30:30" ht="12" x14ac:dyDescent="0.3">
      <c r="AD2894" s="6"/>
    </row>
    <row r="2895" spans="30:30" ht="12" x14ac:dyDescent="0.3">
      <c r="AD2895" s="6"/>
    </row>
    <row r="2896" spans="30:30" ht="12" x14ac:dyDescent="0.3">
      <c r="AD2896" s="6"/>
    </row>
    <row r="2897" spans="30:30" ht="12" x14ac:dyDescent="0.3">
      <c r="AD2897" s="6"/>
    </row>
    <row r="2898" spans="30:30" ht="12" x14ac:dyDescent="0.3">
      <c r="AD2898" s="6"/>
    </row>
    <row r="2899" spans="30:30" ht="12" x14ac:dyDescent="0.3">
      <c r="AD2899" s="6"/>
    </row>
    <row r="2900" spans="30:30" ht="12" x14ac:dyDescent="0.3">
      <c r="AD2900" s="6"/>
    </row>
    <row r="2901" spans="30:30" ht="12" x14ac:dyDescent="0.3">
      <c r="AD2901" s="6"/>
    </row>
    <row r="2902" spans="30:30" ht="12" x14ac:dyDescent="0.3">
      <c r="AD2902" s="6"/>
    </row>
    <row r="2903" spans="30:30" ht="12" x14ac:dyDescent="0.3">
      <c r="AD2903" s="6"/>
    </row>
    <row r="2904" spans="30:30" ht="12" x14ac:dyDescent="0.3">
      <c r="AD2904" s="6"/>
    </row>
    <row r="2905" spans="30:30" ht="12" x14ac:dyDescent="0.3">
      <c r="AD2905" s="6"/>
    </row>
    <row r="2906" spans="30:30" ht="12" x14ac:dyDescent="0.3">
      <c r="AD2906" s="6"/>
    </row>
    <row r="2907" spans="30:30" ht="12" x14ac:dyDescent="0.3">
      <c r="AD2907" s="6"/>
    </row>
    <row r="2908" spans="30:30" ht="12" x14ac:dyDescent="0.3">
      <c r="AD2908" s="6"/>
    </row>
    <row r="2909" spans="30:30" ht="12" x14ac:dyDescent="0.3">
      <c r="AD2909" s="6"/>
    </row>
    <row r="2910" spans="30:30" ht="12" x14ac:dyDescent="0.3">
      <c r="AD2910" s="6"/>
    </row>
    <row r="2911" spans="30:30" ht="12" x14ac:dyDescent="0.3">
      <c r="AD2911" s="6"/>
    </row>
    <row r="2912" spans="30:30" ht="12" x14ac:dyDescent="0.3">
      <c r="AD2912" s="6"/>
    </row>
    <row r="2913" spans="30:30" ht="12" x14ac:dyDescent="0.3">
      <c r="AD2913" s="6"/>
    </row>
    <row r="2914" spans="30:30" ht="12" x14ac:dyDescent="0.3">
      <c r="AD2914" s="6"/>
    </row>
    <row r="2915" spans="30:30" ht="12" x14ac:dyDescent="0.3">
      <c r="AD2915" s="6"/>
    </row>
    <row r="2916" spans="30:30" ht="12" x14ac:dyDescent="0.3">
      <c r="AD2916" s="6"/>
    </row>
    <row r="2917" spans="30:30" ht="12" x14ac:dyDescent="0.3">
      <c r="AD2917" s="6"/>
    </row>
    <row r="2918" spans="30:30" ht="12" x14ac:dyDescent="0.3">
      <c r="AD2918" s="6"/>
    </row>
    <row r="2919" spans="30:30" ht="12" x14ac:dyDescent="0.3">
      <c r="AD2919" s="6"/>
    </row>
    <row r="2920" spans="30:30" ht="12" x14ac:dyDescent="0.3">
      <c r="AD2920" s="6"/>
    </row>
    <row r="2921" spans="30:30" ht="12" x14ac:dyDescent="0.3">
      <c r="AD2921" s="6"/>
    </row>
    <row r="2922" spans="30:30" ht="12" x14ac:dyDescent="0.3">
      <c r="AD2922" s="6"/>
    </row>
    <row r="2923" spans="30:30" ht="12" x14ac:dyDescent="0.3">
      <c r="AD2923" s="6"/>
    </row>
    <row r="2924" spans="30:30" ht="12" x14ac:dyDescent="0.3">
      <c r="AD2924" s="6"/>
    </row>
    <row r="2925" spans="30:30" ht="12" x14ac:dyDescent="0.3">
      <c r="AD2925" s="6"/>
    </row>
    <row r="2926" spans="30:30" ht="12" x14ac:dyDescent="0.3">
      <c r="AD2926" s="6"/>
    </row>
    <row r="2927" spans="30:30" ht="12" x14ac:dyDescent="0.3">
      <c r="AD2927" s="6"/>
    </row>
    <row r="2928" spans="30:30" ht="12" x14ac:dyDescent="0.3">
      <c r="AD2928" s="6"/>
    </row>
    <row r="2929" spans="30:30" ht="12" x14ac:dyDescent="0.3">
      <c r="AD2929" s="6"/>
    </row>
    <row r="2930" spans="30:30" ht="12" x14ac:dyDescent="0.3">
      <c r="AD2930" s="6"/>
    </row>
    <row r="2931" spans="30:30" ht="12" x14ac:dyDescent="0.3">
      <c r="AD2931" s="6"/>
    </row>
    <row r="2932" spans="30:30" ht="12" x14ac:dyDescent="0.3">
      <c r="AD2932" s="6"/>
    </row>
    <row r="2933" spans="30:30" ht="12" x14ac:dyDescent="0.3">
      <c r="AD2933" s="6"/>
    </row>
    <row r="2934" spans="30:30" ht="12" x14ac:dyDescent="0.3">
      <c r="AD2934" s="6"/>
    </row>
    <row r="2935" spans="30:30" ht="12" x14ac:dyDescent="0.3">
      <c r="AD2935" s="6"/>
    </row>
    <row r="2936" spans="30:30" ht="12" x14ac:dyDescent="0.3">
      <c r="AD2936" s="6"/>
    </row>
    <row r="2937" spans="30:30" ht="12" x14ac:dyDescent="0.3">
      <c r="AD2937" s="6"/>
    </row>
    <row r="2938" spans="30:30" ht="12" x14ac:dyDescent="0.3">
      <c r="AD2938" s="6"/>
    </row>
    <row r="2939" spans="30:30" ht="12" x14ac:dyDescent="0.3">
      <c r="AD2939" s="6"/>
    </row>
    <row r="2940" spans="30:30" ht="12" x14ac:dyDescent="0.3">
      <c r="AD2940" s="6"/>
    </row>
    <row r="2941" spans="30:30" ht="12" x14ac:dyDescent="0.3">
      <c r="AD2941" s="6"/>
    </row>
    <row r="2942" spans="30:30" ht="12" x14ac:dyDescent="0.3">
      <c r="AD2942" s="6"/>
    </row>
    <row r="2943" spans="30:30" ht="12" x14ac:dyDescent="0.3">
      <c r="AD2943" s="6"/>
    </row>
    <row r="2944" spans="30:30" ht="12" x14ac:dyDescent="0.3">
      <c r="AD2944" s="6"/>
    </row>
    <row r="2945" spans="30:30" ht="12" x14ac:dyDescent="0.3">
      <c r="AD2945" s="6"/>
    </row>
    <row r="2946" spans="30:30" ht="12" x14ac:dyDescent="0.3">
      <c r="AD2946" s="6"/>
    </row>
    <row r="2947" spans="30:30" ht="12" x14ac:dyDescent="0.3">
      <c r="AD2947" s="6"/>
    </row>
    <row r="2948" spans="30:30" ht="12" x14ac:dyDescent="0.3">
      <c r="AD2948" s="6"/>
    </row>
    <row r="2949" spans="30:30" ht="12" x14ac:dyDescent="0.3">
      <c r="AD2949" s="6"/>
    </row>
    <row r="2950" spans="30:30" ht="12" x14ac:dyDescent="0.3">
      <c r="AD2950" s="6"/>
    </row>
    <row r="2951" spans="30:30" ht="12" x14ac:dyDescent="0.3">
      <c r="AD2951" s="6"/>
    </row>
    <row r="2952" spans="30:30" ht="12" x14ac:dyDescent="0.3">
      <c r="AD2952" s="6"/>
    </row>
    <row r="2953" spans="30:30" ht="12" x14ac:dyDescent="0.3">
      <c r="AD2953" s="6"/>
    </row>
    <row r="2954" spans="30:30" ht="12" x14ac:dyDescent="0.3">
      <c r="AD2954" s="6"/>
    </row>
    <row r="2955" spans="30:30" ht="12" x14ac:dyDescent="0.3">
      <c r="AD2955" s="6"/>
    </row>
    <row r="2956" spans="30:30" ht="12" x14ac:dyDescent="0.3">
      <c r="AD2956" s="6"/>
    </row>
    <row r="2957" spans="30:30" ht="12" x14ac:dyDescent="0.3">
      <c r="AD2957" s="6"/>
    </row>
    <row r="2958" spans="30:30" ht="12" x14ac:dyDescent="0.3">
      <c r="AD2958" s="6"/>
    </row>
    <row r="2959" spans="30:30" ht="12" x14ac:dyDescent="0.3">
      <c r="AD2959" s="6"/>
    </row>
    <row r="2960" spans="30:30" ht="12" x14ac:dyDescent="0.3">
      <c r="AD2960" s="6"/>
    </row>
    <row r="2961" spans="30:30" ht="12" x14ac:dyDescent="0.3">
      <c r="AD2961" s="6"/>
    </row>
    <row r="2962" spans="30:30" ht="12" x14ac:dyDescent="0.3">
      <c r="AD2962" s="6"/>
    </row>
    <row r="2963" spans="30:30" ht="12" x14ac:dyDescent="0.3">
      <c r="AD2963" s="6"/>
    </row>
    <row r="2964" spans="30:30" ht="12" x14ac:dyDescent="0.3">
      <c r="AD2964" s="6"/>
    </row>
    <row r="2965" spans="30:30" ht="12" x14ac:dyDescent="0.3">
      <c r="AD2965" s="6"/>
    </row>
    <row r="2966" spans="30:30" ht="12" x14ac:dyDescent="0.3">
      <c r="AD2966" s="6"/>
    </row>
    <row r="2967" spans="30:30" ht="12" x14ac:dyDescent="0.3">
      <c r="AD2967" s="6"/>
    </row>
    <row r="2968" spans="30:30" ht="12" x14ac:dyDescent="0.3">
      <c r="AD2968" s="6"/>
    </row>
    <row r="2969" spans="30:30" ht="12" x14ac:dyDescent="0.3">
      <c r="AD2969" s="6"/>
    </row>
    <row r="2970" spans="30:30" ht="12" x14ac:dyDescent="0.3">
      <c r="AD2970" s="6"/>
    </row>
    <row r="2971" spans="30:30" ht="12" x14ac:dyDescent="0.3">
      <c r="AD2971" s="6"/>
    </row>
    <row r="2972" spans="30:30" ht="12" x14ac:dyDescent="0.3">
      <c r="AD2972" s="6"/>
    </row>
    <row r="2973" spans="30:30" ht="12" x14ac:dyDescent="0.3">
      <c r="AD2973" s="6"/>
    </row>
    <row r="2974" spans="30:30" ht="12" x14ac:dyDescent="0.3">
      <c r="AD2974" s="6"/>
    </row>
    <row r="2975" spans="30:30" ht="12" x14ac:dyDescent="0.3">
      <c r="AD2975" s="6"/>
    </row>
    <row r="2976" spans="30:30" ht="12" x14ac:dyDescent="0.3">
      <c r="AD2976" s="6"/>
    </row>
    <row r="2977" spans="30:30" ht="12" x14ac:dyDescent="0.3">
      <c r="AD2977" s="6"/>
    </row>
    <row r="2978" spans="30:30" ht="12" x14ac:dyDescent="0.3">
      <c r="AD2978" s="6"/>
    </row>
    <row r="2979" spans="30:30" ht="12" x14ac:dyDescent="0.3">
      <c r="AD2979" s="6"/>
    </row>
    <row r="2980" spans="30:30" ht="12" x14ac:dyDescent="0.3">
      <c r="AD2980" s="6"/>
    </row>
    <row r="2981" spans="30:30" ht="12" x14ac:dyDescent="0.3">
      <c r="AD2981" s="6"/>
    </row>
    <row r="2982" spans="30:30" ht="12" x14ac:dyDescent="0.3">
      <c r="AD2982" s="6"/>
    </row>
    <row r="2983" spans="30:30" ht="12" x14ac:dyDescent="0.3">
      <c r="AD2983" s="6"/>
    </row>
    <row r="2984" spans="30:30" ht="12" x14ac:dyDescent="0.3">
      <c r="AD2984" s="6"/>
    </row>
    <row r="2985" spans="30:30" ht="12" x14ac:dyDescent="0.3">
      <c r="AD2985" s="6"/>
    </row>
    <row r="2986" spans="30:30" ht="12" x14ac:dyDescent="0.3">
      <c r="AD2986" s="6"/>
    </row>
    <row r="2987" spans="30:30" ht="12" x14ac:dyDescent="0.3">
      <c r="AD2987" s="6"/>
    </row>
    <row r="2988" spans="30:30" ht="12" x14ac:dyDescent="0.3">
      <c r="AD2988" s="6"/>
    </row>
    <row r="2989" spans="30:30" ht="12" x14ac:dyDescent="0.3">
      <c r="AD2989" s="6"/>
    </row>
    <row r="2990" spans="30:30" ht="12" x14ac:dyDescent="0.3">
      <c r="AD2990" s="6"/>
    </row>
    <row r="2991" spans="30:30" ht="12" x14ac:dyDescent="0.3">
      <c r="AD2991" s="6"/>
    </row>
    <row r="2992" spans="30:30" ht="12" x14ac:dyDescent="0.3">
      <c r="AD2992" s="6"/>
    </row>
    <row r="2993" spans="30:30" ht="12" x14ac:dyDescent="0.3">
      <c r="AD2993" s="6"/>
    </row>
    <row r="2994" spans="30:30" ht="12" x14ac:dyDescent="0.3">
      <c r="AD2994" s="6"/>
    </row>
    <row r="2995" spans="30:30" ht="12" x14ac:dyDescent="0.3">
      <c r="AD2995" s="6"/>
    </row>
    <row r="2996" spans="30:30" ht="12" x14ac:dyDescent="0.3">
      <c r="AD2996" s="6"/>
    </row>
    <row r="2997" spans="30:30" ht="12" x14ac:dyDescent="0.3">
      <c r="AD2997" s="6"/>
    </row>
    <row r="2998" spans="30:30" ht="12" x14ac:dyDescent="0.3">
      <c r="AD2998" s="6"/>
    </row>
    <row r="2999" spans="30:30" ht="12" x14ac:dyDescent="0.3">
      <c r="AD2999" s="6"/>
    </row>
    <row r="3000" spans="30:30" ht="12" x14ac:dyDescent="0.3">
      <c r="AD3000" s="6"/>
    </row>
    <row r="3001" spans="30:30" ht="12" x14ac:dyDescent="0.3">
      <c r="AD3001" s="6"/>
    </row>
    <row r="3002" spans="30:30" ht="12" x14ac:dyDescent="0.3">
      <c r="AD3002" s="6"/>
    </row>
    <row r="3003" spans="30:30" ht="12" x14ac:dyDescent="0.3">
      <c r="AD3003" s="6"/>
    </row>
    <row r="3004" spans="30:30" ht="12" x14ac:dyDescent="0.3">
      <c r="AD3004" s="6"/>
    </row>
    <row r="3005" spans="30:30" ht="12" x14ac:dyDescent="0.3">
      <c r="AD3005" s="6"/>
    </row>
    <row r="3006" spans="30:30" ht="12" x14ac:dyDescent="0.3">
      <c r="AD3006" s="6"/>
    </row>
    <row r="3007" spans="30:30" ht="12" x14ac:dyDescent="0.3">
      <c r="AD3007" s="6"/>
    </row>
    <row r="3008" spans="30:30" ht="12" x14ac:dyDescent="0.3">
      <c r="AD3008" s="6"/>
    </row>
    <row r="3009" spans="30:30" ht="12" x14ac:dyDescent="0.3">
      <c r="AD3009" s="6"/>
    </row>
    <row r="3010" spans="30:30" ht="12" x14ac:dyDescent="0.3">
      <c r="AD3010" s="6"/>
    </row>
    <row r="3011" spans="30:30" ht="12" x14ac:dyDescent="0.3">
      <c r="AD3011" s="6"/>
    </row>
    <row r="3012" spans="30:30" ht="12" x14ac:dyDescent="0.3">
      <c r="AD3012" s="6"/>
    </row>
    <row r="3013" spans="30:30" ht="12" x14ac:dyDescent="0.3">
      <c r="AD3013" s="6"/>
    </row>
    <row r="3014" spans="30:30" ht="12" x14ac:dyDescent="0.3">
      <c r="AD3014" s="6"/>
    </row>
    <row r="3015" spans="30:30" ht="12" x14ac:dyDescent="0.3">
      <c r="AD3015" s="6"/>
    </row>
    <row r="3016" spans="30:30" ht="12" x14ac:dyDescent="0.3">
      <c r="AD3016" s="6"/>
    </row>
    <row r="3017" spans="30:30" ht="12" x14ac:dyDescent="0.3">
      <c r="AD3017" s="6"/>
    </row>
    <row r="3018" spans="30:30" ht="12" x14ac:dyDescent="0.3">
      <c r="AD3018" s="6"/>
    </row>
    <row r="3019" spans="30:30" ht="12" x14ac:dyDescent="0.3">
      <c r="AD3019" s="6"/>
    </row>
    <row r="3020" spans="30:30" ht="12" x14ac:dyDescent="0.3">
      <c r="AD3020" s="6"/>
    </row>
    <row r="3021" spans="30:30" ht="12" x14ac:dyDescent="0.3">
      <c r="AD3021" s="6"/>
    </row>
    <row r="3022" spans="30:30" ht="12" x14ac:dyDescent="0.3">
      <c r="AD3022" s="6"/>
    </row>
    <row r="3023" spans="30:30" ht="12" x14ac:dyDescent="0.3">
      <c r="AD3023" s="6"/>
    </row>
    <row r="3024" spans="30:30" ht="12" x14ac:dyDescent="0.3">
      <c r="AD3024" s="6"/>
    </row>
    <row r="3025" spans="30:30" ht="12" x14ac:dyDescent="0.3">
      <c r="AD3025" s="6"/>
    </row>
    <row r="3026" spans="30:30" ht="12" x14ac:dyDescent="0.3">
      <c r="AD3026" s="6"/>
    </row>
    <row r="3027" spans="30:30" ht="12" x14ac:dyDescent="0.3">
      <c r="AD3027" s="6"/>
    </row>
    <row r="3028" spans="30:30" ht="12" x14ac:dyDescent="0.3">
      <c r="AD3028" s="6"/>
    </row>
    <row r="3029" spans="30:30" ht="12" x14ac:dyDescent="0.3">
      <c r="AD3029" s="6"/>
    </row>
    <row r="3030" spans="30:30" ht="12" x14ac:dyDescent="0.3">
      <c r="AD3030" s="6"/>
    </row>
    <row r="3031" spans="30:30" ht="12" x14ac:dyDescent="0.3">
      <c r="AD3031" s="6"/>
    </row>
    <row r="3032" spans="30:30" ht="12" x14ac:dyDescent="0.3">
      <c r="AD3032" s="6"/>
    </row>
    <row r="3033" spans="30:30" ht="12" x14ac:dyDescent="0.3">
      <c r="AD3033" s="6"/>
    </row>
    <row r="3034" spans="30:30" ht="12" x14ac:dyDescent="0.3">
      <c r="AD3034" s="6"/>
    </row>
    <row r="3035" spans="30:30" ht="12" x14ac:dyDescent="0.3">
      <c r="AD3035" s="6"/>
    </row>
    <row r="3036" spans="30:30" ht="12" x14ac:dyDescent="0.3">
      <c r="AD3036" s="6"/>
    </row>
    <row r="3037" spans="30:30" ht="12" x14ac:dyDescent="0.3">
      <c r="AD3037" s="6"/>
    </row>
    <row r="3038" spans="30:30" ht="12" x14ac:dyDescent="0.3">
      <c r="AD3038" s="6"/>
    </row>
    <row r="3039" spans="30:30" ht="12" x14ac:dyDescent="0.3">
      <c r="AD3039" s="6"/>
    </row>
    <row r="3040" spans="30:30" ht="12" x14ac:dyDescent="0.3">
      <c r="AD3040" s="6"/>
    </row>
    <row r="3041" spans="30:30" ht="12" x14ac:dyDescent="0.3">
      <c r="AD3041" s="6"/>
    </row>
    <row r="3042" spans="30:30" ht="12" x14ac:dyDescent="0.3">
      <c r="AD3042" s="6"/>
    </row>
    <row r="3043" spans="30:30" ht="12" x14ac:dyDescent="0.3">
      <c r="AD3043" s="6"/>
    </row>
    <row r="3044" spans="30:30" ht="12" x14ac:dyDescent="0.3">
      <c r="AD3044" s="6"/>
    </row>
    <row r="3045" spans="30:30" ht="12" x14ac:dyDescent="0.3">
      <c r="AD3045" s="6"/>
    </row>
    <row r="3046" spans="30:30" ht="12" x14ac:dyDescent="0.3">
      <c r="AD3046" s="6"/>
    </row>
    <row r="3047" spans="30:30" ht="12" x14ac:dyDescent="0.3">
      <c r="AD3047" s="6"/>
    </row>
    <row r="3048" spans="30:30" ht="12" x14ac:dyDescent="0.3">
      <c r="AD3048" s="6"/>
    </row>
    <row r="3049" spans="30:30" ht="12" x14ac:dyDescent="0.3">
      <c r="AD3049" s="6"/>
    </row>
    <row r="3050" spans="30:30" ht="12" x14ac:dyDescent="0.3">
      <c r="AD3050" s="6"/>
    </row>
    <row r="3051" spans="30:30" ht="12" x14ac:dyDescent="0.3">
      <c r="AD3051" s="6"/>
    </row>
    <row r="3052" spans="30:30" ht="12" x14ac:dyDescent="0.3">
      <c r="AD3052" s="6"/>
    </row>
    <row r="3053" spans="30:30" ht="12" x14ac:dyDescent="0.3">
      <c r="AD3053" s="6"/>
    </row>
    <row r="3054" spans="30:30" ht="12" x14ac:dyDescent="0.3">
      <c r="AD3054" s="6"/>
    </row>
    <row r="3055" spans="30:30" ht="12" x14ac:dyDescent="0.3">
      <c r="AD3055" s="6"/>
    </row>
    <row r="3056" spans="30:30" ht="12" x14ac:dyDescent="0.3">
      <c r="AD3056" s="6"/>
    </row>
    <row r="3057" spans="30:30" ht="12" x14ac:dyDescent="0.3">
      <c r="AD3057" s="6"/>
    </row>
    <row r="3058" spans="30:30" ht="12" x14ac:dyDescent="0.3">
      <c r="AD3058" s="6"/>
    </row>
    <row r="3059" spans="30:30" ht="12" x14ac:dyDescent="0.3">
      <c r="AD3059" s="6"/>
    </row>
    <row r="3060" spans="30:30" ht="12" x14ac:dyDescent="0.3">
      <c r="AD3060" s="6"/>
    </row>
    <row r="3061" spans="30:30" ht="12" x14ac:dyDescent="0.3">
      <c r="AD3061" s="6"/>
    </row>
    <row r="3062" spans="30:30" ht="12" x14ac:dyDescent="0.3">
      <c r="AD3062" s="6"/>
    </row>
    <row r="3063" spans="30:30" ht="12" x14ac:dyDescent="0.3">
      <c r="AD3063" s="6"/>
    </row>
    <row r="3064" spans="30:30" ht="12" x14ac:dyDescent="0.3">
      <c r="AD3064" s="6"/>
    </row>
    <row r="3065" spans="30:30" ht="12" x14ac:dyDescent="0.3">
      <c r="AD3065" s="6"/>
    </row>
    <row r="3066" spans="30:30" ht="12" x14ac:dyDescent="0.3">
      <c r="AD3066" s="6"/>
    </row>
    <row r="3067" spans="30:30" ht="12" x14ac:dyDescent="0.3">
      <c r="AD3067" s="6"/>
    </row>
    <row r="3068" spans="30:30" ht="12" x14ac:dyDescent="0.3">
      <c r="AD3068" s="6"/>
    </row>
    <row r="3069" spans="30:30" ht="12" x14ac:dyDescent="0.3">
      <c r="AD3069" s="6"/>
    </row>
    <row r="3070" spans="30:30" ht="12" x14ac:dyDescent="0.3">
      <c r="AD3070" s="6"/>
    </row>
    <row r="3071" spans="30:30" ht="12" x14ac:dyDescent="0.3">
      <c r="AD3071" s="6"/>
    </row>
    <row r="3072" spans="30:30" ht="12" x14ac:dyDescent="0.3">
      <c r="AD3072" s="6"/>
    </row>
    <row r="3073" spans="30:30" ht="12" x14ac:dyDescent="0.3">
      <c r="AD3073" s="6"/>
    </row>
    <row r="3074" spans="30:30" ht="12" x14ac:dyDescent="0.3">
      <c r="AD3074" s="6"/>
    </row>
    <row r="3075" spans="30:30" ht="12" x14ac:dyDescent="0.3">
      <c r="AD3075" s="6"/>
    </row>
    <row r="3076" spans="30:30" ht="12" x14ac:dyDescent="0.3">
      <c r="AD3076" s="6"/>
    </row>
    <row r="3077" spans="30:30" ht="12" x14ac:dyDescent="0.3">
      <c r="AD3077" s="6"/>
    </row>
    <row r="3078" spans="30:30" ht="12" x14ac:dyDescent="0.3">
      <c r="AD3078" s="6"/>
    </row>
    <row r="3079" spans="30:30" ht="12" x14ac:dyDescent="0.3">
      <c r="AD3079" s="6"/>
    </row>
    <row r="3080" spans="30:30" ht="12" x14ac:dyDescent="0.3">
      <c r="AD3080" s="6"/>
    </row>
    <row r="3081" spans="30:30" ht="12" x14ac:dyDescent="0.3">
      <c r="AD3081" s="6"/>
    </row>
    <row r="3082" spans="30:30" ht="12" x14ac:dyDescent="0.3">
      <c r="AD3082" s="6"/>
    </row>
    <row r="3083" spans="30:30" ht="12" x14ac:dyDescent="0.3">
      <c r="AD3083" s="6"/>
    </row>
    <row r="3084" spans="30:30" ht="12" x14ac:dyDescent="0.3">
      <c r="AD3084" s="6"/>
    </row>
    <row r="3085" spans="30:30" ht="12" x14ac:dyDescent="0.3">
      <c r="AD3085" s="6"/>
    </row>
    <row r="3086" spans="30:30" ht="12" x14ac:dyDescent="0.3">
      <c r="AD3086" s="6"/>
    </row>
    <row r="3087" spans="30:30" ht="12" x14ac:dyDescent="0.3">
      <c r="AD3087" s="6"/>
    </row>
    <row r="3088" spans="30:30" ht="12" x14ac:dyDescent="0.3">
      <c r="AD3088" s="6"/>
    </row>
    <row r="3089" spans="30:30" ht="12" x14ac:dyDescent="0.3">
      <c r="AD3089" s="6"/>
    </row>
    <row r="3090" spans="30:30" ht="12" x14ac:dyDescent="0.3">
      <c r="AD3090" s="6"/>
    </row>
    <row r="3091" spans="30:30" ht="12" x14ac:dyDescent="0.3">
      <c r="AD3091" s="6"/>
    </row>
    <row r="3092" spans="30:30" ht="12" x14ac:dyDescent="0.3">
      <c r="AD3092" s="6"/>
    </row>
    <row r="3093" spans="30:30" ht="12" x14ac:dyDescent="0.3">
      <c r="AD3093" s="6"/>
    </row>
    <row r="3094" spans="30:30" ht="12" x14ac:dyDescent="0.3">
      <c r="AD3094" s="6"/>
    </row>
    <row r="3095" spans="30:30" ht="12" x14ac:dyDescent="0.3">
      <c r="AD3095" s="6"/>
    </row>
    <row r="3096" spans="30:30" ht="12" x14ac:dyDescent="0.3">
      <c r="AD3096" s="6"/>
    </row>
    <row r="3097" spans="30:30" ht="12" x14ac:dyDescent="0.3">
      <c r="AD3097" s="6"/>
    </row>
    <row r="3098" spans="30:30" ht="12" x14ac:dyDescent="0.3">
      <c r="AD3098" s="6"/>
    </row>
    <row r="3099" spans="30:30" ht="12" x14ac:dyDescent="0.3">
      <c r="AD3099" s="6"/>
    </row>
    <row r="3100" spans="30:30" ht="12" x14ac:dyDescent="0.3">
      <c r="AD3100" s="6"/>
    </row>
    <row r="3101" spans="30:30" ht="12" x14ac:dyDescent="0.3">
      <c r="AD3101" s="6"/>
    </row>
    <row r="3102" spans="30:30" ht="12" x14ac:dyDescent="0.3">
      <c r="AD3102" s="6"/>
    </row>
    <row r="3103" spans="30:30" ht="12" x14ac:dyDescent="0.3">
      <c r="AD3103" s="6"/>
    </row>
    <row r="3104" spans="30:30" ht="12" x14ac:dyDescent="0.3">
      <c r="AD3104" s="6"/>
    </row>
    <row r="3105" spans="30:30" ht="12" x14ac:dyDescent="0.3">
      <c r="AD3105" s="6"/>
    </row>
    <row r="3106" spans="30:30" ht="12" x14ac:dyDescent="0.3">
      <c r="AD3106" s="6"/>
    </row>
    <row r="3107" spans="30:30" ht="12" x14ac:dyDescent="0.3">
      <c r="AD3107" s="6"/>
    </row>
    <row r="3108" spans="30:30" ht="12" x14ac:dyDescent="0.3">
      <c r="AD3108" s="6"/>
    </row>
    <row r="3109" spans="30:30" ht="12" x14ac:dyDescent="0.3">
      <c r="AD3109" s="6"/>
    </row>
    <row r="3110" spans="30:30" ht="12" x14ac:dyDescent="0.3">
      <c r="AD3110" s="6"/>
    </row>
    <row r="3111" spans="30:30" ht="12" x14ac:dyDescent="0.3">
      <c r="AD3111" s="6"/>
    </row>
    <row r="3112" spans="30:30" ht="12" x14ac:dyDescent="0.3">
      <c r="AD3112" s="6"/>
    </row>
    <row r="3113" spans="30:30" ht="12" x14ac:dyDescent="0.3">
      <c r="AD3113" s="6"/>
    </row>
    <row r="3114" spans="30:30" ht="12" x14ac:dyDescent="0.3">
      <c r="AD3114" s="6"/>
    </row>
    <row r="3115" spans="30:30" ht="12" x14ac:dyDescent="0.3">
      <c r="AD3115" s="6"/>
    </row>
    <row r="3116" spans="30:30" ht="12" x14ac:dyDescent="0.3">
      <c r="AD3116" s="6"/>
    </row>
    <row r="3117" spans="30:30" ht="12" x14ac:dyDescent="0.3">
      <c r="AD3117" s="6"/>
    </row>
    <row r="3118" spans="30:30" ht="12" x14ac:dyDescent="0.3">
      <c r="AD3118" s="6"/>
    </row>
    <row r="3119" spans="30:30" ht="12" x14ac:dyDescent="0.3">
      <c r="AD3119" s="6"/>
    </row>
    <row r="3120" spans="30:30" ht="12" x14ac:dyDescent="0.3">
      <c r="AD3120" s="6"/>
    </row>
    <row r="3121" spans="30:30" ht="12" x14ac:dyDescent="0.3">
      <c r="AD3121" s="6"/>
    </row>
    <row r="3122" spans="30:30" ht="12" x14ac:dyDescent="0.3">
      <c r="AD3122" s="6"/>
    </row>
    <row r="3123" spans="30:30" ht="12" x14ac:dyDescent="0.3">
      <c r="AD3123" s="6"/>
    </row>
    <row r="3124" spans="30:30" ht="12" x14ac:dyDescent="0.3">
      <c r="AD3124" s="6"/>
    </row>
    <row r="3125" spans="30:30" ht="12" x14ac:dyDescent="0.3">
      <c r="AD3125" s="6"/>
    </row>
    <row r="3126" spans="30:30" ht="12" x14ac:dyDescent="0.3">
      <c r="AD3126" s="6"/>
    </row>
    <row r="3127" spans="30:30" ht="12" x14ac:dyDescent="0.3">
      <c r="AD3127" s="6"/>
    </row>
    <row r="3128" spans="30:30" ht="12" x14ac:dyDescent="0.3">
      <c r="AD3128" s="6"/>
    </row>
    <row r="3129" spans="30:30" ht="12" x14ac:dyDescent="0.3">
      <c r="AD3129" s="6"/>
    </row>
    <row r="3130" spans="30:30" ht="12" x14ac:dyDescent="0.3">
      <c r="AD3130" s="6"/>
    </row>
    <row r="3131" spans="30:30" ht="12" x14ac:dyDescent="0.3">
      <c r="AD3131" s="6"/>
    </row>
    <row r="3132" spans="30:30" ht="12" x14ac:dyDescent="0.3">
      <c r="AD3132" s="6"/>
    </row>
    <row r="3133" spans="30:30" ht="12" x14ac:dyDescent="0.3">
      <c r="AD3133" s="6"/>
    </row>
    <row r="3134" spans="30:30" ht="12" x14ac:dyDescent="0.3">
      <c r="AD3134" s="6"/>
    </row>
    <row r="3135" spans="30:30" ht="12" x14ac:dyDescent="0.3">
      <c r="AD3135" s="6"/>
    </row>
    <row r="3136" spans="30:30" ht="12" x14ac:dyDescent="0.3">
      <c r="AD3136" s="6"/>
    </row>
    <row r="3137" spans="30:30" ht="12" x14ac:dyDescent="0.3">
      <c r="AD3137" s="6"/>
    </row>
    <row r="3138" spans="30:30" ht="12" x14ac:dyDescent="0.3">
      <c r="AD3138" s="6"/>
    </row>
    <row r="3139" spans="30:30" ht="12" x14ac:dyDescent="0.3">
      <c r="AD3139" s="6"/>
    </row>
    <row r="3140" spans="30:30" ht="12" x14ac:dyDescent="0.3">
      <c r="AD3140" s="6"/>
    </row>
    <row r="3141" spans="30:30" ht="12" x14ac:dyDescent="0.3">
      <c r="AD3141" s="6"/>
    </row>
    <row r="3142" spans="30:30" ht="12" x14ac:dyDescent="0.3">
      <c r="AD3142" s="6"/>
    </row>
    <row r="3143" spans="30:30" ht="12" x14ac:dyDescent="0.3">
      <c r="AD3143" s="6"/>
    </row>
    <row r="3144" spans="30:30" ht="12" x14ac:dyDescent="0.3">
      <c r="AD3144" s="6"/>
    </row>
    <row r="3145" spans="30:30" ht="12" x14ac:dyDescent="0.3">
      <c r="AD3145" s="6"/>
    </row>
    <row r="3146" spans="30:30" ht="12" x14ac:dyDescent="0.3">
      <c r="AD3146" s="6"/>
    </row>
    <row r="3147" spans="30:30" ht="12" x14ac:dyDescent="0.3">
      <c r="AD3147" s="6"/>
    </row>
    <row r="3148" spans="30:30" ht="12" x14ac:dyDescent="0.3">
      <c r="AD3148" s="6"/>
    </row>
    <row r="3149" spans="30:30" ht="12" x14ac:dyDescent="0.3">
      <c r="AD3149" s="6"/>
    </row>
    <row r="3150" spans="30:30" ht="12" x14ac:dyDescent="0.3">
      <c r="AD3150" s="6"/>
    </row>
    <row r="3151" spans="30:30" ht="12" x14ac:dyDescent="0.3">
      <c r="AD3151" s="6"/>
    </row>
    <row r="3152" spans="30:30" ht="12" x14ac:dyDescent="0.3">
      <c r="AD3152" s="6"/>
    </row>
    <row r="3153" spans="30:30" ht="12" x14ac:dyDescent="0.3">
      <c r="AD3153" s="6"/>
    </row>
    <row r="3154" spans="30:30" ht="12" x14ac:dyDescent="0.3">
      <c r="AD3154" s="6"/>
    </row>
    <row r="3155" spans="30:30" ht="12" x14ac:dyDescent="0.3">
      <c r="AD3155" s="6"/>
    </row>
    <row r="3156" spans="30:30" ht="12" x14ac:dyDescent="0.3">
      <c r="AD3156" s="6"/>
    </row>
    <row r="3157" spans="30:30" ht="12" x14ac:dyDescent="0.3">
      <c r="AD3157" s="6"/>
    </row>
    <row r="3158" spans="30:30" ht="12" x14ac:dyDescent="0.3">
      <c r="AD3158" s="6"/>
    </row>
    <row r="3159" spans="30:30" ht="12" x14ac:dyDescent="0.3">
      <c r="AD3159" s="6"/>
    </row>
    <row r="3160" spans="30:30" ht="12" x14ac:dyDescent="0.3">
      <c r="AD3160" s="6"/>
    </row>
    <row r="3161" spans="30:30" ht="12" x14ac:dyDescent="0.3">
      <c r="AD3161" s="6"/>
    </row>
    <row r="3162" spans="30:30" ht="12" x14ac:dyDescent="0.3">
      <c r="AD3162" s="6"/>
    </row>
    <row r="3163" spans="30:30" ht="12" x14ac:dyDescent="0.3">
      <c r="AD3163" s="6"/>
    </row>
    <row r="3164" spans="30:30" ht="12" x14ac:dyDescent="0.3">
      <c r="AD3164" s="6"/>
    </row>
    <row r="3165" spans="30:30" ht="12" x14ac:dyDescent="0.3">
      <c r="AD3165" s="6"/>
    </row>
    <row r="3166" spans="30:30" ht="12" x14ac:dyDescent="0.3">
      <c r="AD3166" s="6"/>
    </row>
    <row r="3167" spans="30:30" ht="12" x14ac:dyDescent="0.3">
      <c r="AD3167" s="6"/>
    </row>
    <row r="3168" spans="30:30" ht="12" x14ac:dyDescent="0.3">
      <c r="AD3168" s="6"/>
    </row>
    <row r="3169" spans="30:30" ht="12" x14ac:dyDescent="0.3">
      <c r="AD3169" s="6"/>
    </row>
    <row r="3170" spans="30:30" ht="12" x14ac:dyDescent="0.3">
      <c r="AD3170" s="6"/>
    </row>
    <row r="3171" spans="30:30" ht="12" x14ac:dyDescent="0.3">
      <c r="AD3171" s="6"/>
    </row>
    <row r="3172" spans="30:30" ht="12" x14ac:dyDescent="0.3">
      <c r="AD3172" s="6"/>
    </row>
    <row r="3173" spans="30:30" ht="12" x14ac:dyDescent="0.3">
      <c r="AD3173" s="6"/>
    </row>
    <row r="3174" spans="30:30" ht="12" x14ac:dyDescent="0.3">
      <c r="AD3174" s="6"/>
    </row>
    <row r="3175" spans="30:30" ht="12" x14ac:dyDescent="0.3">
      <c r="AD3175" s="6"/>
    </row>
    <row r="3176" spans="30:30" ht="12" x14ac:dyDescent="0.3">
      <c r="AD3176" s="6"/>
    </row>
    <row r="3177" spans="30:30" ht="12" x14ac:dyDescent="0.3">
      <c r="AD3177" s="6"/>
    </row>
    <row r="3178" spans="30:30" ht="12" x14ac:dyDescent="0.3">
      <c r="AD3178" s="6"/>
    </row>
    <row r="3179" spans="30:30" ht="12" x14ac:dyDescent="0.3">
      <c r="AD3179" s="6"/>
    </row>
    <row r="3180" spans="30:30" ht="12" x14ac:dyDescent="0.3">
      <c r="AD3180" s="6"/>
    </row>
    <row r="3181" spans="30:30" ht="12" x14ac:dyDescent="0.3">
      <c r="AD3181" s="6"/>
    </row>
    <row r="3182" spans="30:30" ht="12" x14ac:dyDescent="0.3">
      <c r="AD3182" s="6"/>
    </row>
    <row r="3183" spans="30:30" ht="12" x14ac:dyDescent="0.3">
      <c r="AD3183" s="6"/>
    </row>
    <row r="3184" spans="30:30" ht="12" x14ac:dyDescent="0.3">
      <c r="AD3184" s="6"/>
    </row>
    <row r="3185" spans="30:30" ht="12" x14ac:dyDescent="0.3">
      <c r="AD3185" s="6"/>
    </row>
    <row r="3186" spans="30:30" ht="12" x14ac:dyDescent="0.3">
      <c r="AD3186" s="6"/>
    </row>
    <row r="3187" spans="30:30" ht="12" x14ac:dyDescent="0.3">
      <c r="AD3187" s="6"/>
    </row>
    <row r="3188" spans="30:30" ht="12" x14ac:dyDescent="0.3">
      <c r="AD3188" s="6"/>
    </row>
    <row r="3189" spans="30:30" ht="12" x14ac:dyDescent="0.3">
      <c r="AD3189" s="6"/>
    </row>
    <row r="3190" spans="30:30" ht="12" x14ac:dyDescent="0.3">
      <c r="AD3190" s="6"/>
    </row>
    <row r="3191" spans="30:30" ht="12" x14ac:dyDescent="0.3">
      <c r="AD3191" s="6"/>
    </row>
    <row r="3192" spans="30:30" ht="12" x14ac:dyDescent="0.3">
      <c r="AD3192" s="6"/>
    </row>
    <row r="3193" spans="30:30" ht="12" x14ac:dyDescent="0.3">
      <c r="AD3193" s="6"/>
    </row>
    <row r="3194" spans="30:30" ht="12" x14ac:dyDescent="0.3">
      <c r="AD3194" s="6"/>
    </row>
    <row r="3195" spans="30:30" ht="12" x14ac:dyDescent="0.3">
      <c r="AD3195" s="6"/>
    </row>
    <row r="3196" spans="30:30" ht="12" x14ac:dyDescent="0.3">
      <c r="AD3196" s="6"/>
    </row>
    <row r="3197" spans="30:30" ht="12" x14ac:dyDescent="0.3">
      <c r="AD3197" s="6"/>
    </row>
    <row r="3198" spans="30:30" ht="12" x14ac:dyDescent="0.3">
      <c r="AD3198" s="6"/>
    </row>
    <row r="3199" spans="30:30" ht="12" x14ac:dyDescent="0.3">
      <c r="AD3199" s="6"/>
    </row>
    <row r="3200" spans="30:30" ht="12" x14ac:dyDescent="0.3">
      <c r="AD3200" s="6"/>
    </row>
    <row r="3201" spans="30:30" ht="12" x14ac:dyDescent="0.3">
      <c r="AD3201" s="6"/>
    </row>
    <row r="3202" spans="30:30" ht="12" x14ac:dyDescent="0.3">
      <c r="AD3202" s="6"/>
    </row>
    <row r="3203" spans="30:30" ht="12" x14ac:dyDescent="0.3">
      <c r="AD3203" s="6"/>
    </row>
    <row r="3204" spans="30:30" ht="12" x14ac:dyDescent="0.3">
      <c r="AD3204" s="6"/>
    </row>
    <row r="3205" spans="30:30" ht="12" x14ac:dyDescent="0.3">
      <c r="AD3205" s="6"/>
    </row>
    <row r="3206" spans="30:30" ht="12" x14ac:dyDescent="0.3">
      <c r="AD3206" s="6"/>
    </row>
    <row r="3207" spans="30:30" ht="12" x14ac:dyDescent="0.3">
      <c r="AD3207" s="6"/>
    </row>
    <row r="3208" spans="30:30" ht="12" x14ac:dyDescent="0.3">
      <c r="AD3208" s="6"/>
    </row>
    <row r="3209" spans="30:30" ht="12" x14ac:dyDescent="0.3">
      <c r="AD3209" s="6"/>
    </row>
    <row r="3210" spans="30:30" ht="12" x14ac:dyDescent="0.3">
      <c r="AD3210" s="6"/>
    </row>
    <row r="3211" spans="30:30" ht="12" x14ac:dyDescent="0.3">
      <c r="AD3211" s="6"/>
    </row>
    <row r="3212" spans="30:30" ht="12" x14ac:dyDescent="0.3">
      <c r="AD3212" s="6"/>
    </row>
    <row r="3213" spans="30:30" ht="12" x14ac:dyDescent="0.3">
      <c r="AD3213" s="6"/>
    </row>
    <row r="3214" spans="30:30" ht="12" x14ac:dyDescent="0.3">
      <c r="AD3214" s="6"/>
    </row>
    <row r="3215" spans="30:30" ht="12" x14ac:dyDescent="0.3">
      <c r="AD3215" s="6"/>
    </row>
    <row r="3216" spans="30:30" ht="12" x14ac:dyDescent="0.3">
      <c r="AD3216" s="6"/>
    </row>
    <row r="3217" spans="30:30" ht="12" x14ac:dyDescent="0.3">
      <c r="AD3217" s="6"/>
    </row>
    <row r="3218" spans="30:30" ht="12" x14ac:dyDescent="0.3">
      <c r="AD3218" s="6"/>
    </row>
    <row r="3219" spans="30:30" ht="12" x14ac:dyDescent="0.3">
      <c r="AD3219" s="6"/>
    </row>
    <row r="3220" spans="30:30" ht="12" x14ac:dyDescent="0.3">
      <c r="AD3220" s="6"/>
    </row>
    <row r="3221" spans="30:30" ht="12" x14ac:dyDescent="0.3">
      <c r="AD3221" s="6"/>
    </row>
    <row r="3222" spans="30:30" ht="12" x14ac:dyDescent="0.3">
      <c r="AD3222" s="6"/>
    </row>
    <row r="3223" spans="30:30" ht="12" x14ac:dyDescent="0.3">
      <c r="AD3223" s="6"/>
    </row>
    <row r="3224" spans="30:30" ht="12" x14ac:dyDescent="0.3">
      <c r="AD3224" s="6"/>
    </row>
    <row r="3225" spans="30:30" ht="12" x14ac:dyDescent="0.3">
      <c r="AD3225" s="6"/>
    </row>
    <row r="3226" spans="30:30" ht="12" x14ac:dyDescent="0.3">
      <c r="AD3226" s="6"/>
    </row>
    <row r="3227" spans="30:30" ht="12" x14ac:dyDescent="0.3">
      <c r="AD3227" s="6"/>
    </row>
    <row r="3228" spans="30:30" ht="12" x14ac:dyDescent="0.3">
      <c r="AD3228" s="6"/>
    </row>
    <row r="3229" spans="30:30" ht="12" x14ac:dyDescent="0.3">
      <c r="AD3229" s="6"/>
    </row>
    <row r="3230" spans="30:30" ht="12" x14ac:dyDescent="0.3">
      <c r="AD3230" s="6"/>
    </row>
    <row r="3231" spans="30:30" ht="12" x14ac:dyDescent="0.3">
      <c r="AD3231" s="6"/>
    </row>
    <row r="3232" spans="30:30" ht="12" x14ac:dyDescent="0.3">
      <c r="AD3232" s="6"/>
    </row>
    <row r="3233" spans="30:30" ht="12" x14ac:dyDescent="0.3">
      <c r="AD3233" s="6"/>
    </row>
    <row r="3234" spans="30:30" ht="12" x14ac:dyDescent="0.3">
      <c r="AD3234" s="6"/>
    </row>
    <row r="3235" spans="30:30" ht="12" x14ac:dyDescent="0.3">
      <c r="AD3235" s="6"/>
    </row>
    <row r="3236" spans="30:30" ht="12" x14ac:dyDescent="0.3">
      <c r="AD3236" s="6"/>
    </row>
    <row r="3237" spans="30:30" ht="12" x14ac:dyDescent="0.3">
      <c r="AD3237" s="6"/>
    </row>
    <row r="3238" spans="30:30" ht="12" x14ac:dyDescent="0.3">
      <c r="AD3238" s="6"/>
    </row>
    <row r="3239" spans="30:30" ht="12" x14ac:dyDescent="0.3">
      <c r="AD3239" s="6"/>
    </row>
    <row r="3240" spans="30:30" ht="12" x14ac:dyDescent="0.3">
      <c r="AD3240" s="6"/>
    </row>
    <row r="3241" spans="30:30" ht="12" x14ac:dyDescent="0.3">
      <c r="AD3241" s="6"/>
    </row>
    <row r="3242" spans="30:30" ht="12" x14ac:dyDescent="0.3">
      <c r="AD3242" s="6"/>
    </row>
    <row r="3243" spans="30:30" ht="12" x14ac:dyDescent="0.3">
      <c r="AD3243" s="6"/>
    </row>
    <row r="3244" spans="30:30" ht="12" x14ac:dyDescent="0.3">
      <c r="AD3244" s="6"/>
    </row>
    <row r="3245" spans="30:30" ht="12" x14ac:dyDescent="0.3">
      <c r="AD3245" s="6"/>
    </row>
    <row r="3246" spans="30:30" ht="12" x14ac:dyDescent="0.3">
      <c r="AD3246" s="6"/>
    </row>
    <row r="3247" spans="30:30" ht="12" x14ac:dyDescent="0.3">
      <c r="AD3247" s="6"/>
    </row>
    <row r="3248" spans="30:30" ht="12" x14ac:dyDescent="0.3">
      <c r="AD3248" s="6"/>
    </row>
    <row r="3249" spans="30:30" ht="12" x14ac:dyDescent="0.3">
      <c r="AD3249" s="6"/>
    </row>
    <row r="3250" spans="30:30" ht="12" x14ac:dyDescent="0.3">
      <c r="AD3250" s="6"/>
    </row>
    <row r="3251" spans="30:30" ht="12" x14ac:dyDescent="0.3">
      <c r="AD3251" s="6"/>
    </row>
    <row r="3252" spans="30:30" ht="12" x14ac:dyDescent="0.3">
      <c r="AD3252" s="6"/>
    </row>
    <row r="3253" spans="30:30" ht="12" x14ac:dyDescent="0.3">
      <c r="AD3253" s="6"/>
    </row>
    <row r="3254" spans="30:30" ht="12" x14ac:dyDescent="0.3">
      <c r="AD3254" s="6"/>
    </row>
    <row r="3255" spans="30:30" ht="12" x14ac:dyDescent="0.3">
      <c r="AD3255" s="6"/>
    </row>
    <row r="3256" spans="30:30" ht="12" x14ac:dyDescent="0.3">
      <c r="AD3256" s="6"/>
    </row>
    <row r="3257" spans="30:30" ht="12" x14ac:dyDescent="0.3">
      <c r="AD3257" s="6"/>
    </row>
    <row r="3258" spans="30:30" ht="12" x14ac:dyDescent="0.3">
      <c r="AD3258" s="6"/>
    </row>
    <row r="3259" spans="30:30" ht="12" x14ac:dyDescent="0.3">
      <c r="AD3259" s="6"/>
    </row>
    <row r="3260" spans="30:30" ht="12" x14ac:dyDescent="0.3">
      <c r="AD3260" s="6"/>
    </row>
    <row r="3261" spans="30:30" ht="12" x14ac:dyDescent="0.3">
      <c r="AD3261" s="6"/>
    </row>
    <row r="3262" spans="30:30" ht="12" x14ac:dyDescent="0.3">
      <c r="AD3262" s="6"/>
    </row>
    <row r="3263" spans="30:30" ht="12" x14ac:dyDescent="0.3">
      <c r="AD3263" s="6"/>
    </row>
    <row r="3264" spans="30:30" ht="12" x14ac:dyDescent="0.3">
      <c r="AD3264" s="6"/>
    </row>
    <row r="3265" spans="30:30" ht="12" x14ac:dyDescent="0.3">
      <c r="AD3265" s="6"/>
    </row>
    <row r="3266" spans="30:30" ht="12" x14ac:dyDescent="0.3">
      <c r="AD3266" s="6"/>
    </row>
    <row r="3267" spans="30:30" ht="12" x14ac:dyDescent="0.3">
      <c r="AD3267" s="6"/>
    </row>
    <row r="3268" spans="30:30" ht="12" x14ac:dyDescent="0.3">
      <c r="AD3268" s="6"/>
    </row>
    <row r="3269" spans="30:30" ht="12" x14ac:dyDescent="0.3">
      <c r="AD3269" s="6"/>
    </row>
    <row r="3270" spans="30:30" ht="12" x14ac:dyDescent="0.3">
      <c r="AD3270" s="6"/>
    </row>
    <row r="3271" spans="30:30" ht="12" x14ac:dyDescent="0.3">
      <c r="AD3271" s="6"/>
    </row>
    <row r="3272" spans="30:30" ht="12" x14ac:dyDescent="0.3">
      <c r="AD3272" s="6"/>
    </row>
    <row r="3273" spans="30:30" ht="12" x14ac:dyDescent="0.3">
      <c r="AD3273" s="6"/>
    </row>
    <row r="3274" spans="30:30" ht="12" x14ac:dyDescent="0.3">
      <c r="AD3274" s="6"/>
    </row>
    <row r="3275" spans="30:30" ht="12" x14ac:dyDescent="0.3">
      <c r="AD3275" s="6"/>
    </row>
    <row r="3276" spans="30:30" ht="12" x14ac:dyDescent="0.3">
      <c r="AD3276" s="6"/>
    </row>
    <row r="3277" spans="30:30" ht="12" x14ac:dyDescent="0.3">
      <c r="AD3277" s="6"/>
    </row>
    <row r="3278" spans="30:30" ht="12" x14ac:dyDescent="0.3">
      <c r="AD3278" s="6"/>
    </row>
    <row r="3279" spans="30:30" ht="12" x14ac:dyDescent="0.3">
      <c r="AD3279" s="6"/>
    </row>
    <row r="3280" spans="30:30" ht="12" x14ac:dyDescent="0.3">
      <c r="AD3280" s="6"/>
    </row>
    <row r="3281" spans="30:30" ht="12" x14ac:dyDescent="0.3">
      <c r="AD3281" s="6"/>
    </row>
    <row r="3282" spans="30:30" ht="12" x14ac:dyDescent="0.3">
      <c r="AD3282" s="6"/>
    </row>
    <row r="3283" spans="30:30" ht="12" x14ac:dyDescent="0.3">
      <c r="AD3283" s="6"/>
    </row>
    <row r="3284" spans="30:30" ht="12" x14ac:dyDescent="0.3">
      <c r="AD3284" s="6"/>
    </row>
    <row r="3285" spans="30:30" ht="12" x14ac:dyDescent="0.3">
      <c r="AD3285" s="6"/>
    </row>
    <row r="3286" spans="30:30" ht="12" x14ac:dyDescent="0.3">
      <c r="AD3286" s="6"/>
    </row>
    <row r="3287" spans="30:30" ht="12" x14ac:dyDescent="0.3">
      <c r="AD3287" s="6"/>
    </row>
    <row r="3288" spans="30:30" ht="12" x14ac:dyDescent="0.3">
      <c r="AD3288" s="6"/>
    </row>
    <row r="3289" spans="30:30" ht="12" x14ac:dyDescent="0.3">
      <c r="AD3289" s="6"/>
    </row>
    <row r="3290" spans="30:30" ht="12" x14ac:dyDescent="0.3">
      <c r="AD3290" s="6"/>
    </row>
    <row r="3291" spans="30:30" ht="12" x14ac:dyDescent="0.3">
      <c r="AD3291" s="6"/>
    </row>
    <row r="3292" spans="30:30" ht="12" x14ac:dyDescent="0.3">
      <c r="AD3292" s="6"/>
    </row>
    <row r="3293" spans="30:30" ht="12" x14ac:dyDescent="0.3">
      <c r="AD3293" s="6"/>
    </row>
    <row r="3294" spans="30:30" ht="12" x14ac:dyDescent="0.3">
      <c r="AD3294" s="6"/>
    </row>
    <row r="3295" spans="30:30" ht="12" x14ac:dyDescent="0.3">
      <c r="AD3295" s="6"/>
    </row>
    <row r="3296" spans="30:30" ht="12" x14ac:dyDescent="0.3">
      <c r="AD3296" s="6"/>
    </row>
    <row r="3297" spans="30:30" ht="12" x14ac:dyDescent="0.3">
      <c r="AD3297" s="6"/>
    </row>
    <row r="3298" spans="30:30" ht="12" x14ac:dyDescent="0.3">
      <c r="AD3298" s="6"/>
    </row>
    <row r="3299" spans="30:30" ht="12" x14ac:dyDescent="0.3">
      <c r="AD3299" s="6"/>
    </row>
    <row r="3300" spans="30:30" ht="12" x14ac:dyDescent="0.3">
      <c r="AD3300" s="6"/>
    </row>
    <row r="3301" spans="30:30" ht="12" x14ac:dyDescent="0.3">
      <c r="AD3301" s="6"/>
    </row>
    <row r="3302" spans="30:30" ht="12" x14ac:dyDescent="0.3">
      <c r="AD3302" s="6"/>
    </row>
    <row r="3303" spans="30:30" ht="12" x14ac:dyDescent="0.3">
      <c r="AD3303" s="6"/>
    </row>
    <row r="3304" spans="30:30" ht="12" x14ac:dyDescent="0.3">
      <c r="AD3304" s="6"/>
    </row>
    <row r="3305" spans="30:30" ht="12" x14ac:dyDescent="0.3">
      <c r="AD3305" s="6"/>
    </row>
    <row r="3306" spans="30:30" ht="12" x14ac:dyDescent="0.3">
      <c r="AD3306" s="6"/>
    </row>
    <row r="3307" spans="30:30" ht="12" x14ac:dyDescent="0.3">
      <c r="AD3307" s="6"/>
    </row>
    <row r="3308" spans="30:30" ht="12" x14ac:dyDescent="0.3">
      <c r="AD3308" s="6"/>
    </row>
    <row r="3309" spans="30:30" ht="12" x14ac:dyDescent="0.3">
      <c r="AD3309" s="6"/>
    </row>
    <row r="3310" spans="30:30" ht="12" x14ac:dyDescent="0.3">
      <c r="AD3310" s="6"/>
    </row>
    <row r="3311" spans="30:30" ht="12" x14ac:dyDescent="0.3">
      <c r="AD3311" s="6"/>
    </row>
    <row r="3312" spans="30:30" ht="12" x14ac:dyDescent="0.3">
      <c r="AD3312" s="6"/>
    </row>
    <row r="3313" spans="30:30" ht="12" x14ac:dyDescent="0.3">
      <c r="AD3313" s="6"/>
    </row>
    <row r="3314" spans="30:30" ht="12" x14ac:dyDescent="0.3">
      <c r="AD3314" s="6"/>
    </row>
    <row r="3315" spans="30:30" ht="12" x14ac:dyDescent="0.3">
      <c r="AD3315" s="6"/>
    </row>
    <row r="3316" spans="30:30" ht="12" x14ac:dyDescent="0.3">
      <c r="AD3316" s="6"/>
    </row>
    <row r="3317" spans="30:30" ht="12" x14ac:dyDescent="0.3">
      <c r="AD3317" s="6"/>
    </row>
    <row r="3318" spans="30:30" ht="12" x14ac:dyDescent="0.3">
      <c r="AD3318" s="6"/>
    </row>
    <row r="3319" spans="30:30" ht="12" x14ac:dyDescent="0.3">
      <c r="AD3319" s="6"/>
    </row>
    <row r="3320" spans="30:30" ht="12" x14ac:dyDescent="0.3">
      <c r="AD3320" s="6"/>
    </row>
    <row r="3321" spans="30:30" ht="12" x14ac:dyDescent="0.3">
      <c r="AD3321" s="6"/>
    </row>
    <row r="3322" spans="30:30" ht="12" x14ac:dyDescent="0.3">
      <c r="AD3322" s="6"/>
    </row>
    <row r="3323" spans="30:30" ht="12" x14ac:dyDescent="0.3">
      <c r="AD3323" s="6"/>
    </row>
    <row r="3324" spans="30:30" ht="12" x14ac:dyDescent="0.3">
      <c r="AD3324" s="6"/>
    </row>
    <row r="3325" spans="30:30" ht="12" x14ac:dyDescent="0.3">
      <c r="AD3325" s="6"/>
    </row>
    <row r="3326" spans="30:30" ht="12" x14ac:dyDescent="0.3">
      <c r="AD3326" s="6"/>
    </row>
    <row r="3327" spans="30:30" ht="12" x14ac:dyDescent="0.3">
      <c r="AD3327" s="6"/>
    </row>
    <row r="3328" spans="30:30" ht="12" x14ac:dyDescent="0.3">
      <c r="AD3328" s="6"/>
    </row>
    <row r="3329" spans="30:30" ht="12" x14ac:dyDescent="0.3">
      <c r="AD3329" s="6"/>
    </row>
    <row r="3330" spans="30:30" ht="12" x14ac:dyDescent="0.3">
      <c r="AD3330" s="6"/>
    </row>
    <row r="3331" spans="30:30" ht="12" x14ac:dyDescent="0.3">
      <c r="AD3331" s="6"/>
    </row>
    <row r="3332" spans="30:30" ht="12" x14ac:dyDescent="0.3">
      <c r="AD3332" s="6"/>
    </row>
    <row r="3333" spans="30:30" ht="12" x14ac:dyDescent="0.3">
      <c r="AD3333" s="6"/>
    </row>
    <row r="3334" spans="30:30" ht="12" x14ac:dyDescent="0.3">
      <c r="AD3334" s="6"/>
    </row>
    <row r="3335" spans="30:30" ht="12" x14ac:dyDescent="0.3">
      <c r="AD3335" s="6"/>
    </row>
    <row r="3336" spans="30:30" ht="12" x14ac:dyDescent="0.3">
      <c r="AD3336" s="6"/>
    </row>
    <row r="3337" spans="30:30" ht="12" x14ac:dyDescent="0.3">
      <c r="AD3337" s="6"/>
    </row>
    <row r="3338" spans="30:30" ht="12" x14ac:dyDescent="0.3">
      <c r="AD3338" s="6"/>
    </row>
    <row r="3339" spans="30:30" ht="12" x14ac:dyDescent="0.3">
      <c r="AD3339" s="6"/>
    </row>
    <row r="3340" spans="30:30" ht="12" x14ac:dyDescent="0.3">
      <c r="AD3340" s="6"/>
    </row>
    <row r="3341" spans="30:30" ht="12" x14ac:dyDescent="0.3">
      <c r="AD3341" s="6"/>
    </row>
    <row r="3342" spans="30:30" ht="12" x14ac:dyDescent="0.3">
      <c r="AD3342" s="6"/>
    </row>
    <row r="3343" spans="30:30" ht="12" x14ac:dyDescent="0.3">
      <c r="AD3343" s="6"/>
    </row>
    <row r="3344" spans="30:30" ht="12" x14ac:dyDescent="0.3">
      <c r="AD3344" s="6"/>
    </row>
    <row r="3345" spans="30:30" ht="12" x14ac:dyDescent="0.3">
      <c r="AD3345" s="6"/>
    </row>
    <row r="3346" spans="30:30" ht="12" x14ac:dyDescent="0.3">
      <c r="AD3346" s="6"/>
    </row>
    <row r="3347" spans="30:30" ht="12" x14ac:dyDescent="0.3">
      <c r="AD3347" s="6"/>
    </row>
    <row r="3348" spans="30:30" ht="12" x14ac:dyDescent="0.3">
      <c r="AD3348" s="6"/>
    </row>
    <row r="3349" spans="30:30" ht="12" x14ac:dyDescent="0.3">
      <c r="AD3349" s="6"/>
    </row>
    <row r="3350" spans="30:30" ht="12" x14ac:dyDescent="0.3">
      <c r="AD3350" s="6"/>
    </row>
    <row r="3351" spans="30:30" ht="12" x14ac:dyDescent="0.3">
      <c r="AD3351" s="6"/>
    </row>
    <row r="3352" spans="30:30" ht="12" x14ac:dyDescent="0.3">
      <c r="AD3352" s="6"/>
    </row>
    <row r="3353" spans="30:30" ht="12" x14ac:dyDescent="0.3">
      <c r="AD3353" s="6"/>
    </row>
    <row r="3354" spans="30:30" ht="12" x14ac:dyDescent="0.3">
      <c r="AD3354" s="6"/>
    </row>
    <row r="3355" spans="30:30" ht="12" x14ac:dyDescent="0.3">
      <c r="AD3355" s="6"/>
    </row>
    <row r="3356" spans="30:30" ht="12" x14ac:dyDescent="0.3">
      <c r="AD3356" s="6"/>
    </row>
    <row r="3357" spans="30:30" ht="12" x14ac:dyDescent="0.3">
      <c r="AD3357" s="6"/>
    </row>
    <row r="3358" spans="30:30" ht="12" x14ac:dyDescent="0.3">
      <c r="AD3358" s="6"/>
    </row>
    <row r="3359" spans="30:30" ht="12" x14ac:dyDescent="0.3">
      <c r="AD3359" s="6"/>
    </row>
    <row r="3360" spans="30:30" ht="12" x14ac:dyDescent="0.3">
      <c r="AD3360" s="6"/>
    </row>
    <row r="3361" spans="30:30" ht="12" x14ac:dyDescent="0.3">
      <c r="AD3361" s="6"/>
    </row>
    <row r="3362" spans="30:30" ht="12" x14ac:dyDescent="0.3">
      <c r="AD3362" s="6"/>
    </row>
    <row r="3363" spans="30:30" ht="12" x14ac:dyDescent="0.3">
      <c r="AD3363" s="6"/>
    </row>
    <row r="3364" spans="30:30" ht="12" x14ac:dyDescent="0.3">
      <c r="AD3364" s="6"/>
    </row>
    <row r="3365" spans="30:30" ht="12" x14ac:dyDescent="0.3">
      <c r="AD3365" s="6"/>
    </row>
    <row r="3366" spans="30:30" ht="12" x14ac:dyDescent="0.3">
      <c r="AD3366" s="6"/>
    </row>
    <row r="3367" spans="30:30" ht="12" x14ac:dyDescent="0.3">
      <c r="AD3367" s="6"/>
    </row>
    <row r="3368" spans="30:30" ht="12" x14ac:dyDescent="0.3">
      <c r="AD3368" s="6"/>
    </row>
    <row r="3369" spans="30:30" ht="12" x14ac:dyDescent="0.3">
      <c r="AD3369" s="6"/>
    </row>
    <row r="3370" spans="30:30" ht="12" x14ac:dyDescent="0.3">
      <c r="AD3370" s="6"/>
    </row>
    <row r="3371" spans="30:30" ht="12" x14ac:dyDescent="0.3">
      <c r="AD3371" s="6"/>
    </row>
    <row r="3372" spans="30:30" ht="12" x14ac:dyDescent="0.3">
      <c r="AD3372" s="6"/>
    </row>
    <row r="3373" spans="30:30" ht="12" x14ac:dyDescent="0.3">
      <c r="AD3373" s="6"/>
    </row>
    <row r="3374" spans="30:30" ht="12" x14ac:dyDescent="0.3">
      <c r="AD3374" s="6"/>
    </row>
    <row r="3375" spans="30:30" ht="12" x14ac:dyDescent="0.3">
      <c r="AD3375" s="6"/>
    </row>
    <row r="3376" spans="30:30" ht="12" x14ac:dyDescent="0.3">
      <c r="AD3376" s="6"/>
    </row>
    <row r="3377" spans="30:30" ht="12" x14ac:dyDescent="0.3">
      <c r="AD3377" s="6"/>
    </row>
    <row r="3378" spans="30:30" ht="12" x14ac:dyDescent="0.3">
      <c r="AD3378" s="6"/>
    </row>
    <row r="3379" spans="30:30" ht="12" x14ac:dyDescent="0.3">
      <c r="AD3379" s="6"/>
    </row>
    <row r="3380" spans="30:30" ht="12" x14ac:dyDescent="0.3">
      <c r="AD3380" s="6"/>
    </row>
    <row r="3381" spans="30:30" ht="12" x14ac:dyDescent="0.3">
      <c r="AD3381" s="6"/>
    </row>
    <row r="3382" spans="30:30" ht="12" x14ac:dyDescent="0.3">
      <c r="AD3382" s="6"/>
    </row>
    <row r="3383" spans="30:30" ht="12" x14ac:dyDescent="0.3">
      <c r="AD3383" s="6"/>
    </row>
    <row r="3384" spans="30:30" ht="12" x14ac:dyDescent="0.3">
      <c r="AD3384" s="6"/>
    </row>
    <row r="3385" spans="30:30" ht="12" x14ac:dyDescent="0.3">
      <c r="AD3385" s="6"/>
    </row>
    <row r="3386" spans="30:30" ht="12" x14ac:dyDescent="0.3">
      <c r="AD3386" s="6"/>
    </row>
    <row r="3387" spans="30:30" ht="12" x14ac:dyDescent="0.3">
      <c r="AD3387" s="6"/>
    </row>
    <row r="3388" spans="30:30" ht="12" x14ac:dyDescent="0.3">
      <c r="AD3388" s="6"/>
    </row>
    <row r="3389" spans="30:30" ht="12" x14ac:dyDescent="0.3">
      <c r="AD3389" s="6"/>
    </row>
    <row r="3390" spans="30:30" ht="12" x14ac:dyDescent="0.3">
      <c r="AD3390" s="6"/>
    </row>
    <row r="3391" spans="30:30" ht="12" x14ac:dyDescent="0.3">
      <c r="AD3391" s="6"/>
    </row>
    <row r="3392" spans="30:30" ht="12" x14ac:dyDescent="0.3">
      <c r="AD3392" s="6"/>
    </row>
    <row r="3393" spans="30:30" ht="12" x14ac:dyDescent="0.3">
      <c r="AD3393" s="6"/>
    </row>
    <row r="3394" spans="30:30" ht="12" x14ac:dyDescent="0.3">
      <c r="AD3394" s="6"/>
    </row>
    <row r="3395" spans="30:30" ht="12" x14ac:dyDescent="0.3">
      <c r="AD3395" s="6"/>
    </row>
    <row r="3396" spans="30:30" ht="12" x14ac:dyDescent="0.3">
      <c r="AD3396" s="6"/>
    </row>
    <row r="3397" spans="30:30" ht="12" x14ac:dyDescent="0.3">
      <c r="AD3397" s="6"/>
    </row>
    <row r="3398" spans="30:30" ht="12" x14ac:dyDescent="0.3">
      <c r="AD3398" s="6"/>
    </row>
    <row r="3399" spans="30:30" ht="12" x14ac:dyDescent="0.3">
      <c r="AD3399" s="6"/>
    </row>
    <row r="3400" spans="30:30" ht="12" x14ac:dyDescent="0.3">
      <c r="AD3400" s="6"/>
    </row>
    <row r="3401" spans="30:30" ht="12" x14ac:dyDescent="0.3">
      <c r="AD3401" s="6"/>
    </row>
    <row r="3402" spans="30:30" ht="12" x14ac:dyDescent="0.3">
      <c r="AD3402" s="6"/>
    </row>
    <row r="3403" spans="30:30" ht="12" x14ac:dyDescent="0.3">
      <c r="AD3403" s="6"/>
    </row>
    <row r="3404" spans="30:30" ht="12" x14ac:dyDescent="0.3">
      <c r="AD3404" s="6"/>
    </row>
    <row r="3405" spans="30:30" ht="12" x14ac:dyDescent="0.3">
      <c r="AD3405" s="6"/>
    </row>
    <row r="3406" spans="30:30" ht="12" x14ac:dyDescent="0.3">
      <c r="AD3406" s="6"/>
    </row>
    <row r="3407" spans="30:30" ht="12" x14ac:dyDescent="0.3">
      <c r="AD3407" s="6"/>
    </row>
    <row r="3408" spans="30:30" ht="12" x14ac:dyDescent="0.3">
      <c r="AD3408" s="6"/>
    </row>
    <row r="3409" spans="30:30" ht="12" x14ac:dyDescent="0.3">
      <c r="AD3409" s="6"/>
    </row>
    <row r="3410" spans="30:30" ht="12" x14ac:dyDescent="0.3">
      <c r="AD3410" s="6"/>
    </row>
    <row r="3411" spans="30:30" ht="12" x14ac:dyDescent="0.3">
      <c r="AD3411" s="6"/>
    </row>
    <row r="3412" spans="30:30" ht="12" x14ac:dyDescent="0.3">
      <c r="AD3412" s="6"/>
    </row>
    <row r="3413" spans="30:30" ht="12" x14ac:dyDescent="0.3">
      <c r="AD3413" s="6"/>
    </row>
    <row r="3414" spans="30:30" ht="12" x14ac:dyDescent="0.3">
      <c r="AD3414" s="6"/>
    </row>
    <row r="3415" spans="30:30" ht="12" x14ac:dyDescent="0.3">
      <c r="AD3415" s="6"/>
    </row>
    <row r="3416" spans="30:30" ht="12" x14ac:dyDescent="0.3">
      <c r="AD3416" s="6"/>
    </row>
    <row r="3417" spans="30:30" ht="12" x14ac:dyDescent="0.3">
      <c r="AD3417" s="6"/>
    </row>
    <row r="3418" spans="30:30" ht="12" x14ac:dyDescent="0.3">
      <c r="AD3418" s="6"/>
    </row>
    <row r="3419" spans="30:30" ht="12" x14ac:dyDescent="0.3">
      <c r="AD3419" s="6"/>
    </row>
    <row r="3420" spans="30:30" ht="12" x14ac:dyDescent="0.3">
      <c r="AD3420" s="6"/>
    </row>
    <row r="3421" spans="30:30" ht="12" x14ac:dyDescent="0.3">
      <c r="AD3421" s="6"/>
    </row>
    <row r="3422" spans="30:30" ht="12" x14ac:dyDescent="0.3">
      <c r="AD3422" s="6"/>
    </row>
    <row r="3423" spans="30:30" ht="12" x14ac:dyDescent="0.3">
      <c r="AD3423" s="6"/>
    </row>
    <row r="3424" spans="30:30" ht="12" x14ac:dyDescent="0.3">
      <c r="AD3424" s="6"/>
    </row>
    <row r="3425" spans="30:30" ht="12" x14ac:dyDescent="0.3">
      <c r="AD3425" s="6"/>
    </row>
    <row r="3426" spans="30:30" ht="12" x14ac:dyDescent="0.3">
      <c r="AD3426" s="6"/>
    </row>
    <row r="3427" spans="30:30" ht="12" x14ac:dyDescent="0.3">
      <c r="AD3427" s="6"/>
    </row>
    <row r="3428" spans="30:30" ht="12" x14ac:dyDescent="0.3">
      <c r="AD3428" s="6"/>
    </row>
    <row r="3429" spans="30:30" ht="12" x14ac:dyDescent="0.3">
      <c r="AD3429" s="6"/>
    </row>
    <row r="3430" spans="30:30" ht="12" x14ac:dyDescent="0.3">
      <c r="AD3430" s="6"/>
    </row>
    <row r="3431" spans="30:30" ht="12" x14ac:dyDescent="0.3">
      <c r="AD3431" s="6"/>
    </row>
    <row r="3432" spans="30:30" ht="12" x14ac:dyDescent="0.3">
      <c r="AD3432" s="6"/>
    </row>
    <row r="3433" spans="30:30" ht="12" x14ac:dyDescent="0.3">
      <c r="AD3433" s="6"/>
    </row>
    <row r="3434" spans="30:30" ht="12" x14ac:dyDescent="0.3">
      <c r="AD3434" s="6"/>
    </row>
    <row r="3435" spans="30:30" ht="12" x14ac:dyDescent="0.3">
      <c r="AD3435" s="6"/>
    </row>
    <row r="3436" spans="30:30" ht="12" x14ac:dyDescent="0.3">
      <c r="AD3436" s="6"/>
    </row>
    <row r="3437" spans="30:30" ht="12" x14ac:dyDescent="0.3">
      <c r="AD3437" s="6"/>
    </row>
    <row r="3438" spans="30:30" ht="12" x14ac:dyDescent="0.3">
      <c r="AD3438" s="6"/>
    </row>
    <row r="3439" spans="30:30" ht="12" x14ac:dyDescent="0.3">
      <c r="AD3439" s="6"/>
    </row>
    <row r="3440" spans="30:30" ht="12" x14ac:dyDescent="0.3">
      <c r="AD3440" s="6"/>
    </row>
    <row r="3441" spans="30:30" ht="12" x14ac:dyDescent="0.3">
      <c r="AD3441" s="6"/>
    </row>
    <row r="3442" spans="30:30" ht="12" x14ac:dyDescent="0.3">
      <c r="AD3442" s="6"/>
    </row>
    <row r="3443" spans="30:30" ht="12" x14ac:dyDescent="0.3">
      <c r="AD3443" s="6"/>
    </row>
    <row r="3444" spans="30:30" ht="12" x14ac:dyDescent="0.3">
      <c r="AD3444" s="6"/>
    </row>
    <row r="3445" spans="30:30" ht="12" x14ac:dyDescent="0.3">
      <c r="AD3445" s="6"/>
    </row>
    <row r="3446" spans="30:30" ht="12" x14ac:dyDescent="0.3">
      <c r="AD3446" s="6"/>
    </row>
    <row r="3447" spans="30:30" ht="12" x14ac:dyDescent="0.3">
      <c r="AD3447" s="6"/>
    </row>
    <row r="3448" spans="30:30" ht="12" x14ac:dyDescent="0.3">
      <c r="AD3448" s="6"/>
    </row>
    <row r="3449" spans="30:30" ht="12" x14ac:dyDescent="0.3">
      <c r="AD3449" s="6"/>
    </row>
    <row r="3450" spans="30:30" ht="12" x14ac:dyDescent="0.3">
      <c r="AD3450" s="6"/>
    </row>
    <row r="3451" spans="30:30" ht="12" x14ac:dyDescent="0.3">
      <c r="AD3451" s="6"/>
    </row>
    <row r="3452" spans="30:30" ht="12" x14ac:dyDescent="0.3">
      <c r="AD3452" s="6"/>
    </row>
    <row r="3453" spans="30:30" ht="12" x14ac:dyDescent="0.3">
      <c r="AD3453" s="6"/>
    </row>
    <row r="3454" spans="30:30" ht="12" x14ac:dyDescent="0.3">
      <c r="AD3454" s="6"/>
    </row>
    <row r="3455" spans="30:30" ht="12" x14ac:dyDescent="0.3">
      <c r="AD3455" s="6"/>
    </row>
    <row r="3456" spans="30:30" ht="12" x14ac:dyDescent="0.3">
      <c r="AD3456" s="6"/>
    </row>
    <row r="3457" spans="30:30" ht="12" x14ac:dyDescent="0.3">
      <c r="AD3457" s="6"/>
    </row>
    <row r="3458" spans="30:30" ht="12" x14ac:dyDescent="0.3">
      <c r="AD3458" s="6"/>
    </row>
    <row r="3459" spans="30:30" ht="12" x14ac:dyDescent="0.3">
      <c r="AD3459" s="6"/>
    </row>
    <row r="3460" spans="30:30" ht="12" x14ac:dyDescent="0.3">
      <c r="AD3460" s="6"/>
    </row>
    <row r="3461" spans="30:30" ht="12" x14ac:dyDescent="0.3">
      <c r="AD3461" s="6"/>
    </row>
    <row r="3462" spans="30:30" ht="12" x14ac:dyDescent="0.3">
      <c r="AD3462" s="6"/>
    </row>
    <row r="3463" spans="30:30" ht="12" x14ac:dyDescent="0.3">
      <c r="AD3463" s="6"/>
    </row>
    <row r="3464" spans="30:30" ht="12" x14ac:dyDescent="0.3">
      <c r="AD3464" s="6"/>
    </row>
    <row r="3465" spans="30:30" ht="12" x14ac:dyDescent="0.3">
      <c r="AD3465" s="6"/>
    </row>
    <row r="3466" spans="30:30" ht="12" x14ac:dyDescent="0.3">
      <c r="AD3466" s="6"/>
    </row>
    <row r="3467" spans="30:30" ht="12" x14ac:dyDescent="0.3">
      <c r="AD3467" s="6"/>
    </row>
    <row r="3468" spans="30:30" ht="12" x14ac:dyDescent="0.3">
      <c r="AD3468" s="6"/>
    </row>
    <row r="3469" spans="30:30" ht="12" x14ac:dyDescent="0.3">
      <c r="AD3469" s="6"/>
    </row>
    <row r="3470" spans="30:30" ht="12" x14ac:dyDescent="0.3">
      <c r="AD3470" s="6"/>
    </row>
    <row r="3471" spans="30:30" ht="12" x14ac:dyDescent="0.3">
      <c r="AD3471" s="6"/>
    </row>
    <row r="3472" spans="30:30" ht="12" x14ac:dyDescent="0.3">
      <c r="AD3472" s="6"/>
    </row>
    <row r="3473" spans="30:30" ht="12" x14ac:dyDescent="0.3">
      <c r="AD3473" s="6"/>
    </row>
    <row r="3474" spans="30:30" ht="12" x14ac:dyDescent="0.3">
      <c r="AD3474" s="6"/>
    </row>
    <row r="3475" spans="30:30" ht="12" x14ac:dyDescent="0.3">
      <c r="AD3475" s="6"/>
    </row>
    <row r="3476" spans="30:30" ht="12" x14ac:dyDescent="0.3">
      <c r="AD3476" s="6"/>
    </row>
    <row r="3477" spans="30:30" ht="12" x14ac:dyDescent="0.3">
      <c r="AD3477" s="6"/>
    </row>
    <row r="3478" spans="30:30" ht="12" x14ac:dyDescent="0.3">
      <c r="AD3478" s="6"/>
    </row>
    <row r="3479" spans="30:30" ht="12" x14ac:dyDescent="0.3">
      <c r="AD3479" s="6"/>
    </row>
    <row r="3480" spans="30:30" ht="12" x14ac:dyDescent="0.3">
      <c r="AD3480" s="6"/>
    </row>
    <row r="3481" spans="30:30" ht="12" x14ac:dyDescent="0.3">
      <c r="AD3481" s="6"/>
    </row>
    <row r="3482" spans="30:30" ht="12" x14ac:dyDescent="0.3">
      <c r="AD3482" s="6"/>
    </row>
    <row r="3483" spans="30:30" ht="12" x14ac:dyDescent="0.3">
      <c r="AD3483" s="6"/>
    </row>
    <row r="3484" spans="30:30" ht="12" x14ac:dyDescent="0.3">
      <c r="AD3484" s="6"/>
    </row>
    <row r="3485" spans="30:30" ht="12" x14ac:dyDescent="0.3">
      <c r="AD3485" s="6"/>
    </row>
    <row r="3486" spans="30:30" ht="12" x14ac:dyDescent="0.3">
      <c r="AD3486" s="6"/>
    </row>
    <row r="3487" spans="30:30" ht="12" x14ac:dyDescent="0.3">
      <c r="AD3487" s="6"/>
    </row>
    <row r="3488" spans="30:30" ht="12" x14ac:dyDescent="0.3">
      <c r="AD3488" s="6"/>
    </row>
    <row r="3489" spans="30:30" ht="12" x14ac:dyDescent="0.3">
      <c r="AD3489" s="6"/>
    </row>
    <row r="3490" spans="30:30" ht="12" x14ac:dyDescent="0.3">
      <c r="AD3490" s="6"/>
    </row>
    <row r="3491" spans="30:30" ht="12" x14ac:dyDescent="0.3">
      <c r="AD3491" s="6"/>
    </row>
    <row r="3492" spans="30:30" ht="12" x14ac:dyDescent="0.3">
      <c r="AD3492" s="6"/>
    </row>
    <row r="3493" spans="30:30" ht="12" x14ac:dyDescent="0.3">
      <c r="AD3493" s="6"/>
    </row>
    <row r="3494" spans="30:30" ht="12" x14ac:dyDescent="0.3">
      <c r="AD3494" s="6"/>
    </row>
    <row r="3495" spans="30:30" ht="12" x14ac:dyDescent="0.3">
      <c r="AD3495" s="6"/>
    </row>
    <row r="3496" spans="30:30" ht="12" x14ac:dyDescent="0.3">
      <c r="AD3496" s="6"/>
    </row>
    <row r="3497" spans="30:30" ht="12" x14ac:dyDescent="0.3">
      <c r="AD3497" s="6"/>
    </row>
    <row r="3498" spans="30:30" ht="12" x14ac:dyDescent="0.3">
      <c r="AD3498" s="6"/>
    </row>
    <row r="3499" spans="30:30" ht="12" x14ac:dyDescent="0.3">
      <c r="AD3499" s="6"/>
    </row>
    <row r="3500" spans="30:30" ht="12" x14ac:dyDescent="0.3">
      <c r="AD3500" s="6"/>
    </row>
    <row r="3501" spans="30:30" ht="12" x14ac:dyDescent="0.3">
      <c r="AD3501" s="6"/>
    </row>
    <row r="3502" spans="30:30" ht="12" x14ac:dyDescent="0.3">
      <c r="AD3502" s="6"/>
    </row>
    <row r="3503" spans="30:30" ht="12" x14ac:dyDescent="0.3">
      <c r="AD3503" s="6"/>
    </row>
    <row r="3504" spans="30:30" ht="12" x14ac:dyDescent="0.3">
      <c r="AD3504" s="6"/>
    </row>
    <row r="3505" spans="30:30" ht="12" x14ac:dyDescent="0.3">
      <c r="AD3505" s="6"/>
    </row>
    <row r="3506" spans="30:30" ht="12" x14ac:dyDescent="0.3">
      <c r="AD3506" s="6"/>
    </row>
    <row r="3507" spans="30:30" ht="12" x14ac:dyDescent="0.3">
      <c r="AD3507" s="6"/>
    </row>
    <row r="3508" spans="30:30" ht="12" x14ac:dyDescent="0.3">
      <c r="AD3508" s="6"/>
    </row>
    <row r="3509" spans="30:30" ht="12" x14ac:dyDescent="0.3">
      <c r="AD3509" s="6"/>
    </row>
    <row r="3510" spans="30:30" ht="12" x14ac:dyDescent="0.3">
      <c r="AD3510" s="6"/>
    </row>
    <row r="3511" spans="30:30" ht="12" x14ac:dyDescent="0.3">
      <c r="AD3511" s="6"/>
    </row>
    <row r="3512" spans="30:30" ht="12" x14ac:dyDescent="0.3">
      <c r="AD3512" s="6"/>
    </row>
    <row r="3513" spans="30:30" ht="12" x14ac:dyDescent="0.3">
      <c r="AD3513" s="6"/>
    </row>
    <row r="3514" spans="30:30" ht="12" x14ac:dyDescent="0.3">
      <c r="AD3514" s="6"/>
    </row>
    <row r="3515" spans="30:30" ht="12" x14ac:dyDescent="0.3">
      <c r="AD3515" s="6"/>
    </row>
    <row r="3516" spans="30:30" ht="12" x14ac:dyDescent="0.3">
      <c r="AD3516" s="6"/>
    </row>
    <row r="3517" spans="30:30" ht="12" x14ac:dyDescent="0.3">
      <c r="AD3517" s="6"/>
    </row>
    <row r="3518" spans="30:30" ht="12" x14ac:dyDescent="0.3">
      <c r="AD3518" s="6"/>
    </row>
    <row r="3519" spans="30:30" ht="12" x14ac:dyDescent="0.3">
      <c r="AD3519" s="6"/>
    </row>
    <row r="3520" spans="30:30" ht="12" x14ac:dyDescent="0.3">
      <c r="AD3520" s="6"/>
    </row>
    <row r="3521" spans="30:30" ht="12" x14ac:dyDescent="0.3">
      <c r="AD3521" s="6"/>
    </row>
    <row r="3522" spans="30:30" ht="12" x14ac:dyDescent="0.3">
      <c r="AD3522" s="6"/>
    </row>
    <row r="3523" spans="30:30" ht="12" x14ac:dyDescent="0.3">
      <c r="AD3523" s="6"/>
    </row>
    <row r="3524" spans="30:30" ht="12" x14ac:dyDescent="0.3">
      <c r="AD3524" s="6"/>
    </row>
    <row r="3525" spans="30:30" ht="12" x14ac:dyDescent="0.3">
      <c r="AD3525" s="6"/>
    </row>
    <row r="3526" spans="30:30" ht="12" x14ac:dyDescent="0.3">
      <c r="AD3526" s="6"/>
    </row>
    <row r="3527" spans="30:30" ht="12" x14ac:dyDescent="0.3">
      <c r="AD3527" s="6"/>
    </row>
    <row r="3528" spans="30:30" ht="12" x14ac:dyDescent="0.3">
      <c r="AD3528" s="6"/>
    </row>
    <row r="3529" spans="30:30" ht="12" x14ac:dyDescent="0.3">
      <c r="AD3529" s="6"/>
    </row>
    <row r="3530" spans="30:30" ht="12" x14ac:dyDescent="0.3">
      <c r="AD3530" s="6"/>
    </row>
    <row r="3531" spans="30:30" ht="12" x14ac:dyDescent="0.3">
      <c r="AD3531" s="6"/>
    </row>
    <row r="3532" spans="30:30" ht="12" x14ac:dyDescent="0.3">
      <c r="AD3532" s="6"/>
    </row>
    <row r="3533" spans="30:30" ht="12" x14ac:dyDescent="0.3">
      <c r="AD3533" s="6"/>
    </row>
    <row r="3534" spans="30:30" ht="12" x14ac:dyDescent="0.3">
      <c r="AD3534" s="6"/>
    </row>
    <row r="3535" spans="30:30" ht="12" x14ac:dyDescent="0.3">
      <c r="AD3535" s="6"/>
    </row>
    <row r="3536" spans="30:30" ht="12" x14ac:dyDescent="0.3">
      <c r="AD3536" s="6"/>
    </row>
    <row r="3537" spans="30:30" ht="12" x14ac:dyDescent="0.3">
      <c r="AD3537" s="6"/>
    </row>
    <row r="3538" spans="30:30" ht="12" x14ac:dyDescent="0.3">
      <c r="AD3538" s="6"/>
    </row>
    <row r="3539" spans="30:30" ht="12" x14ac:dyDescent="0.3">
      <c r="AD3539" s="6"/>
    </row>
    <row r="3540" spans="30:30" ht="12" x14ac:dyDescent="0.3">
      <c r="AD3540" s="6"/>
    </row>
    <row r="3541" spans="30:30" ht="12" x14ac:dyDescent="0.3">
      <c r="AD3541" s="6"/>
    </row>
    <row r="3542" spans="30:30" ht="12" x14ac:dyDescent="0.3">
      <c r="AD3542" s="6"/>
    </row>
    <row r="3543" spans="30:30" ht="12" x14ac:dyDescent="0.3">
      <c r="AD3543" s="6"/>
    </row>
    <row r="3544" spans="30:30" ht="12" x14ac:dyDescent="0.3">
      <c r="AD3544" s="6"/>
    </row>
    <row r="3545" spans="30:30" ht="12" x14ac:dyDescent="0.3">
      <c r="AD3545" s="6"/>
    </row>
    <row r="3546" spans="30:30" ht="12" x14ac:dyDescent="0.3">
      <c r="AD3546" s="6"/>
    </row>
    <row r="3547" spans="30:30" ht="12" x14ac:dyDescent="0.3">
      <c r="AD3547" s="6"/>
    </row>
    <row r="3548" spans="30:30" ht="12" x14ac:dyDescent="0.3">
      <c r="AD3548" s="6"/>
    </row>
    <row r="3549" spans="30:30" ht="12" x14ac:dyDescent="0.3">
      <c r="AD3549" s="6"/>
    </row>
    <row r="3550" spans="30:30" ht="12" x14ac:dyDescent="0.3">
      <c r="AD3550" s="6"/>
    </row>
    <row r="3551" spans="30:30" ht="12" x14ac:dyDescent="0.3">
      <c r="AD3551" s="6"/>
    </row>
    <row r="3552" spans="30:30" ht="12" x14ac:dyDescent="0.3">
      <c r="AD3552" s="6"/>
    </row>
    <row r="3553" spans="30:30" ht="12" x14ac:dyDescent="0.3">
      <c r="AD3553" s="6"/>
    </row>
    <row r="3554" spans="30:30" ht="12" x14ac:dyDescent="0.3">
      <c r="AD3554" s="6"/>
    </row>
    <row r="3555" spans="30:30" ht="12" x14ac:dyDescent="0.3">
      <c r="AD3555" s="6"/>
    </row>
    <row r="3556" spans="30:30" ht="12" x14ac:dyDescent="0.3">
      <c r="AD3556" s="6"/>
    </row>
    <row r="3557" spans="30:30" ht="12" x14ac:dyDescent="0.3">
      <c r="AD3557" s="6"/>
    </row>
    <row r="3558" spans="30:30" ht="12" x14ac:dyDescent="0.3">
      <c r="AD3558" s="6"/>
    </row>
    <row r="3559" spans="30:30" ht="12" x14ac:dyDescent="0.3">
      <c r="AD3559" s="6"/>
    </row>
    <row r="3560" spans="30:30" ht="12" x14ac:dyDescent="0.3">
      <c r="AD3560" s="6"/>
    </row>
    <row r="3561" spans="30:30" ht="12" x14ac:dyDescent="0.3">
      <c r="AD3561" s="6"/>
    </row>
    <row r="3562" spans="30:30" ht="12" x14ac:dyDescent="0.3">
      <c r="AD3562" s="6"/>
    </row>
    <row r="3563" spans="30:30" ht="12" x14ac:dyDescent="0.3">
      <c r="AD3563" s="6"/>
    </row>
    <row r="3564" spans="30:30" ht="12" x14ac:dyDescent="0.3">
      <c r="AD3564" s="6"/>
    </row>
    <row r="3565" spans="30:30" ht="12" x14ac:dyDescent="0.3">
      <c r="AD3565" s="6"/>
    </row>
    <row r="3566" spans="30:30" ht="12" x14ac:dyDescent="0.3">
      <c r="AD3566" s="6"/>
    </row>
    <row r="3567" spans="30:30" ht="12" x14ac:dyDescent="0.3">
      <c r="AD3567" s="6"/>
    </row>
    <row r="3568" spans="30:30" ht="12" x14ac:dyDescent="0.3">
      <c r="AD3568" s="6"/>
    </row>
    <row r="3569" spans="30:30" ht="12" x14ac:dyDescent="0.3">
      <c r="AD3569" s="6"/>
    </row>
    <row r="3570" spans="30:30" ht="12" x14ac:dyDescent="0.3">
      <c r="AD3570" s="6"/>
    </row>
    <row r="3571" spans="30:30" ht="12" x14ac:dyDescent="0.3">
      <c r="AD3571" s="6"/>
    </row>
    <row r="3572" spans="30:30" ht="12" x14ac:dyDescent="0.3">
      <c r="AD3572" s="6"/>
    </row>
    <row r="3573" spans="30:30" ht="12" x14ac:dyDescent="0.3">
      <c r="AD3573" s="6"/>
    </row>
    <row r="3574" spans="30:30" ht="12" x14ac:dyDescent="0.3">
      <c r="AD3574" s="6"/>
    </row>
    <row r="3575" spans="30:30" ht="12" x14ac:dyDescent="0.3">
      <c r="AD3575" s="6"/>
    </row>
    <row r="3576" spans="30:30" ht="12" x14ac:dyDescent="0.3">
      <c r="AD3576" s="6"/>
    </row>
    <row r="3577" spans="30:30" ht="12" x14ac:dyDescent="0.3">
      <c r="AD3577" s="6"/>
    </row>
    <row r="3578" spans="30:30" ht="12" x14ac:dyDescent="0.3">
      <c r="AD3578" s="6"/>
    </row>
    <row r="3579" spans="30:30" ht="12" x14ac:dyDescent="0.3">
      <c r="AD3579" s="6"/>
    </row>
    <row r="3580" spans="30:30" ht="12" x14ac:dyDescent="0.3">
      <c r="AD3580" s="6"/>
    </row>
    <row r="3581" spans="30:30" ht="12" x14ac:dyDescent="0.3">
      <c r="AD3581" s="6"/>
    </row>
    <row r="3582" spans="30:30" ht="12" x14ac:dyDescent="0.3">
      <c r="AD3582" s="6"/>
    </row>
    <row r="3583" spans="30:30" ht="12" x14ac:dyDescent="0.3">
      <c r="AD3583" s="6"/>
    </row>
    <row r="3584" spans="30:30" ht="12" x14ac:dyDescent="0.3">
      <c r="AD3584" s="6"/>
    </row>
    <row r="3585" spans="30:30" ht="12" x14ac:dyDescent="0.3">
      <c r="AD3585" s="6"/>
    </row>
    <row r="3586" spans="30:30" ht="12" x14ac:dyDescent="0.3">
      <c r="AD3586" s="6"/>
    </row>
    <row r="3587" spans="30:30" ht="12" x14ac:dyDescent="0.3">
      <c r="AD3587" s="6"/>
    </row>
    <row r="3588" spans="30:30" ht="12" x14ac:dyDescent="0.3">
      <c r="AD3588" s="6"/>
    </row>
    <row r="3589" spans="30:30" ht="12" x14ac:dyDescent="0.3">
      <c r="AD3589" s="6"/>
    </row>
    <row r="3590" spans="30:30" ht="12" x14ac:dyDescent="0.3">
      <c r="AD3590" s="6"/>
    </row>
    <row r="3591" spans="30:30" ht="12" x14ac:dyDescent="0.3">
      <c r="AD3591" s="6"/>
    </row>
    <row r="3592" spans="30:30" ht="12" x14ac:dyDescent="0.3">
      <c r="AD3592" s="6"/>
    </row>
    <row r="3593" spans="30:30" ht="12" x14ac:dyDescent="0.3">
      <c r="AD3593" s="6"/>
    </row>
    <row r="3594" spans="30:30" ht="12" x14ac:dyDescent="0.3">
      <c r="AD3594" s="6"/>
    </row>
    <row r="3595" spans="30:30" ht="12" x14ac:dyDescent="0.3">
      <c r="AD3595" s="6"/>
    </row>
    <row r="3596" spans="30:30" ht="12" x14ac:dyDescent="0.3">
      <c r="AD3596" s="6"/>
    </row>
    <row r="3597" spans="30:30" ht="12" x14ac:dyDescent="0.3">
      <c r="AD3597" s="6"/>
    </row>
    <row r="3598" spans="30:30" ht="12" x14ac:dyDescent="0.3">
      <c r="AD3598" s="6"/>
    </row>
    <row r="3599" spans="30:30" ht="12" x14ac:dyDescent="0.3">
      <c r="AD3599" s="6"/>
    </row>
    <row r="3600" spans="30:30" ht="12" x14ac:dyDescent="0.3">
      <c r="AD3600" s="6"/>
    </row>
    <row r="3601" spans="30:30" ht="12" x14ac:dyDescent="0.3">
      <c r="AD3601" s="6"/>
    </row>
    <row r="3602" spans="30:30" ht="12" x14ac:dyDescent="0.3">
      <c r="AD3602" s="6"/>
    </row>
    <row r="3603" spans="30:30" ht="12" x14ac:dyDescent="0.3">
      <c r="AD3603" s="6"/>
    </row>
    <row r="3604" spans="30:30" ht="12" x14ac:dyDescent="0.3">
      <c r="AD3604" s="6"/>
    </row>
    <row r="3605" spans="30:30" ht="12" x14ac:dyDescent="0.3">
      <c r="AD3605" s="6"/>
    </row>
    <row r="3606" spans="30:30" ht="12" x14ac:dyDescent="0.3">
      <c r="AD3606" s="6"/>
    </row>
    <row r="3607" spans="30:30" ht="12" x14ac:dyDescent="0.3">
      <c r="AD3607" s="6"/>
    </row>
    <row r="3608" spans="30:30" ht="12" x14ac:dyDescent="0.3">
      <c r="AD3608" s="6"/>
    </row>
    <row r="3609" spans="30:30" ht="12" x14ac:dyDescent="0.3">
      <c r="AD3609" s="6"/>
    </row>
    <row r="3610" spans="30:30" ht="12" x14ac:dyDescent="0.3">
      <c r="AD3610" s="6"/>
    </row>
    <row r="3611" spans="30:30" ht="12" x14ac:dyDescent="0.3">
      <c r="AD3611" s="6"/>
    </row>
    <row r="3612" spans="30:30" ht="12" x14ac:dyDescent="0.3">
      <c r="AD3612" s="6"/>
    </row>
    <row r="3613" spans="30:30" ht="12" x14ac:dyDescent="0.3">
      <c r="AD3613" s="6"/>
    </row>
    <row r="3614" spans="30:30" ht="12" x14ac:dyDescent="0.3">
      <c r="AD3614" s="6"/>
    </row>
    <row r="3615" spans="30:30" ht="12" x14ac:dyDescent="0.3">
      <c r="AD3615" s="6"/>
    </row>
    <row r="3616" spans="30:30" ht="12" x14ac:dyDescent="0.3">
      <c r="AD3616" s="6"/>
    </row>
    <row r="3617" spans="30:30" ht="12" x14ac:dyDescent="0.3">
      <c r="AD3617" s="6"/>
    </row>
    <row r="3618" spans="30:30" ht="12" x14ac:dyDescent="0.3">
      <c r="AD3618" s="6"/>
    </row>
    <row r="3619" spans="30:30" ht="12" x14ac:dyDescent="0.3">
      <c r="AD3619" s="6"/>
    </row>
    <row r="3620" spans="30:30" ht="12" x14ac:dyDescent="0.3">
      <c r="AD3620" s="6"/>
    </row>
    <row r="3621" spans="30:30" ht="12" x14ac:dyDescent="0.3">
      <c r="AD3621" s="6"/>
    </row>
    <row r="3622" spans="30:30" ht="12" x14ac:dyDescent="0.3">
      <c r="AD3622" s="6"/>
    </row>
    <row r="3623" spans="30:30" ht="12" x14ac:dyDescent="0.3">
      <c r="AD3623" s="6"/>
    </row>
    <row r="3624" spans="30:30" ht="12" x14ac:dyDescent="0.3">
      <c r="AD3624" s="6"/>
    </row>
    <row r="3625" spans="30:30" ht="12" x14ac:dyDescent="0.3">
      <c r="AD3625" s="6"/>
    </row>
    <row r="3626" spans="30:30" ht="12" x14ac:dyDescent="0.3">
      <c r="AD3626" s="6"/>
    </row>
    <row r="3627" spans="30:30" ht="12" x14ac:dyDescent="0.3">
      <c r="AD3627" s="6"/>
    </row>
    <row r="3628" spans="30:30" ht="12" x14ac:dyDescent="0.3">
      <c r="AD3628" s="6"/>
    </row>
    <row r="3629" spans="30:30" ht="12" x14ac:dyDescent="0.3">
      <c r="AD3629" s="6"/>
    </row>
    <row r="3630" spans="30:30" ht="12" x14ac:dyDescent="0.3">
      <c r="AD3630" s="6"/>
    </row>
    <row r="3631" spans="30:30" ht="12" x14ac:dyDescent="0.3">
      <c r="AD3631" s="6"/>
    </row>
    <row r="3632" spans="30:30" ht="12" x14ac:dyDescent="0.3">
      <c r="AD3632" s="6"/>
    </row>
    <row r="3633" spans="30:30" ht="12" x14ac:dyDescent="0.3">
      <c r="AD3633" s="6"/>
    </row>
    <row r="3634" spans="30:30" ht="12" x14ac:dyDescent="0.3">
      <c r="AD3634" s="6"/>
    </row>
    <row r="3635" spans="30:30" ht="12" x14ac:dyDescent="0.3">
      <c r="AD3635" s="6"/>
    </row>
    <row r="3636" spans="30:30" ht="12" x14ac:dyDescent="0.3">
      <c r="AD3636" s="6"/>
    </row>
    <row r="3637" spans="30:30" ht="12" x14ac:dyDescent="0.3">
      <c r="AD3637" s="6"/>
    </row>
    <row r="3638" spans="30:30" ht="12" x14ac:dyDescent="0.3">
      <c r="AD3638" s="6"/>
    </row>
    <row r="3639" spans="30:30" ht="12" x14ac:dyDescent="0.3">
      <c r="AD3639" s="6"/>
    </row>
    <row r="3640" spans="30:30" ht="12" x14ac:dyDescent="0.3">
      <c r="AD3640" s="6"/>
    </row>
    <row r="3641" spans="30:30" ht="12" x14ac:dyDescent="0.3">
      <c r="AD3641" s="6"/>
    </row>
    <row r="3642" spans="30:30" ht="12" x14ac:dyDescent="0.3">
      <c r="AD3642" s="6"/>
    </row>
    <row r="3643" spans="30:30" ht="12" x14ac:dyDescent="0.3">
      <c r="AD3643" s="6"/>
    </row>
    <row r="3644" spans="30:30" ht="12" x14ac:dyDescent="0.3">
      <c r="AD3644" s="6"/>
    </row>
    <row r="3645" spans="30:30" ht="12" x14ac:dyDescent="0.3">
      <c r="AD3645" s="6"/>
    </row>
    <row r="3646" spans="30:30" ht="12" x14ac:dyDescent="0.3">
      <c r="AD3646" s="6"/>
    </row>
    <row r="3647" spans="30:30" ht="12" x14ac:dyDescent="0.3">
      <c r="AD3647" s="6"/>
    </row>
    <row r="3648" spans="30:30" ht="12" x14ac:dyDescent="0.3">
      <c r="AD3648" s="6"/>
    </row>
    <row r="3649" spans="30:30" ht="12" x14ac:dyDescent="0.3">
      <c r="AD3649" s="6"/>
    </row>
    <row r="3650" spans="30:30" ht="12" x14ac:dyDescent="0.3">
      <c r="AD3650" s="6"/>
    </row>
    <row r="3651" spans="30:30" ht="12" x14ac:dyDescent="0.3">
      <c r="AD3651" s="6"/>
    </row>
    <row r="3652" spans="30:30" ht="12" x14ac:dyDescent="0.3">
      <c r="AD3652" s="6"/>
    </row>
    <row r="3653" spans="30:30" ht="12" x14ac:dyDescent="0.3">
      <c r="AD3653" s="6"/>
    </row>
    <row r="3654" spans="30:30" ht="12" x14ac:dyDescent="0.3">
      <c r="AD3654" s="6"/>
    </row>
    <row r="3655" spans="30:30" ht="12" x14ac:dyDescent="0.3">
      <c r="AD3655" s="6"/>
    </row>
    <row r="3656" spans="30:30" ht="12" x14ac:dyDescent="0.3">
      <c r="AD3656" s="6"/>
    </row>
    <row r="3657" spans="30:30" ht="12" x14ac:dyDescent="0.3">
      <c r="AD3657" s="6"/>
    </row>
    <row r="3658" spans="30:30" ht="12" x14ac:dyDescent="0.3">
      <c r="AD3658" s="6"/>
    </row>
    <row r="3659" spans="30:30" ht="12" x14ac:dyDescent="0.3">
      <c r="AD3659" s="6"/>
    </row>
    <row r="3660" spans="30:30" ht="12" x14ac:dyDescent="0.3">
      <c r="AD3660" s="6"/>
    </row>
    <row r="3661" spans="30:30" ht="12" x14ac:dyDescent="0.3">
      <c r="AD3661" s="6"/>
    </row>
    <row r="3662" spans="30:30" ht="12" x14ac:dyDescent="0.3">
      <c r="AD3662" s="6"/>
    </row>
    <row r="3663" spans="30:30" ht="12" x14ac:dyDescent="0.3">
      <c r="AD3663" s="6"/>
    </row>
    <row r="3664" spans="30:30" ht="12" x14ac:dyDescent="0.3">
      <c r="AD3664" s="6"/>
    </row>
    <row r="3665" spans="30:30" ht="12" x14ac:dyDescent="0.3">
      <c r="AD3665" s="6"/>
    </row>
    <row r="3666" spans="30:30" ht="12" x14ac:dyDescent="0.3">
      <c r="AD3666" s="6"/>
    </row>
    <row r="3667" spans="30:30" ht="12" x14ac:dyDescent="0.3">
      <c r="AD3667" s="6"/>
    </row>
    <row r="3668" spans="30:30" ht="12" x14ac:dyDescent="0.3">
      <c r="AD3668" s="6"/>
    </row>
    <row r="3669" spans="30:30" ht="12" x14ac:dyDescent="0.3">
      <c r="AD3669" s="6"/>
    </row>
    <row r="3670" spans="30:30" ht="12" x14ac:dyDescent="0.3">
      <c r="AD3670" s="6"/>
    </row>
    <row r="3671" spans="30:30" ht="12" x14ac:dyDescent="0.3">
      <c r="AD3671" s="6"/>
    </row>
    <row r="3672" spans="30:30" ht="12" x14ac:dyDescent="0.3">
      <c r="AD3672" s="6"/>
    </row>
    <row r="3673" spans="30:30" ht="12" x14ac:dyDescent="0.3">
      <c r="AD3673" s="6"/>
    </row>
    <row r="3674" spans="30:30" ht="12" x14ac:dyDescent="0.3">
      <c r="AD3674" s="6"/>
    </row>
    <row r="3675" spans="30:30" ht="12" x14ac:dyDescent="0.3">
      <c r="AD3675" s="6"/>
    </row>
    <row r="3676" spans="30:30" ht="12" x14ac:dyDescent="0.3">
      <c r="AD3676" s="6"/>
    </row>
    <row r="3677" spans="30:30" ht="12" x14ac:dyDescent="0.3">
      <c r="AD3677" s="6"/>
    </row>
    <row r="3678" spans="30:30" ht="12" x14ac:dyDescent="0.3">
      <c r="AD3678" s="6"/>
    </row>
    <row r="3679" spans="30:30" ht="12" x14ac:dyDescent="0.3">
      <c r="AD3679" s="6"/>
    </row>
    <row r="3680" spans="30:30" ht="12" x14ac:dyDescent="0.3">
      <c r="AD3680" s="6"/>
    </row>
    <row r="3681" spans="30:30" ht="12" x14ac:dyDescent="0.3">
      <c r="AD3681" s="6"/>
    </row>
    <row r="3682" spans="30:30" ht="12" x14ac:dyDescent="0.3">
      <c r="AD3682" s="6"/>
    </row>
    <row r="3683" spans="30:30" ht="12" x14ac:dyDescent="0.3">
      <c r="AD3683" s="6"/>
    </row>
    <row r="3684" spans="30:30" ht="12" x14ac:dyDescent="0.3">
      <c r="AD3684" s="6"/>
    </row>
    <row r="3685" spans="30:30" ht="12" x14ac:dyDescent="0.3">
      <c r="AD3685" s="6"/>
    </row>
    <row r="3686" spans="30:30" ht="12" x14ac:dyDescent="0.3">
      <c r="AD3686" s="6"/>
    </row>
    <row r="3687" spans="30:30" ht="12" x14ac:dyDescent="0.3">
      <c r="AD3687" s="6"/>
    </row>
    <row r="3688" spans="30:30" ht="12" x14ac:dyDescent="0.3">
      <c r="AD3688" s="6"/>
    </row>
    <row r="3689" spans="30:30" ht="12" x14ac:dyDescent="0.3">
      <c r="AD3689" s="6"/>
    </row>
    <row r="3690" spans="30:30" ht="12" x14ac:dyDescent="0.3">
      <c r="AD3690" s="6"/>
    </row>
    <row r="3691" spans="30:30" ht="12" x14ac:dyDescent="0.3">
      <c r="AD3691" s="6"/>
    </row>
    <row r="3692" spans="30:30" ht="12" x14ac:dyDescent="0.3">
      <c r="AD3692" s="6"/>
    </row>
    <row r="3693" spans="30:30" ht="12" x14ac:dyDescent="0.3">
      <c r="AD3693" s="6"/>
    </row>
    <row r="3694" spans="30:30" ht="12" x14ac:dyDescent="0.3">
      <c r="AD3694" s="6"/>
    </row>
    <row r="3695" spans="30:30" ht="12" x14ac:dyDescent="0.3">
      <c r="AD3695" s="6"/>
    </row>
    <row r="3696" spans="30:30" ht="12" x14ac:dyDescent="0.3">
      <c r="AD3696" s="6"/>
    </row>
    <row r="3697" spans="30:30" ht="12" x14ac:dyDescent="0.3">
      <c r="AD3697" s="6"/>
    </row>
    <row r="3698" spans="30:30" ht="12" x14ac:dyDescent="0.3">
      <c r="AD3698" s="6"/>
    </row>
    <row r="3699" spans="30:30" ht="12" x14ac:dyDescent="0.3">
      <c r="AD3699" s="6"/>
    </row>
    <row r="3700" spans="30:30" ht="12" x14ac:dyDescent="0.3">
      <c r="AD3700" s="6"/>
    </row>
    <row r="3701" spans="30:30" ht="12" x14ac:dyDescent="0.3">
      <c r="AD3701" s="6"/>
    </row>
    <row r="3702" spans="30:30" ht="12" x14ac:dyDescent="0.3">
      <c r="AD3702" s="6"/>
    </row>
    <row r="3703" spans="30:30" ht="12" x14ac:dyDescent="0.3">
      <c r="AD3703" s="6"/>
    </row>
    <row r="3704" spans="30:30" ht="12" x14ac:dyDescent="0.3">
      <c r="AD3704" s="6"/>
    </row>
    <row r="3705" spans="30:30" ht="12" x14ac:dyDescent="0.3">
      <c r="AD3705" s="6"/>
    </row>
    <row r="3706" spans="30:30" ht="12" x14ac:dyDescent="0.3">
      <c r="AD3706" s="6"/>
    </row>
    <row r="3707" spans="30:30" ht="12" x14ac:dyDescent="0.3">
      <c r="AD3707" s="6"/>
    </row>
    <row r="3708" spans="30:30" ht="12" x14ac:dyDescent="0.3">
      <c r="AD3708" s="6"/>
    </row>
    <row r="3709" spans="30:30" ht="12" x14ac:dyDescent="0.3">
      <c r="AD3709" s="6"/>
    </row>
    <row r="3710" spans="30:30" ht="12" x14ac:dyDescent="0.3">
      <c r="AD3710" s="6"/>
    </row>
    <row r="3711" spans="30:30" ht="12" x14ac:dyDescent="0.3">
      <c r="AD3711" s="6"/>
    </row>
    <row r="3712" spans="30:30" ht="12" x14ac:dyDescent="0.3">
      <c r="AD3712" s="6"/>
    </row>
    <row r="3713" spans="30:30" ht="12" x14ac:dyDescent="0.3">
      <c r="AD3713" s="6"/>
    </row>
    <row r="3714" spans="30:30" ht="12" x14ac:dyDescent="0.3">
      <c r="AD3714" s="6"/>
    </row>
    <row r="3715" spans="30:30" ht="12" x14ac:dyDescent="0.3">
      <c r="AD3715" s="6"/>
    </row>
    <row r="3716" spans="30:30" ht="12" x14ac:dyDescent="0.3">
      <c r="AD3716" s="6"/>
    </row>
    <row r="3717" spans="30:30" ht="12" x14ac:dyDescent="0.3">
      <c r="AD3717" s="6"/>
    </row>
    <row r="3718" spans="30:30" ht="12" x14ac:dyDescent="0.3">
      <c r="AD3718" s="6"/>
    </row>
    <row r="3719" spans="30:30" ht="12" x14ac:dyDescent="0.3">
      <c r="AD3719" s="6"/>
    </row>
    <row r="3720" spans="30:30" ht="12" x14ac:dyDescent="0.3">
      <c r="AD3720" s="6"/>
    </row>
    <row r="3721" spans="30:30" ht="12" x14ac:dyDescent="0.3">
      <c r="AD3721" s="6"/>
    </row>
    <row r="3722" spans="30:30" ht="12" x14ac:dyDescent="0.3">
      <c r="AD3722" s="6"/>
    </row>
    <row r="3723" spans="30:30" ht="12" x14ac:dyDescent="0.3">
      <c r="AD3723" s="6"/>
    </row>
    <row r="3724" spans="30:30" ht="12" x14ac:dyDescent="0.3">
      <c r="AD3724" s="6"/>
    </row>
    <row r="3725" spans="30:30" ht="12" x14ac:dyDescent="0.3">
      <c r="AD3725" s="6"/>
    </row>
    <row r="3726" spans="30:30" ht="12" x14ac:dyDescent="0.3">
      <c r="AD3726" s="6"/>
    </row>
    <row r="3727" spans="30:30" ht="12" x14ac:dyDescent="0.3">
      <c r="AD3727" s="6"/>
    </row>
    <row r="3728" spans="30:30" ht="12" x14ac:dyDescent="0.3">
      <c r="AD3728" s="6"/>
    </row>
    <row r="3729" spans="30:30" ht="12" x14ac:dyDescent="0.3">
      <c r="AD3729" s="6"/>
    </row>
    <row r="3730" spans="30:30" ht="12" x14ac:dyDescent="0.3">
      <c r="AD3730" s="6"/>
    </row>
    <row r="3731" spans="30:30" ht="12" x14ac:dyDescent="0.3">
      <c r="AD3731" s="6"/>
    </row>
    <row r="3732" spans="30:30" ht="12" x14ac:dyDescent="0.3">
      <c r="AD3732" s="6"/>
    </row>
    <row r="3733" spans="30:30" ht="12" x14ac:dyDescent="0.3">
      <c r="AD3733" s="6"/>
    </row>
    <row r="3734" spans="30:30" ht="12" x14ac:dyDescent="0.3">
      <c r="AD3734" s="6"/>
    </row>
    <row r="3735" spans="30:30" ht="12" x14ac:dyDescent="0.3">
      <c r="AD3735" s="6"/>
    </row>
    <row r="3736" spans="30:30" ht="12" x14ac:dyDescent="0.3">
      <c r="AD3736" s="6"/>
    </row>
    <row r="3737" spans="30:30" ht="12" x14ac:dyDescent="0.3">
      <c r="AD3737" s="6"/>
    </row>
    <row r="3738" spans="30:30" ht="12" x14ac:dyDescent="0.3">
      <c r="AD3738" s="6"/>
    </row>
    <row r="3739" spans="30:30" ht="12" x14ac:dyDescent="0.3">
      <c r="AD3739" s="6"/>
    </row>
    <row r="3740" spans="30:30" ht="12" x14ac:dyDescent="0.3">
      <c r="AD3740" s="6"/>
    </row>
    <row r="3741" spans="30:30" ht="12" x14ac:dyDescent="0.3">
      <c r="AD3741" s="6"/>
    </row>
    <row r="3742" spans="30:30" ht="12" x14ac:dyDescent="0.3">
      <c r="AD3742" s="6"/>
    </row>
    <row r="3743" spans="30:30" ht="12" x14ac:dyDescent="0.3">
      <c r="AD3743" s="6"/>
    </row>
    <row r="3744" spans="30:30" ht="12" x14ac:dyDescent="0.3">
      <c r="AD3744" s="6"/>
    </row>
    <row r="3745" spans="30:30" ht="12" x14ac:dyDescent="0.3">
      <c r="AD3745" s="6"/>
    </row>
    <row r="3746" spans="30:30" ht="12" x14ac:dyDescent="0.3">
      <c r="AD3746" s="6"/>
    </row>
    <row r="3747" spans="30:30" ht="12" x14ac:dyDescent="0.3">
      <c r="AD3747" s="6"/>
    </row>
    <row r="3748" spans="30:30" ht="12" x14ac:dyDescent="0.3">
      <c r="AD3748" s="6"/>
    </row>
    <row r="3749" spans="30:30" ht="12" x14ac:dyDescent="0.3">
      <c r="AD3749" s="6"/>
    </row>
    <row r="3750" spans="30:30" ht="12" x14ac:dyDescent="0.3">
      <c r="AD3750" s="6"/>
    </row>
    <row r="3751" spans="30:30" ht="12" x14ac:dyDescent="0.3">
      <c r="AD3751" s="6"/>
    </row>
    <row r="3752" spans="30:30" ht="12" x14ac:dyDescent="0.3">
      <c r="AD3752" s="6"/>
    </row>
    <row r="3753" spans="30:30" ht="12" x14ac:dyDescent="0.3">
      <c r="AD3753" s="6"/>
    </row>
    <row r="3754" spans="30:30" ht="12" x14ac:dyDescent="0.3">
      <c r="AD3754" s="6"/>
    </row>
    <row r="3755" spans="30:30" ht="12" x14ac:dyDescent="0.3">
      <c r="AD3755" s="6"/>
    </row>
    <row r="3756" spans="30:30" ht="12" x14ac:dyDescent="0.3">
      <c r="AD3756" s="6"/>
    </row>
    <row r="3757" spans="30:30" ht="12" x14ac:dyDescent="0.3">
      <c r="AD3757" s="6"/>
    </row>
    <row r="3758" spans="30:30" ht="12" x14ac:dyDescent="0.3">
      <c r="AD3758" s="6"/>
    </row>
    <row r="3759" spans="30:30" ht="12" x14ac:dyDescent="0.3">
      <c r="AD3759" s="6"/>
    </row>
    <row r="3760" spans="30:30" ht="12" x14ac:dyDescent="0.3">
      <c r="AD3760" s="6"/>
    </row>
    <row r="3761" spans="30:30" ht="12" x14ac:dyDescent="0.3">
      <c r="AD3761" s="6"/>
    </row>
    <row r="3762" spans="30:30" ht="12" x14ac:dyDescent="0.3">
      <c r="AD3762" s="6"/>
    </row>
    <row r="3763" spans="30:30" ht="12" x14ac:dyDescent="0.3">
      <c r="AD3763" s="6"/>
    </row>
    <row r="3764" spans="30:30" ht="12" x14ac:dyDescent="0.3">
      <c r="AD3764" s="6"/>
    </row>
    <row r="3765" spans="30:30" ht="12" x14ac:dyDescent="0.3">
      <c r="AD3765" s="6"/>
    </row>
    <row r="3766" spans="30:30" ht="12" x14ac:dyDescent="0.3">
      <c r="AD3766" s="6"/>
    </row>
    <row r="3767" spans="30:30" ht="12" x14ac:dyDescent="0.3">
      <c r="AD3767" s="6"/>
    </row>
    <row r="3768" spans="30:30" ht="12" x14ac:dyDescent="0.3">
      <c r="AD3768" s="6"/>
    </row>
    <row r="3769" spans="30:30" ht="12" x14ac:dyDescent="0.3">
      <c r="AD3769" s="6"/>
    </row>
    <row r="3770" spans="30:30" ht="12" x14ac:dyDescent="0.3">
      <c r="AD3770" s="6"/>
    </row>
    <row r="3771" spans="30:30" ht="12" x14ac:dyDescent="0.3">
      <c r="AD3771" s="6"/>
    </row>
    <row r="3772" spans="30:30" ht="12" x14ac:dyDescent="0.3">
      <c r="AD3772" s="6"/>
    </row>
    <row r="3773" spans="30:30" ht="12" x14ac:dyDescent="0.3">
      <c r="AD3773" s="6"/>
    </row>
    <row r="3774" spans="30:30" ht="12" x14ac:dyDescent="0.3">
      <c r="AD3774" s="6"/>
    </row>
    <row r="3775" spans="30:30" ht="12" x14ac:dyDescent="0.3">
      <c r="AD3775" s="6"/>
    </row>
    <row r="3776" spans="30:30" ht="12" x14ac:dyDescent="0.3">
      <c r="AD3776" s="6"/>
    </row>
    <row r="3777" spans="30:30" ht="12" x14ac:dyDescent="0.3">
      <c r="AD3777" s="6"/>
    </row>
    <row r="3778" spans="30:30" ht="12" x14ac:dyDescent="0.3">
      <c r="AD3778" s="6"/>
    </row>
    <row r="3779" spans="30:30" ht="12" x14ac:dyDescent="0.3">
      <c r="AD3779" s="6"/>
    </row>
    <row r="3780" spans="30:30" ht="12" x14ac:dyDescent="0.3">
      <c r="AD3780" s="6"/>
    </row>
    <row r="3781" spans="30:30" ht="12" x14ac:dyDescent="0.3">
      <c r="AD3781" s="6"/>
    </row>
    <row r="3782" spans="30:30" ht="12" x14ac:dyDescent="0.3">
      <c r="AD3782" s="6"/>
    </row>
    <row r="3783" spans="30:30" ht="12" x14ac:dyDescent="0.3">
      <c r="AD3783" s="6"/>
    </row>
    <row r="3784" spans="30:30" ht="12" x14ac:dyDescent="0.3">
      <c r="AD3784" s="6"/>
    </row>
    <row r="3785" spans="30:30" ht="12" x14ac:dyDescent="0.3">
      <c r="AD3785" s="6"/>
    </row>
    <row r="3786" spans="30:30" ht="12" x14ac:dyDescent="0.3">
      <c r="AD3786" s="6"/>
    </row>
    <row r="3787" spans="30:30" ht="12" x14ac:dyDescent="0.3">
      <c r="AD3787" s="6"/>
    </row>
    <row r="3788" spans="30:30" ht="12" x14ac:dyDescent="0.3">
      <c r="AD3788" s="6"/>
    </row>
    <row r="3789" spans="30:30" ht="12" x14ac:dyDescent="0.3">
      <c r="AD3789" s="6"/>
    </row>
    <row r="3790" spans="30:30" ht="12" x14ac:dyDescent="0.3">
      <c r="AD3790" s="6"/>
    </row>
    <row r="3791" spans="30:30" ht="12" x14ac:dyDescent="0.3">
      <c r="AD3791" s="6"/>
    </row>
    <row r="3792" spans="30:30" ht="12" x14ac:dyDescent="0.3">
      <c r="AD3792" s="6"/>
    </row>
    <row r="3793" spans="30:30" ht="12" x14ac:dyDescent="0.3">
      <c r="AD3793" s="6"/>
    </row>
    <row r="3794" spans="30:30" ht="12" x14ac:dyDescent="0.3">
      <c r="AD3794" s="6"/>
    </row>
    <row r="3795" spans="30:30" ht="12" x14ac:dyDescent="0.3">
      <c r="AD3795" s="6"/>
    </row>
    <row r="3796" spans="30:30" ht="12" x14ac:dyDescent="0.3">
      <c r="AD3796" s="6"/>
    </row>
    <row r="3797" spans="30:30" ht="12" x14ac:dyDescent="0.3">
      <c r="AD3797" s="6"/>
    </row>
    <row r="3798" spans="30:30" ht="12" x14ac:dyDescent="0.3">
      <c r="AD3798" s="6"/>
    </row>
    <row r="3799" spans="30:30" ht="12" x14ac:dyDescent="0.3">
      <c r="AD3799" s="6"/>
    </row>
    <row r="3800" spans="30:30" ht="12" x14ac:dyDescent="0.3">
      <c r="AD3800" s="6"/>
    </row>
    <row r="3801" spans="30:30" ht="12" x14ac:dyDescent="0.3">
      <c r="AD3801" s="6"/>
    </row>
    <row r="3802" spans="30:30" ht="12" x14ac:dyDescent="0.3">
      <c r="AD3802" s="6"/>
    </row>
    <row r="3803" spans="30:30" ht="12" x14ac:dyDescent="0.3">
      <c r="AD3803" s="6"/>
    </row>
    <row r="3804" spans="30:30" ht="12" x14ac:dyDescent="0.3">
      <c r="AD3804" s="6"/>
    </row>
    <row r="3805" spans="30:30" ht="12" x14ac:dyDescent="0.3">
      <c r="AD3805" s="6"/>
    </row>
    <row r="3806" spans="30:30" ht="12" x14ac:dyDescent="0.3">
      <c r="AD3806" s="6"/>
    </row>
    <row r="3807" spans="30:30" ht="12" x14ac:dyDescent="0.3">
      <c r="AD3807" s="6"/>
    </row>
    <row r="3808" spans="30:30" ht="12" x14ac:dyDescent="0.3">
      <c r="AD3808" s="6"/>
    </row>
    <row r="3809" spans="30:30" ht="12" x14ac:dyDescent="0.3">
      <c r="AD3809" s="6"/>
    </row>
    <row r="3810" spans="30:30" ht="12" x14ac:dyDescent="0.3">
      <c r="AD3810" s="6"/>
    </row>
    <row r="3811" spans="30:30" ht="12" x14ac:dyDescent="0.3">
      <c r="AD3811" s="6"/>
    </row>
    <row r="3812" spans="30:30" ht="12" x14ac:dyDescent="0.3">
      <c r="AD3812" s="6"/>
    </row>
    <row r="3813" spans="30:30" ht="12" x14ac:dyDescent="0.3">
      <c r="AD3813" s="6"/>
    </row>
    <row r="3814" spans="30:30" ht="12" x14ac:dyDescent="0.3">
      <c r="AD3814" s="6"/>
    </row>
    <row r="3815" spans="30:30" ht="12" x14ac:dyDescent="0.3">
      <c r="AD3815" s="6"/>
    </row>
    <row r="3816" spans="30:30" ht="12" x14ac:dyDescent="0.3">
      <c r="AD3816" s="6"/>
    </row>
    <row r="3817" spans="30:30" ht="12" x14ac:dyDescent="0.3">
      <c r="AD3817" s="6"/>
    </row>
    <row r="3818" spans="30:30" ht="12" x14ac:dyDescent="0.3">
      <c r="AD3818" s="6"/>
    </row>
    <row r="3819" spans="30:30" ht="12" x14ac:dyDescent="0.3">
      <c r="AD3819" s="6"/>
    </row>
    <row r="3820" spans="30:30" ht="12" x14ac:dyDescent="0.3">
      <c r="AD3820" s="6"/>
    </row>
    <row r="3821" spans="30:30" ht="12" x14ac:dyDescent="0.3">
      <c r="AD3821" s="6"/>
    </row>
    <row r="3822" spans="30:30" ht="12" x14ac:dyDescent="0.3">
      <c r="AD3822" s="6"/>
    </row>
    <row r="3823" spans="30:30" ht="12" x14ac:dyDescent="0.3">
      <c r="AD3823" s="6"/>
    </row>
    <row r="3824" spans="30:30" ht="12" x14ac:dyDescent="0.3">
      <c r="AD3824" s="6"/>
    </row>
    <row r="3825" spans="30:30" ht="12" x14ac:dyDescent="0.3">
      <c r="AD3825" s="6"/>
    </row>
    <row r="3826" spans="30:30" ht="12" x14ac:dyDescent="0.3">
      <c r="AD3826" s="6"/>
    </row>
    <row r="3827" spans="30:30" ht="12" x14ac:dyDescent="0.3">
      <c r="AD3827" s="6"/>
    </row>
    <row r="3828" spans="30:30" ht="12" x14ac:dyDescent="0.3">
      <c r="AD3828" s="6"/>
    </row>
    <row r="3829" spans="30:30" ht="12" x14ac:dyDescent="0.3">
      <c r="AD3829" s="6"/>
    </row>
    <row r="3830" spans="30:30" ht="12" x14ac:dyDescent="0.3">
      <c r="AD3830" s="6"/>
    </row>
    <row r="3831" spans="30:30" ht="12" x14ac:dyDescent="0.3">
      <c r="AD3831" s="6"/>
    </row>
    <row r="3832" spans="30:30" ht="12" x14ac:dyDescent="0.3">
      <c r="AD3832" s="6"/>
    </row>
    <row r="3833" spans="30:30" ht="12" x14ac:dyDescent="0.3">
      <c r="AD3833" s="6"/>
    </row>
    <row r="3834" spans="30:30" ht="12" x14ac:dyDescent="0.3">
      <c r="AD3834" s="6"/>
    </row>
    <row r="3835" spans="30:30" ht="12" x14ac:dyDescent="0.3">
      <c r="AD3835" s="6"/>
    </row>
    <row r="3836" spans="30:30" ht="12" x14ac:dyDescent="0.3">
      <c r="AD3836" s="6"/>
    </row>
    <row r="3837" spans="30:30" ht="12" x14ac:dyDescent="0.3">
      <c r="AD3837" s="6"/>
    </row>
    <row r="3838" spans="30:30" ht="12" x14ac:dyDescent="0.3">
      <c r="AD3838" s="6"/>
    </row>
    <row r="3839" spans="30:30" ht="12" x14ac:dyDescent="0.3">
      <c r="AD3839" s="6"/>
    </row>
    <row r="3840" spans="30:30" ht="12" x14ac:dyDescent="0.3">
      <c r="AD3840" s="6"/>
    </row>
    <row r="3841" spans="30:30" ht="12" x14ac:dyDescent="0.3">
      <c r="AD3841" s="6"/>
    </row>
    <row r="3842" spans="30:30" ht="12" x14ac:dyDescent="0.3">
      <c r="AD3842" s="6"/>
    </row>
    <row r="3843" spans="30:30" ht="12" x14ac:dyDescent="0.3">
      <c r="AD3843" s="6"/>
    </row>
    <row r="3844" spans="30:30" ht="12" x14ac:dyDescent="0.3">
      <c r="AD3844" s="6"/>
    </row>
    <row r="3845" spans="30:30" ht="12" x14ac:dyDescent="0.3">
      <c r="AD3845" s="6"/>
    </row>
    <row r="3846" spans="30:30" ht="12" x14ac:dyDescent="0.3">
      <c r="AD3846" s="6"/>
    </row>
    <row r="3847" spans="30:30" ht="12" x14ac:dyDescent="0.3">
      <c r="AD3847" s="6"/>
    </row>
    <row r="3848" spans="30:30" ht="12" x14ac:dyDescent="0.3">
      <c r="AD3848" s="6"/>
    </row>
    <row r="3849" spans="30:30" ht="12" x14ac:dyDescent="0.3">
      <c r="AD3849" s="6"/>
    </row>
    <row r="3850" spans="30:30" ht="12" x14ac:dyDescent="0.3">
      <c r="AD3850" s="6"/>
    </row>
    <row r="3851" spans="30:30" ht="12" x14ac:dyDescent="0.3">
      <c r="AD3851" s="6"/>
    </row>
    <row r="3852" spans="30:30" ht="12" x14ac:dyDescent="0.3">
      <c r="AD3852" s="6"/>
    </row>
    <row r="3853" spans="30:30" ht="12" x14ac:dyDescent="0.3">
      <c r="AD3853" s="6"/>
    </row>
    <row r="3854" spans="30:30" ht="12" x14ac:dyDescent="0.3">
      <c r="AD3854" s="6"/>
    </row>
    <row r="3855" spans="30:30" ht="12" x14ac:dyDescent="0.3">
      <c r="AD3855" s="6"/>
    </row>
    <row r="3856" spans="30:30" ht="12" x14ac:dyDescent="0.3">
      <c r="AD3856" s="6"/>
    </row>
    <row r="3857" spans="30:30" ht="12" x14ac:dyDescent="0.3">
      <c r="AD3857" s="6"/>
    </row>
    <row r="3858" spans="30:30" ht="12" x14ac:dyDescent="0.3">
      <c r="AD3858" s="6"/>
    </row>
    <row r="3859" spans="30:30" ht="12" x14ac:dyDescent="0.3">
      <c r="AD3859" s="6"/>
    </row>
    <row r="3860" spans="30:30" ht="12" x14ac:dyDescent="0.3">
      <c r="AD3860" s="6"/>
    </row>
    <row r="3861" spans="30:30" ht="12" x14ac:dyDescent="0.3">
      <c r="AD3861" s="6"/>
    </row>
    <row r="3862" spans="30:30" ht="12" x14ac:dyDescent="0.3">
      <c r="AD3862" s="6"/>
    </row>
    <row r="3863" spans="30:30" ht="12" x14ac:dyDescent="0.3">
      <c r="AD3863" s="6"/>
    </row>
    <row r="3864" spans="30:30" ht="12" x14ac:dyDescent="0.3">
      <c r="AD3864" s="6"/>
    </row>
    <row r="3865" spans="30:30" ht="12" x14ac:dyDescent="0.3">
      <c r="AD3865" s="6"/>
    </row>
    <row r="3866" spans="30:30" ht="12" x14ac:dyDescent="0.3">
      <c r="AD3866" s="6"/>
    </row>
    <row r="3867" spans="30:30" ht="12" x14ac:dyDescent="0.3">
      <c r="AD3867" s="6"/>
    </row>
    <row r="3868" spans="30:30" ht="12" x14ac:dyDescent="0.3">
      <c r="AD3868" s="6"/>
    </row>
    <row r="3869" spans="30:30" ht="12" x14ac:dyDescent="0.3">
      <c r="AD3869" s="6"/>
    </row>
    <row r="3870" spans="30:30" ht="12" x14ac:dyDescent="0.3">
      <c r="AD3870" s="6"/>
    </row>
    <row r="3871" spans="30:30" ht="12" x14ac:dyDescent="0.3">
      <c r="AD3871" s="6"/>
    </row>
    <row r="3872" spans="30:30" ht="12" x14ac:dyDescent="0.3">
      <c r="AD3872" s="6"/>
    </row>
    <row r="3873" spans="30:30" ht="12" x14ac:dyDescent="0.3">
      <c r="AD3873" s="6"/>
    </row>
    <row r="3874" spans="30:30" ht="12" x14ac:dyDescent="0.3">
      <c r="AD3874" s="6"/>
    </row>
    <row r="3875" spans="30:30" ht="12" x14ac:dyDescent="0.3">
      <c r="AD3875" s="6"/>
    </row>
    <row r="3876" spans="30:30" ht="12" x14ac:dyDescent="0.3">
      <c r="AD3876" s="6"/>
    </row>
    <row r="3877" spans="30:30" ht="12" x14ac:dyDescent="0.3">
      <c r="AD3877" s="6"/>
    </row>
    <row r="3878" spans="30:30" ht="12" x14ac:dyDescent="0.3">
      <c r="AD3878" s="6"/>
    </row>
    <row r="3879" spans="30:30" ht="12" x14ac:dyDescent="0.3">
      <c r="AD3879" s="6"/>
    </row>
    <row r="3880" spans="30:30" ht="12" x14ac:dyDescent="0.3">
      <c r="AD3880" s="6"/>
    </row>
    <row r="3881" spans="30:30" ht="12" x14ac:dyDescent="0.3">
      <c r="AD3881" s="6"/>
    </row>
    <row r="3882" spans="30:30" ht="12" x14ac:dyDescent="0.3">
      <c r="AD3882" s="6"/>
    </row>
    <row r="3883" spans="30:30" ht="12" x14ac:dyDescent="0.3">
      <c r="AD3883" s="6"/>
    </row>
    <row r="3884" spans="30:30" ht="12" x14ac:dyDescent="0.3">
      <c r="AD3884" s="6"/>
    </row>
    <row r="3885" spans="30:30" ht="12" x14ac:dyDescent="0.3">
      <c r="AD3885" s="6"/>
    </row>
    <row r="3886" spans="30:30" ht="12" x14ac:dyDescent="0.3">
      <c r="AD3886" s="6"/>
    </row>
    <row r="3887" spans="30:30" ht="12" x14ac:dyDescent="0.3">
      <c r="AD3887" s="6"/>
    </row>
    <row r="3888" spans="30:30" ht="12" x14ac:dyDescent="0.3">
      <c r="AD3888" s="6"/>
    </row>
    <row r="3889" spans="30:30" ht="12" x14ac:dyDescent="0.3">
      <c r="AD3889" s="6"/>
    </row>
    <row r="3890" spans="30:30" ht="12" x14ac:dyDescent="0.3">
      <c r="AD3890" s="6"/>
    </row>
    <row r="3891" spans="30:30" ht="12" x14ac:dyDescent="0.3">
      <c r="AD3891" s="6"/>
    </row>
    <row r="3892" spans="30:30" ht="12" x14ac:dyDescent="0.3">
      <c r="AD3892" s="6"/>
    </row>
    <row r="3893" spans="30:30" ht="12" x14ac:dyDescent="0.3">
      <c r="AD3893" s="6"/>
    </row>
    <row r="3894" spans="30:30" ht="12" x14ac:dyDescent="0.3">
      <c r="AD3894" s="6"/>
    </row>
    <row r="3895" spans="30:30" ht="12" x14ac:dyDescent="0.3">
      <c r="AD3895" s="6"/>
    </row>
    <row r="3896" spans="30:30" ht="12" x14ac:dyDescent="0.3">
      <c r="AD3896" s="6"/>
    </row>
    <row r="3897" spans="30:30" ht="12" x14ac:dyDescent="0.3">
      <c r="AD3897" s="6"/>
    </row>
    <row r="3898" spans="30:30" ht="12" x14ac:dyDescent="0.3">
      <c r="AD3898" s="6"/>
    </row>
    <row r="3899" spans="30:30" ht="12" x14ac:dyDescent="0.3">
      <c r="AD3899" s="6"/>
    </row>
    <row r="3900" spans="30:30" ht="12" x14ac:dyDescent="0.3">
      <c r="AD3900" s="6"/>
    </row>
    <row r="3901" spans="30:30" ht="12" x14ac:dyDescent="0.3">
      <c r="AD3901" s="6"/>
    </row>
    <row r="3902" spans="30:30" ht="12" x14ac:dyDescent="0.3">
      <c r="AD3902" s="6"/>
    </row>
    <row r="3903" spans="30:30" ht="12" x14ac:dyDescent="0.3">
      <c r="AD3903" s="6"/>
    </row>
    <row r="3904" spans="30:30" ht="12" x14ac:dyDescent="0.3">
      <c r="AD3904" s="6"/>
    </row>
    <row r="3905" spans="30:30" ht="12" x14ac:dyDescent="0.3">
      <c r="AD3905" s="6"/>
    </row>
    <row r="3906" spans="30:30" ht="12" x14ac:dyDescent="0.3">
      <c r="AD3906" s="6"/>
    </row>
    <row r="3907" spans="30:30" ht="12" x14ac:dyDescent="0.3">
      <c r="AD3907" s="6"/>
    </row>
    <row r="3908" spans="30:30" ht="12" x14ac:dyDescent="0.3">
      <c r="AD3908" s="6"/>
    </row>
    <row r="3909" spans="30:30" ht="12" x14ac:dyDescent="0.3">
      <c r="AD3909" s="6"/>
    </row>
    <row r="3910" spans="30:30" ht="12" x14ac:dyDescent="0.3">
      <c r="AD3910" s="6"/>
    </row>
    <row r="3911" spans="30:30" ht="12" x14ac:dyDescent="0.3">
      <c r="AD3911" s="6"/>
    </row>
    <row r="3912" spans="30:30" ht="12" x14ac:dyDescent="0.3">
      <c r="AD3912" s="6"/>
    </row>
    <row r="3913" spans="30:30" ht="12" x14ac:dyDescent="0.3">
      <c r="AD3913" s="6"/>
    </row>
    <row r="3914" spans="30:30" ht="12" x14ac:dyDescent="0.3">
      <c r="AD3914" s="6"/>
    </row>
    <row r="3915" spans="30:30" ht="12" x14ac:dyDescent="0.3">
      <c r="AD3915" s="6"/>
    </row>
    <row r="3916" spans="30:30" ht="12" x14ac:dyDescent="0.3">
      <c r="AD3916" s="6"/>
    </row>
    <row r="3917" spans="30:30" ht="12" x14ac:dyDescent="0.3">
      <c r="AD3917" s="6"/>
    </row>
    <row r="3918" spans="30:30" ht="12" x14ac:dyDescent="0.3">
      <c r="AD3918" s="6"/>
    </row>
    <row r="3919" spans="30:30" ht="12" x14ac:dyDescent="0.3">
      <c r="AD3919" s="6"/>
    </row>
    <row r="3920" spans="30:30" ht="12" x14ac:dyDescent="0.3">
      <c r="AD3920" s="6"/>
    </row>
    <row r="3921" spans="30:30" ht="12" x14ac:dyDescent="0.3">
      <c r="AD3921" s="6"/>
    </row>
    <row r="3922" spans="30:30" ht="12" x14ac:dyDescent="0.3">
      <c r="AD3922" s="6"/>
    </row>
    <row r="3923" spans="30:30" ht="12" x14ac:dyDescent="0.3">
      <c r="AD3923" s="6"/>
    </row>
    <row r="3924" spans="30:30" ht="12" x14ac:dyDescent="0.3">
      <c r="AD3924" s="6"/>
    </row>
    <row r="3925" spans="30:30" ht="12" x14ac:dyDescent="0.3">
      <c r="AD3925" s="6"/>
    </row>
    <row r="3926" spans="30:30" ht="12" x14ac:dyDescent="0.3">
      <c r="AD3926" s="6"/>
    </row>
    <row r="3927" spans="30:30" ht="12" x14ac:dyDescent="0.3">
      <c r="AD3927" s="6"/>
    </row>
    <row r="3928" spans="30:30" ht="12" x14ac:dyDescent="0.3">
      <c r="AD3928" s="6"/>
    </row>
    <row r="3929" spans="30:30" ht="12" x14ac:dyDescent="0.3">
      <c r="AD3929" s="6"/>
    </row>
    <row r="3930" spans="30:30" ht="12" x14ac:dyDescent="0.3">
      <c r="AD3930" s="6"/>
    </row>
    <row r="3931" spans="30:30" ht="12" x14ac:dyDescent="0.3">
      <c r="AD3931" s="6"/>
    </row>
    <row r="3932" spans="30:30" ht="12" x14ac:dyDescent="0.3">
      <c r="AD3932" s="6"/>
    </row>
    <row r="3933" spans="30:30" ht="12" x14ac:dyDescent="0.3">
      <c r="AD3933" s="6"/>
    </row>
    <row r="3934" spans="30:30" ht="12" x14ac:dyDescent="0.3">
      <c r="AD3934" s="6"/>
    </row>
    <row r="3935" spans="30:30" ht="12" x14ac:dyDescent="0.3">
      <c r="AD3935" s="6"/>
    </row>
    <row r="3936" spans="30:30" ht="12" x14ac:dyDescent="0.3">
      <c r="AD3936" s="6"/>
    </row>
    <row r="3937" spans="30:30" ht="12" x14ac:dyDescent="0.3">
      <c r="AD3937" s="6"/>
    </row>
    <row r="3938" spans="30:30" ht="12" x14ac:dyDescent="0.3">
      <c r="AD3938" s="6"/>
    </row>
    <row r="3939" spans="30:30" ht="12" x14ac:dyDescent="0.3">
      <c r="AD3939" s="6"/>
    </row>
    <row r="3940" spans="30:30" ht="12" x14ac:dyDescent="0.3">
      <c r="AD3940" s="6"/>
    </row>
    <row r="3941" spans="30:30" ht="12" x14ac:dyDescent="0.3">
      <c r="AD3941" s="6"/>
    </row>
    <row r="3942" spans="30:30" ht="12" x14ac:dyDescent="0.3">
      <c r="AD3942" s="6"/>
    </row>
    <row r="3943" spans="30:30" ht="12" x14ac:dyDescent="0.3">
      <c r="AD3943" s="6"/>
    </row>
    <row r="3944" spans="30:30" ht="12" x14ac:dyDescent="0.3">
      <c r="AD3944" s="6"/>
    </row>
    <row r="3945" spans="30:30" ht="12" x14ac:dyDescent="0.3">
      <c r="AD3945" s="6"/>
    </row>
    <row r="3946" spans="30:30" ht="12" x14ac:dyDescent="0.3">
      <c r="AD3946" s="6"/>
    </row>
    <row r="3947" spans="30:30" ht="12" x14ac:dyDescent="0.3">
      <c r="AD3947" s="6"/>
    </row>
    <row r="3948" spans="30:30" ht="12" x14ac:dyDescent="0.3">
      <c r="AD3948" s="6"/>
    </row>
    <row r="3949" spans="30:30" ht="12" x14ac:dyDescent="0.3">
      <c r="AD3949" s="6"/>
    </row>
    <row r="3950" spans="30:30" ht="12" x14ac:dyDescent="0.3">
      <c r="AD3950" s="6"/>
    </row>
    <row r="3951" spans="30:30" ht="12" x14ac:dyDescent="0.3">
      <c r="AD3951" s="6"/>
    </row>
    <row r="3952" spans="30:30" ht="12" x14ac:dyDescent="0.3">
      <c r="AD3952" s="6"/>
    </row>
    <row r="3953" spans="30:30" ht="12" x14ac:dyDescent="0.3">
      <c r="AD3953" s="6"/>
    </row>
    <row r="3954" spans="30:30" ht="12" x14ac:dyDescent="0.3">
      <c r="AD3954" s="6"/>
    </row>
    <row r="3955" spans="30:30" ht="12" x14ac:dyDescent="0.3">
      <c r="AD3955" s="6"/>
    </row>
    <row r="3956" spans="30:30" ht="12" x14ac:dyDescent="0.3">
      <c r="AD3956" s="6"/>
    </row>
    <row r="3957" spans="30:30" ht="12" x14ac:dyDescent="0.3">
      <c r="AD3957" s="6"/>
    </row>
    <row r="3958" spans="30:30" ht="12" x14ac:dyDescent="0.3">
      <c r="AD3958" s="6"/>
    </row>
    <row r="3959" spans="30:30" ht="12" x14ac:dyDescent="0.3">
      <c r="AD3959" s="6"/>
    </row>
    <row r="3960" spans="30:30" ht="12" x14ac:dyDescent="0.3">
      <c r="AD3960" s="6"/>
    </row>
    <row r="3961" spans="30:30" ht="12" x14ac:dyDescent="0.3">
      <c r="AD3961" s="6"/>
    </row>
    <row r="3962" spans="30:30" ht="12" x14ac:dyDescent="0.3">
      <c r="AD3962" s="6"/>
    </row>
    <row r="3963" spans="30:30" ht="12" x14ac:dyDescent="0.3">
      <c r="AD3963" s="6"/>
    </row>
    <row r="3964" spans="30:30" ht="12" x14ac:dyDescent="0.3">
      <c r="AD3964" s="6"/>
    </row>
    <row r="3965" spans="30:30" ht="12" x14ac:dyDescent="0.3">
      <c r="AD3965" s="6"/>
    </row>
    <row r="3966" spans="30:30" ht="12" x14ac:dyDescent="0.3">
      <c r="AD3966" s="6"/>
    </row>
    <row r="3967" spans="30:30" ht="12" x14ac:dyDescent="0.3">
      <c r="AD3967" s="6"/>
    </row>
    <row r="3968" spans="30:30" ht="12" x14ac:dyDescent="0.3">
      <c r="AD3968" s="6"/>
    </row>
    <row r="3969" spans="30:30" ht="12" x14ac:dyDescent="0.3">
      <c r="AD3969" s="6"/>
    </row>
    <row r="3970" spans="30:30" ht="12" x14ac:dyDescent="0.3">
      <c r="AD3970" s="6"/>
    </row>
    <row r="3971" spans="30:30" ht="12" x14ac:dyDescent="0.3">
      <c r="AD3971" s="6"/>
    </row>
    <row r="3972" spans="30:30" ht="12" x14ac:dyDescent="0.3">
      <c r="AD3972" s="6"/>
    </row>
    <row r="3973" spans="30:30" ht="12" x14ac:dyDescent="0.3">
      <c r="AD3973" s="6"/>
    </row>
    <row r="3974" spans="30:30" ht="12" x14ac:dyDescent="0.3">
      <c r="AD3974" s="6"/>
    </row>
    <row r="3975" spans="30:30" ht="12" x14ac:dyDescent="0.3">
      <c r="AD3975" s="6"/>
    </row>
    <row r="3976" spans="30:30" ht="12" x14ac:dyDescent="0.3">
      <c r="AD3976" s="6"/>
    </row>
    <row r="3977" spans="30:30" ht="12" x14ac:dyDescent="0.3">
      <c r="AD3977" s="6"/>
    </row>
    <row r="3978" spans="30:30" ht="12" x14ac:dyDescent="0.3">
      <c r="AD3978" s="6"/>
    </row>
    <row r="3979" spans="30:30" ht="12" x14ac:dyDescent="0.3">
      <c r="AD3979" s="6"/>
    </row>
    <row r="3980" spans="30:30" ht="12" x14ac:dyDescent="0.3">
      <c r="AD3980" s="6"/>
    </row>
    <row r="3981" spans="30:30" ht="12" x14ac:dyDescent="0.3">
      <c r="AD3981" s="6"/>
    </row>
    <row r="3982" spans="30:30" ht="12" x14ac:dyDescent="0.3">
      <c r="AD3982" s="6"/>
    </row>
    <row r="3983" spans="30:30" ht="12" x14ac:dyDescent="0.3">
      <c r="AD3983" s="6"/>
    </row>
    <row r="3984" spans="30:30" ht="12" x14ac:dyDescent="0.3">
      <c r="AD3984" s="6"/>
    </row>
    <row r="3985" spans="30:30" ht="12" x14ac:dyDescent="0.3">
      <c r="AD3985" s="6"/>
    </row>
    <row r="3986" spans="30:30" ht="12" x14ac:dyDescent="0.3">
      <c r="AD3986" s="6"/>
    </row>
    <row r="3987" spans="30:30" ht="12" x14ac:dyDescent="0.3">
      <c r="AD3987" s="6"/>
    </row>
    <row r="3988" spans="30:30" ht="12" x14ac:dyDescent="0.3">
      <c r="AD3988" s="6"/>
    </row>
    <row r="3989" spans="30:30" ht="12" x14ac:dyDescent="0.3">
      <c r="AD3989" s="6"/>
    </row>
    <row r="3990" spans="30:30" ht="12" x14ac:dyDescent="0.3">
      <c r="AD3990" s="6"/>
    </row>
    <row r="3991" spans="30:30" ht="12" x14ac:dyDescent="0.3">
      <c r="AD3991" s="6"/>
    </row>
    <row r="3992" spans="30:30" ht="12" x14ac:dyDescent="0.3">
      <c r="AD3992" s="6"/>
    </row>
    <row r="3993" spans="30:30" ht="12" x14ac:dyDescent="0.3">
      <c r="AD3993" s="6"/>
    </row>
    <row r="3994" spans="30:30" ht="12" x14ac:dyDescent="0.3">
      <c r="AD3994" s="6"/>
    </row>
    <row r="3995" spans="30:30" ht="12" x14ac:dyDescent="0.3">
      <c r="AD3995" s="6"/>
    </row>
    <row r="3996" spans="30:30" ht="12" x14ac:dyDescent="0.3">
      <c r="AD3996" s="6"/>
    </row>
    <row r="3997" spans="30:30" ht="12" x14ac:dyDescent="0.3">
      <c r="AD3997" s="6"/>
    </row>
    <row r="3998" spans="30:30" ht="12" x14ac:dyDescent="0.3">
      <c r="AD3998" s="6"/>
    </row>
    <row r="3999" spans="30:30" ht="12" x14ac:dyDescent="0.3">
      <c r="AD3999" s="6"/>
    </row>
    <row r="4000" spans="30:30" ht="12" x14ac:dyDescent="0.3">
      <c r="AD4000" s="6"/>
    </row>
    <row r="4001" spans="30:30" ht="12" x14ac:dyDescent="0.3">
      <c r="AD4001" s="6"/>
    </row>
    <row r="4002" spans="30:30" ht="12" x14ac:dyDescent="0.3">
      <c r="AD4002" s="6"/>
    </row>
    <row r="4003" spans="30:30" ht="12" x14ac:dyDescent="0.3">
      <c r="AD4003" s="6"/>
    </row>
    <row r="4004" spans="30:30" ht="12" x14ac:dyDescent="0.3">
      <c r="AD4004" s="6"/>
    </row>
    <row r="4005" spans="30:30" ht="12" x14ac:dyDescent="0.3">
      <c r="AD4005" s="6"/>
    </row>
    <row r="4006" spans="30:30" ht="12" x14ac:dyDescent="0.3">
      <c r="AD4006" s="6"/>
    </row>
    <row r="4007" spans="30:30" ht="12" x14ac:dyDescent="0.3">
      <c r="AD4007" s="6"/>
    </row>
    <row r="4008" spans="30:30" ht="12" x14ac:dyDescent="0.3">
      <c r="AD4008" s="6"/>
    </row>
    <row r="4009" spans="30:30" ht="12" x14ac:dyDescent="0.3">
      <c r="AD4009" s="6"/>
    </row>
    <row r="4010" spans="30:30" ht="12" x14ac:dyDescent="0.3">
      <c r="AD4010" s="6"/>
    </row>
    <row r="4011" spans="30:30" ht="12" x14ac:dyDescent="0.3">
      <c r="AD4011" s="6"/>
    </row>
    <row r="4012" spans="30:30" ht="12" x14ac:dyDescent="0.3">
      <c r="AD4012" s="6"/>
    </row>
    <row r="4013" spans="30:30" ht="12" x14ac:dyDescent="0.3">
      <c r="AD4013" s="6"/>
    </row>
    <row r="4014" spans="30:30" ht="12" x14ac:dyDescent="0.3">
      <c r="AD4014" s="6"/>
    </row>
    <row r="4015" spans="30:30" ht="12" x14ac:dyDescent="0.3">
      <c r="AD4015" s="6"/>
    </row>
    <row r="4016" spans="30:30" ht="12" x14ac:dyDescent="0.3">
      <c r="AD4016" s="6"/>
    </row>
    <row r="4017" spans="30:30" ht="12" x14ac:dyDescent="0.3">
      <c r="AD4017" s="6"/>
    </row>
    <row r="4018" spans="30:30" ht="12" x14ac:dyDescent="0.3">
      <c r="AD4018" s="6"/>
    </row>
    <row r="4019" spans="30:30" ht="12" x14ac:dyDescent="0.3">
      <c r="AD4019" s="6"/>
    </row>
    <row r="4020" spans="30:30" ht="12" x14ac:dyDescent="0.3">
      <c r="AD4020" s="6"/>
    </row>
    <row r="4021" spans="30:30" ht="12" x14ac:dyDescent="0.3">
      <c r="AD4021" s="6"/>
    </row>
    <row r="4022" spans="30:30" ht="12" x14ac:dyDescent="0.3">
      <c r="AD4022" s="6"/>
    </row>
    <row r="4023" spans="30:30" ht="12" x14ac:dyDescent="0.3">
      <c r="AD4023" s="6"/>
    </row>
    <row r="4024" spans="30:30" ht="12" x14ac:dyDescent="0.3">
      <c r="AD4024" s="6"/>
    </row>
    <row r="4025" spans="30:30" ht="12" x14ac:dyDescent="0.3">
      <c r="AD4025" s="6"/>
    </row>
    <row r="4026" spans="30:30" ht="12" x14ac:dyDescent="0.3">
      <c r="AD4026" s="6"/>
    </row>
    <row r="4027" spans="30:30" ht="12" x14ac:dyDescent="0.3">
      <c r="AD4027" s="6"/>
    </row>
    <row r="4028" spans="30:30" ht="12" x14ac:dyDescent="0.3">
      <c r="AD4028" s="6"/>
    </row>
    <row r="4029" spans="30:30" ht="12" x14ac:dyDescent="0.3">
      <c r="AD4029" s="6"/>
    </row>
    <row r="4030" spans="30:30" ht="12" x14ac:dyDescent="0.3">
      <c r="AD4030" s="6"/>
    </row>
    <row r="4031" spans="30:30" ht="12" x14ac:dyDescent="0.3">
      <c r="AD4031" s="6"/>
    </row>
    <row r="4032" spans="30:30" ht="12" x14ac:dyDescent="0.3">
      <c r="AD4032" s="6"/>
    </row>
    <row r="4033" spans="30:30" ht="12" x14ac:dyDescent="0.3">
      <c r="AD4033" s="6"/>
    </row>
    <row r="4034" spans="30:30" ht="12" x14ac:dyDescent="0.3">
      <c r="AD4034" s="6"/>
    </row>
    <row r="4035" spans="30:30" ht="12" x14ac:dyDescent="0.3">
      <c r="AD4035" s="6"/>
    </row>
    <row r="4036" spans="30:30" ht="12" x14ac:dyDescent="0.3">
      <c r="AD4036" s="6"/>
    </row>
    <row r="4037" spans="30:30" ht="12" x14ac:dyDescent="0.3">
      <c r="AD4037" s="6"/>
    </row>
    <row r="4038" spans="30:30" ht="12" x14ac:dyDescent="0.3">
      <c r="AD4038" s="6"/>
    </row>
    <row r="4039" spans="30:30" ht="12" x14ac:dyDescent="0.3">
      <c r="AD4039" s="6"/>
    </row>
    <row r="4040" spans="30:30" ht="12" x14ac:dyDescent="0.3">
      <c r="AD4040" s="6"/>
    </row>
    <row r="4041" spans="30:30" ht="12" x14ac:dyDescent="0.3">
      <c r="AD4041" s="6"/>
    </row>
    <row r="4042" spans="30:30" ht="12" x14ac:dyDescent="0.3">
      <c r="AD4042" s="6"/>
    </row>
    <row r="4043" spans="30:30" ht="12" x14ac:dyDescent="0.3">
      <c r="AD4043" s="6"/>
    </row>
    <row r="4044" spans="30:30" ht="12" x14ac:dyDescent="0.3">
      <c r="AD4044" s="6"/>
    </row>
    <row r="4045" spans="30:30" ht="12" x14ac:dyDescent="0.3">
      <c r="AD4045" s="6"/>
    </row>
    <row r="4046" spans="30:30" ht="12" x14ac:dyDescent="0.3">
      <c r="AD4046" s="6"/>
    </row>
    <row r="4047" spans="30:30" ht="12" x14ac:dyDescent="0.3">
      <c r="AD4047" s="6"/>
    </row>
    <row r="4048" spans="30:30" ht="12" x14ac:dyDescent="0.3">
      <c r="AD4048" s="6"/>
    </row>
    <row r="4049" spans="30:30" ht="12" x14ac:dyDescent="0.3">
      <c r="AD4049" s="6"/>
    </row>
    <row r="4050" spans="30:30" ht="12" x14ac:dyDescent="0.3">
      <c r="AD4050" s="6"/>
    </row>
    <row r="4051" spans="30:30" ht="12" x14ac:dyDescent="0.3">
      <c r="AD4051" s="6"/>
    </row>
    <row r="4052" spans="30:30" ht="12" x14ac:dyDescent="0.3">
      <c r="AD4052" s="6"/>
    </row>
    <row r="4053" spans="30:30" ht="12" x14ac:dyDescent="0.3">
      <c r="AD4053" s="6"/>
    </row>
    <row r="4054" spans="30:30" ht="12" x14ac:dyDescent="0.3">
      <c r="AD4054" s="6"/>
    </row>
    <row r="4055" spans="30:30" ht="12" x14ac:dyDescent="0.3">
      <c r="AD4055" s="6"/>
    </row>
    <row r="4056" spans="30:30" ht="12" x14ac:dyDescent="0.3">
      <c r="AD4056" s="6"/>
    </row>
    <row r="4057" spans="30:30" ht="12" x14ac:dyDescent="0.3">
      <c r="AD4057" s="6"/>
    </row>
    <row r="4058" spans="30:30" ht="12" x14ac:dyDescent="0.3">
      <c r="AD4058" s="6"/>
    </row>
    <row r="4059" spans="30:30" ht="12" x14ac:dyDescent="0.3">
      <c r="AD4059" s="6"/>
    </row>
    <row r="4060" spans="30:30" ht="12" x14ac:dyDescent="0.3">
      <c r="AD4060" s="6"/>
    </row>
    <row r="4061" spans="30:30" ht="12" x14ac:dyDescent="0.3">
      <c r="AD4061" s="6"/>
    </row>
    <row r="4062" spans="30:30" ht="12" x14ac:dyDescent="0.3">
      <c r="AD4062" s="6"/>
    </row>
    <row r="4063" spans="30:30" ht="12" x14ac:dyDescent="0.3">
      <c r="AD4063" s="6"/>
    </row>
    <row r="4064" spans="30:30" ht="12" x14ac:dyDescent="0.3">
      <c r="AD4064" s="6"/>
    </row>
    <row r="4065" spans="30:30" ht="12" x14ac:dyDescent="0.3">
      <c r="AD4065" s="6"/>
    </row>
    <row r="4066" spans="30:30" ht="12" x14ac:dyDescent="0.3">
      <c r="AD4066" s="6"/>
    </row>
    <row r="4067" spans="30:30" ht="12" x14ac:dyDescent="0.3">
      <c r="AD4067" s="6"/>
    </row>
    <row r="4068" spans="30:30" ht="12" x14ac:dyDescent="0.3">
      <c r="AD4068" s="6"/>
    </row>
    <row r="4069" spans="30:30" ht="12" x14ac:dyDescent="0.3">
      <c r="AD4069" s="6"/>
    </row>
    <row r="4070" spans="30:30" ht="12" x14ac:dyDescent="0.3">
      <c r="AD4070" s="6"/>
    </row>
    <row r="4071" spans="30:30" ht="12" x14ac:dyDescent="0.3">
      <c r="AD4071" s="6"/>
    </row>
    <row r="4072" spans="30:30" ht="12" x14ac:dyDescent="0.3">
      <c r="AD4072" s="6"/>
    </row>
    <row r="4073" spans="30:30" ht="12" x14ac:dyDescent="0.3">
      <c r="AD4073" s="6"/>
    </row>
    <row r="4074" spans="30:30" ht="12" x14ac:dyDescent="0.3">
      <c r="AD4074" s="6"/>
    </row>
    <row r="4075" spans="30:30" ht="12" x14ac:dyDescent="0.3">
      <c r="AD4075" s="6"/>
    </row>
    <row r="4076" spans="30:30" ht="12" x14ac:dyDescent="0.3">
      <c r="AD4076" s="6"/>
    </row>
    <row r="4077" spans="30:30" ht="12" x14ac:dyDescent="0.3">
      <c r="AD4077" s="6"/>
    </row>
    <row r="4078" spans="30:30" ht="12" x14ac:dyDescent="0.3">
      <c r="AD4078" s="6"/>
    </row>
    <row r="4079" spans="30:30" ht="12" x14ac:dyDescent="0.3">
      <c r="AD4079" s="6"/>
    </row>
    <row r="4080" spans="30:30" ht="12" x14ac:dyDescent="0.3">
      <c r="AD4080" s="6"/>
    </row>
    <row r="4081" spans="30:30" ht="12" x14ac:dyDescent="0.3">
      <c r="AD4081" s="6"/>
    </row>
    <row r="4082" spans="30:30" ht="12" x14ac:dyDescent="0.3">
      <c r="AD4082" s="6"/>
    </row>
    <row r="4083" spans="30:30" ht="12" x14ac:dyDescent="0.3">
      <c r="AD4083" s="6"/>
    </row>
    <row r="4084" spans="30:30" ht="12" x14ac:dyDescent="0.3">
      <c r="AD4084" s="6"/>
    </row>
    <row r="4085" spans="30:30" ht="12" x14ac:dyDescent="0.3">
      <c r="AD4085" s="6"/>
    </row>
    <row r="4086" spans="30:30" ht="12" x14ac:dyDescent="0.3">
      <c r="AD4086" s="6"/>
    </row>
    <row r="4087" spans="30:30" ht="12" x14ac:dyDescent="0.3">
      <c r="AD4087" s="6"/>
    </row>
    <row r="4088" spans="30:30" ht="12" x14ac:dyDescent="0.3">
      <c r="AD4088" s="6"/>
    </row>
    <row r="4089" spans="30:30" ht="12" x14ac:dyDescent="0.3">
      <c r="AD4089" s="6"/>
    </row>
    <row r="4090" spans="30:30" ht="12" x14ac:dyDescent="0.3">
      <c r="AD4090" s="6"/>
    </row>
    <row r="4091" spans="30:30" ht="12" x14ac:dyDescent="0.3">
      <c r="AD4091" s="6"/>
    </row>
    <row r="4092" spans="30:30" ht="12" x14ac:dyDescent="0.3">
      <c r="AD4092" s="6"/>
    </row>
    <row r="4093" spans="30:30" ht="12" x14ac:dyDescent="0.3">
      <c r="AD4093" s="6"/>
    </row>
    <row r="4094" spans="30:30" ht="12" x14ac:dyDescent="0.3">
      <c r="AD4094" s="6"/>
    </row>
    <row r="4095" spans="30:30" ht="12" x14ac:dyDescent="0.3">
      <c r="AD4095" s="6"/>
    </row>
    <row r="4096" spans="30:30" ht="12" x14ac:dyDescent="0.3">
      <c r="AD4096" s="6"/>
    </row>
    <row r="4097" spans="30:30" ht="12" x14ac:dyDescent="0.3">
      <c r="AD4097" s="6"/>
    </row>
    <row r="4098" spans="30:30" ht="12" x14ac:dyDescent="0.3">
      <c r="AD4098" s="6"/>
    </row>
    <row r="4099" spans="30:30" ht="12" x14ac:dyDescent="0.3">
      <c r="AD4099" s="6"/>
    </row>
    <row r="4100" spans="30:30" ht="12" x14ac:dyDescent="0.3">
      <c r="AD4100" s="6"/>
    </row>
    <row r="4101" spans="30:30" ht="12" x14ac:dyDescent="0.3">
      <c r="AD4101" s="6"/>
    </row>
    <row r="4102" spans="30:30" ht="12" x14ac:dyDescent="0.3">
      <c r="AD4102" s="6"/>
    </row>
    <row r="4103" spans="30:30" ht="12" x14ac:dyDescent="0.3">
      <c r="AD4103" s="6"/>
    </row>
    <row r="4104" spans="30:30" ht="12" x14ac:dyDescent="0.3">
      <c r="AD4104" s="6"/>
    </row>
    <row r="4105" spans="30:30" ht="12" x14ac:dyDescent="0.3">
      <c r="AD4105" s="6"/>
    </row>
    <row r="4106" spans="30:30" ht="12" x14ac:dyDescent="0.3">
      <c r="AD4106" s="6"/>
    </row>
    <row r="4107" spans="30:30" ht="12" x14ac:dyDescent="0.3">
      <c r="AD4107" s="6"/>
    </row>
    <row r="4108" spans="30:30" ht="12" x14ac:dyDescent="0.3">
      <c r="AD4108" s="6"/>
    </row>
    <row r="4109" spans="30:30" ht="12" x14ac:dyDescent="0.3">
      <c r="AD4109" s="6"/>
    </row>
    <row r="4110" spans="30:30" ht="12" x14ac:dyDescent="0.3">
      <c r="AD4110" s="6"/>
    </row>
    <row r="4111" spans="30:30" ht="12" x14ac:dyDescent="0.3">
      <c r="AD4111" s="6"/>
    </row>
    <row r="4112" spans="30:30" ht="12" x14ac:dyDescent="0.3">
      <c r="AD4112" s="6"/>
    </row>
    <row r="4113" spans="30:30" ht="12" x14ac:dyDescent="0.3">
      <c r="AD4113" s="6"/>
    </row>
    <row r="4114" spans="30:30" ht="12" x14ac:dyDescent="0.3">
      <c r="AD4114" s="6"/>
    </row>
    <row r="4115" spans="30:30" ht="12" x14ac:dyDescent="0.3">
      <c r="AD4115" s="6"/>
    </row>
    <row r="4116" spans="30:30" ht="12" x14ac:dyDescent="0.3">
      <c r="AD4116" s="6"/>
    </row>
    <row r="4117" spans="30:30" ht="12" x14ac:dyDescent="0.3">
      <c r="AD4117" s="6"/>
    </row>
    <row r="4118" spans="30:30" ht="12" x14ac:dyDescent="0.3">
      <c r="AD4118" s="6"/>
    </row>
    <row r="4119" spans="30:30" ht="12" x14ac:dyDescent="0.3">
      <c r="AD4119" s="6"/>
    </row>
    <row r="4120" spans="30:30" ht="12" x14ac:dyDescent="0.3">
      <c r="AD4120" s="6"/>
    </row>
    <row r="4121" spans="30:30" ht="12" x14ac:dyDescent="0.3">
      <c r="AD4121" s="6"/>
    </row>
    <row r="4122" spans="30:30" ht="12" x14ac:dyDescent="0.3">
      <c r="AD4122" s="6"/>
    </row>
    <row r="4123" spans="30:30" ht="12" x14ac:dyDescent="0.3">
      <c r="AD4123" s="6"/>
    </row>
    <row r="4124" spans="30:30" ht="12" x14ac:dyDescent="0.3">
      <c r="AD4124" s="6"/>
    </row>
    <row r="4125" spans="30:30" ht="12" x14ac:dyDescent="0.3">
      <c r="AD4125" s="6"/>
    </row>
    <row r="4126" spans="30:30" ht="12" x14ac:dyDescent="0.3">
      <c r="AD4126" s="6"/>
    </row>
    <row r="4127" spans="30:30" ht="12" x14ac:dyDescent="0.3">
      <c r="AD4127" s="6"/>
    </row>
    <row r="4128" spans="30:30" ht="12" x14ac:dyDescent="0.3">
      <c r="AD4128" s="6"/>
    </row>
    <row r="4129" spans="30:30" ht="12" x14ac:dyDescent="0.3">
      <c r="AD4129" s="6"/>
    </row>
    <row r="4130" spans="30:30" ht="12" x14ac:dyDescent="0.3">
      <c r="AD4130" s="6"/>
    </row>
    <row r="4131" spans="30:30" ht="12" x14ac:dyDescent="0.3">
      <c r="AD4131" s="6"/>
    </row>
    <row r="4132" spans="30:30" ht="12" x14ac:dyDescent="0.3">
      <c r="AD4132" s="6"/>
    </row>
    <row r="4133" spans="30:30" ht="12" x14ac:dyDescent="0.3">
      <c r="AD4133" s="6"/>
    </row>
    <row r="4134" spans="30:30" ht="12" x14ac:dyDescent="0.3">
      <c r="AD4134" s="6"/>
    </row>
    <row r="4135" spans="30:30" ht="12" x14ac:dyDescent="0.3">
      <c r="AD4135" s="6"/>
    </row>
    <row r="4136" spans="30:30" ht="12" x14ac:dyDescent="0.3">
      <c r="AD4136" s="6"/>
    </row>
    <row r="4137" spans="30:30" ht="12" x14ac:dyDescent="0.3">
      <c r="AD4137" s="6"/>
    </row>
    <row r="4138" spans="30:30" ht="12" x14ac:dyDescent="0.3">
      <c r="AD4138" s="6"/>
    </row>
    <row r="4139" spans="30:30" ht="12" x14ac:dyDescent="0.3">
      <c r="AD4139" s="6"/>
    </row>
    <row r="4140" spans="30:30" ht="12" x14ac:dyDescent="0.3">
      <c r="AD4140" s="6"/>
    </row>
    <row r="4141" spans="30:30" ht="12" x14ac:dyDescent="0.3">
      <c r="AD4141" s="6"/>
    </row>
    <row r="4142" spans="30:30" ht="12" x14ac:dyDescent="0.3">
      <c r="AD4142" s="6"/>
    </row>
    <row r="4143" spans="30:30" ht="12" x14ac:dyDescent="0.3">
      <c r="AD4143" s="6"/>
    </row>
    <row r="4144" spans="30:30" ht="12" x14ac:dyDescent="0.3">
      <c r="AD4144" s="6"/>
    </row>
    <row r="4145" spans="30:30" ht="12" x14ac:dyDescent="0.3">
      <c r="AD4145" s="6"/>
    </row>
    <row r="4146" spans="30:30" ht="12" x14ac:dyDescent="0.3">
      <c r="AD4146" s="6"/>
    </row>
    <row r="4147" spans="30:30" ht="12" x14ac:dyDescent="0.3">
      <c r="AD4147" s="6"/>
    </row>
    <row r="4148" spans="30:30" ht="12" x14ac:dyDescent="0.3">
      <c r="AD4148" s="6"/>
    </row>
    <row r="4149" spans="30:30" ht="12" x14ac:dyDescent="0.3">
      <c r="AD4149" s="6"/>
    </row>
    <row r="4150" spans="30:30" ht="12" x14ac:dyDescent="0.3">
      <c r="AD4150" s="6"/>
    </row>
    <row r="4151" spans="30:30" ht="12" x14ac:dyDescent="0.3">
      <c r="AD4151" s="6"/>
    </row>
    <row r="4152" spans="30:30" ht="12" x14ac:dyDescent="0.3">
      <c r="AD4152" s="6"/>
    </row>
    <row r="4153" spans="30:30" ht="12" x14ac:dyDescent="0.3">
      <c r="AD4153" s="6"/>
    </row>
    <row r="4154" spans="30:30" ht="12" x14ac:dyDescent="0.3">
      <c r="AD4154" s="6"/>
    </row>
    <row r="4155" spans="30:30" ht="12" x14ac:dyDescent="0.3">
      <c r="AD4155" s="6"/>
    </row>
    <row r="4156" spans="30:30" ht="12" x14ac:dyDescent="0.3">
      <c r="AD4156" s="6"/>
    </row>
    <row r="4157" spans="30:30" ht="12" x14ac:dyDescent="0.3">
      <c r="AD4157" s="6"/>
    </row>
    <row r="4158" spans="30:30" ht="12" x14ac:dyDescent="0.3">
      <c r="AD4158" s="6"/>
    </row>
    <row r="4159" spans="30:30" ht="12" x14ac:dyDescent="0.3">
      <c r="AD4159" s="6"/>
    </row>
    <row r="4160" spans="30:30" ht="12" x14ac:dyDescent="0.3">
      <c r="AD4160" s="6"/>
    </row>
    <row r="4161" spans="30:30" ht="12" x14ac:dyDescent="0.3">
      <c r="AD4161" s="6"/>
    </row>
    <row r="4162" spans="30:30" ht="12" x14ac:dyDescent="0.3">
      <c r="AD4162" s="6"/>
    </row>
    <row r="4163" spans="30:30" ht="12" x14ac:dyDescent="0.3">
      <c r="AD4163" s="6"/>
    </row>
    <row r="4164" spans="30:30" ht="12" x14ac:dyDescent="0.3">
      <c r="AD4164" s="6"/>
    </row>
    <row r="4165" spans="30:30" ht="12" x14ac:dyDescent="0.3">
      <c r="AD4165" s="6"/>
    </row>
    <row r="4166" spans="30:30" ht="12" x14ac:dyDescent="0.3">
      <c r="AD4166" s="6"/>
    </row>
    <row r="4167" spans="30:30" ht="12" x14ac:dyDescent="0.3">
      <c r="AD4167" s="6"/>
    </row>
    <row r="4168" spans="30:30" ht="12" x14ac:dyDescent="0.3">
      <c r="AD4168" s="6"/>
    </row>
    <row r="4169" spans="30:30" ht="12" x14ac:dyDescent="0.3">
      <c r="AD4169" s="6"/>
    </row>
    <row r="4170" spans="30:30" ht="12" x14ac:dyDescent="0.3">
      <c r="AD4170" s="6"/>
    </row>
    <row r="4171" spans="30:30" ht="12" x14ac:dyDescent="0.3">
      <c r="AD4171" s="6"/>
    </row>
    <row r="4172" spans="30:30" ht="12" x14ac:dyDescent="0.3">
      <c r="AD4172" s="6"/>
    </row>
    <row r="4173" spans="30:30" ht="12" x14ac:dyDescent="0.3">
      <c r="AD4173" s="6"/>
    </row>
    <row r="4174" spans="30:30" ht="12" x14ac:dyDescent="0.3">
      <c r="AD4174" s="6"/>
    </row>
    <row r="4175" spans="30:30" ht="12" x14ac:dyDescent="0.3">
      <c r="AD4175" s="6"/>
    </row>
    <row r="4176" spans="30:30" ht="12" x14ac:dyDescent="0.3">
      <c r="AD4176" s="6"/>
    </row>
    <row r="4177" spans="30:30" ht="12" x14ac:dyDescent="0.3">
      <c r="AD4177" s="6"/>
    </row>
    <row r="4178" spans="30:30" ht="12" x14ac:dyDescent="0.3">
      <c r="AD4178" s="6"/>
    </row>
    <row r="4179" spans="30:30" ht="12" x14ac:dyDescent="0.3">
      <c r="AD4179" s="6"/>
    </row>
    <row r="4180" spans="30:30" ht="12" x14ac:dyDescent="0.3">
      <c r="AD4180" s="6"/>
    </row>
    <row r="4181" spans="30:30" ht="12" x14ac:dyDescent="0.3">
      <c r="AD4181" s="6"/>
    </row>
    <row r="4182" spans="30:30" ht="12" x14ac:dyDescent="0.3">
      <c r="AD4182" s="6"/>
    </row>
    <row r="4183" spans="30:30" ht="12" x14ac:dyDescent="0.3">
      <c r="AD4183" s="6"/>
    </row>
    <row r="4184" spans="30:30" ht="12" x14ac:dyDescent="0.3">
      <c r="AD4184" s="6"/>
    </row>
    <row r="4185" spans="30:30" ht="12" x14ac:dyDescent="0.3">
      <c r="AD4185" s="6"/>
    </row>
    <row r="4186" spans="30:30" ht="12" x14ac:dyDescent="0.3">
      <c r="AD4186" s="6"/>
    </row>
    <row r="4187" spans="30:30" ht="12" x14ac:dyDescent="0.3">
      <c r="AD4187" s="6"/>
    </row>
    <row r="4188" spans="30:30" ht="12" x14ac:dyDescent="0.3">
      <c r="AD4188" s="6"/>
    </row>
    <row r="4189" spans="30:30" ht="12" x14ac:dyDescent="0.3">
      <c r="AD4189" s="6"/>
    </row>
    <row r="4190" spans="30:30" ht="12" x14ac:dyDescent="0.3">
      <c r="AD4190" s="6"/>
    </row>
    <row r="4191" spans="30:30" ht="12" x14ac:dyDescent="0.3">
      <c r="AD4191" s="6"/>
    </row>
    <row r="4192" spans="30:30" ht="12" x14ac:dyDescent="0.3">
      <c r="AD4192" s="6"/>
    </row>
    <row r="4193" spans="30:30" ht="12" x14ac:dyDescent="0.3">
      <c r="AD4193" s="6"/>
    </row>
    <row r="4194" spans="30:30" ht="12" x14ac:dyDescent="0.3">
      <c r="AD4194" s="6"/>
    </row>
    <row r="4195" spans="30:30" ht="12" x14ac:dyDescent="0.3">
      <c r="AD4195" s="6"/>
    </row>
    <row r="4196" spans="30:30" ht="12" x14ac:dyDescent="0.3">
      <c r="AD4196" s="6"/>
    </row>
    <row r="4197" spans="30:30" ht="12" x14ac:dyDescent="0.3">
      <c r="AD4197" s="6"/>
    </row>
    <row r="4198" spans="30:30" ht="12" x14ac:dyDescent="0.3">
      <c r="AD4198" s="6"/>
    </row>
    <row r="4199" spans="30:30" ht="12" x14ac:dyDescent="0.3">
      <c r="AD4199" s="6"/>
    </row>
    <row r="4200" spans="30:30" ht="12" x14ac:dyDescent="0.3">
      <c r="AD4200" s="6"/>
    </row>
    <row r="4201" spans="30:30" ht="12" x14ac:dyDescent="0.3">
      <c r="AD4201" s="6"/>
    </row>
    <row r="4202" spans="30:30" ht="12" x14ac:dyDescent="0.3">
      <c r="AD4202" s="6"/>
    </row>
    <row r="4203" spans="30:30" ht="12" x14ac:dyDescent="0.3">
      <c r="AD4203" s="6"/>
    </row>
    <row r="4204" spans="30:30" ht="12" x14ac:dyDescent="0.3">
      <c r="AD4204" s="6"/>
    </row>
    <row r="4205" spans="30:30" ht="12" x14ac:dyDescent="0.3">
      <c r="AD4205" s="6"/>
    </row>
    <row r="4206" spans="30:30" ht="12" x14ac:dyDescent="0.3">
      <c r="AD4206" s="6"/>
    </row>
    <row r="4207" spans="30:30" ht="12" x14ac:dyDescent="0.3">
      <c r="AD4207" s="6"/>
    </row>
    <row r="4208" spans="30:30" ht="12" x14ac:dyDescent="0.3">
      <c r="AD4208" s="6"/>
    </row>
    <row r="4209" spans="30:30" ht="12" x14ac:dyDescent="0.3">
      <c r="AD4209" s="6"/>
    </row>
    <row r="4210" spans="30:30" ht="12" x14ac:dyDescent="0.3">
      <c r="AD4210" s="6"/>
    </row>
    <row r="4211" spans="30:30" ht="12" x14ac:dyDescent="0.3">
      <c r="AD4211" s="6"/>
    </row>
    <row r="4212" spans="30:30" ht="12" x14ac:dyDescent="0.3">
      <c r="AD4212" s="6"/>
    </row>
    <row r="4213" spans="30:30" ht="12" x14ac:dyDescent="0.3">
      <c r="AD4213" s="6"/>
    </row>
    <row r="4214" spans="30:30" ht="12" x14ac:dyDescent="0.3">
      <c r="AD4214" s="6"/>
    </row>
    <row r="4215" spans="30:30" ht="12" x14ac:dyDescent="0.3">
      <c r="AD4215" s="6"/>
    </row>
    <row r="4216" spans="30:30" ht="12" x14ac:dyDescent="0.3">
      <c r="AD4216" s="6"/>
    </row>
    <row r="4217" spans="30:30" ht="12" x14ac:dyDescent="0.3">
      <c r="AD4217" s="6"/>
    </row>
    <row r="4218" spans="30:30" ht="12" x14ac:dyDescent="0.3">
      <c r="AD4218" s="6"/>
    </row>
    <row r="4219" spans="30:30" ht="12" x14ac:dyDescent="0.3">
      <c r="AD4219" s="6"/>
    </row>
    <row r="4220" spans="30:30" ht="12" x14ac:dyDescent="0.3">
      <c r="AD4220" s="6"/>
    </row>
    <row r="4221" spans="30:30" ht="12" x14ac:dyDescent="0.3">
      <c r="AD4221" s="6"/>
    </row>
    <row r="4222" spans="30:30" ht="12" x14ac:dyDescent="0.3">
      <c r="AD4222" s="6"/>
    </row>
    <row r="4223" spans="30:30" ht="12" x14ac:dyDescent="0.3">
      <c r="AD4223" s="6"/>
    </row>
    <row r="4224" spans="30:30" ht="12" x14ac:dyDescent="0.3">
      <c r="AD4224" s="6"/>
    </row>
    <row r="4225" spans="30:30" ht="12" x14ac:dyDescent="0.3">
      <c r="AD4225" s="6"/>
    </row>
    <row r="4226" spans="30:30" ht="12" x14ac:dyDescent="0.3">
      <c r="AD4226" s="6"/>
    </row>
    <row r="4227" spans="30:30" ht="12" x14ac:dyDescent="0.3">
      <c r="AD4227" s="6"/>
    </row>
    <row r="4228" spans="30:30" ht="12" x14ac:dyDescent="0.3">
      <c r="AD4228" s="6"/>
    </row>
    <row r="4229" spans="30:30" ht="12" x14ac:dyDescent="0.3">
      <c r="AD4229" s="6"/>
    </row>
    <row r="4230" spans="30:30" ht="12" x14ac:dyDescent="0.3">
      <c r="AD4230" s="6"/>
    </row>
    <row r="4231" spans="30:30" ht="12" x14ac:dyDescent="0.3">
      <c r="AD4231" s="6"/>
    </row>
    <row r="4232" spans="30:30" ht="12" x14ac:dyDescent="0.3">
      <c r="AD4232" s="6"/>
    </row>
    <row r="4233" spans="30:30" ht="12" x14ac:dyDescent="0.3">
      <c r="AD4233" s="6"/>
    </row>
    <row r="4234" spans="30:30" ht="12" x14ac:dyDescent="0.3">
      <c r="AD4234" s="6"/>
    </row>
    <row r="4235" spans="30:30" ht="12" x14ac:dyDescent="0.3">
      <c r="AD4235" s="6"/>
    </row>
    <row r="4236" spans="30:30" ht="12" x14ac:dyDescent="0.3">
      <c r="AD4236" s="6"/>
    </row>
    <row r="4237" spans="30:30" ht="12" x14ac:dyDescent="0.3">
      <c r="AD4237" s="6"/>
    </row>
    <row r="4238" spans="30:30" ht="12" x14ac:dyDescent="0.3">
      <c r="AD4238" s="6"/>
    </row>
    <row r="4239" spans="30:30" ht="12" x14ac:dyDescent="0.3">
      <c r="AD4239" s="6"/>
    </row>
    <row r="4240" spans="30:30" ht="12" x14ac:dyDescent="0.3">
      <c r="AD4240" s="6"/>
    </row>
    <row r="4241" spans="30:30" ht="12" x14ac:dyDescent="0.3">
      <c r="AD4241" s="6"/>
    </row>
    <row r="4242" spans="30:30" ht="12" x14ac:dyDescent="0.3">
      <c r="AD4242" s="6"/>
    </row>
    <row r="4243" spans="30:30" ht="12" x14ac:dyDescent="0.3">
      <c r="AD4243" s="6"/>
    </row>
    <row r="4244" spans="30:30" ht="12" x14ac:dyDescent="0.3">
      <c r="AD4244" s="6"/>
    </row>
    <row r="4245" spans="30:30" ht="12" x14ac:dyDescent="0.3">
      <c r="AD4245" s="6"/>
    </row>
    <row r="4246" spans="30:30" ht="12" x14ac:dyDescent="0.3">
      <c r="AD4246" s="6"/>
    </row>
    <row r="4247" spans="30:30" ht="12" x14ac:dyDescent="0.3">
      <c r="AD4247" s="6"/>
    </row>
    <row r="4248" spans="30:30" ht="12" x14ac:dyDescent="0.3">
      <c r="AD4248" s="6"/>
    </row>
    <row r="4249" spans="30:30" ht="12" x14ac:dyDescent="0.3">
      <c r="AD4249" s="6"/>
    </row>
    <row r="4250" spans="30:30" ht="12" x14ac:dyDescent="0.3">
      <c r="AD4250" s="6"/>
    </row>
    <row r="4251" spans="30:30" ht="12" x14ac:dyDescent="0.3">
      <c r="AD4251" s="6"/>
    </row>
    <row r="4252" spans="30:30" ht="12" x14ac:dyDescent="0.3">
      <c r="AD4252" s="6"/>
    </row>
    <row r="4253" spans="30:30" ht="12" x14ac:dyDescent="0.3">
      <c r="AD4253" s="6"/>
    </row>
    <row r="4254" spans="30:30" ht="12" x14ac:dyDescent="0.3">
      <c r="AD4254" s="6"/>
    </row>
    <row r="4255" spans="30:30" ht="12" x14ac:dyDescent="0.3">
      <c r="AD4255" s="6"/>
    </row>
    <row r="4256" spans="30:30" ht="12" x14ac:dyDescent="0.3">
      <c r="AD4256" s="6"/>
    </row>
    <row r="4257" spans="30:30" ht="12" x14ac:dyDescent="0.3">
      <c r="AD4257" s="6"/>
    </row>
    <row r="4258" spans="30:30" ht="12" x14ac:dyDescent="0.3">
      <c r="AD4258" s="6"/>
    </row>
    <row r="4259" spans="30:30" ht="12" x14ac:dyDescent="0.3">
      <c r="AD4259" s="6"/>
    </row>
    <row r="4260" spans="30:30" ht="12" x14ac:dyDescent="0.3">
      <c r="AD4260" s="6"/>
    </row>
    <row r="4261" spans="30:30" ht="12" x14ac:dyDescent="0.3">
      <c r="AD4261" s="6"/>
    </row>
    <row r="4262" spans="30:30" ht="12" x14ac:dyDescent="0.3">
      <c r="AD4262" s="6"/>
    </row>
    <row r="4263" spans="30:30" ht="12" x14ac:dyDescent="0.3">
      <c r="AD4263" s="6"/>
    </row>
    <row r="4264" spans="30:30" ht="12" x14ac:dyDescent="0.3">
      <c r="AD4264" s="6"/>
    </row>
    <row r="4265" spans="30:30" ht="12" x14ac:dyDescent="0.3">
      <c r="AD4265" s="6"/>
    </row>
    <row r="4266" spans="30:30" ht="12" x14ac:dyDescent="0.3">
      <c r="AD4266" s="6"/>
    </row>
    <row r="4267" spans="30:30" ht="12" x14ac:dyDescent="0.3">
      <c r="AD4267" s="6"/>
    </row>
    <row r="4268" spans="30:30" ht="12" x14ac:dyDescent="0.3">
      <c r="AD4268" s="6"/>
    </row>
    <row r="4269" spans="30:30" ht="12" x14ac:dyDescent="0.3">
      <c r="AD4269" s="6"/>
    </row>
    <row r="4270" spans="30:30" ht="12" x14ac:dyDescent="0.3">
      <c r="AD4270" s="6"/>
    </row>
    <row r="4271" spans="30:30" ht="12" x14ac:dyDescent="0.3">
      <c r="AD4271" s="6"/>
    </row>
    <row r="4272" spans="30:30" ht="12" x14ac:dyDescent="0.3">
      <c r="AD4272" s="6"/>
    </row>
    <row r="4273" spans="30:30" ht="12" x14ac:dyDescent="0.3">
      <c r="AD4273" s="6"/>
    </row>
    <row r="4274" spans="30:30" ht="12" x14ac:dyDescent="0.3">
      <c r="AD4274" s="6"/>
    </row>
    <row r="4275" spans="30:30" ht="12" x14ac:dyDescent="0.3">
      <c r="AD4275" s="6"/>
    </row>
    <row r="4276" spans="30:30" ht="12" x14ac:dyDescent="0.3">
      <c r="AD4276" s="6"/>
    </row>
    <row r="4277" spans="30:30" ht="12" x14ac:dyDescent="0.3">
      <c r="AD4277" s="6"/>
    </row>
    <row r="4278" spans="30:30" ht="12" x14ac:dyDescent="0.3">
      <c r="AD4278" s="6"/>
    </row>
    <row r="4279" spans="30:30" ht="12" x14ac:dyDescent="0.3">
      <c r="AD4279" s="6"/>
    </row>
    <row r="4280" spans="30:30" ht="12" x14ac:dyDescent="0.3">
      <c r="AD4280" s="6"/>
    </row>
    <row r="4281" spans="30:30" ht="12" x14ac:dyDescent="0.3">
      <c r="AD4281" s="6"/>
    </row>
    <row r="4282" spans="30:30" ht="12" x14ac:dyDescent="0.3">
      <c r="AD4282" s="6"/>
    </row>
    <row r="4283" spans="30:30" ht="12" x14ac:dyDescent="0.3">
      <c r="AD4283" s="6"/>
    </row>
    <row r="4284" spans="30:30" ht="12" x14ac:dyDescent="0.3">
      <c r="AD4284" s="6"/>
    </row>
    <row r="4285" spans="30:30" ht="12" x14ac:dyDescent="0.3">
      <c r="AD4285" s="6"/>
    </row>
    <row r="4286" spans="30:30" ht="12" x14ac:dyDescent="0.3">
      <c r="AD4286" s="6"/>
    </row>
    <row r="4287" spans="30:30" ht="12" x14ac:dyDescent="0.3">
      <c r="AD4287" s="6"/>
    </row>
    <row r="4288" spans="30:30" ht="12" x14ac:dyDescent="0.3">
      <c r="AD4288" s="6"/>
    </row>
    <row r="4289" spans="30:30" ht="12" x14ac:dyDescent="0.3">
      <c r="AD4289" s="6"/>
    </row>
    <row r="4290" spans="30:30" ht="12" x14ac:dyDescent="0.3">
      <c r="AD4290" s="6"/>
    </row>
    <row r="4291" spans="30:30" ht="12" x14ac:dyDescent="0.3">
      <c r="AD4291" s="6"/>
    </row>
    <row r="4292" spans="30:30" ht="12" x14ac:dyDescent="0.3">
      <c r="AD4292" s="6"/>
    </row>
    <row r="4293" spans="30:30" ht="12" x14ac:dyDescent="0.3">
      <c r="AD4293" s="6"/>
    </row>
    <row r="4294" spans="30:30" ht="12" x14ac:dyDescent="0.3">
      <c r="AD4294" s="6"/>
    </row>
    <row r="4295" spans="30:30" ht="12" x14ac:dyDescent="0.3">
      <c r="AD4295" s="6"/>
    </row>
    <row r="4296" spans="30:30" ht="12" x14ac:dyDescent="0.3">
      <c r="AD4296" s="6"/>
    </row>
    <row r="4297" spans="30:30" ht="12" x14ac:dyDescent="0.3">
      <c r="AD4297" s="6"/>
    </row>
    <row r="4298" spans="30:30" ht="12" x14ac:dyDescent="0.3">
      <c r="AD4298" s="6"/>
    </row>
    <row r="4299" spans="30:30" ht="12" x14ac:dyDescent="0.3">
      <c r="AD4299" s="6"/>
    </row>
    <row r="4300" spans="30:30" ht="12" x14ac:dyDescent="0.3">
      <c r="AD4300" s="6"/>
    </row>
    <row r="4301" spans="30:30" ht="12" x14ac:dyDescent="0.3">
      <c r="AD4301" s="6"/>
    </row>
    <row r="4302" spans="30:30" ht="12" x14ac:dyDescent="0.3">
      <c r="AD4302" s="6"/>
    </row>
    <row r="4303" spans="30:30" ht="12" x14ac:dyDescent="0.3">
      <c r="AD4303" s="6"/>
    </row>
    <row r="4304" spans="30:30" ht="12" x14ac:dyDescent="0.3">
      <c r="AD4304" s="6"/>
    </row>
    <row r="4305" spans="30:30" ht="12" x14ac:dyDescent="0.3">
      <c r="AD4305" s="6"/>
    </row>
    <row r="4306" spans="30:30" ht="12" x14ac:dyDescent="0.3">
      <c r="AD4306" s="6"/>
    </row>
    <row r="4307" spans="30:30" ht="12" x14ac:dyDescent="0.3">
      <c r="AD4307" s="6"/>
    </row>
    <row r="4308" spans="30:30" ht="12" x14ac:dyDescent="0.3">
      <c r="AD4308" s="6"/>
    </row>
    <row r="4309" spans="30:30" ht="12" x14ac:dyDescent="0.3">
      <c r="AD4309" s="6"/>
    </row>
    <row r="4310" spans="30:30" ht="12" x14ac:dyDescent="0.3">
      <c r="AD4310" s="6"/>
    </row>
    <row r="4311" spans="30:30" ht="12" x14ac:dyDescent="0.3">
      <c r="AD4311" s="6"/>
    </row>
    <row r="4312" spans="30:30" ht="12" x14ac:dyDescent="0.3">
      <c r="AD4312" s="6"/>
    </row>
    <row r="4313" spans="30:30" ht="12" x14ac:dyDescent="0.3">
      <c r="AD4313" s="6"/>
    </row>
    <row r="4314" spans="30:30" ht="12" x14ac:dyDescent="0.3">
      <c r="AD4314" s="6"/>
    </row>
    <row r="4315" spans="30:30" ht="12" x14ac:dyDescent="0.3">
      <c r="AD4315" s="6"/>
    </row>
    <row r="4316" spans="30:30" ht="12" x14ac:dyDescent="0.3">
      <c r="AD4316" s="6"/>
    </row>
    <row r="4317" spans="30:30" ht="12" x14ac:dyDescent="0.3">
      <c r="AD4317" s="6"/>
    </row>
    <row r="4318" spans="30:30" ht="12" x14ac:dyDescent="0.3">
      <c r="AD4318" s="6"/>
    </row>
    <row r="4319" spans="30:30" ht="12" x14ac:dyDescent="0.3">
      <c r="AD4319" s="6"/>
    </row>
    <row r="4320" spans="30:30" ht="12" x14ac:dyDescent="0.3">
      <c r="AD4320" s="6"/>
    </row>
    <row r="4321" spans="30:30" ht="12" x14ac:dyDescent="0.3">
      <c r="AD4321" s="6"/>
    </row>
    <row r="4322" spans="30:30" ht="12" x14ac:dyDescent="0.3">
      <c r="AD4322" s="6"/>
    </row>
    <row r="4323" spans="30:30" ht="12" x14ac:dyDescent="0.3">
      <c r="AD4323" s="6"/>
    </row>
    <row r="4324" spans="30:30" ht="12" x14ac:dyDescent="0.3">
      <c r="AD4324" s="6"/>
    </row>
    <row r="4325" spans="30:30" ht="12" x14ac:dyDescent="0.3">
      <c r="AD4325" s="6"/>
    </row>
    <row r="4326" spans="30:30" ht="12" x14ac:dyDescent="0.3">
      <c r="AD4326" s="6"/>
    </row>
    <row r="4327" spans="30:30" ht="12" x14ac:dyDescent="0.3">
      <c r="AD4327" s="6"/>
    </row>
    <row r="4328" spans="30:30" ht="12" x14ac:dyDescent="0.3">
      <c r="AD4328" s="6"/>
    </row>
    <row r="4329" spans="30:30" ht="12" x14ac:dyDescent="0.3">
      <c r="AD4329" s="6"/>
    </row>
    <row r="4330" spans="30:30" ht="12" x14ac:dyDescent="0.3">
      <c r="AD4330" s="6"/>
    </row>
    <row r="4331" spans="30:30" ht="12" x14ac:dyDescent="0.3">
      <c r="AD4331" s="6"/>
    </row>
    <row r="4332" spans="30:30" ht="12" x14ac:dyDescent="0.3">
      <c r="AD4332" s="6"/>
    </row>
    <row r="4333" spans="30:30" ht="12" x14ac:dyDescent="0.3">
      <c r="AD4333" s="6"/>
    </row>
    <row r="4334" spans="30:30" ht="12" x14ac:dyDescent="0.3">
      <c r="AD4334" s="6"/>
    </row>
    <row r="4335" spans="30:30" ht="12" x14ac:dyDescent="0.3">
      <c r="AD4335" s="6"/>
    </row>
    <row r="4336" spans="30:30" ht="12" x14ac:dyDescent="0.3">
      <c r="AD4336" s="6"/>
    </row>
    <row r="4337" spans="30:30" ht="12" x14ac:dyDescent="0.3">
      <c r="AD4337" s="6"/>
    </row>
    <row r="4338" spans="30:30" ht="12" x14ac:dyDescent="0.3">
      <c r="AD4338" s="6"/>
    </row>
    <row r="4339" spans="30:30" ht="12" x14ac:dyDescent="0.3">
      <c r="AD4339" s="6"/>
    </row>
    <row r="4340" spans="30:30" ht="12" x14ac:dyDescent="0.3">
      <c r="AD4340" s="6"/>
    </row>
    <row r="4341" spans="30:30" ht="12" x14ac:dyDescent="0.3">
      <c r="AD4341" s="6"/>
    </row>
    <row r="4342" spans="30:30" ht="12" x14ac:dyDescent="0.3">
      <c r="AD4342" s="6"/>
    </row>
    <row r="4343" spans="30:30" ht="12" x14ac:dyDescent="0.3">
      <c r="AD4343" s="6"/>
    </row>
    <row r="4344" spans="30:30" ht="12" x14ac:dyDescent="0.3">
      <c r="AD4344" s="6"/>
    </row>
    <row r="4345" spans="30:30" ht="12" x14ac:dyDescent="0.3">
      <c r="AD4345" s="6"/>
    </row>
    <row r="4346" spans="30:30" ht="12" x14ac:dyDescent="0.3">
      <c r="AD4346" s="6"/>
    </row>
    <row r="4347" spans="30:30" ht="12" x14ac:dyDescent="0.3">
      <c r="AD4347" s="6"/>
    </row>
    <row r="4348" spans="30:30" ht="12" x14ac:dyDescent="0.3">
      <c r="AD4348" s="6"/>
    </row>
    <row r="4349" spans="30:30" ht="12" x14ac:dyDescent="0.3">
      <c r="AD4349" s="6"/>
    </row>
    <row r="4350" spans="30:30" ht="12" x14ac:dyDescent="0.3">
      <c r="AD4350" s="6"/>
    </row>
    <row r="4351" spans="30:30" ht="12" x14ac:dyDescent="0.3">
      <c r="AD4351" s="6"/>
    </row>
    <row r="4352" spans="30:30" ht="12" x14ac:dyDescent="0.3">
      <c r="AD4352" s="6"/>
    </row>
    <row r="4353" spans="30:30" ht="12" x14ac:dyDescent="0.3">
      <c r="AD4353" s="6"/>
    </row>
    <row r="4354" spans="30:30" ht="12" x14ac:dyDescent="0.3">
      <c r="AD4354" s="6"/>
    </row>
    <row r="4355" spans="30:30" ht="12" x14ac:dyDescent="0.3">
      <c r="AD4355" s="6"/>
    </row>
    <row r="4356" spans="30:30" ht="12" x14ac:dyDescent="0.3">
      <c r="AD4356" s="6"/>
    </row>
    <row r="4357" spans="30:30" ht="12" x14ac:dyDescent="0.3">
      <c r="AD4357" s="6"/>
    </row>
    <row r="4358" spans="30:30" ht="12" x14ac:dyDescent="0.3">
      <c r="AD4358" s="6"/>
    </row>
    <row r="4359" spans="30:30" ht="12" x14ac:dyDescent="0.3">
      <c r="AD4359" s="6"/>
    </row>
    <row r="4360" spans="30:30" ht="12" x14ac:dyDescent="0.3">
      <c r="AD4360" s="6"/>
    </row>
    <row r="4361" spans="30:30" ht="12" x14ac:dyDescent="0.3">
      <c r="AD4361" s="6"/>
    </row>
    <row r="4362" spans="30:30" ht="12" x14ac:dyDescent="0.3">
      <c r="AD4362" s="6"/>
    </row>
    <row r="4363" spans="30:30" ht="12" x14ac:dyDescent="0.3">
      <c r="AD4363" s="6"/>
    </row>
    <row r="4364" spans="30:30" ht="12" x14ac:dyDescent="0.3">
      <c r="AD4364" s="6"/>
    </row>
    <row r="4365" spans="30:30" ht="12" x14ac:dyDescent="0.3">
      <c r="AD4365" s="6"/>
    </row>
    <row r="4366" spans="30:30" ht="12" x14ac:dyDescent="0.3">
      <c r="AD4366" s="6"/>
    </row>
    <row r="4367" spans="30:30" ht="12" x14ac:dyDescent="0.3">
      <c r="AD4367" s="6"/>
    </row>
    <row r="4368" spans="30:30" ht="12" x14ac:dyDescent="0.3">
      <c r="AD4368" s="6"/>
    </row>
    <row r="4369" spans="30:30" ht="12" x14ac:dyDescent="0.3">
      <c r="AD4369" s="6"/>
    </row>
    <row r="4370" spans="30:30" ht="12" x14ac:dyDescent="0.3">
      <c r="AD4370" s="6"/>
    </row>
    <row r="4371" spans="30:30" ht="12" x14ac:dyDescent="0.3">
      <c r="AD4371" s="6"/>
    </row>
    <row r="4372" spans="30:30" ht="12" x14ac:dyDescent="0.3">
      <c r="AD4372" s="6"/>
    </row>
    <row r="4373" spans="30:30" ht="12" x14ac:dyDescent="0.3">
      <c r="AD4373" s="6"/>
    </row>
    <row r="4374" spans="30:30" ht="12" x14ac:dyDescent="0.3">
      <c r="AD4374" s="6"/>
    </row>
    <row r="4375" spans="30:30" ht="12" x14ac:dyDescent="0.3">
      <c r="AD4375" s="6"/>
    </row>
    <row r="4376" spans="30:30" ht="12" x14ac:dyDescent="0.3">
      <c r="AD4376" s="6"/>
    </row>
    <row r="4377" spans="30:30" ht="12" x14ac:dyDescent="0.3">
      <c r="AD4377" s="6"/>
    </row>
    <row r="4378" spans="30:30" ht="12" x14ac:dyDescent="0.3">
      <c r="AD4378" s="6"/>
    </row>
    <row r="4379" spans="30:30" ht="12" x14ac:dyDescent="0.3">
      <c r="AD4379" s="6"/>
    </row>
    <row r="4380" spans="30:30" ht="12" x14ac:dyDescent="0.3">
      <c r="AD4380" s="6"/>
    </row>
    <row r="4381" spans="30:30" ht="12" x14ac:dyDescent="0.3">
      <c r="AD4381" s="6"/>
    </row>
    <row r="4382" spans="30:30" ht="12" x14ac:dyDescent="0.3">
      <c r="AD4382" s="6"/>
    </row>
    <row r="4383" spans="30:30" ht="12" x14ac:dyDescent="0.3">
      <c r="AD4383" s="6"/>
    </row>
    <row r="4384" spans="30:30" ht="12" x14ac:dyDescent="0.3">
      <c r="AD4384" s="6"/>
    </row>
    <row r="4385" spans="30:30" ht="12" x14ac:dyDescent="0.3">
      <c r="AD4385" s="6"/>
    </row>
    <row r="4386" spans="30:30" ht="12" x14ac:dyDescent="0.3">
      <c r="AD4386" s="6"/>
    </row>
    <row r="4387" spans="30:30" ht="12" x14ac:dyDescent="0.3">
      <c r="AD4387" s="6"/>
    </row>
    <row r="4388" spans="30:30" ht="12" x14ac:dyDescent="0.3">
      <c r="AD4388" s="6"/>
    </row>
    <row r="4389" spans="30:30" ht="12" x14ac:dyDescent="0.3">
      <c r="AD4389" s="6"/>
    </row>
    <row r="4390" spans="30:30" ht="12" x14ac:dyDescent="0.3">
      <c r="AD4390" s="6"/>
    </row>
    <row r="4391" spans="30:30" ht="12" x14ac:dyDescent="0.3">
      <c r="AD4391" s="6"/>
    </row>
    <row r="4392" spans="30:30" ht="12" x14ac:dyDescent="0.3">
      <c r="AD4392" s="6"/>
    </row>
    <row r="4393" spans="30:30" ht="12" x14ac:dyDescent="0.3">
      <c r="AD4393" s="6"/>
    </row>
    <row r="4394" spans="30:30" ht="12" x14ac:dyDescent="0.3">
      <c r="AD4394" s="6"/>
    </row>
    <row r="4395" spans="30:30" ht="12" x14ac:dyDescent="0.3">
      <c r="AD4395" s="6"/>
    </row>
    <row r="4396" spans="30:30" ht="12" x14ac:dyDescent="0.3">
      <c r="AD4396" s="6"/>
    </row>
    <row r="4397" spans="30:30" ht="12" x14ac:dyDescent="0.3">
      <c r="AD4397" s="6"/>
    </row>
    <row r="4398" spans="30:30" ht="12" x14ac:dyDescent="0.3">
      <c r="AD4398" s="6"/>
    </row>
    <row r="4399" spans="30:30" ht="12" x14ac:dyDescent="0.3">
      <c r="AD4399" s="6"/>
    </row>
    <row r="4400" spans="30:30" ht="12" x14ac:dyDescent="0.3">
      <c r="AD4400" s="6"/>
    </row>
    <row r="4401" spans="30:30" ht="12" x14ac:dyDescent="0.3">
      <c r="AD4401" s="6"/>
    </row>
    <row r="4402" spans="30:30" ht="12" x14ac:dyDescent="0.3">
      <c r="AD4402" s="6"/>
    </row>
    <row r="4403" spans="30:30" ht="12" x14ac:dyDescent="0.3">
      <c r="AD4403" s="6"/>
    </row>
    <row r="4404" spans="30:30" ht="12" x14ac:dyDescent="0.3">
      <c r="AD4404" s="6"/>
    </row>
    <row r="4405" spans="30:30" ht="12" x14ac:dyDescent="0.3">
      <c r="AD4405" s="6"/>
    </row>
    <row r="4406" spans="30:30" ht="12" x14ac:dyDescent="0.3">
      <c r="AD4406" s="6"/>
    </row>
    <row r="4407" spans="30:30" ht="12" x14ac:dyDescent="0.3">
      <c r="AD4407" s="6"/>
    </row>
    <row r="4408" spans="30:30" ht="12" x14ac:dyDescent="0.3">
      <c r="AD4408" s="6"/>
    </row>
    <row r="4409" spans="30:30" ht="12" x14ac:dyDescent="0.3">
      <c r="AD4409" s="6"/>
    </row>
    <row r="4410" spans="30:30" ht="12" x14ac:dyDescent="0.3">
      <c r="AD4410" s="6"/>
    </row>
    <row r="4411" spans="30:30" ht="12" x14ac:dyDescent="0.3">
      <c r="AD4411" s="6"/>
    </row>
    <row r="4412" spans="30:30" ht="12" x14ac:dyDescent="0.3">
      <c r="AD4412" s="6"/>
    </row>
    <row r="4413" spans="30:30" ht="12" x14ac:dyDescent="0.3">
      <c r="AD4413" s="6"/>
    </row>
    <row r="4414" spans="30:30" ht="12" x14ac:dyDescent="0.3">
      <c r="AD4414" s="6"/>
    </row>
    <row r="4415" spans="30:30" ht="12" x14ac:dyDescent="0.3">
      <c r="AD4415" s="6"/>
    </row>
    <row r="4416" spans="30:30" ht="12" x14ac:dyDescent="0.3">
      <c r="AD4416" s="6"/>
    </row>
    <row r="4417" spans="30:30" ht="12" x14ac:dyDescent="0.3">
      <c r="AD4417" s="6"/>
    </row>
    <row r="4418" spans="30:30" ht="12" x14ac:dyDescent="0.3">
      <c r="AD4418" s="6"/>
    </row>
    <row r="4419" spans="30:30" ht="12" x14ac:dyDescent="0.3">
      <c r="AD4419" s="6"/>
    </row>
    <row r="4420" spans="30:30" ht="12" x14ac:dyDescent="0.3">
      <c r="AD4420" s="6"/>
    </row>
    <row r="4421" spans="30:30" ht="12" x14ac:dyDescent="0.3">
      <c r="AD4421" s="6"/>
    </row>
    <row r="4422" spans="30:30" ht="12" x14ac:dyDescent="0.3">
      <c r="AD4422" s="6"/>
    </row>
    <row r="4423" spans="30:30" ht="12" x14ac:dyDescent="0.3">
      <c r="AD4423" s="6"/>
    </row>
    <row r="4424" spans="30:30" ht="12" x14ac:dyDescent="0.3">
      <c r="AD4424" s="6"/>
    </row>
    <row r="4425" spans="30:30" ht="12" x14ac:dyDescent="0.3">
      <c r="AD4425" s="6"/>
    </row>
    <row r="4426" spans="30:30" ht="12" x14ac:dyDescent="0.3">
      <c r="AD4426" s="6"/>
    </row>
    <row r="4427" spans="30:30" ht="12" x14ac:dyDescent="0.3">
      <c r="AD4427" s="6"/>
    </row>
    <row r="4428" spans="30:30" ht="12" x14ac:dyDescent="0.3">
      <c r="AD4428" s="6"/>
    </row>
    <row r="4429" spans="30:30" ht="12" x14ac:dyDescent="0.3">
      <c r="AD4429" s="6"/>
    </row>
    <row r="4430" spans="30:30" ht="12" x14ac:dyDescent="0.3">
      <c r="AD4430" s="6"/>
    </row>
    <row r="4431" spans="30:30" ht="12" x14ac:dyDescent="0.3">
      <c r="AD4431" s="6"/>
    </row>
    <row r="4432" spans="30:30" ht="12" x14ac:dyDescent="0.3">
      <c r="AD4432" s="6"/>
    </row>
    <row r="4433" spans="30:30" ht="12" x14ac:dyDescent="0.3">
      <c r="AD4433" s="6"/>
    </row>
    <row r="4434" spans="30:30" ht="12" x14ac:dyDescent="0.3">
      <c r="AD4434" s="6"/>
    </row>
    <row r="4435" spans="30:30" ht="12" x14ac:dyDescent="0.3">
      <c r="AD4435" s="6"/>
    </row>
    <row r="4436" spans="30:30" ht="12" x14ac:dyDescent="0.3">
      <c r="AD4436" s="6"/>
    </row>
    <row r="4437" spans="30:30" ht="12" x14ac:dyDescent="0.3">
      <c r="AD4437" s="6"/>
    </row>
    <row r="4438" spans="30:30" ht="12" x14ac:dyDescent="0.3">
      <c r="AD4438" s="6"/>
    </row>
    <row r="4439" spans="30:30" ht="12" x14ac:dyDescent="0.3">
      <c r="AD4439" s="6"/>
    </row>
    <row r="4440" spans="30:30" ht="12" x14ac:dyDescent="0.3">
      <c r="AD4440" s="6"/>
    </row>
    <row r="4441" spans="30:30" ht="12" x14ac:dyDescent="0.3">
      <c r="AD4441" s="6"/>
    </row>
    <row r="4442" spans="30:30" ht="12" x14ac:dyDescent="0.3">
      <c r="AD4442" s="6"/>
    </row>
    <row r="4443" spans="30:30" ht="12" x14ac:dyDescent="0.3">
      <c r="AD4443" s="6"/>
    </row>
    <row r="4444" spans="30:30" ht="12" x14ac:dyDescent="0.3">
      <c r="AD4444" s="6"/>
    </row>
    <row r="4445" spans="30:30" ht="12" x14ac:dyDescent="0.3">
      <c r="AD4445" s="6"/>
    </row>
    <row r="4446" spans="30:30" ht="12" x14ac:dyDescent="0.3">
      <c r="AD4446" s="6"/>
    </row>
    <row r="4447" spans="30:30" ht="12" x14ac:dyDescent="0.3">
      <c r="AD4447" s="6"/>
    </row>
    <row r="4448" spans="30:30" ht="12" x14ac:dyDescent="0.3">
      <c r="AD4448" s="6"/>
    </row>
    <row r="4449" spans="30:30" ht="12" x14ac:dyDescent="0.3">
      <c r="AD4449" s="6"/>
    </row>
    <row r="4450" spans="30:30" ht="12" x14ac:dyDescent="0.3">
      <c r="AD4450" s="6"/>
    </row>
    <row r="4451" spans="30:30" ht="12" x14ac:dyDescent="0.3">
      <c r="AD4451" s="6"/>
    </row>
    <row r="4452" spans="30:30" ht="12" x14ac:dyDescent="0.3">
      <c r="AD4452" s="6"/>
    </row>
    <row r="4453" spans="30:30" ht="12" x14ac:dyDescent="0.3">
      <c r="AD4453" s="6"/>
    </row>
    <row r="4454" spans="30:30" ht="12" x14ac:dyDescent="0.3">
      <c r="AD4454" s="6"/>
    </row>
    <row r="4455" spans="30:30" ht="12" x14ac:dyDescent="0.3">
      <c r="AD4455" s="6"/>
    </row>
    <row r="4456" spans="30:30" ht="12" x14ac:dyDescent="0.3">
      <c r="AD4456" s="6"/>
    </row>
    <row r="4457" spans="30:30" ht="12" x14ac:dyDescent="0.3">
      <c r="AD4457" s="6"/>
    </row>
    <row r="4458" spans="30:30" ht="12" x14ac:dyDescent="0.3">
      <c r="AD4458" s="6"/>
    </row>
    <row r="4459" spans="30:30" ht="12" x14ac:dyDescent="0.3">
      <c r="AD4459" s="6"/>
    </row>
    <row r="4460" spans="30:30" ht="12" x14ac:dyDescent="0.3">
      <c r="AD4460" s="6"/>
    </row>
    <row r="4461" spans="30:30" ht="12" x14ac:dyDescent="0.3">
      <c r="AD4461" s="6"/>
    </row>
    <row r="4462" spans="30:30" ht="12" x14ac:dyDescent="0.3">
      <c r="AD4462" s="6"/>
    </row>
    <row r="4463" spans="30:30" ht="12" x14ac:dyDescent="0.3">
      <c r="AD4463" s="6"/>
    </row>
    <row r="4464" spans="30:30" ht="12" x14ac:dyDescent="0.3">
      <c r="AD4464" s="6"/>
    </row>
    <row r="4465" spans="30:30" ht="12" x14ac:dyDescent="0.3">
      <c r="AD4465" s="6"/>
    </row>
    <row r="4466" spans="30:30" ht="12" x14ac:dyDescent="0.3">
      <c r="AD4466" s="6"/>
    </row>
    <row r="4467" spans="30:30" ht="12" x14ac:dyDescent="0.3">
      <c r="AD4467" s="6"/>
    </row>
    <row r="4468" spans="30:30" ht="12" x14ac:dyDescent="0.3">
      <c r="AD4468" s="6"/>
    </row>
    <row r="4469" spans="30:30" ht="12" x14ac:dyDescent="0.3">
      <c r="AD4469" s="6"/>
    </row>
    <row r="4470" spans="30:30" ht="12" x14ac:dyDescent="0.3">
      <c r="AD4470" s="6"/>
    </row>
    <row r="4471" spans="30:30" ht="12" x14ac:dyDescent="0.3">
      <c r="AD4471" s="6"/>
    </row>
    <row r="4472" spans="30:30" ht="12" x14ac:dyDescent="0.3">
      <c r="AD4472" s="6"/>
    </row>
    <row r="4473" spans="30:30" ht="12" x14ac:dyDescent="0.3">
      <c r="AD4473" s="6"/>
    </row>
    <row r="4474" spans="30:30" ht="12" x14ac:dyDescent="0.3">
      <c r="AD4474" s="6"/>
    </row>
    <row r="4475" spans="30:30" ht="12" x14ac:dyDescent="0.3">
      <c r="AD4475" s="6"/>
    </row>
    <row r="4476" spans="30:30" ht="12" x14ac:dyDescent="0.3">
      <c r="AD4476" s="6"/>
    </row>
    <row r="4477" spans="30:30" ht="12" x14ac:dyDescent="0.3">
      <c r="AD4477" s="6"/>
    </row>
    <row r="4478" spans="30:30" ht="12" x14ac:dyDescent="0.3">
      <c r="AD4478" s="6"/>
    </row>
    <row r="4479" spans="30:30" ht="12" x14ac:dyDescent="0.3">
      <c r="AD4479" s="6"/>
    </row>
    <row r="4480" spans="30:30" ht="12" x14ac:dyDescent="0.3">
      <c r="AD4480" s="6"/>
    </row>
    <row r="4481" spans="30:30" ht="12" x14ac:dyDescent="0.3">
      <c r="AD4481" s="6"/>
    </row>
    <row r="4482" spans="30:30" ht="12" x14ac:dyDescent="0.3">
      <c r="AD4482" s="6"/>
    </row>
    <row r="4483" spans="30:30" ht="12" x14ac:dyDescent="0.3">
      <c r="AD4483" s="6"/>
    </row>
    <row r="4484" spans="30:30" ht="12" x14ac:dyDescent="0.3">
      <c r="AD4484" s="6"/>
    </row>
    <row r="4485" spans="30:30" ht="12" x14ac:dyDescent="0.3">
      <c r="AD4485" s="6"/>
    </row>
    <row r="4486" spans="30:30" ht="12" x14ac:dyDescent="0.3">
      <c r="AD4486" s="6"/>
    </row>
    <row r="4487" spans="30:30" ht="12" x14ac:dyDescent="0.3">
      <c r="AD4487" s="6"/>
    </row>
    <row r="4488" spans="30:30" ht="12" x14ac:dyDescent="0.3">
      <c r="AD4488" s="6"/>
    </row>
    <row r="4489" spans="30:30" ht="12" x14ac:dyDescent="0.3">
      <c r="AD4489" s="6"/>
    </row>
    <row r="4490" spans="30:30" ht="12" x14ac:dyDescent="0.3">
      <c r="AD4490" s="6"/>
    </row>
    <row r="4491" spans="30:30" ht="12" x14ac:dyDescent="0.3">
      <c r="AD4491" s="6"/>
    </row>
    <row r="4492" spans="30:30" ht="12" x14ac:dyDescent="0.3">
      <c r="AD4492" s="6"/>
    </row>
    <row r="4493" spans="30:30" ht="12" x14ac:dyDescent="0.3">
      <c r="AD4493" s="6"/>
    </row>
    <row r="4494" spans="30:30" ht="12" x14ac:dyDescent="0.3">
      <c r="AD4494" s="6"/>
    </row>
    <row r="4495" spans="30:30" ht="12" x14ac:dyDescent="0.3">
      <c r="AD4495" s="6"/>
    </row>
    <row r="4496" spans="30:30" ht="12" x14ac:dyDescent="0.3">
      <c r="AD4496" s="6"/>
    </row>
    <row r="4497" spans="30:30" ht="12" x14ac:dyDescent="0.3">
      <c r="AD4497" s="6"/>
    </row>
    <row r="4498" spans="30:30" ht="12" x14ac:dyDescent="0.3">
      <c r="AD4498" s="6"/>
    </row>
    <row r="4499" spans="30:30" ht="12" x14ac:dyDescent="0.3">
      <c r="AD4499" s="6"/>
    </row>
    <row r="4500" spans="30:30" ht="12" x14ac:dyDescent="0.3">
      <c r="AD4500" s="6"/>
    </row>
    <row r="4501" spans="30:30" ht="12" x14ac:dyDescent="0.3">
      <c r="AD4501" s="6"/>
    </row>
    <row r="4502" spans="30:30" ht="12" x14ac:dyDescent="0.3">
      <c r="AD4502" s="6"/>
    </row>
    <row r="4503" spans="30:30" ht="12" x14ac:dyDescent="0.3">
      <c r="AD4503" s="6"/>
    </row>
    <row r="4504" spans="30:30" ht="12" x14ac:dyDescent="0.3">
      <c r="AD4504" s="6"/>
    </row>
    <row r="4505" spans="30:30" ht="12" x14ac:dyDescent="0.3">
      <c r="AD4505" s="6"/>
    </row>
    <row r="4506" spans="30:30" ht="12" x14ac:dyDescent="0.3">
      <c r="AD4506" s="6"/>
    </row>
    <row r="4507" spans="30:30" ht="12" x14ac:dyDescent="0.3">
      <c r="AD4507" s="6"/>
    </row>
    <row r="4508" spans="30:30" ht="12" x14ac:dyDescent="0.3">
      <c r="AD4508" s="6"/>
    </row>
    <row r="4509" spans="30:30" ht="12" x14ac:dyDescent="0.3">
      <c r="AD4509" s="6"/>
    </row>
    <row r="4510" spans="30:30" ht="12" x14ac:dyDescent="0.3">
      <c r="AD4510" s="6"/>
    </row>
    <row r="4511" spans="30:30" ht="12" x14ac:dyDescent="0.3">
      <c r="AD4511" s="6"/>
    </row>
    <row r="4512" spans="30:30" ht="12" x14ac:dyDescent="0.3">
      <c r="AD4512" s="6"/>
    </row>
    <row r="4513" spans="30:30" ht="12" x14ac:dyDescent="0.3">
      <c r="AD4513" s="6"/>
    </row>
    <row r="4514" spans="30:30" ht="12" x14ac:dyDescent="0.3">
      <c r="AD4514" s="6"/>
    </row>
    <row r="4515" spans="30:30" ht="12" x14ac:dyDescent="0.3">
      <c r="AD4515" s="6"/>
    </row>
    <row r="4516" spans="30:30" ht="12" x14ac:dyDescent="0.3">
      <c r="AD4516" s="6"/>
    </row>
    <row r="4517" spans="30:30" ht="12" x14ac:dyDescent="0.3">
      <c r="AD4517" s="6"/>
    </row>
    <row r="4518" spans="30:30" ht="12" x14ac:dyDescent="0.3">
      <c r="AD4518" s="6"/>
    </row>
    <row r="4519" spans="30:30" ht="12" x14ac:dyDescent="0.3">
      <c r="AD4519" s="6"/>
    </row>
    <row r="4520" spans="30:30" ht="12" x14ac:dyDescent="0.3">
      <c r="AD4520" s="6"/>
    </row>
    <row r="4521" spans="30:30" ht="12" x14ac:dyDescent="0.3">
      <c r="AD4521" s="6"/>
    </row>
    <row r="4522" spans="30:30" ht="12" x14ac:dyDescent="0.3">
      <c r="AD4522" s="6"/>
    </row>
    <row r="4523" spans="30:30" ht="12" x14ac:dyDescent="0.3">
      <c r="AD4523" s="6"/>
    </row>
    <row r="4524" spans="30:30" ht="12" x14ac:dyDescent="0.3">
      <c r="AD4524" s="6"/>
    </row>
    <row r="4525" spans="30:30" ht="12" x14ac:dyDescent="0.3">
      <c r="AD4525" s="6"/>
    </row>
    <row r="4526" spans="30:30" ht="12" x14ac:dyDescent="0.3">
      <c r="AD4526" s="6"/>
    </row>
    <row r="4527" spans="30:30" ht="12" x14ac:dyDescent="0.3">
      <c r="AD4527" s="6"/>
    </row>
    <row r="4528" spans="30:30" ht="12" x14ac:dyDescent="0.3">
      <c r="AD4528" s="6"/>
    </row>
    <row r="4529" spans="30:30" ht="12" x14ac:dyDescent="0.3">
      <c r="AD4529" s="6"/>
    </row>
    <row r="4530" spans="30:30" ht="12" x14ac:dyDescent="0.3">
      <c r="AD4530" s="6"/>
    </row>
    <row r="4531" spans="30:30" ht="12" x14ac:dyDescent="0.3">
      <c r="AD4531" s="6"/>
    </row>
    <row r="4532" spans="30:30" ht="12" x14ac:dyDescent="0.3">
      <c r="AD4532" s="6"/>
    </row>
    <row r="4533" spans="30:30" ht="12" x14ac:dyDescent="0.3">
      <c r="AD4533" s="6"/>
    </row>
    <row r="4534" spans="30:30" ht="12" x14ac:dyDescent="0.3">
      <c r="AD4534" s="6"/>
    </row>
    <row r="4535" spans="30:30" ht="12" x14ac:dyDescent="0.3">
      <c r="AD4535" s="6"/>
    </row>
    <row r="4536" spans="30:30" ht="12" x14ac:dyDescent="0.3">
      <c r="AD4536" s="6"/>
    </row>
    <row r="4537" spans="30:30" ht="12" x14ac:dyDescent="0.3">
      <c r="AD4537" s="6"/>
    </row>
    <row r="4538" spans="30:30" ht="12" x14ac:dyDescent="0.3">
      <c r="AD4538" s="6"/>
    </row>
    <row r="4539" spans="30:30" ht="12" x14ac:dyDescent="0.3">
      <c r="AD4539" s="6"/>
    </row>
    <row r="4540" spans="30:30" ht="12" x14ac:dyDescent="0.3">
      <c r="AD4540" s="6"/>
    </row>
    <row r="4541" spans="30:30" ht="12" x14ac:dyDescent="0.3">
      <c r="AD4541" s="6"/>
    </row>
    <row r="4542" spans="30:30" ht="12" x14ac:dyDescent="0.3">
      <c r="AD4542" s="6"/>
    </row>
    <row r="4543" spans="30:30" ht="12" x14ac:dyDescent="0.3">
      <c r="AD4543" s="6"/>
    </row>
    <row r="4544" spans="30:30" ht="12" x14ac:dyDescent="0.3">
      <c r="AD4544" s="6"/>
    </row>
    <row r="4545" spans="30:30" ht="12" x14ac:dyDescent="0.3">
      <c r="AD4545" s="6"/>
    </row>
    <row r="4546" spans="30:30" ht="12" x14ac:dyDescent="0.3">
      <c r="AD4546" s="6"/>
    </row>
    <row r="4547" spans="30:30" ht="12" x14ac:dyDescent="0.3">
      <c r="AD4547" s="6"/>
    </row>
    <row r="4548" spans="30:30" ht="12" x14ac:dyDescent="0.3">
      <c r="AD4548" s="6"/>
    </row>
    <row r="4549" spans="30:30" ht="12" x14ac:dyDescent="0.3">
      <c r="AD4549" s="6"/>
    </row>
    <row r="4550" spans="30:30" ht="12" x14ac:dyDescent="0.3">
      <c r="AD4550" s="6"/>
    </row>
    <row r="4551" spans="30:30" ht="12" x14ac:dyDescent="0.3">
      <c r="AD4551" s="6"/>
    </row>
    <row r="4552" spans="30:30" ht="12" x14ac:dyDescent="0.3">
      <c r="AD4552" s="6"/>
    </row>
    <row r="4553" spans="30:30" ht="12" x14ac:dyDescent="0.3">
      <c r="AD4553" s="6"/>
    </row>
    <row r="4554" spans="30:30" ht="12" x14ac:dyDescent="0.3">
      <c r="AD4554" s="6"/>
    </row>
    <row r="4555" spans="30:30" ht="12" x14ac:dyDescent="0.3">
      <c r="AD4555" s="6"/>
    </row>
    <row r="4556" spans="30:30" ht="12" x14ac:dyDescent="0.3">
      <c r="AD4556" s="6"/>
    </row>
    <row r="4557" spans="30:30" ht="12" x14ac:dyDescent="0.3">
      <c r="AD4557" s="6"/>
    </row>
    <row r="4558" spans="30:30" ht="12" x14ac:dyDescent="0.3">
      <c r="AD4558" s="6"/>
    </row>
    <row r="4559" spans="30:30" ht="12" x14ac:dyDescent="0.3">
      <c r="AD4559" s="6"/>
    </row>
    <row r="4560" spans="30:30" ht="12" x14ac:dyDescent="0.3">
      <c r="AD4560" s="6"/>
    </row>
    <row r="4561" spans="30:30" ht="12" x14ac:dyDescent="0.3">
      <c r="AD4561" s="6"/>
    </row>
    <row r="4562" spans="30:30" ht="12" x14ac:dyDescent="0.3">
      <c r="AD4562" s="6"/>
    </row>
    <row r="4563" spans="30:30" ht="12" x14ac:dyDescent="0.3">
      <c r="AD4563" s="6"/>
    </row>
    <row r="4564" spans="30:30" ht="12" x14ac:dyDescent="0.3">
      <c r="AD4564" s="6"/>
    </row>
    <row r="4565" spans="30:30" ht="12" x14ac:dyDescent="0.3">
      <c r="AD4565" s="6"/>
    </row>
    <row r="4566" spans="30:30" ht="12" x14ac:dyDescent="0.3">
      <c r="AD4566" s="6"/>
    </row>
    <row r="4567" spans="30:30" ht="12" x14ac:dyDescent="0.3">
      <c r="AD4567" s="6"/>
    </row>
    <row r="4568" spans="30:30" ht="12" x14ac:dyDescent="0.3">
      <c r="AD4568" s="6"/>
    </row>
    <row r="4569" spans="30:30" ht="12" x14ac:dyDescent="0.3">
      <c r="AD4569" s="6"/>
    </row>
    <row r="4570" spans="30:30" ht="12" x14ac:dyDescent="0.3">
      <c r="AD4570" s="6"/>
    </row>
    <row r="4571" spans="30:30" ht="12" x14ac:dyDescent="0.3">
      <c r="AD4571" s="6"/>
    </row>
    <row r="4572" spans="30:30" ht="12" x14ac:dyDescent="0.3">
      <c r="AD4572" s="6"/>
    </row>
    <row r="4573" spans="30:30" ht="12" x14ac:dyDescent="0.3">
      <c r="AD4573" s="6"/>
    </row>
    <row r="4574" spans="30:30" ht="12" x14ac:dyDescent="0.3">
      <c r="AD4574" s="6"/>
    </row>
    <row r="4575" spans="30:30" ht="12" x14ac:dyDescent="0.3">
      <c r="AD4575" s="6"/>
    </row>
    <row r="4576" spans="30:30" ht="12" x14ac:dyDescent="0.3">
      <c r="AD4576" s="6"/>
    </row>
    <row r="4577" spans="30:30" ht="12" x14ac:dyDescent="0.3">
      <c r="AD4577" s="6"/>
    </row>
    <row r="4578" spans="30:30" ht="12" x14ac:dyDescent="0.3">
      <c r="AD4578" s="6"/>
    </row>
    <row r="4579" spans="30:30" ht="12" x14ac:dyDescent="0.3">
      <c r="AD4579" s="6"/>
    </row>
    <row r="4580" spans="30:30" ht="12" x14ac:dyDescent="0.3">
      <c r="AD4580" s="6"/>
    </row>
    <row r="4581" spans="30:30" ht="12" x14ac:dyDescent="0.3">
      <c r="AD4581" s="6"/>
    </row>
    <row r="4582" spans="30:30" ht="12" x14ac:dyDescent="0.3">
      <c r="AD4582" s="6"/>
    </row>
    <row r="4583" spans="30:30" ht="12" x14ac:dyDescent="0.3">
      <c r="AD4583" s="6"/>
    </row>
    <row r="4584" spans="30:30" ht="12" x14ac:dyDescent="0.3">
      <c r="AD4584" s="6"/>
    </row>
    <row r="4585" spans="30:30" ht="12" x14ac:dyDescent="0.3">
      <c r="AD4585" s="6"/>
    </row>
    <row r="4586" spans="30:30" ht="12" x14ac:dyDescent="0.3">
      <c r="AD4586" s="6"/>
    </row>
    <row r="4587" spans="30:30" ht="12" x14ac:dyDescent="0.3">
      <c r="AD4587" s="6"/>
    </row>
    <row r="4588" spans="30:30" ht="12" x14ac:dyDescent="0.3">
      <c r="AD4588" s="6"/>
    </row>
    <row r="4589" spans="30:30" ht="12" x14ac:dyDescent="0.3">
      <c r="AD4589" s="6"/>
    </row>
    <row r="4590" spans="30:30" ht="12" x14ac:dyDescent="0.3">
      <c r="AD4590" s="6"/>
    </row>
    <row r="4591" spans="30:30" ht="12" x14ac:dyDescent="0.3">
      <c r="AD4591" s="6"/>
    </row>
    <row r="4592" spans="30:30" ht="12" x14ac:dyDescent="0.3">
      <c r="AD4592" s="6"/>
    </row>
    <row r="4593" spans="30:30" ht="12" x14ac:dyDescent="0.3">
      <c r="AD4593" s="6"/>
    </row>
    <row r="4594" spans="30:30" ht="12" x14ac:dyDescent="0.3">
      <c r="AD4594" s="6"/>
    </row>
    <row r="4595" spans="30:30" ht="12" x14ac:dyDescent="0.3">
      <c r="AD4595" s="6"/>
    </row>
    <row r="4596" spans="30:30" ht="12" x14ac:dyDescent="0.3">
      <c r="AD4596" s="6"/>
    </row>
    <row r="4597" spans="30:30" ht="12" x14ac:dyDescent="0.3">
      <c r="AD4597" s="6"/>
    </row>
    <row r="4598" spans="30:30" ht="12" x14ac:dyDescent="0.3">
      <c r="AD4598" s="6"/>
    </row>
    <row r="4599" spans="30:30" ht="12" x14ac:dyDescent="0.3">
      <c r="AD4599" s="6"/>
    </row>
    <row r="4600" spans="30:30" ht="12" x14ac:dyDescent="0.3">
      <c r="AD4600" s="6"/>
    </row>
    <row r="4601" spans="30:30" ht="12" x14ac:dyDescent="0.3">
      <c r="AD4601" s="6"/>
    </row>
    <row r="4602" spans="30:30" ht="12" x14ac:dyDescent="0.3">
      <c r="AD4602" s="6"/>
    </row>
    <row r="4603" spans="30:30" ht="12" x14ac:dyDescent="0.3">
      <c r="AD4603" s="6"/>
    </row>
    <row r="4604" spans="30:30" ht="12" x14ac:dyDescent="0.3">
      <c r="AD4604" s="6"/>
    </row>
    <row r="4605" spans="30:30" ht="12" x14ac:dyDescent="0.3">
      <c r="AD4605" s="6"/>
    </row>
    <row r="4606" spans="30:30" ht="12" x14ac:dyDescent="0.3">
      <c r="AD4606" s="6"/>
    </row>
    <row r="4607" spans="30:30" ht="12" x14ac:dyDescent="0.3">
      <c r="AD4607" s="6"/>
    </row>
    <row r="4608" spans="30:30" ht="12" x14ac:dyDescent="0.3">
      <c r="AD4608" s="6"/>
    </row>
    <row r="4609" spans="30:30" ht="12" x14ac:dyDescent="0.3">
      <c r="AD4609" s="6"/>
    </row>
    <row r="4610" spans="30:30" ht="12" x14ac:dyDescent="0.3">
      <c r="AD4610" s="6"/>
    </row>
    <row r="4611" spans="30:30" ht="12" x14ac:dyDescent="0.3">
      <c r="AD4611" s="6"/>
    </row>
    <row r="4612" spans="30:30" ht="12" x14ac:dyDescent="0.3">
      <c r="AD4612" s="6"/>
    </row>
    <row r="4613" spans="30:30" ht="12" x14ac:dyDescent="0.3">
      <c r="AD4613" s="6"/>
    </row>
    <row r="4614" spans="30:30" ht="12" x14ac:dyDescent="0.3">
      <c r="AD4614" s="6"/>
    </row>
    <row r="4615" spans="30:30" ht="12" x14ac:dyDescent="0.3">
      <c r="AD4615" s="6"/>
    </row>
    <row r="4616" spans="30:30" ht="12" x14ac:dyDescent="0.3">
      <c r="AD4616" s="6"/>
    </row>
    <row r="4617" spans="30:30" ht="12" x14ac:dyDescent="0.3">
      <c r="AD4617" s="6"/>
    </row>
    <row r="4618" spans="30:30" ht="12" x14ac:dyDescent="0.3">
      <c r="AD4618" s="6"/>
    </row>
    <row r="4619" spans="30:30" ht="12" x14ac:dyDescent="0.3">
      <c r="AD4619" s="6"/>
    </row>
    <row r="4620" spans="30:30" ht="12" x14ac:dyDescent="0.3">
      <c r="AD4620" s="6"/>
    </row>
    <row r="4621" spans="30:30" ht="12" x14ac:dyDescent="0.3">
      <c r="AD4621" s="6"/>
    </row>
    <row r="4622" spans="30:30" ht="12" x14ac:dyDescent="0.3">
      <c r="AD4622" s="6"/>
    </row>
    <row r="4623" spans="30:30" ht="12" x14ac:dyDescent="0.3">
      <c r="AD4623" s="6"/>
    </row>
    <row r="4624" spans="30:30" ht="12" x14ac:dyDescent="0.3">
      <c r="AD4624" s="6"/>
    </row>
    <row r="4625" spans="30:30" ht="12" x14ac:dyDescent="0.3">
      <c r="AD4625" s="6"/>
    </row>
    <row r="4626" spans="30:30" ht="12" x14ac:dyDescent="0.3">
      <c r="AD4626" s="6"/>
    </row>
    <row r="4627" spans="30:30" ht="12" x14ac:dyDescent="0.3">
      <c r="AD4627" s="6"/>
    </row>
    <row r="4628" spans="30:30" ht="12" x14ac:dyDescent="0.3">
      <c r="AD4628" s="6"/>
    </row>
    <row r="4629" spans="30:30" ht="12" x14ac:dyDescent="0.3">
      <c r="AD4629" s="6"/>
    </row>
    <row r="4630" spans="30:30" ht="12" x14ac:dyDescent="0.3">
      <c r="AD4630" s="6"/>
    </row>
    <row r="4631" spans="30:30" ht="12" x14ac:dyDescent="0.3">
      <c r="AD4631" s="6"/>
    </row>
    <row r="4632" spans="30:30" ht="12" x14ac:dyDescent="0.3">
      <c r="AD4632" s="6"/>
    </row>
    <row r="4633" spans="30:30" ht="12" x14ac:dyDescent="0.3">
      <c r="AD4633" s="6"/>
    </row>
    <row r="4634" spans="30:30" ht="12" x14ac:dyDescent="0.3">
      <c r="AD4634" s="6"/>
    </row>
    <row r="4635" spans="30:30" ht="12" x14ac:dyDescent="0.3">
      <c r="AD4635" s="6"/>
    </row>
    <row r="4636" spans="30:30" ht="12" x14ac:dyDescent="0.3">
      <c r="AD4636" s="6"/>
    </row>
    <row r="4637" spans="30:30" ht="12" x14ac:dyDescent="0.3">
      <c r="AD4637" s="6"/>
    </row>
    <row r="4638" spans="30:30" ht="12" x14ac:dyDescent="0.3">
      <c r="AD4638" s="6"/>
    </row>
    <row r="4639" spans="30:30" ht="12" x14ac:dyDescent="0.3">
      <c r="AD4639" s="6"/>
    </row>
    <row r="4640" spans="30:30" ht="12" x14ac:dyDescent="0.3">
      <c r="AD4640" s="6"/>
    </row>
    <row r="4641" spans="30:30" ht="12" x14ac:dyDescent="0.3">
      <c r="AD4641" s="6"/>
    </row>
    <row r="4642" spans="30:30" ht="12" x14ac:dyDescent="0.3">
      <c r="AD4642" s="6"/>
    </row>
    <row r="4643" spans="30:30" ht="12" x14ac:dyDescent="0.3">
      <c r="AD4643" s="6"/>
    </row>
    <row r="4644" spans="30:30" ht="12" x14ac:dyDescent="0.3">
      <c r="AD4644" s="6"/>
    </row>
    <row r="4645" spans="30:30" ht="12" x14ac:dyDescent="0.3">
      <c r="AD4645" s="6"/>
    </row>
    <row r="4646" spans="30:30" ht="12" x14ac:dyDescent="0.3">
      <c r="AD4646" s="6"/>
    </row>
    <row r="4647" spans="30:30" ht="12" x14ac:dyDescent="0.3">
      <c r="AD4647" s="6"/>
    </row>
    <row r="4648" spans="30:30" ht="12" x14ac:dyDescent="0.3">
      <c r="AD4648" s="6"/>
    </row>
    <row r="4649" spans="30:30" ht="12" x14ac:dyDescent="0.3">
      <c r="AD4649" s="6"/>
    </row>
    <row r="4650" spans="30:30" ht="12" x14ac:dyDescent="0.3">
      <c r="AD4650" s="6"/>
    </row>
    <row r="4651" spans="30:30" ht="12" x14ac:dyDescent="0.3">
      <c r="AD4651" s="6"/>
    </row>
    <row r="4652" spans="30:30" ht="12" x14ac:dyDescent="0.3">
      <c r="AD4652" s="6"/>
    </row>
    <row r="4653" spans="30:30" ht="12" x14ac:dyDescent="0.3">
      <c r="AD4653" s="6"/>
    </row>
    <row r="4654" spans="30:30" ht="12" x14ac:dyDescent="0.3">
      <c r="AD4654" s="6"/>
    </row>
    <row r="4655" spans="30:30" ht="12" x14ac:dyDescent="0.3">
      <c r="AD4655" s="6"/>
    </row>
    <row r="4656" spans="30:30" ht="12" x14ac:dyDescent="0.3">
      <c r="AD4656" s="6"/>
    </row>
    <row r="4657" spans="30:30" ht="12" x14ac:dyDescent="0.3">
      <c r="AD4657" s="6"/>
    </row>
    <row r="4658" spans="30:30" ht="12" x14ac:dyDescent="0.3">
      <c r="AD4658" s="6"/>
    </row>
    <row r="4659" spans="30:30" ht="12" x14ac:dyDescent="0.3">
      <c r="AD4659" s="6"/>
    </row>
    <row r="4660" spans="30:30" ht="12" x14ac:dyDescent="0.3">
      <c r="AD4660" s="6"/>
    </row>
    <row r="4661" spans="30:30" ht="12" x14ac:dyDescent="0.3">
      <c r="AD4661" s="6"/>
    </row>
    <row r="4662" spans="30:30" ht="12" x14ac:dyDescent="0.3">
      <c r="AD4662" s="6"/>
    </row>
    <row r="4663" spans="30:30" ht="12" x14ac:dyDescent="0.3">
      <c r="AD4663" s="6"/>
    </row>
    <row r="4664" spans="30:30" ht="12" x14ac:dyDescent="0.3">
      <c r="AD4664" s="6"/>
    </row>
    <row r="4665" spans="30:30" ht="12" x14ac:dyDescent="0.3">
      <c r="AD4665" s="6"/>
    </row>
    <row r="4666" spans="30:30" ht="12" x14ac:dyDescent="0.3">
      <c r="AD4666" s="6"/>
    </row>
    <row r="4667" spans="30:30" ht="12" x14ac:dyDescent="0.3">
      <c r="AD4667" s="6"/>
    </row>
    <row r="4668" spans="30:30" ht="12" x14ac:dyDescent="0.3">
      <c r="AD4668" s="6"/>
    </row>
    <row r="4669" spans="30:30" ht="12" x14ac:dyDescent="0.3">
      <c r="AD4669" s="6"/>
    </row>
    <row r="4670" spans="30:30" ht="12" x14ac:dyDescent="0.3">
      <c r="AD4670" s="6"/>
    </row>
    <row r="4671" spans="30:30" ht="12" x14ac:dyDescent="0.3">
      <c r="AD4671" s="6"/>
    </row>
    <row r="4672" spans="30:30" ht="12" x14ac:dyDescent="0.3">
      <c r="AD4672" s="6"/>
    </row>
    <row r="4673" spans="30:30" ht="12" x14ac:dyDescent="0.3">
      <c r="AD4673" s="6"/>
    </row>
    <row r="4674" spans="30:30" ht="12" x14ac:dyDescent="0.3">
      <c r="AD4674" s="6"/>
    </row>
    <row r="4675" spans="30:30" ht="12" x14ac:dyDescent="0.3">
      <c r="AD4675" s="6"/>
    </row>
    <row r="4676" spans="30:30" ht="12" x14ac:dyDescent="0.3">
      <c r="AD4676" s="6"/>
    </row>
    <row r="4677" spans="30:30" ht="12" x14ac:dyDescent="0.3">
      <c r="AD4677" s="6"/>
    </row>
    <row r="4678" spans="30:30" ht="12" x14ac:dyDescent="0.3">
      <c r="AD4678" s="6"/>
    </row>
    <row r="4679" spans="30:30" ht="12" x14ac:dyDescent="0.3">
      <c r="AD4679" s="6"/>
    </row>
    <row r="4680" spans="30:30" ht="12" x14ac:dyDescent="0.3">
      <c r="AD4680" s="6"/>
    </row>
    <row r="4681" spans="30:30" ht="12" x14ac:dyDescent="0.3">
      <c r="AD4681" s="6"/>
    </row>
    <row r="4682" spans="30:30" ht="12" x14ac:dyDescent="0.3">
      <c r="AD4682" s="6"/>
    </row>
    <row r="4683" spans="30:30" ht="12" x14ac:dyDescent="0.3">
      <c r="AD4683" s="6"/>
    </row>
    <row r="4684" spans="30:30" ht="12" x14ac:dyDescent="0.3">
      <c r="AD4684" s="6"/>
    </row>
    <row r="4685" spans="30:30" ht="12" x14ac:dyDescent="0.3">
      <c r="AD4685" s="6"/>
    </row>
    <row r="4686" spans="30:30" ht="12" x14ac:dyDescent="0.3">
      <c r="AD4686" s="6"/>
    </row>
    <row r="4687" spans="30:30" ht="12" x14ac:dyDescent="0.3">
      <c r="AD4687" s="6"/>
    </row>
    <row r="4688" spans="30:30" ht="12" x14ac:dyDescent="0.3">
      <c r="AD4688" s="6"/>
    </row>
    <row r="4689" spans="30:30" ht="12" x14ac:dyDescent="0.3">
      <c r="AD4689" s="6"/>
    </row>
    <row r="4690" spans="30:30" ht="12" x14ac:dyDescent="0.3">
      <c r="AD4690" s="6"/>
    </row>
    <row r="4691" spans="30:30" ht="12" x14ac:dyDescent="0.3">
      <c r="AD4691" s="6"/>
    </row>
    <row r="4692" spans="30:30" ht="12" x14ac:dyDescent="0.3">
      <c r="AD4692" s="6"/>
    </row>
    <row r="4693" spans="30:30" ht="12" x14ac:dyDescent="0.3">
      <c r="AD4693" s="6"/>
    </row>
    <row r="4694" spans="30:30" ht="12" x14ac:dyDescent="0.3">
      <c r="AD4694" s="6"/>
    </row>
    <row r="4695" spans="30:30" ht="12" x14ac:dyDescent="0.3">
      <c r="AD4695" s="6"/>
    </row>
    <row r="4696" spans="30:30" ht="12" x14ac:dyDescent="0.3">
      <c r="AD4696" s="6"/>
    </row>
    <row r="4697" spans="30:30" ht="12" x14ac:dyDescent="0.3">
      <c r="AD4697" s="6"/>
    </row>
    <row r="4698" spans="30:30" ht="12" x14ac:dyDescent="0.3">
      <c r="AD4698" s="6"/>
    </row>
    <row r="4699" spans="30:30" ht="12" x14ac:dyDescent="0.3">
      <c r="AD4699" s="6"/>
    </row>
    <row r="4700" spans="30:30" ht="12" x14ac:dyDescent="0.3">
      <c r="AD4700" s="6"/>
    </row>
    <row r="4701" spans="30:30" ht="12" x14ac:dyDescent="0.3">
      <c r="AD4701" s="6"/>
    </row>
    <row r="4702" spans="30:30" ht="12" x14ac:dyDescent="0.3">
      <c r="AD4702" s="6"/>
    </row>
    <row r="4703" spans="30:30" ht="12" x14ac:dyDescent="0.3">
      <c r="AD4703" s="6"/>
    </row>
    <row r="4704" spans="30:30" ht="12" x14ac:dyDescent="0.3">
      <c r="AD4704" s="6"/>
    </row>
    <row r="4705" spans="30:30" ht="12" x14ac:dyDescent="0.3">
      <c r="AD4705" s="6"/>
    </row>
    <row r="4706" spans="30:30" ht="12" x14ac:dyDescent="0.3">
      <c r="AD4706" s="6"/>
    </row>
    <row r="4707" spans="30:30" ht="12" x14ac:dyDescent="0.3">
      <c r="AD4707" s="6"/>
    </row>
    <row r="4708" spans="30:30" ht="12" x14ac:dyDescent="0.3">
      <c r="AD4708" s="6"/>
    </row>
    <row r="4709" spans="30:30" ht="12" x14ac:dyDescent="0.3">
      <c r="AD4709" s="6"/>
    </row>
    <row r="4710" spans="30:30" ht="12" x14ac:dyDescent="0.3">
      <c r="AD4710" s="6"/>
    </row>
    <row r="4711" spans="30:30" ht="12" x14ac:dyDescent="0.3">
      <c r="AD4711" s="6"/>
    </row>
    <row r="4712" spans="30:30" ht="12" x14ac:dyDescent="0.3">
      <c r="AD4712" s="6"/>
    </row>
    <row r="4713" spans="30:30" ht="12" x14ac:dyDescent="0.3">
      <c r="AD4713" s="6"/>
    </row>
    <row r="4714" spans="30:30" ht="12" x14ac:dyDescent="0.3">
      <c r="AD4714" s="6"/>
    </row>
    <row r="4715" spans="30:30" ht="12" x14ac:dyDescent="0.3">
      <c r="AD4715" s="6"/>
    </row>
    <row r="4716" spans="30:30" ht="12" x14ac:dyDescent="0.3">
      <c r="AD4716" s="6"/>
    </row>
    <row r="4717" spans="30:30" ht="12" x14ac:dyDescent="0.3">
      <c r="AD4717" s="6"/>
    </row>
    <row r="4718" spans="30:30" ht="12" x14ac:dyDescent="0.3">
      <c r="AD4718" s="6"/>
    </row>
    <row r="4719" spans="30:30" ht="12" x14ac:dyDescent="0.3">
      <c r="AD4719" s="6"/>
    </row>
    <row r="4720" spans="30:30" ht="12" x14ac:dyDescent="0.3">
      <c r="AD4720" s="6"/>
    </row>
    <row r="4721" spans="30:30" ht="12" x14ac:dyDescent="0.3">
      <c r="AD4721" s="6"/>
    </row>
    <row r="4722" spans="30:30" ht="12" x14ac:dyDescent="0.3">
      <c r="AD4722" s="6"/>
    </row>
    <row r="4723" spans="30:30" ht="12" x14ac:dyDescent="0.3">
      <c r="AD4723" s="6"/>
    </row>
    <row r="4724" spans="30:30" ht="12" x14ac:dyDescent="0.3">
      <c r="AD4724" s="6"/>
    </row>
    <row r="4725" spans="30:30" ht="12" x14ac:dyDescent="0.3">
      <c r="AD4725" s="6"/>
    </row>
    <row r="4726" spans="30:30" ht="12" x14ac:dyDescent="0.3">
      <c r="AD4726" s="6"/>
    </row>
    <row r="4727" spans="30:30" ht="12" x14ac:dyDescent="0.3">
      <c r="AD4727" s="6"/>
    </row>
    <row r="4728" spans="30:30" ht="12" x14ac:dyDescent="0.3">
      <c r="AD4728" s="6"/>
    </row>
    <row r="4729" spans="30:30" ht="12" x14ac:dyDescent="0.3">
      <c r="AD4729" s="6"/>
    </row>
    <row r="4730" spans="30:30" ht="12" x14ac:dyDescent="0.3">
      <c r="AD4730" s="6"/>
    </row>
    <row r="4731" spans="30:30" ht="12" x14ac:dyDescent="0.3">
      <c r="AD4731" s="6"/>
    </row>
    <row r="4732" spans="30:30" ht="12" x14ac:dyDescent="0.3">
      <c r="AD4732" s="6"/>
    </row>
    <row r="4733" spans="30:30" ht="12" x14ac:dyDescent="0.3">
      <c r="AD4733" s="6"/>
    </row>
    <row r="4734" spans="30:30" ht="12" x14ac:dyDescent="0.3">
      <c r="AD4734" s="6"/>
    </row>
    <row r="4735" spans="30:30" ht="12" x14ac:dyDescent="0.3">
      <c r="AD4735" s="6"/>
    </row>
    <row r="4736" spans="30:30" ht="12" x14ac:dyDescent="0.3">
      <c r="AD4736" s="6"/>
    </row>
    <row r="4737" spans="30:30" ht="12" x14ac:dyDescent="0.3">
      <c r="AD4737" s="6"/>
    </row>
    <row r="4738" spans="30:30" ht="12" x14ac:dyDescent="0.3">
      <c r="AD4738" s="6"/>
    </row>
    <row r="4739" spans="30:30" ht="12" x14ac:dyDescent="0.3">
      <c r="AD4739" s="6"/>
    </row>
    <row r="4740" spans="30:30" ht="12" x14ac:dyDescent="0.3">
      <c r="AD4740" s="6"/>
    </row>
    <row r="4741" spans="30:30" ht="12" x14ac:dyDescent="0.3">
      <c r="AD4741" s="6"/>
    </row>
    <row r="4742" spans="30:30" ht="12" x14ac:dyDescent="0.3">
      <c r="AD4742" s="6"/>
    </row>
    <row r="4743" spans="30:30" ht="12" x14ac:dyDescent="0.3">
      <c r="AD4743" s="6"/>
    </row>
    <row r="4744" spans="30:30" ht="12" x14ac:dyDescent="0.3">
      <c r="AD4744" s="6"/>
    </row>
    <row r="4745" spans="30:30" ht="12" x14ac:dyDescent="0.3">
      <c r="AD4745" s="6"/>
    </row>
    <row r="4746" spans="30:30" ht="12" x14ac:dyDescent="0.3">
      <c r="AD4746" s="6"/>
    </row>
    <row r="4747" spans="30:30" ht="12" x14ac:dyDescent="0.3">
      <c r="AD4747" s="6"/>
    </row>
    <row r="4748" spans="30:30" ht="12" x14ac:dyDescent="0.3">
      <c r="AD4748" s="6"/>
    </row>
    <row r="4749" spans="30:30" ht="12" x14ac:dyDescent="0.3">
      <c r="AD4749" s="6"/>
    </row>
    <row r="4750" spans="30:30" ht="12" x14ac:dyDescent="0.3">
      <c r="AD4750" s="6"/>
    </row>
    <row r="4751" spans="30:30" ht="12" x14ac:dyDescent="0.3">
      <c r="AD4751" s="6"/>
    </row>
    <row r="4752" spans="30:30" ht="12" x14ac:dyDescent="0.3">
      <c r="AD4752" s="6"/>
    </row>
    <row r="4753" spans="30:30" ht="12" x14ac:dyDescent="0.3">
      <c r="AD4753" s="6"/>
    </row>
    <row r="4754" spans="30:30" ht="12" x14ac:dyDescent="0.3">
      <c r="AD4754" s="6"/>
    </row>
    <row r="4755" spans="30:30" ht="12" x14ac:dyDescent="0.3">
      <c r="AD4755" s="6"/>
    </row>
    <row r="4756" spans="30:30" ht="12" x14ac:dyDescent="0.3">
      <c r="AD4756" s="6"/>
    </row>
    <row r="4757" spans="30:30" ht="12" x14ac:dyDescent="0.3">
      <c r="AD4757" s="6"/>
    </row>
    <row r="4758" spans="30:30" ht="12" x14ac:dyDescent="0.3">
      <c r="AD4758" s="6"/>
    </row>
    <row r="4759" spans="30:30" ht="12" x14ac:dyDescent="0.3">
      <c r="AD4759" s="6"/>
    </row>
    <row r="4760" spans="30:30" ht="12" x14ac:dyDescent="0.3">
      <c r="AD4760" s="6"/>
    </row>
    <row r="4761" spans="30:30" ht="12" x14ac:dyDescent="0.3">
      <c r="AD4761" s="6"/>
    </row>
    <row r="4762" spans="30:30" ht="12" x14ac:dyDescent="0.3">
      <c r="AD4762" s="6"/>
    </row>
    <row r="4763" spans="30:30" ht="12" x14ac:dyDescent="0.3">
      <c r="AD4763" s="6"/>
    </row>
    <row r="4764" spans="30:30" ht="12" x14ac:dyDescent="0.3">
      <c r="AD4764" s="6"/>
    </row>
    <row r="4765" spans="30:30" ht="12" x14ac:dyDescent="0.3">
      <c r="AD4765" s="6"/>
    </row>
    <row r="4766" spans="30:30" ht="12" x14ac:dyDescent="0.3">
      <c r="AD4766" s="6"/>
    </row>
    <row r="4767" spans="30:30" ht="12" x14ac:dyDescent="0.3">
      <c r="AD4767" s="6"/>
    </row>
    <row r="4768" spans="30:30" ht="12" x14ac:dyDescent="0.3">
      <c r="AD4768" s="6"/>
    </row>
    <row r="4769" spans="30:30" ht="12" x14ac:dyDescent="0.3">
      <c r="AD4769" s="6"/>
    </row>
    <row r="4770" spans="30:30" ht="12" x14ac:dyDescent="0.3">
      <c r="AD4770" s="6"/>
    </row>
    <row r="4771" spans="30:30" ht="12" x14ac:dyDescent="0.3">
      <c r="AD4771" s="6"/>
    </row>
    <row r="4772" spans="30:30" ht="12" x14ac:dyDescent="0.3">
      <c r="AD4772" s="6"/>
    </row>
    <row r="4773" spans="30:30" ht="12" x14ac:dyDescent="0.3">
      <c r="AD4773" s="6"/>
    </row>
    <row r="4774" spans="30:30" ht="12" x14ac:dyDescent="0.3">
      <c r="AD4774" s="6"/>
    </row>
    <row r="4775" spans="30:30" ht="12" x14ac:dyDescent="0.3">
      <c r="AD4775" s="6"/>
    </row>
    <row r="4776" spans="30:30" ht="12" x14ac:dyDescent="0.3">
      <c r="AD4776" s="6"/>
    </row>
    <row r="4777" spans="30:30" ht="12" x14ac:dyDescent="0.3">
      <c r="AD4777" s="6"/>
    </row>
    <row r="4778" spans="30:30" ht="12" x14ac:dyDescent="0.3">
      <c r="AD4778" s="6"/>
    </row>
    <row r="4779" spans="30:30" ht="12" x14ac:dyDescent="0.3">
      <c r="AD4779" s="6"/>
    </row>
    <row r="4780" spans="30:30" ht="12" x14ac:dyDescent="0.3">
      <c r="AD4780" s="6"/>
    </row>
    <row r="4781" spans="30:30" ht="12" x14ac:dyDescent="0.3">
      <c r="AD4781" s="6"/>
    </row>
    <row r="4782" spans="30:30" ht="12" x14ac:dyDescent="0.3">
      <c r="AD4782" s="6"/>
    </row>
    <row r="4783" spans="30:30" ht="12" x14ac:dyDescent="0.3">
      <c r="AD4783" s="6"/>
    </row>
    <row r="4784" spans="30:30" ht="12" x14ac:dyDescent="0.3">
      <c r="AD4784" s="6"/>
    </row>
    <row r="4785" spans="30:30" ht="12" x14ac:dyDescent="0.3">
      <c r="AD4785" s="6"/>
    </row>
    <row r="4786" spans="30:30" ht="12" x14ac:dyDescent="0.3">
      <c r="AD4786" s="6"/>
    </row>
    <row r="4787" spans="30:30" ht="12" x14ac:dyDescent="0.3">
      <c r="AD4787" s="6"/>
    </row>
    <row r="4788" spans="30:30" ht="12" x14ac:dyDescent="0.3">
      <c r="AD4788" s="6"/>
    </row>
    <row r="4789" spans="30:30" ht="12" x14ac:dyDescent="0.3">
      <c r="AD4789" s="6"/>
    </row>
    <row r="4790" spans="30:30" ht="12" x14ac:dyDescent="0.3">
      <c r="AD4790" s="6"/>
    </row>
    <row r="4791" spans="30:30" ht="12" x14ac:dyDescent="0.3">
      <c r="AD4791" s="6"/>
    </row>
    <row r="4792" spans="30:30" ht="12" x14ac:dyDescent="0.3">
      <c r="AD4792" s="6"/>
    </row>
    <row r="4793" spans="30:30" ht="12" x14ac:dyDescent="0.3">
      <c r="AD4793" s="6"/>
    </row>
    <row r="4794" spans="30:30" ht="12" x14ac:dyDescent="0.3">
      <c r="AD4794" s="6"/>
    </row>
    <row r="4795" spans="30:30" ht="12" x14ac:dyDescent="0.3">
      <c r="AD4795" s="6"/>
    </row>
    <row r="4796" spans="30:30" ht="12" x14ac:dyDescent="0.3">
      <c r="AD4796" s="6"/>
    </row>
    <row r="4797" spans="30:30" ht="12" x14ac:dyDescent="0.3">
      <c r="AD4797" s="6"/>
    </row>
    <row r="4798" spans="30:30" ht="12" x14ac:dyDescent="0.3">
      <c r="AD4798" s="6"/>
    </row>
    <row r="4799" spans="30:30" ht="12" x14ac:dyDescent="0.3">
      <c r="AD4799" s="6"/>
    </row>
    <row r="4800" spans="30:30" ht="12" x14ac:dyDescent="0.3">
      <c r="AD4800" s="6"/>
    </row>
    <row r="4801" spans="30:30" ht="12" x14ac:dyDescent="0.3">
      <c r="AD4801" s="6"/>
    </row>
    <row r="4802" spans="30:30" ht="12" x14ac:dyDescent="0.3">
      <c r="AD4802" s="6"/>
    </row>
    <row r="4803" spans="30:30" ht="12" x14ac:dyDescent="0.3">
      <c r="AD4803" s="6"/>
    </row>
    <row r="4804" spans="30:30" ht="12" x14ac:dyDescent="0.3">
      <c r="AD4804" s="6"/>
    </row>
    <row r="4805" spans="30:30" ht="12" x14ac:dyDescent="0.3">
      <c r="AD4805" s="6"/>
    </row>
    <row r="4806" spans="30:30" ht="12" x14ac:dyDescent="0.3">
      <c r="AD4806" s="6"/>
    </row>
    <row r="4807" spans="30:30" ht="12" x14ac:dyDescent="0.3">
      <c r="AD4807" s="6"/>
    </row>
    <row r="4808" spans="30:30" ht="12" x14ac:dyDescent="0.3">
      <c r="AD4808" s="6"/>
    </row>
    <row r="4809" spans="30:30" ht="12" x14ac:dyDescent="0.3">
      <c r="AD4809" s="6"/>
    </row>
    <row r="4810" spans="30:30" ht="12" x14ac:dyDescent="0.3">
      <c r="AD4810" s="6"/>
    </row>
    <row r="4811" spans="30:30" ht="12" x14ac:dyDescent="0.3">
      <c r="AD4811" s="6"/>
    </row>
    <row r="4812" spans="30:30" ht="12" x14ac:dyDescent="0.3">
      <c r="AD4812" s="6"/>
    </row>
    <row r="4813" spans="30:30" ht="12" x14ac:dyDescent="0.3">
      <c r="AD4813" s="6"/>
    </row>
    <row r="4814" spans="30:30" ht="12" x14ac:dyDescent="0.3">
      <c r="AD4814" s="6"/>
    </row>
    <row r="4815" spans="30:30" ht="12" x14ac:dyDescent="0.3">
      <c r="AD4815" s="6"/>
    </row>
    <row r="4816" spans="30:30" ht="12" x14ac:dyDescent="0.3">
      <c r="AD4816" s="6"/>
    </row>
    <row r="4817" spans="30:30" ht="12" x14ac:dyDescent="0.3">
      <c r="AD4817" s="6"/>
    </row>
    <row r="4818" spans="30:30" ht="12" x14ac:dyDescent="0.3">
      <c r="AD4818" s="6"/>
    </row>
    <row r="4819" spans="30:30" ht="12" x14ac:dyDescent="0.3">
      <c r="AD4819" s="6"/>
    </row>
    <row r="4820" spans="30:30" ht="12" x14ac:dyDescent="0.3">
      <c r="AD4820" s="6"/>
    </row>
    <row r="4821" spans="30:30" ht="12" x14ac:dyDescent="0.3">
      <c r="AD4821" s="6"/>
    </row>
    <row r="4822" spans="30:30" ht="12" x14ac:dyDescent="0.3">
      <c r="AD4822" s="6"/>
    </row>
    <row r="4823" spans="30:30" ht="12" x14ac:dyDescent="0.3">
      <c r="AD4823" s="6"/>
    </row>
    <row r="4824" spans="30:30" ht="12" x14ac:dyDescent="0.3">
      <c r="AD4824" s="6"/>
    </row>
    <row r="4825" spans="30:30" ht="12" x14ac:dyDescent="0.3">
      <c r="AD4825" s="6"/>
    </row>
    <row r="4826" spans="30:30" ht="12" x14ac:dyDescent="0.3">
      <c r="AD4826" s="6"/>
    </row>
    <row r="4827" spans="30:30" ht="12" x14ac:dyDescent="0.3">
      <c r="AD4827" s="6"/>
    </row>
    <row r="4828" spans="30:30" ht="12" x14ac:dyDescent="0.3">
      <c r="AD4828" s="6"/>
    </row>
    <row r="4829" spans="30:30" ht="12" x14ac:dyDescent="0.3">
      <c r="AD4829" s="6"/>
    </row>
    <row r="4830" spans="30:30" ht="12" x14ac:dyDescent="0.3">
      <c r="AD4830" s="6"/>
    </row>
    <row r="4831" spans="30:30" ht="12" x14ac:dyDescent="0.3">
      <c r="AD4831" s="6"/>
    </row>
    <row r="4832" spans="30:30" ht="12" x14ac:dyDescent="0.3">
      <c r="AD4832" s="6"/>
    </row>
    <row r="4833" spans="30:30" ht="12" x14ac:dyDescent="0.3">
      <c r="AD4833" s="6"/>
    </row>
    <row r="4834" spans="30:30" ht="12" x14ac:dyDescent="0.3">
      <c r="AD4834" s="6"/>
    </row>
    <row r="4835" spans="30:30" ht="12" x14ac:dyDescent="0.3">
      <c r="AD4835" s="6"/>
    </row>
    <row r="4836" spans="30:30" ht="12" x14ac:dyDescent="0.3">
      <c r="AD4836" s="6"/>
    </row>
    <row r="4837" spans="30:30" ht="12" x14ac:dyDescent="0.3">
      <c r="AD4837" s="6"/>
    </row>
    <row r="4838" spans="30:30" ht="12" x14ac:dyDescent="0.3">
      <c r="AD4838" s="6"/>
    </row>
    <row r="4839" spans="30:30" ht="12" x14ac:dyDescent="0.3">
      <c r="AD4839" s="6"/>
    </row>
    <row r="4840" spans="30:30" ht="12" x14ac:dyDescent="0.3">
      <c r="AD4840" s="6"/>
    </row>
    <row r="4841" spans="30:30" ht="12" x14ac:dyDescent="0.3">
      <c r="AD4841" s="6"/>
    </row>
    <row r="4842" spans="30:30" ht="12" x14ac:dyDescent="0.3">
      <c r="AD4842" s="6"/>
    </row>
    <row r="4843" spans="30:30" ht="12" x14ac:dyDescent="0.3">
      <c r="AD4843" s="6"/>
    </row>
    <row r="4844" spans="30:30" ht="12" x14ac:dyDescent="0.3">
      <c r="AD4844" s="6"/>
    </row>
    <row r="4845" spans="30:30" ht="12" x14ac:dyDescent="0.3">
      <c r="AD4845" s="6"/>
    </row>
    <row r="4846" spans="30:30" ht="12" x14ac:dyDescent="0.3">
      <c r="AD4846" s="6"/>
    </row>
    <row r="4847" spans="30:30" ht="12" x14ac:dyDescent="0.3">
      <c r="AD4847" s="6"/>
    </row>
    <row r="4848" spans="30:30" ht="12" x14ac:dyDescent="0.3">
      <c r="AD4848" s="6"/>
    </row>
    <row r="4849" spans="30:30" ht="12" x14ac:dyDescent="0.3">
      <c r="AD4849" s="6"/>
    </row>
    <row r="4850" spans="30:30" ht="12" x14ac:dyDescent="0.3">
      <c r="AD4850" s="6"/>
    </row>
    <row r="4851" spans="30:30" ht="12" x14ac:dyDescent="0.3">
      <c r="AD4851" s="6"/>
    </row>
    <row r="4852" spans="30:30" ht="12" x14ac:dyDescent="0.3">
      <c r="AD4852" s="6"/>
    </row>
    <row r="4853" spans="30:30" ht="12" x14ac:dyDescent="0.3">
      <c r="AD4853" s="6"/>
    </row>
    <row r="4854" spans="30:30" ht="12" x14ac:dyDescent="0.3">
      <c r="AD4854" s="6"/>
    </row>
    <row r="4855" spans="30:30" ht="12" x14ac:dyDescent="0.3">
      <c r="AD4855" s="6"/>
    </row>
    <row r="4856" spans="30:30" ht="12" x14ac:dyDescent="0.3">
      <c r="AD4856" s="6"/>
    </row>
    <row r="4857" spans="30:30" ht="12" x14ac:dyDescent="0.3">
      <c r="AD4857" s="6"/>
    </row>
    <row r="4858" spans="30:30" ht="12" x14ac:dyDescent="0.3">
      <c r="AD4858" s="6"/>
    </row>
    <row r="4859" spans="30:30" ht="12" x14ac:dyDescent="0.3">
      <c r="AD4859" s="6"/>
    </row>
    <row r="4860" spans="30:30" ht="12" x14ac:dyDescent="0.3">
      <c r="AD4860" s="6"/>
    </row>
    <row r="4861" spans="30:30" ht="12" x14ac:dyDescent="0.3">
      <c r="AD4861" s="6"/>
    </row>
    <row r="4862" spans="30:30" ht="12" x14ac:dyDescent="0.3">
      <c r="AD4862" s="6"/>
    </row>
    <row r="4863" spans="30:30" ht="12" x14ac:dyDescent="0.3">
      <c r="AD4863" s="6"/>
    </row>
    <row r="4864" spans="30:30" ht="12" x14ac:dyDescent="0.3">
      <c r="AD4864" s="6"/>
    </row>
    <row r="4865" spans="30:30" ht="12" x14ac:dyDescent="0.3">
      <c r="AD4865" s="6"/>
    </row>
    <row r="4866" spans="30:30" ht="12" x14ac:dyDescent="0.3">
      <c r="AD4866" s="6"/>
    </row>
    <row r="4867" spans="30:30" ht="12" x14ac:dyDescent="0.3">
      <c r="AD4867" s="6"/>
    </row>
    <row r="4868" spans="30:30" ht="12" x14ac:dyDescent="0.3">
      <c r="AD4868" s="6"/>
    </row>
    <row r="4869" spans="30:30" ht="12" x14ac:dyDescent="0.3">
      <c r="AD4869" s="6"/>
    </row>
    <row r="4870" spans="30:30" ht="12" x14ac:dyDescent="0.3">
      <c r="AD4870" s="6"/>
    </row>
    <row r="4871" spans="30:30" ht="12" x14ac:dyDescent="0.3">
      <c r="AD4871" s="6"/>
    </row>
    <row r="4872" spans="30:30" ht="12" x14ac:dyDescent="0.3">
      <c r="AD4872" s="6"/>
    </row>
    <row r="4873" spans="30:30" ht="12" x14ac:dyDescent="0.3">
      <c r="AD4873" s="6"/>
    </row>
    <row r="4874" spans="30:30" ht="12" x14ac:dyDescent="0.3">
      <c r="AD4874" s="6"/>
    </row>
    <row r="4875" spans="30:30" ht="12" x14ac:dyDescent="0.3">
      <c r="AD4875" s="6"/>
    </row>
    <row r="4876" spans="30:30" ht="12" x14ac:dyDescent="0.3">
      <c r="AD4876" s="6"/>
    </row>
    <row r="4877" spans="30:30" ht="12" x14ac:dyDescent="0.3">
      <c r="AD4877" s="6"/>
    </row>
    <row r="4878" spans="30:30" ht="12" x14ac:dyDescent="0.3">
      <c r="AD4878" s="6"/>
    </row>
    <row r="4879" spans="30:30" ht="12" x14ac:dyDescent="0.3">
      <c r="AD4879" s="6"/>
    </row>
    <row r="4880" spans="30:30" ht="12" x14ac:dyDescent="0.3">
      <c r="AD4880" s="6"/>
    </row>
    <row r="4881" spans="30:30" ht="12" x14ac:dyDescent="0.3">
      <c r="AD4881" s="6"/>
    </row>
    <row r="4882" spans="30:30" ht="12" x14ac:dyDescent="0.3">
      <c r="AD4882" s="6"/>
    </row>
    <row r="4883" spans="30:30" ht="12" x14ac:dyDescent="0.3">
      <c r="AD4883" s="6"/>
    </row>
    <row r="4884" spans="30:30" ht="12" x14ac:dyDescent="0.3">
      <c r="AD4884" s="6"/>
    </row>
    <row r="4885" spans="30:30" ht="12" x14ac:dyDescent="0.3">
      <c r="AD4885" s="6"/>
    </row>
    <row r="4886" spans="30:30" ht="12" x14ac:dyDescent="0.3">
      <c r="AD4886" s="6"/>
    </row>
    <row r="4887" spans="30:30" ht="12" x14ac:dyDescent="0.3">
      <c r="AD4887" s="6"/>
    </row>
    <row r="4888" spans="30:30" ht="12" x14ac:dyDescent="0.3">
      <c r="AD4888" s="6"/>
    </row>
    <row r="4889" spans="30:30" ht="12" x14ac:dyDescent="0.3">
      <c r="AD4889" s="6"/>
    </row>
    <row r="4890" spans="30:30" ht="12" x14ac:dyDescent="0.3">
      <c r="AD4890" s="6"/>
    </row>
    <row r="4891" spans="30:30" ht="12" x14ac:dyDescent="0.3">
      <c r="AD4891" s="6"/>
    </row>
    <row r="4892" spans="30:30" ht="12" x14ac:dyDescent="0.3">
      <c r="AD4892" s="6"/>
    </row>
    <row r="4893" spans="30:30" ht="12" x14ac:dyDescent="0.3">
      <c r="AD4893" s="6"/>
    </row>
    <row r="4894" spans="30:30" ht="12" x14ac:dyDescent="0.3">
      <c r="AD4894" s="6"/>
    </row>
    <row r="4895" spans="30:30" ht="12" x14ac:dyDescent="0.3">
      <c r="AD4895" s="6"/>
    </row>
    <row r="4896" spans="30:30" ht="12" x14ac:dyDescent="0.3">
      <c r="AD4896" s="6"/>
    </row>
    <row r="4897" spans="30:30" ht="12" x14ac:dyDescent="0.3">
      <c r="AD4897" s="6"/>
    </row>
    <row r="4898" spans="30:30" ht="12" x14ac:dyDescent="0.3">
      <c r="AD4898" s="6"/>
    </row>
    <row r="4899" spans="30:30" ht="12" x14ac:dyDescent="0.3">
      <c r="AD4899" s="6"/>
    </row>
    <row r="4900" spans="30:30" ht="12" x14ac:dyDescent="0.3">
      <c r="AD4900" s="6"/>
    </row>
    <row r="4901" spans="30:30" ht="12" x14ac:dyDescent="0.3">
      <c r="AD4901" s="6"/>
    </row>
    <row r="4902" spans="30:30" ht="12" x14ac:dyDescent="0.3">
      <c r="AD4902" s="6"/>
    </row>
    <row r="4903" spans="30:30" ht="12" x14ac:dyDescent="0.3">
      <c r="AD4903" s="6"/>
    </row>
    <row r="4904" spans="30:30" ht="12" x14ac:dyDescent="0.3">
      <c r="AD4904" s="6"/>
    </row>
    <row r="4905" spans="30:30" ht="12" x14ac:dyDescent="0.3">
      <c r="AD4905" s="6"/>
    </row>
    <row r="4906" spans="30:30" ht="12" x14ac:dyDescent="0.3">
      <c r="AD4906" s="6"/>
    </row>
    <row r="4907" spans="30:30" ht="12" x14ac:dyDescent="0.3">
      <c r="AD4907" s="6"/>
    </row>
    <row r="4908" spans="30:30" ht="12" x14ac:dyDescent="0.3">
      <c r="AD4908" s="6"/>
    </row>
    <row r="4909" spans="30:30" ht="12" x14ac:dyDescent="0.3">
      <c r="AD4909" s="6"/>
    </row>
    <row r="4910" spans="30:30" ht="12" x14ac:dyDescent="0.3">
      <c r="AD4910" s="6"/>
    </row>
    <row r="4911" spans="30:30" ht="12" x14ac:dyDescent="0.3">
      <c r="AD4911" s="6"/>
    </row>
    <row r="4912" spans="30:30" ht="12" x14ac:dyDescent="0.3">
      <c r="AD4912" s="6"/>
    </row>
    <row r="4913" spans="30:30" ht="12" x14ac:dyDescent="0.3">
      <c r="AD4913" s="6"/>
    </row>
    <row r="4914" spans="30:30" ht="12" x14ac:dyDescent="0.3">
      <c r="AD4914" s="6"/>
    </row>
    <row r="4915" spans="30:30" ht="12" x14ac:dyDescent="0.3">
      <c r="AD4915" s="6"/>
    </row>
    <row r="4916" spans="30:30" ht="12" x14ac:dyDescent="0.3">
      <c r="AD4916" s="6"/>
    </row>
    <row r="4917" spans="30:30" ht="12" x14ac:dyDescent="0.3">
      <c r="AD4917" s="6"/>
    </row>
    <row r="4918" spans="30:30" ht="12" x14ac:dyDescent="0.3">
      <c r="AD4918" s="6"/>
    </row>
    <row r="4919" spans="30:30" ht="12" x14ac:dyDescent="0.3">
      <c r="AD4919" s="6"/>
    </row>
    <row r="4920" spans="30:30" ht="12" x14ac:dyDescent="0.3">
      <c r="AD4920" s="6"/>
    </row>
    <row r="4921" spans="30:30" ht="12" x14ac:dyDescent="0.3">
      <c r="AD4921" s="6"/>
    </row>
    <row r="4922" spans="30:30" ht="12" x14ac:dyDescent="0.3">
      <c r="AD4922" s="6"/>
    </row>
    <row r="4923" spans="30:30" ht="12" x14ac:dyDescent="0.3">
      <c r="AD4923" s="6"/>
    </row>
    <row r="4924" spans="30:30" ht="12" x14ac:dyDescent="0.3">
      <c r="AD4924" s="6"/>
    </row>
    <row r="4925" spans="30:30" ht="12" x14ac:dyDescent="0.3">
      <c r="AD4925" s="6"/>
    </row>
    <row r="4926" spans="30:30" ht="12" x14ac:dyDescent="0.3">
      <c r="AD4926" s="6"/>
    </row>
    <row r="4927" spans="30:30" ht="12" x14ac:dyDescent="0.3">
      <c r="AD4927" s="6"/>
    </row>
    <row r="4928" spans="30:30" ht="12" x14ac:dyDescent="0.3">
      <c r="AD4928" s="6"/>
    </row>
    <row r="4929" spans="30:30" ht="12" x14ac:dyDescent="0.3">
      <c r="AD4929" s="6"/>
    </row>
    <row r="4930" spans="30:30" ht="12" x14ac:dyDescent="0.3">
      <c r="AD4930" s="6"/>
    </row>
    <row r="4931" spans="30:30" ht="12" x14ac:dyDescent="0.3">
      <c r="AD4931" s="6"/>
    </row>
    <row r="4932" spans="30:30" ht="12" x14ac:dyDescent="0.3">
      <c r="AD4932" s="6"/>
    </row>
    <row r="4933" spans="30:30" ht="12" x14ac:dyDescent="0.3">
      <c r="AD4933" s="6"/>
    </row>
    <row r="4934" spans="30:30" ht="12" x14ac:dyDescent="0.3">
      <c r="AD4934" s="6"/>
    </row>
    <row r="4935" spans="30:30" ht="12" x14ac:dyDescent="0.3">
      <c r="AD4935" s="6"/>
    </row>
    <row r="4936" spans="30:30" ht="12" x14ac:dyDescent="0.3">
      <c r="AD4936" s="6"/>
    </row>
    <row r="4937" spans="30:30" ht="12" x14ac:dyDescent="0.3">
      <c r="AD4937" s="6"/>
    </row>
    <row r="4938" spans="30:30" ht="12" x14ac:dyDescent="0.3">
      <c r="AD4938" s="6"/>
    </row>
    <row r="4939" spans="30:30" ht="12" x14ac:dyDescent="0.3">
      <c r="AD4939" s="6"/>
    </row>
    <row r="4940" spans="30:30" ht="12" x14ac:dyDescent="0.3">
      <c r="AD4940" s="6"/>
    </row>
    <row r="4941" spans="30:30" ht="12" x14ac:dyDescent="0.3">
      <c r="AD4941" s="6"/>
    </row>
    <row r="4942" spans="30:30" ht="12" x14ac:dyDescent="0.3">
      <c r="AD4942" s="6"/>
    </row>
    <row r="4943" spans="30:30" ht="12" x14ac:dyDescent="0.3">
      <c r="AD4943" s="6"/>
    </row>
    <row r="4944" spans="30:30" ht="12" x14ac:dyDescent="0.3">
      <c r="AD4944" s="6"/>
    </row>
    <row r="4945" spans="30:30" ht="12" x14ac:dyDescent="0.3">
      <c r="AD4945" s="6"/>
    </row>
    <row r="4946" spans="30:30" ht="12" x14ac:dyDescent="0.3">
      <c r="AD4946" s="6"/>
    </row>
    <row r="4947" spans="30:30" ht="12" x14ac:dyDescent="0.3">
      <c r="AD4947" s="6"/>
    </row>
    <row r="4948" spans="30:30" ht="12" x14ac:dyDescent="0.3">
      <c r="AD4948" s="6"/>
    </row>
    <row r="4949" spans="30:30" ht="12" x14ac:dyDescent="0.3">
      <c r="AD4949" s="6"/>
    </row>
    <row r="4950" spans="30:30" ht="12" x14ac:dyDescent="0.3">
      <c r="AD4950" s="6"/>
    </row>
    <row r="4951" spans="30:30" ht="12" x14ac:dyDescent="0.3">
      <c r="AD4951" s="6"/>
    </row>
    <row r="4952" spans="30:30" ht="12" x14ac:dyDescent="0.3">
      <c r="AD4952" s="6"/>
    </row>
    <row r="4953" spans="30:30" ht="12" x14ac:dyDescent="0.3">
      <c r="AD4953" s="6"/>
    </row>
    <row r="4954" spans="30:30" ht="12" x14ac:dyDescent="0.3">
      <c r="AD4954" s="6"/>
    </row>
    <row r="4955" spans="30:30" ht="12" x14ac:dyDescent="0.3">
      <c r="AD4955" s="6"/>
    </row>
    <row r="4956" spans="30:30" ht="12" x14ac:dyDescent="0.3">
      <c r="AD4956" s="6"/>
    </row>
    <row r="4957" spans="30:30" ht="12" x14ac:dyDescent="0.3">
      <c r="AD4957" s="6"/>
    </row>
    <row r="4958" spans="30:30" ht="12" x14ac:dyDescent="0.3">
      <c r="AD4958" s="6"/>
    </row>
    <row r="4959" spans="30:30" ht="12" x14ac:dyDescent="0.3">
      <c r="AD4959" s="6"/>
    </row>
    <row r="4960" spans="30:30" ht="12" x14ac:dyDescent="0.3">
      <c r="AD4960" s="6"/>
    </row>
    <row r="4961" spans="30:30" ht="12" x14ac:dyDescent="0.3">
      <c r="AD4961" s="6"/>
    </row>
    <row r="4962" spans="30:30" ht="12" x14ac:dyDescent="0.3">
      <c r="AD4962" s="6"/>
    </row>
    <row r="4963" spans="30:30" ht="12" x14ac:dyDescent="0.3">
      <c r="AD4963" s="6"/>
    </row>
    <row r="4964" spans="30:30" ht="12" x14ac:dyDescent="0.3">
      <c r="AD4964" s="6"/>
    </row>
    <row r="4965" spans="30:30" ht="12" x14ac:dyDescent="0.3">
      <c r="AD4965" s="6"/>
    </row>
    <row r="4966" spans="30:30" ht="12" x14ac:dyDescent="0.3">
      <c r="AD4966" s="6"/>
    </row>
    <row r="4967" spans="30:30" ht="12" x14ac:dyDescent="0.3">
      <c r="AD4967" s="6"/>
    </row>
    <row r="4968" spans="30:30" ht="12" x14ac:dyDescent="0.3">
      <c r="AD4968" s="6"/>
    </row>
    <row r="4969" spans="30:30" ht="12" x14ac:dyDescent="0.3">
      <c r="AD4969" s="6"/>
    </row>
    <row r="4970" spans="30:30" ht="12" x14ac:dyDescent="0.3">
      <c r="AD4970" s="6"/>
    </row>
    <row r="4971" spans="30:30" ht="12" x14ac:dyDescent="0.3">
      <c r="AD4971" s="6"/>
    </row>
    <row r="4972" spans="30:30" ht="12" x14ac:dyDescent="0.3">
      <c r="AD4972" s="6"/>
    </row>
    <row r="4973" spans="30:30" ht="12" x14ac:dyDescent="0.3">
      <c r="AD4973" s="6"/>
    </row>
    <row r="4974" spans="30:30" ht="12" x14ac:dyDescent="0.3">
      <c r="AD4974" s="6"/>
    </row>
    <row r="4975" spans="30:30" ht="12" x14ac:dyDescent="0.3">
      <c r="AD4975" s="6"/>
    </row>
    <row r="4976" spans="30:30" ht="12" x14ac:dyDescent="0.3">
      <c r="AD4976" s="6"/>
    </row>
    <row r="4977" spans="30:30" ht="12" x14ac:dyDescent="0.3">
      <c r="AD4977" s="6"/>
    </row>
    <row r="4978" spans="30:30" ht="12" x14ac:dyDescent="0.3">
      <c r="AD4978" s="6"/>
    </row>
    <row r="4979" spans="30:30" ht="12" x14ac:dyDescent="0.3">
      <c r="AD4979" s="6"/>
    </row>
    <row r="4980" spans="30:30" ht="12" x14ac:dyDescent="0.3">
      <c r="AD4980" s="6"/>
    </row>
    <row r="4981" spans="30:30" ht="12" x14ac:dyDescent="0.3">
      <c r="AD4981" s="6"/>
    </row>
    <row r="4982" spans="30:30" ht="12" x14ac:dyDescent="0.3">
      <c r="AD4982" s="6"/>
    </row>
    <row r="4983" spans="30:30" ht="12" x14ac:dyDescent="0.3">
      <c r="AD4983" s="6"/>
    </row>
    <row r="4984" spans="30:30" ht="12" x14ac:dyDescent="0.3">
      <c r="AD4984" s="6"/>
    </row>
    <row r="4985" spans="30:30" ht="12" x14ac:dyDescent="0.3">
      <c r="AD4985" s="6"/>
    </row>
    <row r="4986" spans="30:30" ht="12" x14ac:dyDescent="0.3">
      <c r="AD4986" s="6"/>
    </row>
    <row r="4987" spans="30:30" ht="12" x14ac:dyDescent="0.3">
      <c r="AD4987" s="6"/>
    </row>
    <row r="4988" spans="30:30" ht="12" x14ac:dyDescent="0.3">
      <c r="AD4988" s="6"/>
    </row>
    <row r="4989" spans="30:30" ht="12" x14ac:dyDescent="0.3">
      <c r="AD4989" s="6"/>
    </row>
    <row r="4990" spans="30:30" ht="12" x14ac:dyDescent="0.3">
      <c r="AD4990" s="6"/>
    </row>
    <row r="4991" spans="30:30" ht="12" x14ac:dyDescent="0.3">
      <c r="AD4991" s="6"/>
    </row>
    <row r="4992" spans="30:30" ht="12" x14ac:dyDescent="0.3">
      <c r="AD4992" s="6"/>
    </row>
    <row r="4993" spans="30:30" ht="12" x14ac:dyDescent="0.3">
      <c r="AD4993" s="6"/>
    </row>
    <row r="4994" spans="30:30" ht="12" x14ac:dyDescent="0.3">
      <c r="AD4994" s="6"/>
    </row>
    <row r="4995" spans="30:30" ht="12" x14ac:dyDescent="0.3">
      <c r="AD4995" s="6"/>
    </row>
    <row r="4996" spans="30:30" ht="12" x14ac:dyDescent="0.3">
      <c r="AD4996" s="6"/>
    </row>
    <row r="4997" spans="30:30" ht="12" x14ac:dyDescent="0.3">
      <c r="AD4997" s="6"/>
    </row>
    <row r="4998" spans="30:30" ht="12" x14ac:dyDescent="0.3">
      <c r="AD4998" s="6"/>
    </row>
    <row r="4999" spans="30:30" ht="12" x14ac:dyDescent="0.3">
      <c r="AD4999" s="6"/>
    </row>
    <row r="5000" spans="30:30" ht="12" x14ac:dyDescent="0.3">
      <c r="AD5000" s="6"/>
    </row>
    <row r="5001" spans="30:30" ht="12" x14ac:dyDescent="0.3">
      <c r="AD5001" s="6"/>
    </row>
    <row r="5002" spans="30:30" ht="12" x14ac:dyDescent="0.3">
      <c r="AD5002" s="6"/>
    </row>
    <row r="5003" spans="30:30" ht="12" x14ac:dyDescent="0.3">
      <c r="AD5003" s="6"/>
    </row>
    <row r="5004" spans="30:30" ht="12" x14ac:dyDescent="0.3">
      <c r="AD5004" s="6"/>
    </row>
    <row r="5005" spans="30:30" ht="12" x14ac:dyDescent="0.3">
      <c r="AD5005" s="6"/>
    </row>
    <row r="5006" spans="30:30" ht="12" x14ac:dyDescent="0.3">
      <c r="AD5006" s="6"/>
    </row>
    <row r="5007" spans="30:30" ht="12" x14ac:dyDescent="0.3">
      <c r="AD5007" s="6"/>
    </row>
    <row r="5008" spans="30:30" ht="12" x14ac:dyDescent="0.3">
      <c r="AD5008" s="6"/>
    </row>
    <row r="5009" spans="30:30" ht="12" x14ac:dyDescent="0.3">
      <c r="AD5009" s="6"/>
    </row>
    <row r="5010" spans="30:30" ht="12" x14ac:dyDescent="0.3">
      <c r="AD5010" s="6"/>
    </row>
    <row r="5011" spans="30:30" ht="12" x14ac:dyDescent="0.3">
      <c r="AD5011" s="6"/>
    </row>
    <row r="5012" spans="30:30" ht="12" x14ac:dyDescent="0.3">
      <c r="AD5012" s="6"/>
    </row>
    <row r="5013" spans="30:30" ht="12" x14ac:dyDescent="0.3">
      <c r="AD5013" s="6"/>
    </row>
    <row r="5014" spans="30:30" ht="12" x14ac:dyDescent="0.3">
      <c r="AD5014" s="6"/>
    </row>
    <row r="5015" spans="30:30" ht="12" x14ac:dyDescent="0.3">
      <c r="AD5015" s="6"/>
    </row>
    <row r="5016" spans="30:30" ht="12" x14ac:dyDescent="0.3">
      <c r="AD5016" s="6"/>
    </row>
    <row r="5017" spans="30:30" ht="12" x14ac:dyDescent="0.3">
      <c r="AD5017" s="6"/>
    </row>
    <row r="5018" spans="30:30" ht="12" x14ac:dyDescent="0.3">
      <c r="AD5018" s="6"/>
    </row>
    <row r="5019" spans="30:30" ht="12" x14ac:dyDescent="0.3">
      <c r="AD5019" s="6"/>
    </row>
    <row r="5020" spans="30:30" ht="12" x14ac:dyDescent="0.3">
      <c r="AD5020" s="6"/>
    </row>
    <row r="5021" spans="30:30" ht="12" x14ac:dyDescent="0.3">
      <c r="AD5021" s="6"/>
    </row>
    <row r="5022" spans="30:30" ht="12" x14ac:dyDescent="0.3">
      <c r="AD5022" s="6"/>
    </row>
    <row r="5023" spans="30:30" ht="12" x14ac:dyDescent="0.3">
      <c r="AD5023" s="6"/>
    </row>
    <row r="5024" spans="30:30" ht="12" x14ac:dyDescent="0.3">
      <c r="AD5024" s="6"/>
    </row>
    <row r="5025" spans="30:30" ht="12" x14ac:dyDescent="0.3">
      <c r="AD5025" s="6"/>
    </row>
    <row r="5026" spans="30:30" ht="12" x14ac:dyDescent="0.3">
      <c r="AD5026" s="6"/>
    </row>
    <row r="5027" spans="30:30" ht="12" x14ac:dyDescent="0.3">
      <c r="AD5027" s="6"/>
    </row>
    <row r="5028" spans="30:30" ht="12" x14ac:dyDescent="0.3">
      <c r="AD5028" s="6"/>
    </row>
    <row r="5029" spans="30:30" ht="12" x14ac:dyDescent="0.3">
      <c r="AD5029" s="6"/>
    </row>
    <row r="5030" spans="30:30" ht="12" x14ac:dyDescent="0.3">
      <c r="AD5030" s="6"/>
    </row>
    <row r="5031" spans="30:30" ht="12" x14ac:dyDescent="0.3">
      <c r="AD5031" s="6"/>
    </row>
    <row r="5032" spans="30:30" ht="12" x14ac:dyDescent="0.3">
      <c r="AD5032" s="6"/>
    </row>
    <row r="5033" spans="30:30" ht="12" x14ac:dyDescent="0.3">
      <c r="AD5033" s="6"/>
    </row>
    <row r="5034" spans="30:30" ht="12" x14ac:dyDescent="0.3">
      <c r="AD5034" s="6"/>
    </row>
    <row r="5035" spans="30:30" ht="12" x14ac:dyDescent="0.3">
      <c r="AD5035" s="6"/>
    </row>
    <row r="5036" spans="30:30" ht="12" x14ac:dyDescent="0.3">
      <c r="AD5036" s="6"/>
    </row>
    <row r="5037" spans="30:30" ht="12" x14ac:dyDescent="0.3">
      <c r="AD5037" s="6"/>
    </row>
    <row r="5038" spans="30:30" ht="12" x14ac:dyDescent="0.3">
      <c r="AD5038" s="6"/>
    </row>
    <row r="5039" spans="30:30" ht="12" x14ac:dyDescent="0.3">
      <c r="AD5039" s="6"/>
    </row>
    <row r="5040" spans="30:30" ht="12" x14ac:dyDescent="0.3">
      <c r="AD5040" s="6"/>
    </row>
    <row r="5041" spans="30:30" ht="12" x14ac:dyDescent="0.3">
      <c r="AD5041" s="6"/>
    </row>
    <row r="5042" spans="30:30" ht="12" x14ac:dyDescent="0.3">
      <c r="AD5042" s="6"/>
    </row>
    <row r="5043" spans="30:30" ht="12" x14ac:dyDescent="0.3">
      <c r="AD5043" s="6"/>
    </row>
    <row r="5044" spans="30:30" ht="12" x14ac:dyDescent="0.3">
      <c r="AD5044" s="6"/>
    </row>
    <row r="5045" spans="30:30" ht="12" x14ac:dyDescent="0.3">
      <c r="AD5045" s="6"/>
    </row>
    <row r="5046" spans="30:30" ht="12" x14ac:dyDescent="0.3">
      <c r="AD5046" s="6"/>
    </row>
    <row r="5047" spans="30:30" ht="12" x14ac:dyDescent="0.3">
      <c r="AD5047" s="6"/>
    </row>
    <row r="5048" spans="30:30" ht="12" x14ac:dyDescent="0.3">
      <c r="AD5048" s="6"/>
    </row>
    <row r="5049" spans="30:30" ht="12" x14ac:dyDescent="0.3">
      <c r="AD5049" s="6"/>
    </row>
    <row r="5050" spans="30:30" ht="12" x14ac:dyDescent="0.3">
      <c r="AD5050" s="6"/>
    </row>
    <row r="5051" spans="30:30" ht="12" x14ac:dyDescent="0.3">
      <c r="AD5051" s="6"/>
    </row>
    <row r="5052" spans="30:30" ht="12" x14ac:dyDescent="0.3">
      <c r="AD5052" s="6"/>
    </row>
    <row r="5053" spans="30:30" ht="12" x14ac:dyDescent="0.3">
      <c r="AD5053" s="6"/>
    </row>
    <row r="5054" spans="30:30" ht="12" x14ac:dyDescent="0.3">
      <c r="AD5054" s="6"/>
    </row>
    <row r="5055" spans="30:30" ht="12" x14ac:dyDescent="0.3">
      <c r="AD5055" s="6"/>
    </row>
    <row r="5056" spans="30:30" ht="12" x14ac:dyDescent="0.3">
      <c r="AD5056" s="6"/>
    </row>
    <row r="5057" spans="30:30" ht="12" x14ac:dyDescent="0.3">
      <c r="AD5057" s="6"/>
    </row>
    <row r="5058" spans="30:30" ht="12" x14ac:dyDescent="0.3">
      <c r="AD5058" s="6"/>
    </row>
    <row r="5059" spans="30:30" ht="12" x14ac:dyDescent="0.3">
      <c r="AD5059" s="6"/>
    </row>
    <row r="5060" spans="30:30" ht="12" x14ac:dyDescent="0.3">
      <c r="AD5060" s="6"/>
    </row>
    <row r="5061" spans="30:30" ht="12" x14ac:dyDescent="0.3">
      <c r="AD5061" s="6"/>
    </row>
    <row r="5062" spans="30:30" ht="12" x14ac:dyDescent="0.3">
      <c r="AD5062" s="6"/>
    </row>
    <row r="5063" spans="30:30" ht="12" x14ac:dyDescent="0.3">
      <c r="AD5063" s="6"/>
    </row>
    <row r="5064" spans="30:30" ht="12" x14ac:dyDescent="0.3">
      <c r="AD5064" s="6"/>
    </row>
    <row r="5065" spans="30:30" ht="12" x14ac:dyDescent="0.3">
      <c r="AD5065" s="6"/>
    </row>
    <row r="5066" spans="30:30" ht="12" x14ac:dyDescent="0.3">
      <c r="AD5066" s="6"/>
    </row>
    <row r="5067" spans="30:30" ht="12" x14ac:dyDescent="0.3">
      <c r="AD5067" s="6"/>
    </row>
    <row r="5068" spans="30:30" ht="12" x14ac:dyDescent="0.3">
      <c r="AD5068" s="6"/>
    </row>
    <row r="5069" spans="30:30" ht="12" x14ac:dyDescent="0.3">
      <c r="AD5069" s="6"/>
    </row>
    <row r="5070" spans="30:30" ht="12" x14ac:dyDescent="0.3">
      <c r="AD5070" s="6"/>
    </row>
    <row r="5071" spans="30:30" ht="12" x14ac:dyDescent="0.3">
      <c r="AD5071" s="6"/>
    </row>
    <row r="5072" spans="30:30" ht="12" x14ac:dyDescent="0.3">
      <c r="AD5072" s="6"/>
    </row>
    <row r="5073" spans="30:30" ht="12" x14ac:dyDescent="0.3">
      <c r="AD5073" s="6"/>
    </row>
    <row r="5074" spans="30:30" ht="12" x14ac:dyDescent="0.3">
      <c r="AD5074" s="6"/>
    </row>
    <row r="5075" spans="30:30" ht="12" x14ac:dyDescent="0.3">
      <c r="AD5075" s="6"/>
    </row>
    <row r="5076" spans="30:30" ht="12" x14ac:dyDescent="0.3">
      <c r="AD5076" s="6"/>
    </row>
    <row r="5077" spans="30:30" ht="12" x14ac:dyDescent="0.3">
      <c r="AD5077" s="6"/>
    </row>
    <row r="5078" spans="30:30" ht="12" x14ac:dyDescent="0.3">
      <c r="AD5078" s="6"/>
    </row>
    <row r="5079" spans="30:30" ht="12" x14ac:dyDescent="0.3">
      <c r="AD5079" s="6"/>
    </row>
    <row r="5080" spans="30:30" ht="12" x14ac:dyDescent="0.3">
      <c r="AD5080" s="6"/>
    </row>
    <row r="5081" spans="30:30" ht="12" x14ac:dyDescent="0.3">
      <c r="AD5081" s="6"/>
    </row>
    <row r="5082" spans="30:30" ht="12" x14ac:dyDescent="0.3">
      <c r="AD5082" s="6"/>
    </row>
    <row r="5083" spans="30:30" ht="12" x14ac:dyDescent="0.3">
      <c r="AD5083" s="6"/>
    </row>
    <row r="5084" spans="30:30" ht="12" x14ac:dyDescent="0.3">
      <c r="AD5084" s="6"/>
    </row>
    <row r="5085" spans="30:30" ht="12" x14ac:dyDescent="0.3">
      <c r="AD5085" s="6"/>
    </row>
    <row r="5086" spans="30:30" ht="12" x14ac:dyDescent="0.3">
      <c r="AD5086" s="6"/>
    </row>
    <row r="5087" spans="30:30" ht="12" x14ac:dyDescent="0.3">
      <c r="AD5087" s="6"/>
    </row>
    <row r="5088" spans="30:30" ht="12" x14ac:dyDescent="0.3">
      <c r="AD5088" s="6"/>
    </row>
    <row r="5089" spans="30:30" ht="12" x14ac:dyDescent="0.3">
      <c r="AD5089" s="6"/>
    </row>
    <row r="5090" spans="30:30" ht="12" x14ac:dyDescent="0.3">
      <c r="AD5090" s="6"/>
    </row>
    <row r="5091" spans="30:30" ht="12" x14ac:dyDescent="0.3">
      <c r="AD5091" s="6"/>
    </row>
    <row r="5092" spans="30:30" ht="12" x14ac:dyDescent="0.3">
      <c r="AD5092" s="6"/>
    </row>
    <row r="5093" spans="30:30" ht="12" x14ac:dyDescent="0.3">
      <c r="AD5093" s="6"/>
    </row>
    <row r="5094" spans="30:30" ht="12" x14ac:dyDescent="0.3">
      <c r="AD5094" s="6"/>
    </row>
    <row r="5095" spans="30:30" ht="12" x14ac:dyDescent="0.3">
      <c r="AD5095" s="6"/>
    </row>
    <row r="5096" spans="30:30" ht="12" x14ac:dyDescent="0.3">
      <c r="AD5096" s="6"/>
    </row>
    <row r="5097" spans="30:30" ht="12" x14ac:dyDescent="0.3">
      <c r="AD5097" s="6"/>
    </row>
    <row r="5098" spans="30:30" ht="12" x14ac:dyDescent="0.3">
      <c r="AD5098" s="6"/>
    </row>
    <row r="5099" spans="30:30" ht="12" x14ac:dyDescent="0.3">
      <c r="AD5099" s="6"/>
    </row>
    <row r="5100" spans="30:30" ht="12" x14ac:dyDescent="0.3">
      <c r="AD5100" s="6"/>
    </row>
    <row r="5101" spans="30:30" ht="12" x14ac:dyDescent="0.3">
      <c r="AD5101" s="6"/>
    </row>
    <row r="5102" spans="30:30" ht="12" x14ac:dyDescent="0.3">
      <c r="AD5102" s="6"/>
    </row>
    <row r="5103" spans="30:30" ht="12" x14ac:dyDescent="0.3">
      <c r="AD5103" s="6"/>
    </row>
    <row r="5104" spans="30:30" ht="12" x14ac:dyDescent="0.3">
      <c r="AD5104" s="6"/>
    </row>
    <row r="5105" spans="30:30" ht="12" x14ac:dyDescent="0.3">
      <c r="AD5105" s="6"/>
    </row>
    <row r="5106" spans="30:30" ht="12" x14ac:dyDescent="0.3">
      <c r="AD5106" s="6"/>
    </row>
    <row r="5107" spans="30:30" ht="12" x14ac:dyDescent="0.3">
      <c r="AD5107" s="6"/>
    </row>
    <row r="5108" spans="30:30" ht="12" x14ac:dyDescent="0.3">
      <c r="AD5108" s="6"/>
    </row>
    <row r="5109" spans="30:30" ht="12" x14ac:dyDescent="0.3">
      <c r="AD5109" s="6"/>
    </row>
    <row r="5110" spans="30:30" ht="12" x14ac:dyDescent="0.3">
      <c r="AD5110" s="6"/>
    </row>
    <row r="5111" spans="30:30" ht="12" x14ac:dyDescent="0.3">
      <c r="AD5111" s="6"/>
    </row>
    <row r="5112" spans="30:30" ht="12" x14ac:dyDescent="0.3">
      <c r="AD5112" s="6"/>
    </row>
    <row r="5113" spans="30:30" ht="12" x14ac:dyDescent="0.3">
      <c r="AD5113" s="6"/>
    </row>
    <row r="5114" spans="30:30" ht="12" x14ac:dyDescent="0.3">
      <c r="AD5114" s="6"/>
    </row>
    <row r="5115" spans="30:30" ht="12" x14ac:dyDescent="0.3">
      <c r="AD5115" s="6"/>
    </row>
    <row r="5116" spans="30:30" ht="12" x14ac:dyDescent="0.3">
      <c r="AD5116" s="6"/>
    </row>
    <row r="5117" spans="30:30" ht="12" x14ac:dyDescent="0.3">
      <c r="AD5117" s="6"/>
    </row>
    <row r="5118" spans="30:30" ht="12" x14ac:dyDescent="0.3">
      <c r="AD5118" s="6"/>
    </row>
    <row r="5119" spans="30:30" ht="12" x14ac:dyDescent="0.3">
      <c r="AD5119" s="6"/>
    </row>
    <row r="5120" spans="30:30" ht="12" x14ac:dyDescent="0.3">
      <c r="AD5120" s="6"/>
    </row>
    <row r="5121" spans="30:30" ht="12" x14ac:dyDescent="0.3">
      <c r="AD5121" s="6"/>
    </row>
    <row r="5122" spans="30:30" ht="12" x14ac:dyDescent="0.3">
      <c r="AD5122" s="6"/>
    </row>
    <row r="5123" spans="30:30" ht="12" x14ac:dyDescent="0.3">
      <c r="AD5123" s="6"/>
    </row>
    <row r="5124" spans="30:30" ht="12" x14ac:dyDescent="0.3">
      <c r="AD5124" s="6"/>
    </row>
    <row r="5125" spans="30:30" ht="12" x14ac:dyDescent="0.3">
      <c r="AD5125" s="6"/>
    </row>
    <row r="5126" spans="30:30" ht="12" x14ac:dyDescent="0.3">
      <c r="AD5126" s="6"/>
    </row>
    <row r="5127" spans="30:30" ht="12" x14ac:dyDescent="0.3">
      <c r="AD5127" s="6"/>
    </row>
    <row r="5128" spans="30:30" ht="12" x14ac:dyDescent="0.3">
      <c r="AD5128" s="6"/>
    </row>
    <row r="5129" spans="30:30" ht="12" x14ac:dyDescent="0.3">
      <c r="AD5129" s="6"/>
    </row>
    <row r="5130" spans="30:30" ht="12" x14ac:dyDescent="0.3">
      <c r="AD5130" s="6"/>
    </row>
    <row r="5131" spans="30:30" ht="12" x14ac:dyDescent="0.3">
      <c r="AD5131" s="6"/>
    </row>
    <row r="5132" spans="30:30" ht="12" x14ac:dyDescent="0.3">
      <c r="AD5132" s="6"/>
    </row>
    <row r="5133" spans="30:30" ht="12" x14ac:dyDescent="0.3">
      <c r="AD5133" s="6"/>
    </row>
    <row r="5134" spans="30:30" ht="12" x14ac:dyDescent="0.3">
      <c r="AD5134" s="6"/>
    </row>
    <row r="5135" spans="30:30" ht="12" x14ac:dyDescent="0.3">
      <c r="AD5135" s="6"/>
    </row>
    <row r="5136" spans="30:30" ht="12" x14ac:dyDescent="0.3">
      <c r="AD5136" s="6"/>
    </row>
    <row r="5137" spans="30:30" ht="12" x14ac:dyDescent="0.3">
      <c r="AD5137" s="6"/>
    </row>
    <row r="5138" spans="30:30" ht="12" x14ac:dyDescent="0.3">
      <c r="AD5138" s="6"/>
    </row>
    <row r="5139" spans="30:30" ht="12" x14ac:dyDescent="0.3">
      <c r="AD5139" s="6"/>
    </row>
    <row r="5140" spans="30:30" ht="12" x14ac:dyDescent="0.3">
      <c r="AD5140" s="6"/>
    </row>
    <row r="5141" spans="30:30" ht="12" x14ac:dyDescent="0.3">
      <c r="AD5141" s="6"/>
    </row>
    <row r="5142" spans="30:30" ht="12" x14ac:dyDescent="0.3">
      <c r="AD5142" s="6"/>
    </row>
    <row r="5143" spans="30:30" ht="12" x14ac:dyDescent="0.3">
      <c r="AD5143" s="6"/>
    </row>
    <row r="5144" spans="30:30" ht="12" x14ac:dyDescent="0.3">
      <c r="AD5144" s="6"/>
    </row>
    <row r="5145" spans="30:30" ht="12" x14ac:dyDescent="0.3">
      <c r="AD5145" s="6"/>
    </row>
    <row r="5146" spans="30:30" ht="12" x14ac:dyDescent="0.3">
      <c r="AD5146" s="6"/>
    </row>
    <row r="5147" spans="30:30" ht="12" x14ac:dyDescent="0.3">
      <c r="AD5147" s="6"/>
    </row>
    <row r="5148" spans="30:30" ht="12" x14ac:dyDescent="0.3">
      <c r="AD5148" s="6"/>
    </row>
    <row r="5149" spans="30:30" ht="12" x14ac:dyDescent="0.3">
      <c r="AD5149" s="6"/>
    </row>
    <row r="5150" spans="30:30" ht="12" x14ac:dyDescent="0.3">
      <c r="AD5150" s="6"/>
    </row>
    <row r="5151" spans="30:30" ht="12" x14ac:dyDescent="0.3">
      <c r="AD5151" s="6"/>
    </row>
    <row r="5152" spans="30:30" ht="12" x14ac:dyDescent="0.3">
      <c r="AD5152" s="6"/>
    </row>
    <row r="5153" spans="30:30" ht="12" x14ac:dyDescent="0.3">
      <c r="AD5153" s="6"/>
    </row>
    <row r="5154" spans="30:30" ht="12" x14ac:dyDescent="0.3">
      <c r="AD5154" s="6"/>
    </row>
    <row r="5155" spans="30:30" ht="12" x14ac:dyDescent="0.3">
      <c r="AD5155" s="6"/>
    </row>
    <row r="5156" spans="30:30" ht="12" x14ac:dyDescent="0.3">
      <c r="AD5156" s="6"/>
    </row>
    <row r="5157" spans="30:30" ht="12" x14ac:dyDescent="0.3">
      <c r="AD5157" s="6"/>
    </row>
    <row r="5158" spans="30:30" ht="12" x14ac:dyDescent="0.3">
      <c r="AD5158" s="6"/>
    </row>
    <row r="5159" spans="30:30" ht="12" x14ac:dyDescent="0.3">
      <c r="AD5159" s="6"/>
    </row>
    <row r="5160" spans="30:30" ht="12" x14ac:dyDescent="0.3">
      <c r="AD5160" s="6"/>
    </row>
    <row r="5161" spans="30:30" ht="12" x14ac:dyDescent="0.3">
      <c r="AD5161" s="6"/>
    </row>
    <row r="5162" spans="30:30" ht="12" x14ac:dyDescent="0.3">
      <c r="AD5162" s="6"/>
    </row>
    <row r="5163" spans="30:30" ht="12" x14ac:dyDescent="0.3">
      <c r="AD5163" s="6"/>
    </row>
    <row r="5164" spans="30:30" ht="12" x14ac:dyDescent="0.3">
      <c r="AD5164" s="6"/>
    </row>
    <row r="5165" spans="30:30" ht="12" x14ac:dyDescent="0.3">
      <c r="AD5165" s="6"/>
    </row>
    <row r="5166" spans="30:30" ht="12" x14ac:dyDescent="0.3">
      <c r="AD5166" s="6"/>
    </row>
    <row r="5167" spans="30:30" ht="12" x14ac:dyDescent="0.3">
      <c r="AD5167" s="6"/>
    </row>
    <row r="5168" spans="30:30" ht="12" x14ac:dyDescent="0.3">
      <c r="AD5168" s="6"/>
    </row>
    <row r="5169" spans="30:30" ht="12" x14ac:dyDescent="0.3">
      <c r="AD5169" s="6"/>
    </row>
    <row r="5170" spans="30:30" ht="12" x14ac:dyDescent="0.3">
      <c r="AD5170" s="6"/>
    </row>
    <row r="5171" spans="30:30" ht="12" x14ac:dyDescent="0.3">
      <c r="AD5171" s="6"/>
    </row>
    <row r="5172" spans="30:30" ht="12" x14ac:dyDescent="0.3">
      <c r="AD5172" s="6"/>
    </row>
    <row r="5173" spans="30:30" ht="12" x14ac:dyDescent="0.3">
      <c r="AD5173" s="6"/>
    </row>
    <row r="5174" spans="30:30" ht="12" x14ac:dyDescent="0.3">
      <c r="AD5174" s="6"/>
    </row>
    <row r="5175" spans="30:30" ht="12" x14ac:dyDescent="0.3">
      <c r="AD5175" s="6"/>
    </row>
    <row r="5176" spans="30:30" ht="12" x14ac:dyDescent="0.3">
      <c r="AD5176" s="6"/>
    </row>
    <row r="5177" spans="30:30" ht="12" x14ac:dyDescent="0.3">
      <c r="AD5177" s="6"/>
    </row>
    <row r="5178" spans="30:30" ht="12" x14ac:dyDescent="0.3">
      <c r="AD5178" s="6"/>
    </row>
    <row r="5179" spans="30:30" ht="12" x14ac:dyDescent="0.3">
      <c r="AD5179" s="6"/>
    </row>
    <row r="5180" spans="30:30" ht="12" x14ac:dyDescent="0.3">
      <c r="AD5180" s="6"/>
    </row>
    <row r="5181" spans="30:30" ht="12" x14ac:dyDescent="0.3">
      <c r="AD5181" s="6"/>
    </row>
    <row r="5182" spans="30:30" ht="12" x14ac:dyDescent="0.3">
      <c r="AD5182" s="6"/>
    </row>
    <row r="5183" spans="30:30" ht="12" x14ac:dyDescent="0.3">
      <c r="AD5183" s="6"/>
    </row>
    <row r="5184" spans="30:30" ht="12" x14ac:dyDescent="0.3">
      <c r="AD5184" s="6"/>
    </row>
    <row r="5185" spans="30:30" ht="12" x14ac:dyDescent="0.3">
      <c r="AD5185" s="6"/>
    </row>
    <row r="5186" spans="30:30" ht="12" x14ac:dyDescent="0.3">
      <c r="AD5186" s="6"/>
    </row>
    <row r="5187" spans="30:30" ht="12" x14ac:dyDescent="0.3">
      <c r="AD5187" s="6"/>
    </row>
    <row r="5188" spans="30:30" ht="12" x14ac:dyDescent="0.3">
      <c r="AD5188" s="6"/>
    </row>
    <row r="5189" spans="30:30" ht="12" x14ac:dyDescent="0.3">
      <c r="AD5189" s="6"/>
    </row>
    <row r="5190" spans="30:30" ht="12" x14ac:dyDescent="0.3">
      <c r="AD5190" s="6"/>
    </row>
    <row r="5191" spans="30:30" ht="12" x14ac:dyDescent="0.3">
      <c r="AD5191" s="6"/>
    </row>
    <row r="5192" spans="30:30" ht="12" x14ac:dyDescent="0.3">
      <c r="AD5192" s="6"/>
    </row>
    <row r="5193" spans="30:30" ht="12" x14ac:dyDescent="0.3">
      <c r="AD5193" s="6"/>
    </row>
    <row r="5194" spans="30:30" ht="12" x14ac:dyDescent="0.3">
      <c r="AD5194" s="6"/>
    </row>
    <row r="5195" spans="30:30" ht="12" x14ac:dyDescent="0.3">
      <c r="AD5195" s="6"/>
    </row>
    <row r="5196" spans="30:30" ht="12" x14ac:dyDescent="0.3">
      <c r="AD5196" s="6"/>
    </row>
    <row r="5197" spans="30:30" ht="12" x14ac:dyDescent="0.3">
      <c r="AD5197" s="6"/>
    </row>
    <row r="5198" spans="30:30" ht="12" x14ac:dyDescent="0.3">
      <c r="AD5198" s="6"/>
    </row>
    <row r="5199" spans="30:30" ht="12" x14ac:dyDescent="0.3">
      <c r="AD5199" s="6"/>
    </row>
    <row r="5200" spans="30:30" ht="12" x14ac:dyDescent="0.3">
      <c r="AD5200" s="6"/>
    </row>
    <row r="5201" spans="30:30" ht="12" x14ac:dyDescent="0.3">
      <c r="AD5201" s="6"/>
    </row>
    <row r="5202" spans="30:30" ht="12" x14ac:dyDescent="0.3">
      <c r="AD5202" s="6"/>
    </row>
    <row r="5203" spans="30:30" ht="12" x14ac:dyDescent="0.3">
      <c r="AD5203" s="6"/>
    </row>
    <row r="5204" spans="30:30" ht="12" x14ac:dyDescent="0.3">
      <c r="AD5204" s="6"/>
    </row>
    <row r="5205" spans="30:30" ht="12" x14ac:dyDescent="0.3">
      <c r="AD5205" s="6"/>
    </row>
    <row r="5206" spans="30:30" ht="12" x14ac:dyDescent="0.3">
      <c r="AD5206" s="6"/>
    </row>
    <row r="5207" spans="30:30" ht="12" x14ac:dyDescent="0.3">
      <c r="AD5207" s="6"/>
    </row>
    <row r="5208" spans="30:30" ht="12" x14ac:dyDescent="0.3">
      <c r="AD5208" s="6"/>
    </row>
    <row r="5209" spans="30:30" ht="12" x14ac:dyDescent="0.3">
      <c r="AD5209" s="6"/>
    </row>
    <row r="5210" spans="30:30" ht="12" x14ac:dyDescent="0.3">
      <c r="AD5210" s="6"/>
    </row>
    <row r="5211" spans="30:30" ht="12" x14ac:dyDescent="0.3">
      <c r="AD5211" s="6"/>
    </row>
    <row r="5212" spans="30:30" ht="12" x14ac:dyDescent="0.3">
      <c r="AD5212" s="6"/>
    </row>
    <row r="5213" spans="30:30" ht="12" x14ac:dyDescent="0.3">
      <c r="AD5213" s="6"/>
    </row>
    <row r="5214" spans="30:30" ht="12" x14ac:dyDescent="0.3">
      <c r="AD5214" s="6"/>
    </row>
    <row r="5215" spans="30:30" ht="12" x14ac:dyDescent="0.3">
      <c r="AD5215" s="6"/>
    </row>
    <row r="5216" spans="30:30" ht="12" x14ac:dyDescent="0.3">
      <c r="AD5216" s="6"/>
    </row>
    <row r="5217" spans="30:30" ht="12" x14ac:dyDescent="0.3">
      <c r="AD5217" s="6"/>
    </row>
    <row r="5218" spans="30:30" ht="12" x14ac:dyDescent="0.3">
      <c r="AD5218" s="6"/>
    </row>
    <row r="5219" spans="30:30" ht="12" x14ac:dyDescent="0.3">
      <c r="AD5219" s="6"/>
    </row>
    <row r="5220" spans="30:30" ht="12" x14ac:dyDescent="0.3">
      <c r="AD5220" s="6"/>
    </row>
    <row r="5221" spans="30:30" ht="12" x14ac:dyDescent="0.3">
      <c r="AD5221" s="6"/>
    </row>
    <row r="5222" spans="30:30" ht="12" x14ac:dyDescent="0.3">
      <c r="AD5222" s="6"/>
    </row>
    <row r="5223" spans="30:30" ht="12" x14ac:dyDescent="0.3">
      <c r="AD5223" s="6"/>
    </row>
    <row r="5224" spans="30:30" ht="12" x14ac:dyDescent="0.3">
      <c r="AD5224" s="6"/>
    </row>
    <row r="5225" spans="30:30" ht="12" x14ac:dyDescent="0.3">
      <c r="AD5225" s="6"/>
    </row>
    <row r="5226" spans="30:30" ht="12" x14ac:dyDescent="0.3">
      <c r="AD5226" s="6"/>
    </row>
    <row r="5227" spans="30:30" ht="12" x14ac:dyDescent="0.3">
      <c r="AD5227" s="6"/>
    </row>
    <row r="5228" spans="30:30" ht="12" x14ac:dyDescent="0.3">
      <c r="AD5228" s="6"/>
    </row>
    <row r="5229" spans="30:30" ht="12" x14ac:dyDescent="0.3">
      <c r="AD5229" s="6"/>
    </row>
    <row r="5230" spans="30:30" ht="12" x14ac:dyDescent="0.3">
      <c r="AD5230" s="6"/>
    </row>
    <row r="5231" spans="30:30" ht="12" x14ac:dyDescent="0.3">
      <c r="AD5231" s="6"/>
    </row>
    <row r="5232" spans="30:30" ht="12" x14ac:dyDescent="0.3">
      <c r="AD5232" s="6"/>
    </row>
    <row r="5233" spans="30:30" ht="12" x14ac:dyDescent="0.3">
      <c r="AD5233" s="6"/>
    </row>
    <row r="5234" spans="30:30" ht="12" x14ac:dyDescent="0.3">
      <c r="AD5234" s="6"/>
    </row>
    <row r="5235" spans="30:30" ht="12" x14ac:dyDescent="0.3">
      <c r="AD5235" s="6"/>
    </row>
    <row r="5236" spans="30:30" ht="12" x14ac:dyDescent="0.3">
      <c r="AD5236" s="6"/>
    </row>
    <row r="5237" spans="30:30" ht="12" x14ac:dyDescent="0.3">
      <c r="AD5237" s="6"/>
    </row>
    <row r="5238" spans="30:30" ht="12" x14ac:dyDescent="0.3">
      <c r="AD5238" s="6"/>
    </row>
    <row r="5239" spans="30:30" ht="12" x14ac:dyDescent="0.3">
      <c r="AD5239" s="6"/>
    </row>
    <row r="5240" spans="30:30" ht="12" x14ac:dyDescent="0.3">
      <c r="AD5240" s="6"/>
    </row>
    <row r="5241" spans="30:30" ht="12" x14ac:dyDescent="0.3">
      <c r="AD5241" s="6"/>
    </row>
    <row r="5242" spans="30:30" ht="12" x14ac:dyDescent="0.3">
      <c r="AD5242" s="6"/>
    </row>
    <row r="5243" spans="30:30" ht="12" x14ac:dyDescent="0.3">
      <c r="AD5243" s="6"/>
    </row>
    <row r="5244" spans="30:30" ht="12" x14ac:dyDescent="0.3">
      <c r="AD5244" s="6"/>
    </row>
    <row r="5245" spans="30:30" ht="12" x14ac:dyDescent="0.3">
      <c r="AD5245" s="6"/>
    </row>
    <row r="5246" spans="30:30" ht="12" x14ac:dyDescent="0.3">
      <c r="AD5246" s="6"/>
    </row>
    <row r="5247" spans="30:30" ht="12" x14ac:dyDescent="0.3">
      <c r="AD5247" s="6"/>
    </row>
    <row r="5248" spans="30:30" ht="12" x14ac:dyDescent="0.3">
      <c r="AD5248" s="6"/>
    </row>
    <row r="5249" spans="30:30" ht="12" x14ac:dyDescent="0.3">
      <c r="AD5249" s="6"/>
    </row>
    <row r="5250" spans="30:30" ht="12" x14ac:dyDescent="0.3">
      <c r="AD5250" s="6"/>
    </row>
    <row r="5251" spans="30:30" ht="12" x14ac:dyDescent="0.3">
      <c r="AD5251" s="6"/>
    </row>
    <row r="5252" spans="30:30" ht="12" x14ac:dyDescent="0.3">
      <c r="AD5252" s="6"/>
    </row>
    <row r="5253" spans="30:30" ht="12" x14ac:dyDescent="0.3">
      <c r="AD5253" s="6"/>
    </row>
    <row r="5254" spans="30:30" ht="12" x14ac:dyDescent="0.3">
      <c r="AD5254" s="6"/>
    </row>
    <row r="5255" spans="30:30" ht="12" x14ac:dyDescent="0.3">
      <c r="AD5255" s="6"/>
    </row>
    <row r="5256" spans="30:30" ht="12" x14ac:dyDescent="0.3">
      <c r="AD5256" s="6"/>
    </row>
    <row r="5257" spans="30:30" ht="12" x14ac:dyDescent="0.3">
      <c r="AD5257" s="6"/>
    </row>
    <row r="5258" spans="30:30" ht="12" x14ac:dyDescent="0.3">
      <c r="AD5258" s="6"/>
    </row>
    <row r="5259" spans="30:30" ht="12" x14ac:dyDescent="0.3">
      <c r="AD5259" s="6"/>
    </row>
    <row r="5260" spans="30:30" ht="12" x14ac:dyDescent="0.3">
      <c r="AD5260" s="6"/>
    </row>
    <row r="5261" spans="30:30" ht="12" x14ac:dyDescent="0.3">
      <c r="AD5261" s="6"/>
    </row>
    <row r="5262" spans="30:30" ht="12" x14ac:dyDescent="0.3">
      <c r="AD5262" s="6"/>
    </row>
    <row r="5263" spans="30:30" ht="12" x14ac:dyDescent="0.3">
      <c r="AD5263" s="6"/>
    </row>
    <row r="5264" spans="30:30" ht="12" x14ac:dyDescent="0.3">
      <c r="AD5264" s="6"/>
    </row>
    <row r="5265" spans="30:30" ht="12" x14ac:dyDescent="0.3">
      <c r="AD5265" s="6"/>
    </row>
    <row r="5266" spans="30:30" ht="12" x14ac:dyDescent="0.3">
      <c r="AD5266" s="6"/>
    </row>
    <row r="5267" spans="30:30" ht="12" x14ac:dyDescent="0.3">
      <c r="AD5267" s="6"/>
    </row>
    <row r="5268" spans="30:30" ht="12" x14ac:dyDescent="0.3">
      <c r="AD5268" s="6"/>
    </row>
    <row r="5269" spans="30:30" ht="12" x14ac:dyDescent="0.3">
      <c r="AD5269" s="6"/>
    </row>
    <row r="5270" spans="30:30" ht="12" x14ac:dyDescent="0.3">
      <c r="AD5270" s="6"/>
    </row>
    <row r="5271" spans="30:30" ht="12" x14ac:dyDescent="0.3">
      <c r="AD5271" s="6"/>
    </row>
    <row r="5272" spans="30:30" ht="12" x14ac:dyDescent="0.3">
      <c r="AD5272" s="6"/>
    </row>
    <row r="5273" spans="30:30" ht="12" x14ac:dyDescent="0.3">
      <c r="AD5273" s="6"/>
    </row>
    <row r="5274" spans="30:30" ht="12" x14ac:dyDescent="0.3">
      <c r="AD5274" s="6"/>
    </row>
    <row r="5275" spans="30:30" ht="12" x14ac:dyDescent="0.3">
      <c r="AD5275" s="6"/>
    </row>
    <row r="5276" spans="30:30" ht="12" x14ac:dyDescent="0.3">
      <c r="AD5276" s="6"/>
    </row>
    <row r="5277" spans="30:30" ht="12" x14ac:dyDescent="0.3">
      <c r="AD5277" s="6"/>
    </row>
    <row r="5278" spans="30:30" ht="12" x14ac:dyDescent="0.3">
      <c r="AD5278" s="6"/>
    </row>
    <row r="5279" spans="30:30" ht="12" x14ac:dyDescent="0.3">
      <c r="AD5279" s="6"/>
    </row>
    <row r="5280" spans="30:30" ht="12" x14ac:dyDescent="0.3">
      <c r="AD5280" s="6"/>
    </row>
    <row r="5281" spans="30:30" ht="12" x14ac:dyDescent="0.3">
      <c r="AD5281" s="6"/>
    </row>
    <row r="5282" spans="30:30" ht="12" x14ac:dyDescent="0.3">
      <c r="AD5282" s="6"/>
    </row>
    <row r="5283" spans="30:30" ht="12" x14ac:dyDescent="0.3">
      <c r="AD5283" s="6"/>
    </row>
    <row r="5284" spans="30:30" ht="12" x14ac:dyDescent="0.3">
      <c r="AD5284" s="6"/>
    </row>
    <row r="5285" spans="30:30" ht="12" x14ac:dyDescent="0.3">
      <c r="AD5285" s="6"/>
    </row>
    <row r="5286" spans="30:30" ht="12" x14ac:dyDescent="0.3">
      <c r="AD5286" s="6"/>
    </row>
    <row r="5287" spans="30:30" ht="12" x14ac:dyDescent="0.3">
      <c r="AD5287" s="6"/>
    </row>
    <row r="5288" spans="30:30" ht="12" x14ac:dyDescent="0.3">
      <c r="AD5288" s="6"/>
    </row>
    <row r="5289" spans="30:30" ht="12" x14ac:dyDescent="0.3">
      <c r="AD5289" s="6"/>
    </row>
    <row r="5290" spans="30:30" ht="12" x14ac:dyDescent="0.3">
      <c r="AD5290" s="6"/>
    </row>
    <row r="5291" spans="30:30" ht="12" x14ac:dyDescent="0.3">
      <c r="AD5291" s="6"/>
    </row>
    <row r="5292" spans="30:30" ht="12" x14ac:dyDescent="0.3">
      <c r="AD5292" s="6"/>
    </row>
    <row r="5293" spans="30:30" ht="12" x14ac:dyDescent="0.3">
      <c r="AD5293" s="6"/>
    </row>
    <row r="5294" spans="30:30" ht="12" x14ac:dyDescent="0.3">
      <c r="AD5294" s="6"/>
    </row>
    <row r="5295" spans="30:30" ht="12" x14ac:dyDescent="0.3">
      <c r="AD5295" s="6"/>
    </row>
    <row r="5296" spans="30:30" ht="12" x14ac:dyDescent="0.3">
      <c r="AD5296" s="6"/>
    </row>
    <row r="5297" spans="30:30" ht="12" x14ac:dyDescent="0.3">
      <c r="AD5297" s="6"/>
    </row>
    <row r="5298" spans="30:30" ht="12" x14ac:dyDescent="0.3">
      <c r="AD5298" s="6"/>
    </row>
    <row r="5299" spans="30:30" ht="12" x14ac:dyDescent="0.3">
      <c r="AD5299" s="6"/>
    </row>
    <row r="5300" spans="30:30" ht="12" x14ac:dyDescent="0.3">
      <c r="AD5300" s="6"/>
    </row>
    <row r="5301" spans="30:30" ht="12" x14ac:dyDescent="0.3">
      <c r="AD5301" s="6"/>
    </row>
    <row r="5302" spans="30:30" ht="12" x14ac:dyDescent="0.3">
      <c r="AD5302" s="6"/>
    </row>
    <row r="5303" spans="30:30" ht="12" x14ac:dyDescent="0.3">
      <c r="AD5303" s="6"/>
    </row>
    <row r="5304" spans="30:30" ht="12" x14ac:dyDescent="0.3">
      <c r="AD5304" s="6"/>
    </row>
    <row r="5305" spans="30:30" ht="12" x14ac:dyDescent="0.3">
      <c r="AD5305" s="6"/>
    </row>
    <row r="5306" spans="30:30" ht="12" x14ac:dyDescent="0.3">
      <c r="AD5306" s="6"/>
    </row>
    <row r="5307" spans="30:30" ht="12" x14ac:dyDescent="0.3">
      <c r="AD5307" s="6"/>
    </row>
    <row r="5308" spans="30:30" ht="12" x14ac:dyDescent="0.3">
      <c r="AD5308" s="6"/>
    </row>
    <row r="5309" spans="30:30" ht="12" x14ac:dyDescent="0.3">
      <c r="AD5309" s="6"/>
    </row>
    <row r="5310" spans="30:30" ht="12" x14ac:dyDescent="0.3">
      <c r="AD5310" s="6"/>
    </row>
    <row r="5311" spans="30:30" ht="12" x14ac:dyDescent="0.3">
      <c r="AD5311" s="6"/>
    </row>
    <row r="5312" spans="30:30" ht="12" x14ac:dyDescent="0.3">
      <c r="AD5312" s="6"/>
    </row>
    <row r="5313" spans="30:30" ht="12" x14ac:dyDescent="0.3">
      <c r="AD5313" s="6"/>
    </row>
    <row r="5314" spans="30:30" ht="12" x14ac:dyDescent="0.3">
      <c r="AD5314" s="6"/>
    </row>
    <row r="5315" spans="30:30" ht="12" x14ac:dyDescent="0.3">
      <c r="AD5315" s="6"/>
    </row>
    <row r="5316" spans="30:30" ht="12" x14ac:dyDescent="0.3">
      <c r="AD5316" s="6"/>
    </row>
    <row r="5317" spans="30:30" ht="12" x14ac:dyDescent="0.3">
      <c r="AD5317" s="6"/>
    </row>
    <row r="5318" spans="30:30" ht="12" x14ac:dyDescent="0.3">
      <c r="AD5318" s="6"/>
    </row>
    <row r="5319" spans="30:30" ht="12" x14ac:dyDescent="0.3">
      <c r="AD5319" s="6"/>
    </row>
    <row r="5320" spans="30:30" ht="12" x14ac:dyDescent="0.3">
      <c r="AD5320" s="6"/>
    </row>
    <row r="5321" spans="30:30" ht="12" x14ac:dyDescent="0.3">
      <c r="AD5321" s="6"/>
    </row>
    <row r="5322" spans="30:30" ht="12" x14ac:dyDescent="0.3">
      <c r="AD5322" s="6"/>
    </row>
    <row r="5323" spans="30:30" ht="12" x14ac:dyDescent="0.3">
      <c r="AD5323" s="6"/>
    </row>
    <row r="5324" spans="30:30" ht="12" x14ac:dyDescent="0.3">
      <c r="AD5324" s="6"/>
    </row>
    <row r="5325" spans="30:30" ht="12" x14ac:dyDescent="0.3">
      <c r="AD5325" s="6"/>
    </row>
    <row r="5326" spans="30:30" ht="12" x14ac:dyDescent="0.3">
      <c r="AD5326" s="6"/>
    </row>
    <row r="5327" spans="30:30" ht="12" x14ac:dyDescent="0.3">
      <c r="AD5327" s="6"/>
    </row>
    <row r="5328" spans="30:30" ht="12" x14ac:dyDescent="0.3">
      <c r="AD5328" s="6"/>
    </row>
    <row r="5329" spans="30:30" ht="12" x14ac:dyDescent="0.3">
      <c r="AD5329" s="6"/>
    </row>
    <row r="5330" spans="30:30" ht="12" x14ac:dyDescent="0.3">
      <c r="AD5330" s="6"/>
    </row>
    <row r="5331" spans="30:30" ht="12" x14ac:dyDescent="0.3">
      <c r="AD5331" s="6"/>
    </row>
    <row r="5332" spans="30:30" ht="12" x14ac:dyDescent="0.3">
      <c r="AD5332" s="6"/>
    </row>
    <row r="5333" spans="30:30" ht="12" x14ac:dyDescent="0.3">
      <c r="AD5333" s="6"/>
    </row>
    <row r="5334" spans="30:30" ht="12" x14ac:dyDescent="0.3">
      <c r="AD5334" s="6"/>
    </row>
    <row r="5335" spans="30:30" ht="12" x14ac:dyDescent="0.3">
      <c r="AD5335" s="6"/>
    </row>
    <row r="5336" spans="30:30" ht="12" x14ac:dyDescent="0.3">
      <c r="AD5336" s="6"/>
    </row>
    <row r="5337" spans="30:30" ht="12" x14ac:dyDescent="0.3">
      <c r="AD5337" s="6"/>
    </row>
    <row r="5338" spans="30:30" ht="12" x14ac:dyDescent="0.3">
      <c r="AD5338" s="6"/>
    </row>
    <row r="5339" spans="30:30" ht="12" x14ac:dyDescent="0.3">
      <c r="AD5339" s="6"/>
    </row>
    <row r="5340" spans="30:30" ht="12" x14ac:dyDescent="0.3">
      <c r="AD5340" s="6"/>
    </row>
    <row r="5341" spans="30:30" ht="12" x14ac:dyDescent="0.3">
      <c r="AD5341" s="6"/>
    </row>
    <row r="5342" spans="30:30" ht="12" x14ac:dyDescent="0.3">
      <c r="AD5342" s="6"/>
    </row>
    <row r="5343" spans="30:30" ht="12" x14ac:dyDescent="0.3">
      <c r="AD5343" s="6"/>
    </row>
    <row r="5344" spans="30:30" ht="12" x14ac:dyDescent="0.3">
      <c r="AD5344" s="6"/>
    </row>
    <row r="5345" spans="30:30" ht="12" x14ac:dyDescent="0.3">
      <c r="AD5345" s="6"/>
    </row>
    <row r="5346" spans="30:30" ht="12" x14ac:dyDescent="0.3">
      <c r="AD5346" s="6"/>
    </row>
    <row r="5347" spans="30:30" ht="12" x14ac:dyDescent="0.3">
      <c r="AD5347" s="6"/>
    </row>
    <row r="5348" spans="30:30" ht="12" x14ac:dyDescent="0.3">
      <c r="AD5348" s="6"/>
    </row>
    <row r="5349" spans="30:30" ht="12" x14ac:dyDescent="0.3">
      <c r="AD5349" s="6"/>
    </row>
    <row r="5350" spans="30:30" ht="12" x14ac:dyDescent="0.3">
      <c r="AD5350" s="6"/>
    </row>
    <row r="5351" spans="30:30" ht="12" x14ac:dyDescent="0.3">
      <c r="AD5351" s="6"/>
    </row>
    <row r="5352" spans="30:30" ht="12" x14ac:dyDescent="0.3">
      <c r="AD5352" s="6"/>
    </row>
    <row r="5353" spans="30:30" ht="12" x14ac:dyDescent="0.3">
      <c r="AD5353" s="6"/>
    </row>
    <row r="5354" spans="30:30" ht="12" x14ac:dyDescent="0.3">
      <c r="AD5354" s="6"/>
    </row>
    <row r="5355" spans="30:30" ht="12" x14ac:dyDescent="0.3">
      <c r="AD5355" s="6"/>
    </row>
    <row r="5356" spans="30:30" ht="12" x14ac:dyDescent="0.3">
      <c r="AD5356" s="6"/>
    </row>
    <row r="5357" spans="30:30" ht="12" x14ac:dyDescent="0.3">
      <c r="AD5357" s="6"/>
    </row>
    <row r="5358" spans="30:30" ht="12" x14ac:dyDescent="0.3">
      <c r="AD5358" s="6"/>
    </row>
    <row r="5359" spans="30:30" ht="12" x14ac:dyDescent="0.3">
      <c r="AD5359" s="6"/>
    </row>
    <row r="5360" spans="30:30" ht="12" x14ac:dyDescent="0.3">
      <c r="AD5360" s="6"/>
    </row>
    <row r="5361" spans="30:30" ht="12" x14ac:dyDescent="0.3">
      <c r="AD5361" s="6"/>
    </row>
    <row r="5362" spans="30:30" ht="12" x14ac:dyDescent="0.3">
      <c r="AD5362" s="6"/>
    </row>
    <row r="5363" spans="30:30" ht="12" x14ac:dyDescent="0.3">
      <c r="AD5363" s="6"/>
    </row>
    <row r="5364" spans="30:30" ht="12" x14ac:dyDescent="0.3">
      <c r="AD5364" s="6"/>
    </row>
    <row r="5365" spans="30:30" ht="12" x14ac:dyDescent="0.3">
      <c r="AD5365" s="6"/>
    </row>
    <row r="5366" spans="30:30" ht="12" x14ac:dyDescent="0.3">
      <c r="AD5366" s="6"/>
    </row>
    <row r="5367" spans="30:30" ht="12" x14ac:dyDescent="0.3">
      <c r="AD5367" s="6"/>
    </row>
    <row r="5368" spans="30:30" ht="12" x14ac:dyDescent="0.3">
      <c r="AD5368" s="6"/>
    </row>
    <row r="5369" spans="30:30" ht="12" x14ac:dyDescent="0.3">
      <c r="AD5369" s="6"/>
    </row>
    <row r="5370" spans="30:30" ht="12" x14ac:dyDescent="0.3">
      <c r="AD5370" s="6"/>
    </row>
    <row r="5371" spans="30:30" ht="12" x14ac:dyDescent="0.3">
      <c r="AD5371" s="6"/>
    </row>
    <row r="5372" spans="30:30" ht="12" x14ac:dyDescent="0.3">
      <c r="AD5372" s="6"/>
    </row>
    <row r="5373" spans="30:30" ht="12" x14ac:dyDescent="0.3">
      <c r="AD5373" s="6"/>
    </row>
    <row r="5374" spans="30:30" ht="12" x14ac:dyDescent="0.3">
      <c r="AD5374" s="6"/>
    </row>
    <row r="5375" spans="30:30" ht="12" x14ac:dyDescent="0.3">
      <c r="AD5375" s="6"/>
    </row>
    <row r="5376" spans="30:30" ht="12" x14ac:dyDescent="0.3">
      <c r="AD5376" s="6"/>
    </row>
    <row r="5377" spans="30:30" ht="12" x14ac:dyDescent="0.3">
      <c r="AD5377" s="6"/>
    </row>
    <row r="5378" spans="30:30" ht="12" x14ac:dyDescent="0.3">
      <c r="AD5378" s="6"/>
    </row>
    <row r="5379" spans="30:30" ht="12" x14ac:dyDescent="0.3">
      <c r="AD5379" s="6"/>
    </row>
    <row r="5380" spans="30:30" ht="12" x14ac:dyDescent="0.3">
      <c r="AD5380" s="6"/>
    </row>
    <row r="5381" spans="30:30" ht="12" x14ac:dyDescent="0.3">
      <c r="AD5381" s="6"/>
    </row>
    <row r="5382" spans="30:30" ht="12" x14ac:dyDescent="0.3">
      <c r="AD5382" s="6"/>
    </row>
    <row r="5383" spans="30:30" ht="12" x14ac:dyDescent="0.3">
      <c r="AD5383" s="6"/>
    </row>
    <row r="5384" spans="30:30" ht="12" x14ac:dyDescent="0.3">
      <c r="AD5384" s="6"/>
    </row>
    <row r="5385" spans="30:30" ht="12" x14ac:dyDescent="0.3">
      <c r="AD5385" s="6"/>
    </row>
    <row r="5386" spans="30:30" ht="12" x14ac:dyDescent="0.3">
      <c r="AD5386" s="6"/>
    </row>
    <row r="5387" spans="30:30" ht="12" x14ac:dyDescent="0.3">
      <c r="AD5387" s="6"/>
    </row>
    <row r="5388" spans="30:30" ht="12" x14ac:dyDescent="0.3">
      <c r="AD5388" s="6"/>
    </row>
    <row r="5389" spans="30:30" ht="12" x14ac:dyDescent="0.3">
      <c r="AD5389" s="6"/>
    </row>
    <row r="5390" spans="30:30" ht="12" x14ac:dyDescent="0.3">
      <c r="AD5390" s="6"/>
    </row>
    <row r="5391" spans="30:30" ht="12" x14ac:dyDescent="0.3">
      <c r="AD5391" s="6"/>
    </row>
    <row r="5392" spans="30:30" ht="12" x14ac:dyDescent="0.3">
      <c r="AD5392" s="6"/>
    </row>
    <row r="5393" spans="30:30" ht="12" x14ac:dyDescent="0.3">
      <c r="AD5393" s="6"/>
    </row>
    <row r="5394" spans="30:30" ht="12" x14ac:dyDescent="0.3">
      <c r="AD5394" s="6"/>
    </row>
    <row r="5395" spans="30:30" ht="12" x14ac:dyDescent="0.3">
      <c r="AD5395" s="6"/>
    </row>
    <row r="5396" spans="30:30" ht="12" x14ac:dyDescent="0.3">
      <c r="AD5396" s="6"/>
    </row>
    <row r="5397" spans="30:30" ht="12" x14ac:dyDescent="0.3">
      <c r="AD5397" s="6"/>
    </row>
    <row r="5398" spans="30:30" ht="12" x14ac:dyDescent="0.3">
      <c r="AD5398" s="6"/>
    </row>
    <row r="5399" spans="30:30" ht="12" x14ac:dyDescent="0.3">
      <c r="AD5399" s="6"/>
    </row>
    <row r="5400" spans="30:30" ht="12" x14ac:dyDescent="0.3">
      <c r="AD5400" s="6"/>
    </row>
    <row r="5401" spans="30:30" ht="12" x14ac:dyDescent="0.3">
      <c r="AD5401" s="6"/>
    </row>
    <row r="5402" spans="30:30" ht="12" x14ac:dyDescent="0.3">
      <c r="AD5402" s="6"/>
    </row>
    <row r="5403" spans="30:30" ht="12" x14ac:dyDescent="0.3">
      <c r="AD5403" s="6"/>
    </row>
    <row r="5404" spans="30:30" ht="12" x14ac:dyDescent="0.3">
      <c r="AD5404" s="6"/>
    </row>
    <row r="5405" spans="30:30" ht="12" x14ac:dyDescent="0.3">
      <c r="AD5405" s="6"/>
    </row>
    <row r="5406" spans="30:30" ht="12" x14ac:dyDescent="0.3">
      <c r="AD5406" s="6"/>
    </row>
    <row r="5407" spans="30:30" ht="12" x14ac:dyDescent="0.3">
      <c r="AD5407" s="6"/>
    </row>
    <row r="5408" spans="30:30" ht="12" x14ac:dyDescent="0.3">
      <c r="AD5408" s="6"/>
    </row>
    <row r="5409" spans="30:30" ht="12" x14ac:dyDescent="0.3">
      <c r="AD5409" s="6"/>
    </row>
    <row r="5410" spans="30:30" ht="12" x14ac:dyDescent="0.3">
      <c r="AD5410" s="6"/>
    </row>
    <row r="5411" spans="30:30" ht="12" x14ac:dyDescent="0.3">
      <c r="AD5411" s="6"/>
    </row>
    <row r="5412" spans="30:30" ht="12" x14ac:dyDescent="0.3">
      <c r="AD5412" s="6"/>
    </row>
    <row r="5413" spans="30:30" ht="12" x14ac:dyDescent="0.3">
      <c r="AD5413" s="6"/>
    </row>
    <row r="5414" spans="30:30" ht="12" x14ac:dyDescent="0.3">
      <c r="AD5414" s="6"/>
    </row>
    <row r="5415" spans="30:30" ht="12" x14ac:dyDescent="0.3">
      <c r="AD5415" s="6"/>
    </row>
    <row r="5416" spans="30:30" ht="12" x14ac:dyDescent="0.3">
      <c r="AD5416" s="6"/>
    </row>
    <row r="5417" spans="30:30" ht="12" x14ac:dyDescent="0.3">
      <c r="AD5417" s="6"/>
    </row>
    <row r="5418" spans="30:30" ht="12" x14ac:dyDescent="0.3">
      <c r="AD5418" s="6"/>
    </row>
    <row r="5419" spans="30:30" ht="12" x14ac:dyDescent="0.3">
      <c r="AD5419" s="6"/>
    </row>
    <row r="5420" spans="30:30" ht="12" x14ac:dyDescent="0.3">
      <c r="AD5420" s="6"/>
    </row>
    <row r="5421" spans="30:30" ht="12" x14ac:dyDescent="0.3">
      <c r="AD5421" s="6"/>
    </row>
    <row r="5422" spans="30:30" ht="12" x14ac:dyDescent="0.3">
      <c r="AD5422" s="6"/>
    </row>
    <row r="5423" spans="30:30" ht="12" x14ac:dyDescent="0.3">
      <c r="AD5423" s="6"/>
    </row>
    <row r="5424" spans="30:30" ht="12" x14ac:dyDescent="0.3">
      <c r="AD5424" s="6"/>
    </row>
    <row r="5425" spans="30:30" ht="12" x14ac:dyDescent="0.3">
      <c r="AD5425" s="6"/>
    </row>
    <row r="5426" spans="30:30" ht="12" x14ac:dyDescent="0.3">
      <c r="AD5426" s="6"/>
    </row>
    <row r="5427" spans="30:30" ht="12" x14ac:dyDescent="0.3">
      <c r="AD5427" s="6"/>
    </row>
    <row r="5428" spans="30:30" ht="12" x14ac:dyDescent="0.3">
      <c r="AD5428" s="6"/>
    </row>
    <row r="5429" spans="30:30" ht="12" x14ac:dyDescent="0.3">
      <c r="AD5429" s="6"/>
    </row>
    <row r="5430" spans="30:30" ht="12" x14ac:dyDescent="0.3">
      <c r="AD5430" s="6"/>
    </row>
    <row r="5431" spans="30:30" ht="12" x14ac:dyDescent="0.3">
      <c r="AD5431" s="6"/>
    </row>
    <row r="5432" spans="30:30" ht="12" x14ac:dyDescent="0.3">
      <c r="AD5432" s="6"/>
    </row>
    <row r="5433" spans="30:30" ht="12" x14ac:dyDescent="0.3">
      <c r="AD5433" s="6"/>
    </row>
    <row r="5434" spans="30:30" ht="12" x14ac:dyDescent="0.3">
      <c r="AD5434" s="6"/>
    </row>
    <row r="5435" spans="30:30" ht="12" x14ac:dyDescent="0.3">
      <c r="AD5435" s="6"/>
    </row>
    <row r="5436" spans="30:30" ht="12" x14ac:dyDescent="0.3">
      <c r="AD5436" s="6"/>
    </row>
    <row r="5437" spans="30:30" ht="12" x14ac:dyDescent="0.3">
      <c r="AD5437" s="6"/>
    </row>
    <row r="5438" spans="30:30" ht="12" x14ac:dyDescent="0.3">
      <c r="AD5438" s="6"/>
    </row>
    <row r="5439" spans="30:30" ht="12" x14ac:dyDescent="0.3">
      <c r="AD5439" s="6"/>
    </row>
    <row r="5440" spans="30:30" ht="12" x14ac:dyDescent="0.3">
      <c r="AD5440" s="6"/>
    </row>
    <row r="5441" spans="30:30" ht="12" x14ac:dyDescent="0.3">
      <c r="AD5441" s="6"/>
    </row>
    <row r="5442" spans="30:30" ht="12" x14ac:dyDescent="0.3">
      <c r="AD5442" s="6"/>
    </row>
    <row r="5443" spans="30:30" ht="12" x14ac:dyDescent="0.3">
      <c r="AD5443" s="6"/>
    </row>
    <row r="5444" spans="30:30" ht="12" x14ac:dyDescent="0.3">
      <c r="AD5444" s="6"/>
    </row>
    <row r="5445" spans="30:30" ht="12" x14ac:dyDescent="0.3">
      <c r="AD5445" s="6"/>
    </row>
    <row r="5446" spans="30:30" ht="12" x14ac:dyDescent="0.3">
      <c r="AD5446" s="6"/>
    </row>
    <row r="5447" spans="30:30" ht="12" x14ac:dyDescent="0.3">
      <c r="AD5447" s="6"/>
    </row>
    <row r="5448" spans="30:30" ht="12" x14ac:dyDescent="0.3">
      <c r="AD5448" s="6"/>
    </row>
    <row r="5449" spans="30:30" ht="12" x14ac:dyDescent="0.3">
      <c r="AD5449" s="6"/>
    </row>
    <row r="5450" spans="30:30" ht="12" x14ac:dyDescent="0.3">
      <c r="AD5450" s="6"/>
    </row>
    <row r="5451" spans="30:30" ht="12" x14ac:dyDescent="0.3">
      <c r="AD5451" s="6"/>
    </row>
    <row r="5452" spans="30:30" ht="12" x14ac:dyDescent="0.3">
      <c r="AD5452" s="6"/>
    </row>
    <row r="5453" spans="30:30" ht="12" x14ac:dyDescent="0.3">
      <c r="AD5453" s="6"/>
    </row>
    <row r="5454" spans="30:30" ht="12" x14ac:dyDescent="0.3">
      <c r="AD5454" s="6"/>
    </row>
    <row r="5455" spans="30:30" ht="12" x14ac:dyDescent="0.3">
      <c r="AD5455" s="6"/>
    </row>
    <row r="5456" spans="30:30" ht="12" x14ac:dyDescent="0.3">
      <c r="AD5456" s="6"/>
    </row>
    <row r="5457" spans="30:30" ht="12" x14ac:dyDescent="0.3">
      <c r="AD5457" s="6"/>
    </row>
    <row r="5458" spans="30:30" ht="12" x14ac:dyDescent="0.3">
      <c r="AD5458" s="6"/>
    </row>
    <row r="5459" spans="30:30" ht="12" x14ac:dyDescent="0.3">
      <c r="AD5459" s="6"/>
    </row>
    <row r="5460" spans="30:30" ht="12" x14ac:dyDescent="0.3">
      <c r="AD5460" s="6"/>
    </row>
    <row r="5461" spans="30:30" ht="12" x14ac:dyDescent="0.3">
      <c r="AD5461" s="6"/>
    </row>
    <row r="5462" spans="30:30" ht="12" x14ac:dyDescent="0.3">
      <c r="AD5462" s="6"/>
    </row>
    <row r="5463" spans="30:30" ht="12" x14ac:dyDescent="0.3">
      <c r="AD5463" s="6"/>
    </row>
    <row r="5464" spans="30:30" ht="12" x14ac:dyDescent="0.3">
      <c r="AD5464" s="6"/>
    </row>
    <row r="5465" spans="30:30" ht="12" x14ac:dyDescent="0.3">
      <c r="AD5465" s="6"/>
    </row>
    <row r="5466" spans="30:30" ht="12" x14ac:dyDescent="0.3">
      <c r="AD5466" s="6"/>
    </row>
    <row r="5467" spans="30:30" ht="12" x14ac:dyDescent="0.3">
      <c r="AD5467" s="6"/>
    </row>
    <row r="5468" spans="30:30" ht="12" x14ac:dyDescent="0.3">
      <c r="AD5468" s="6"/>
    </row>
    <row r="5469" spans="30:30" ht="12" x14ac:dyDescent="0.3">
      <c r="AD5469" s="6"/>
    </row>
    <row r="5470" spans="30:30" ht="12" x14ac:dyDescent="0.3">
      <c r="AD5470" s="6"/>
    </row>
    <row r="5471" spans="30:30" ht="12" x14ac:dyDescent="0.3">
      <c r="AD5471" s="6"/>
    </row>
    <row r="5472" spans="30:30" ht="12" x14ac:dyDescent="0.3">
      <c r="AD5472" s="6"/>
    </row>
    <row r="5473" spans="30:30" ht="12" x14ac:dyDescent="0.3">
      <c r="AD5473" s="6"/>
    </row>
    <row r="5474" spans="30:30" ht="12" x14ac:dyDescent="0.3">
      <c r="AD5474" s="6"/>
    </row>
    <row r="5475" spans="30:30" ht="12" x14ac:dyDescent="0.3">
      <c r="AD5475" s="6"/>
    </row>
    <row r="5476" spans="30:30" ht="12" x14ac:dyDescent="0.3">
      <c r="AD5476" s="6"/>
    </row>
    <row r="5477" spans="30:30" ht="12" x14ac:dyDescent="0.3">
      <c r="AD5477" s="6"/>
    </row>
    <row r="5478" spans="30:30" ht="12" x14ac:dyDescent="0.3">
      <c r="AD5478" s="6"/>
    </row>
    <row r="5479" spans="30:30" ht="12" x14ac:dyDescent="0.3">
      <c r="AD5479" s="6"/>
    </row>
    <row r="5480" spans="30:30" ht="12" x14ac:dyDescent="0.3">
      <c r="AD5480" s="6"/>
    </row>
    <row r="5481" spans="30:30" ht="12" x14ac:dyDescent="0.3">
      <c r="AD5481" s="6"/>
    </row>
    <row r="5482" spans="30:30" ht="12" x14ac:dyDescent="0.3">
      <c r="AD5482" s="6"/>
    </row>
    <row r="5483" spans="30:30" ht="12" x14ac:dyDescent="0.3">
      <c r="AD5483" s="6"/>
    </row>
    <row r="5484" spans="30:30" ht="12" x14ac:dyDescent="0.3">
      <c r="AD5484" s="6"/>
    </row>
    <row r="5485" spans="30:30" ht="12" x14ac:dyDescent="0.3">
      <c r="AD5485" s="6"/>
    </row>
    <row r="5486" spans="30:30" ht="12" x14ac:dyDescent="0.3">
      <c r="AD5486" s="6"/>
    </row>
    <row r="5487" spans="30:30" ht="12" x14ac:dyDescent="0.3">
      <c r="AD5487" s="6"/>
    </row>
    <row r="5488" spans="30:30" ht="12" x14ac:dyDescent="0.3">
      <c r="AD5488" s="6"/>
    </row>
    <row r="5489" spans="30:30" ht="12" x14ac:dyDescent="0.3">
      <c r="AD5489" s="6"/>
    </row>
    <row r="5490" spans="30:30" ht="12" x14ac:dyDescent="0.3">
      <c r="AD5490" s="6"/>
    </row>
    <row r="5491" spans="30:30" ht="12" x14ac:dyDescent="0.3">
      <c r="AD5491" s="6"/>
    </row>
    <row r="5492" spans="30:30" ht="12" x14ac:dyDescent="0.3">
      <c r="AD5492" s="6"/>
    </row>
    <row r="5493" spans="30:30" ht="12" x14ac:dyDescent="0.3">
      <c r="AD5493" s="6"/>
    </row>
    <row r="5494" spans="30:30" ht="12" x14ac:dyDescent="0.3">
      <c r="AD5494" s="6"/>
    </row>
    <row r="5495" spans="30:30" ht="12" x14ac:dyDescent="0.3">
      <c r="AD5495" s="6"/>
    </row>
    <row r="5496" spans="30:30" ht="12" x14ac:dyDescent="0.3">
      <c r="AD5496" s="6"/>
    </row>
    <row r="5497" spans="30:30" ht="12" x14ac:dyDescent="0.3">
      <c r="AD5497" s="6"/>
    </row>
    <row r="5498" spans="30:30" ht="12" x14ac:dyDescent="0.3">
      <c r="AD5498" s="6"/>
    </row>
    <row r="5499" spans="30:30" ht="12" x14ac:dyDescent="0.3">
      <c r="AD5499" s="6"/>
    </row>
    <row r="5500" spans="30:30" ht="12" x14ac:dyDescent="0.3">
      <c r="AD5500" s="6"/>
    </row>
    <row r="5501" spans="30:30" ht="12" x14ac:dyDescent="0.3">
      <c r="AD5501" s="6"/>
    </row>
    <row r="5502" spans="30:30" ht="12" x14ac:dyDescent="0.3">
      <c r="AD5502" s="6"/>
    </row>
    <row r="5503" spans="30:30" ht="12" x14ac:dyDescent="0.3">
      <c r="AD5503" s="6"/>
    </row>
    <row r="5504" spans="30:30" ht="12" x14ac:dyDescent="0.3">
      <c r="AD5504" s="6"/>
    </row>
    <row r="5505" spans="30:30" ht="12" x14ac:dyDescent="0.3">
      <c r="AD5505" s="6"/>
    </row>
    <row r="5506" spans="30:30" ht="12" x14ac:dyDescent="0.3">
      <c r="AD5506" s="6"/>
    </row>
    <row r="5507" spans="30:30" ht="12" x14ac:dyDescent="0.3">
      <c r="AD5507" s="6"/>
    </row>
    <row r="5508" spans="30:30" ht="12" x14ac:dyDescent="0.3">
      <c r="AD5508" s="6"/>
    </row>
    <row r="5509" spans="30:30" ht="12" x14ac:dyDescent="0.3">
      <c r="AD5509" s="6"/>
    </row>
    <row r="5510" spans="30:30" ht="12" x14ac:dyDescent="0.3">
      <c r="AD5510" s="6"/>
    </row>
    <row r="5511" spans="30:30" ht="12" x14ac:dyDescent="0.3">
      <c r="AD5511" s="6"/>
    </row>
    <row r="5512" spans="30:30" ht="12" x14ac:dyDescent="0.3">
      <c r="AD5512" s="6"/>
    </row>
    <row r="5513" spans="30:30" ht="12" x14ac:dyDescent="0.3">
      <c r="AD5513" s="6"/>
    </row>
    <row r="5514" spans="30:30" ht="12" x14ac:dyDescent="0.3">
      <c r="AD5514" s="6"/>
    </row>
    <row r="5515" spans="30:30" ht="12" x14ac:dyDescent="0.3">
      <c r="AD5515" s="6"/>
    </row>
    <row r="5516" spans="30:30" ht="12" x14ac:dyDescent="0.3">
      <c r="AD5516" s="6"/>
    </row>
    <row r="5517" spans="30:30" ht="12" x14ac:dyDescent="0.3">
      <c r="AD5517" s="6"/>
    </row>
    <row r="5518" spans="30:30" ht="12" x14ac:dyDescent="0.3">
      <c r="AD5518" s="6"/>
    </row>
    <row r="5519" spans="30:30" ht="12" x14ac:dyDescent="0.3">
      <c r="AD5519" s="6"/>
    </row>
    <row r="5520" spans="30:30" ht="12" x14ac:dyDescent="0.3">
      <c r="AD5520" s="6"/>
    </row>
    <row r="5521" spans="30:30" ht="12" x14ac:dyDescent="0.3">
      <c r="AD5521" s="6"/>
    </row>
    <row r="5522" spans="30:30" ht="12" x14ac:dyDescent="0.3">
      <c r="AD5522" s="6"/>
    </row>
    <row r="5523" spans="30:30" ht="12" x14ac:dyDescent="0.3">
      <c r="AD5523" s="6"/>
    </row>
    <row r="5524" spans="30:30" ht="12" x14ac:dyDescent="0.3">
      <c r="AD5524" s="6"/>
    </row>
    <row r="5525" spans="30:30" ht="12" x14ac:dyDescent="0.3">
      <c r="AD5525" s="6"/>
    </row>
    <row r="5526" spans="30:30" ht="12" x14ac:dyDescent="0.3">
      <c r="AD5526" s="6"/>
    </row>
    <row r="5527" spans="30:30" ht="12" x14ac:dyDescent="0.3">
      <c r="AD5527" s="6"/>
    </row>
    <row r="5528" spans="30:30" ht="12" x14ac:dyDescent="0.3">
      <c r="AD5528" s="6"/>
    </row>
    <row r="5529" spans="30:30" ht="12" x14ac:dyDescent="0.3">
      <c r="AD5529" s="6"/>
    </row>
    <row r="5530" spans="30:30" ht="12" x14ac:dyDescent="0.3">
      <c r="AD5530" s="6"/>
    </row>
    <row r="5531" spans="30:30" ht="12" x14ac:dyDescent="0.3">
      <c r="AD5531" s="6"/>
    </row>
    <row r="5532" spans="30:30" ht="12" x14ac:dyDescent="0.3">
      <c r="AD5532" s="6"/>
    </row>
    <row r="5533" spans="30:30" ht="12" x14ac:dyDescent="0.3">
      <c r="AD5533" s="6"/>
    </row>
    <row r="5534" spans="30:30" ht="12" x14ac:dyDescent="0.3">
      <c r="AD5534" s="6"/>
    </row>
    <row r="5535" spans="30:30" ht="12" x14ac:dyDescent="0.3">
      <c r="AD5535" s="6"/>
    </row>
    <row r="5536" spans="30:30" ht="12" x14ac:dyDescent="0.3">
      <c r="AD5536" s="6"/>
    </row>
    <row r="5537" spans="30:30" ht="12" x14ac:dyDescent="0.3">
      <c r="AD5537" s="6"/>
    </row>
    <row r="5538" spans="30:30" ht="12" x14ac:dyDescent="0.3">
      <c r="AD5538" s="6"/>
    </row>
    <row r="5539" spans="30:30" ht="12" x14ac:dyDescent="0.3">
      <c r="AD5539" s="6"/>
    </row>
    <row r="5540" spans="30:30" ht="12" x14ac:dyDescent="0.3">
      <c r="AD5540" s="6"/>
    </row>
    <row r="5541" spans="30:30" ht="12" x14ac:dyDescent="0.3">
      <c r="AD5541" s="6"/>
    </row>
    <row r="5542" spans="30:30" ht="12" x14ac:dyDescent="0.3">
      <c r="AD5542" s="6"/>
    </row>
    <row r="5543" spans="30:30" ht="12" x14ac:dyDescent="0.3">
      <c r="AD5543" s="6"/>
    </row>
    <row r="5544" spans="30:30" ht="12" x14ac:dyDescent="0.3">
      <c r="AD5544" s="6"/>
    </row>
    <row r="5545" spans="30:30" ht="12" x14ac:dyDescent="0.3">
      <c r="AD5545" s="6"/>
    </row>
    <row r="5546" spans="30:30" ht="12" x14ac:dyDescent="0.3">
      <c r="AD5546" s="6"/>
    </row>
    <row r="5547" spans="30:30" ht="12" x14ac:dyDescent="0.3">
      <c r="AD5547" s="6"/>
    </row>
    <row r="5548" spans="30:30" ht="12" x14ac:dyDescent="0.3">
      <c r="AD5548" s="6"/>
    </row>
    <row r="5549" spans="30:30" ht="12" x14ac:dyDescent="0.3">
      <c r="AD5549" s="6"/>
    </row>
    <row r="5550" spans="30:30" ht="12" x14ac:dyDescent="0.3">
      <c r="AD5550" s="6"/>
    </row>
    <row r="5551" spans="30:30" ht="12" x14ac:dyDescent="0.3">
      <c r="AD5551" s="6"/>
    </row>
    <row r="5552" spans="30:30" ht="12" x14ac:dyDescent="0.3">
      <c r="AD5552" s="6"/>
    </row>
    <row r="5553" spans="30:30" ht="12" x14ac:dyDescent="0.3">
      <c r="AD5553" s="6"/>
    </row>
    <row r="5554" spans="30:30" ht="12" x14ac:dyDescent="0.3">
      <c r="AD5554" s="6"/>
    </row>
    <row r="5555" spans="30:30" ht="12" x14ac:dyDescent="0.3">
      <c r="AD5555" s="6"/>
    </row>
    <row r="5556" spans="30:30" ht="12" x14ac:dyDescent="0.3">
      <c r="AD5556" s="6"/>
    </row>
    <row r="5557" spans="30:30" ht="12" x14ac:dyDescent="0.3">
      <c r="AD5557" s="6"/>
    </row>
    <row r="5558" spans="30:30" ht="12" x14ac:dyDescent="0.3">
      <c r="AD5558" s="6"/>
    </row>
    <row r="5559" spans="30:30" ht="12" x14ac:dyDescent="0.3">
      <c r="AD5559" s="6"/>
    </row>
    <row r="5560" spans="30:30" ht="12" x14ac:dyDescent="0.3">
      <c r="AD5560" s="6"/>
    </row>
    <row r="5561" spans="30:30" ht="12" x14ac:dyDescent="0.3">
      <c r="AD5561" s="6"/>
    </row>
    <row r="5562" spans="30:30" ht="12" x14ac:dyDescent="0.3">
      <c r="AD5562" s="6"/>
    </row>
    <row r="5563" spans="30:30" ht="12" x14ac:dyDescent="0.3">
      <c r="AD5563" s="6"/>
    </row>
    <row r="5564" spans="30:30" ht="12" x14ac:dyDescent="0.3">
      <c r="AD5564" s="6"/>
    </row>
    <row r="5565" spans="30:30" ht="12" x14ac:dyDescent="0.3">
      <c r="AD5565" s="6"/>
    </row>
    <row r="5566" spans="30:30" ht="12" x14ac:dyDescent="0.3">
      <c r="AD5566" s="6"/>
    </row>
    <row r="5567" spans="30:30" ht="12" x14ac:dyDescent="0.3">
      <c r="AD5567" s="6"/>
    </row>
    <row r="5568" spans="30:30" ht="12" x14ac:dyDescent="0.3">
      <c r="AD5568" s="6"/>
    </row>
    <row r="5569" spans="30:30" ht="12" x14ac:dyDescent="0.3">
      <c r="AD5569" s="6"/>
    </row>
    <row r="5570" spans="30:30" ht="12" x14ac:dyDescent="0.3">
      <c r="AD5570" s="6"/>
    </row>
    <row r="5571" spans="30:30" ht="12" x14ac:dyDescent="0.3">
      <c r="AD5571" s="6"/>
    </row>
    <row r="5572" spans="30:30" ht="12" x14ac:dyDescent="0.3">
      <c r="AD5572" s="6"/>
    </row>
    <row r="5573" spans="30:30" ht="12" x14ac:dyDescent="0.3">
      <c r="AD5573" s="6"/>
    </row>
    <row r="5574" spans="30:30" ht="12" x14ac:dyDescent="0.3">
      <c r="AD5574" s="6"/>
    </row>
    <row r="5575" spans="30:30" ht="12" x14ac:dyDescent="0.3">
      <c r="AD5575" s="6"/>
    </row>
    <row r="5576" spans="30:30" ht="12" x14ac:dyDescent="0.3">
      <c r="AD5576" s="6"/>
    </row>
    <row r="5577" spans="30:30" ht="12" x14ac:dyDescent="0.3">
      <c r="AD5577" s="6"/>
    </row>
    <row r="5578" spans="30:30" ht="12" x14ac:dyDescent="0.3">
      <c r="AD5578" s="6"/>
    </row>
    <row r="5579" spans="30:30" ht="12" x14ac:dyDescent="0.3">
      <c r="AD5579" s="6"/>
    </row>
    <row r="5580" spans="30:30" ht="12" x14ac:dyDescent="0.3">
      <c r="AD5580" s="6"/>
    </row>
    <row r="5581" spans="30:30" ht="12" x14ac:dyDescent="0.3">
      <c r="AD5581" s="6"/>
    </row>
    <row r="5582" spans="30:30" ht="12" x14ac:dyDescent="0.3">
      <c r="AD5582" s="6"/>
    </row>
    <row r="5583" spans="30:30" ht="12" x14ac:dyDescent="0.3">
      <c r="AD5583" s="6"/>
    </row>
    <row r="5584" spans="30:30" ht="12" x14ac:dyDescent="0.3">
      <c r="AD5584" s="6"/>
    </row>
    <row r="5585" spans="30:30" ht="12" x14ac:dyDescent="0.3">
      <c r="AD5585" s="6"/>
    </row>
    <row r="5586" spans="30:30" ht="12" x14ac:dyDescent="0.3">
      <c r="AD5586" s="6"/>
    </row>
    <row r="5587" spans="30:30" ht="12" x14ac:dyDescent="0.3">
      <c r="AD5587" s="6"/>
    </row>
    <row r="5588" spans="30:30" ht="12" x14ac:dyDescent="0.3">
      <c r="AD5588" s="6"/>
    </row>
    <row r="5589" spans="30:30" ht="12" x14ac:dyDescent="0.3">
      <c r="AD5589" s="6"/>
    </row>
    <row r="5590" spans="30:30" ht="12" x14ac:dyDescent="0.3">
      <c r="AD5590" s="6"/>
    </row>
    <row r="5591" spans="30:30" ht="12" x14ac:dyDescent="0.3">
      <c r="AD5591" s="6"/>
    </row>
    <row r="5592" spans="30:30" ht="12" x14ac:dyDescent="0.3">
      <c r="AD5592" s="6"/>
    </row>
    <row r="5593" spans="30:30" ht="12" x14ac:dyDescent="0.3">
      <c r="AD5593" s="6"/>
    </row>
    <row r="5594" spans="30:30" ht="12" x14ac:dyDescent="0.3">
      <c r="AD5594" s="6"/>
    </row>
    <row r="5595" spans="30:30" ht="12" x14ac:dyDescent="0.3">
      <c r="AD5595" s="6"/>
    </row>
    <row r="5596" spans="30:30" ht="12" x14ac:dyDescent="0.3">
      <c r="AD5596" s="6"/>
    </row>
    <row r="5597" spans="30:30" ht="12" x14ac:dyDescent="0.3">
      <c r="AD5597" s="6"/>
    </row>
    <row r="5598" spans="30:30" ht="12" x14ac:dyDescent="0.3">
      <c r="AD5598" s="6"/>
    </row>
    <row r="5599" spans="30:30" ht="12" x14ac:dyDescent="0.3">
      <c r="AD5599" s="6"/>
    </row>
    <row r="5600" spans="30:30" ht="12" x14ac:dyDescent="0.3">
      <c r="AD5600" s="6"/>
    </row>
    <row r="5601" spans="30:30" ht="12" x14ac:dyDescent="0.3">
      <c r="AD5601" s="6"/>
    </row>
    <row r="5602" spans="30:30" ht="12" x14ac:dyDescent="0.3">
      <c r="AD5602" s="6"/>
    </row>
    <row r="5603" spans="30:30" ht="12" x14ac:dyDescent="0.3">
      <c r="AD5603" s="6"/>
    </row>
    <row r="5604" spans="30:30" ht="12" x14ac:dyDescent="0.3">
      <c r="AD5604" s="6"/>
    </row>
    <row r="5605" spans="30:30" ht="12" x14ac:dyDescent="0.3">
      <c r="AD5605" s="6"/>
    </row>
    <row r="5606" spans="30:30" ht="12" x14ac:dyDescent="0.3">
      <c r="AD5606" s="6"/>
    </row>
    <row r="5607" spans="30:30" ht="12" x14ac:dyDescent="0.3">
      <c r="AD5607" s="6"/>
    </row>
    <row r="5608" spans="30:30" ht="12" x14ac:dyDescent="0.3">
      <c r="AD5608" s="6"/>
    </row>
    <row r="5609" spans="30:30" ht="12" x14ac:dyDescent="0.3">
      <c r="AD5609" s="6"/>
    </row>
    <row r="5610" spans="30:30" ht="12" x14ac:dyDescent="0.3">
      <c r="AD5610" s="6"/>
    </row>
    <row r="5611" spans="30:30" ht="12" x14ac:dyDescent="0.3">
      <c r="AD5611" s="6"/>
    </row>
    <row r="5612" spans="30:30" ht="12" x14ac:dyDescent="0.3">
      <c r="AD5612" s="6"/>
    </row>
    <row r="5613" spans="30:30" ht="12" x14ac:dyDescent="0.3">
      <c r="AD5613" s="6"/>
    </row>
    <row r="5614" spans="30:30" ht="12" x14ac:dyDescent="0.3">
      <c r="AD5614" s="6"/>
    </row>
    <row r="5615" spans="30:30" ht="12" x14ac:dyDescent="0.3">
      <c r="AD5615" s="6"/>
    </row>
    <row r="5616" spans="30:30" ht="12" x14ac:dyDescent="0.3">
      <c r="AD5616" s="6"/>
    </row>
    <row r="5617" spans="30:30" ht="12" x14ac:dyDescent="0.3">
      <c r="AD5617" s="6"/>
    </row>
    <row r="5618" spans="30:30" ht="12" x14ac:dyDescent="0.3">
      <c r="AD5618" s="6"/>
    </row>
    <row r="5619" spans="30:30" ht="12" x14ac:dyDescent="0.3">
      <c r="AD5619" s="6"/>
    </row>
    <row r="5620" spans="30:30" ht="12" x14ac:dyDescent="0.3">
      <c r="AD5620" s="6"/>
    </row>
    <row r="5621" spans="30:30" ht="12" x14ac:dyDescent="0.3">
      <c r="AD5621" s="6"/>
    </row>
    <row r="5622" spans="30:30" ht="12" x14ac:dyDescent="0.3">
      <c r="AD5622" s="6"/>
    </row>
    <row r="5623" spans="30:30" ht="12" x14ac:dyDescent="0.3">
      <c r="AD5623" s="6"/>
    </row>
    <row r="5624" spans="30:30" ht="12" x14ac:dyDescent="0.3">
      <c r="AD5624" s="6"/>
    </row>
    <row r="5625" spans="30:30" ht="12" x14ac:dyDescent="0.3">
      <c r="AD5625" s="6"/>
    </row>
    <row r="5626" spans="30:30" ht="12" x14ac:dyDescent="0.3">
      <c r="AD5626" s="6"/>
    </row>
    <row r="5627" spans="30:30" ht="12" x14ac:dyDescent="0.3">
      <c r="AD5627" s="6"/>
    </row>
    <row r="5628" spans="30:30" ht="12" x14ac:dyDescent="0.3">
      <c r="AD5628" s="6"/>
    </row>
    <row r="5629" spans="30:30" ht="12" x14ac:dyDescent="0.3">
      <c r="AD5629" s="6"/>
    </row>
    <row r="5630" spans="30:30" ht="12" x14ac:dyDescent="0.3">
      <c r="AD5630" s="6"/>
    </row>
    <row r="5631" spans="30:30" ht="12" x14ac:dyDescent="0.3">
      <c r="AD5631" s="6"/>
    </row>
    <row r="5632" spans="30:30" ht="12" x14ac:dyDescent="0.3">
      <c r="AD5632" s="6"/>
    </row>
    <row r="5633" spans="30:30" ht="12" x14ac:dyDescent="0.3">
      <c r="AD5633" s="6"/>
    </row>
    <row r="5634" spans="30:30" ht="12" x14ac:dyDescent="0.3">
      <c r="AD5634" s="6"/>
    </row>
    <row r="5635" spans="30:30" ht="12" x14ac:dyDescent="0.3">
      <c r="AD5635" s="6"/>
    </row>
    <row r="5636" spans="30:30" ht="12" x14ac:dyDescent="0.3">
      <c r="AD5636" s="6"/>
    </row>
    <row r="5637" spans="30:30" ht="12" x14ac:dyDescent="0.3">
      <c r="AD5637" s="6"/>
    </row>
    <row r="5638" spans="30:30" ht="12" x14ac:dyDescent="0.3">
      <c r="AD5638" s="6"/>
    </row>
    <row r="5639" spans="30:30" ht="12" x14ac:dyDescent="0.3">
      <c r="AD5639" s="6"/>
    </row>
    <row r="5640" spans="30:30" ht="12" x14ac:dyDescent="0.3">
      <c r="AD5640" s="6"/>
    </row>
    <row r="5641" spans="30:30" ht="12" x14ac:dyDescent="0.3">
      <c r="AD5641" s="6"/>
    </row>
    <row r="5642" spans="30:30" ht="12" x14ac:dyDescent="0.3">
      <c r="AD5642" s="6"/>
    </row>
    <row r="5643" spans="30:30" ht="12" x14ac:dyDescent="0.3">
      <c r="AD5643" s="6"/>
    </row>
    <row r="5644" spans="30:30" ht="12" x14ac:dyDescent="0.3">
      <c r="AD5644" s="6"/>
    </row>
    <row r="5645" spans="30:30" ht="12" x14ac:dyDescent="0.3">
      <c r="AD5645" s="6"/>
    </row>
    <row r="5646" spans="30:30" ht="12" x14ac:dyDescent="0.3">
      <c r="AD5646" s="6"/>
    </row>
    <row r="5647" spans="30:30" ht="12" x14ac:dyDescent="0.3">
      <c r="AD5647" s="6"/>
    </row>
    <row r="5648" spans="30:30" ht="12" x14ac:dyDescent="0.3">
      <c r="AD5648" s="6"/>
    </row>
    <row r="5649" spans="30:30" ht="12" x14ac:dyDescent="0.3">
      <c r="AD5649" s="6"/>
    </row>
    <row r="5650" spans="30:30" ht="12" x14ac:dyDescent="0.3">
      <c r="AD5650" s="6"/>
    </row>
    <row r="5651" spans="30:30" ht="12" x14ac:dyDescent="0.3">
      <c r="AD5651" s="6"/>
    </row>
    <row r="5652" spans="30:30" ht="12" x14ac:dyDescent="0.3">
      <c r="AD5652" s="6"/>
    </row>
    <row r="5653" spans="30:30" ht="12" x14ac:dyDescent="0.3">
      <c r="AD5653" s="6"/>
    </row>
    <row r="5654" spans="30:30" ht="12" x14ac:dyDescent="0.3">
      <c r="AD5654" s="6"/>
    </row>
    <row r="5655" spans="30:30" ht="12" x14ac:dyDescent="0.3">
      <c r="AD5655" s="6"/>
    </row>
    <row r="5656" spans="30:30" ht="12" x14ac:dyDescent="0.3">
      <c r="AD5656" s="6"/>
    </row>
    <row r="5657" spans="30:30" ht="12" x14ac:dyDescent="0.3">
      <c r="AD5657" s="6"/>
    </row>
    <row r="5658" spans="30:30" ht="12" x14ac:dyDescent="0.3">
      <c r="AD5658" s="6"/>
    </row>
    <row r="5659" spans="30:30" ht="12" x14ac:dyDescent="0.3">
      <c r="AD5659" s="6"/>
    </row>
    <row r="5660" spans="30:30" ht="12" x14ac:dyDescent="0.3">
      <c r="AD5660" s="6"/>
    </row>
    <row r="5661" spans="30:30" ht="12" x14ac:dyDescent="0.3">
      <c r="AD5661" s="6"/>
    </row>
    <row r="5662" spans="30:30" ht="12" x14ac:dyDescent="0.3">
      <c r="AD5662" s="6"/>
    </row>
    <row r="5663" spans="30:30" ht="12" x14ac:dyDescent="0.3">
      <c r="AD5663" s="6"/>
    </row>
    <row r="5664" spans="30:30" ht="12" x14ac:dyDescent="0.3">
      <c r="AD5664" s="6"/>
    </row>
    <row r="5665" spans="30:30" ht="12" x14ac:dyDescent="0.3">
      <c r="AD5665" s="6"/>
    </row>
    <row r="5666" spans="30:30" ht="12" x14ac:dyDescent="0.3">
      <c r="AD5666" s="6"/>
    </row>
    <row r="5667" spans="30:30" ht="12" x14ac:dyDescent="0.3">
      <c r="AD5667" s="6"/>
    </row>
    <row r="5668" spans="30:30" ht="12" x14ac:dyDescent="0.3">
      <c r="AD5668" s="6"/>
    </row>
    <row r="5669" spans="30:30" ht="12" x14ac:dyDescent="0.3">
      <c r="AD5669" s="6"/>
    </row>
    <row r="5670" spans="30:30" ht="12" x14ac:dyDescent="0.3">
      <c r="AD5670" s="6"/>
    </row>
    <row r="5671" spans="30:30" ht="12" x14ac:dyDescent="0.3">
      <c r="AD5671" s="6"/>
    </row>
    <row r="5672" spans="30:30" ht="12" x14ac:dyDescent="0.3">
      <c r="AD5672" s="6"/>
    </row>
    <row r="5673" spans="30:30" ht="12" x14ac:dyDescent="0.3">
      <c r="AD5673" s="6"/>
    </row>
    <row r="5674" spans="30:30" ht="12" x14ac:dyDescent="0.3">
      <c r="AD5674" s="6"/>
    </row>
    <row r="5675" spans="30:30" ht="12" x14ac:dyDescent="0.3">
      <c r="AD5675" s="6"/>
    </row>
    <row r="5676" spans="30:30" ht="12" x14ac:dyDescent="0.3">
      <c r="AD5676" s="6"/>
    </row>
    <row r="5677" spans="30:30" ht="12" x14ac:dyDescent="0.3">
      <c r="AD5677" s="6"/>
    </row>
    <row r="5678" spans="30:30" ht="12" x14ac:dyDescent="0.3">
      <c r="AD5678" s="6"/>
    </row>
    <row r="5679" spans="30:30" ht="12" x14ac:dyDescent="0.3">
      <c r="AD5679" s="6"/>
    </row>
    <row r="5680" spans="30:30" ht="12" x14ac:dyDescent="0.3">
      <c r="AD5680" s="6"/>
    </row>
    <row r="5681" spans="30:30" ht="12" x14ac:dyDescent="0.3">
      <c r="AD5681" s="6"/>
    </row>
    <row r="5682" spans="30:30" ht="12" x14ac:dyDescent="0.3">
      <c r="AD5682" s="6"/>
    </row>
    <row r="5683" spans="30:30" ht="12" x14ac:dyDescent="0.3">
      <c r="AD5683" s="6"/>
    </row>
    <row r="5684" spans="30:30" ht="12" x14ac:dyDescent="0.3">
      <c r="AD5684" s="6"/>
    </row>
    <row r="5685" spans="30:30" ht="12" x14ac:dyDescent="0.3">
      <c r="AD5685" s="6"/>
    </row>
    <row r="5686" spans="30:30" ht="12" x14ac:dyDescent="0.3">
      <c r="AD5686" s="6"/>
    </row>
    <row r="5687" spans="30:30" ht="12" x14ac:dyDescent="0.3">
      <c r="AD5687" s="6"/>
    </row>
    <row r="5688" spans="30:30" ht="12" x14ac:dyDescent="0.3">
      <c r="AD5688" s="6"/>
    </row>
    <row r="5689" spans="30:30" ht="12" x14ac:dyDescent="0.3">
      <c r="AD5689" s="6"/>
    </row>
    <row r="5690" spans="30:30" ht="12" x14ac:dyDescent="0.3">
      <c r="AD5690" s="6"/>
    </row>
    <row r="5691" spans="30:30" ht="12" x14ac:dyDescent="0.3">
      <c r="AD5691" s="6"/>
    </row>
    <row r="5692" spans="30:30" ht="12" x14ac:dyDescent="0.3">
      <c r="AD5692" s="6"/>
    </row>
    <row r="5693" spans="30:30" ht="12" x14ac:dyDescent="0.3">
      <c r="AD5693" s="6"/>
    </row>
    <row r="5694" spans="30:30" ht="12" x14ac:dyDescent="0.3">
      <c r="AD5694" s="6"/>
    </row>
    <row r="5695" spans="30:30" ht="12" x14ac:dyDescent="0.3">
      <c r="AD5695" s="6"/>
    </row>
    <row r="5696" spans="30:30" ht="12" x14ac:dyDescent="0.3">
      <c r="AD5696" s="6"/>
    </row>
    <row r="5697" spans="30:30" ht="12" x14ac:dyDescent="0.3">
      <c r="AD5697" s="6"/>
    </row>
    <row r="5698" spans="30:30" ht="12" x14ac:dyDescent="0.3">
      <c r="AD5698" s="6"/>
    </row>
    <row r="5699" spans="30:30" ht="12" x14ac:dyDescent="0.3">
      <c r="AD5699" s="6"/>
    </row>
    <row r="5700" spans="30:30" ht="12" x14ac:dyDescent="0.3">
      <c r="AD5700" s="6"/>
    </row>
    <row r="5701" spans="30:30" ht="12" x14ac:dyDescent="0.3">
      <c r="AD5701" s="6"/>
    </row>
    <row r="5702" spans="30:30" ht="12" x14ac:dyDescent="0.3">
      <c r="AD5702" s="6"/>
    </row>
    <row r="5703" spans="30:30" ht="12" x14ac:dyDescent="0.3">
      <c r="AD5703" s="6"/>
    </row>
    <row r="5704" spans="30:30" ht="12" x14ac:dyDescent="0.3">
      <c r="AD5704" s="6"/>
    </row>
    <row r="5705" spans="30:30" ht="12" x14ac:dyDescent="0.3">
      <c r="AD5705" s="6"/>
    </row>
    <row r="5706" spans="30:30" ht="12" x14ac:dyDescent="0.3">
      <c r="AD5706" s="6"/>
    </row>
    <row r="5707" spans="30:30" ht="12" x14ac:dyDescent="0.3">
      <c r="AD5707" s="6"/>
    </row>
    <row r="5708" spans="30:30" ht="12" x14ac:dyDescent="0.3">
      <c r="AD5708" s="6"/>
    </row>
    <row r="5709" spans="30:30" ht="12" x14ac:dyDescent="0.3">
      <c r="AD5709" s="6"/>
    </row>
    <row r="5710" spans="30:30" ht="12" x14ac:dyDescent="0.3">
      <c r="AD5710" s="6"/>
    </row>
    <row r="5711" spans="30:30" ht="12" x14ac:dyDescent="0.3">
      <c r="AD5711" s="6"/>
    </row>
    <row r="5712" spans="30:30" ht="12" x14ac:dyDescent="0.3">
      <c r="AD5712" s="6"/>
    </row>
    <row r="5713" spans="30:30" ht="12" x14ac:dyDescent="0.3">
      <c r="AD5713" s="6"/>
    </row>
    <row r="5714" spans="30:30" ht="12" x14ac:dyDescent="0.3">
      <c r="AD5714" s="6"/>
    </row>
    <row r="5715" spans="30:30" ht="12" x14ac:dyDescent="0.3">
      <c r="AD5715" s="6"/>
    </row>
    <row r="5716" spans="30:30" ht="12" x14ac:dyDescent="0.3">
      <c r="AD5716" s="6"/>
    </row>
    <row r="5717" spans="30:30" ht="12" x14ac:dyDescent="0.3">
      <c r="AD5717" s="6"/>
    </row>
    <row r="5718" spans="30:30" ht="12" x14ac:dyDescent="0.3">
      <c r="AD5718" s="6"/>
    </row>
    <row r="5719" spans="30:30" ht="12" x14ac:dyDescent="0.3">
      <c r="AD5719" s="6"/>
    </row>
    <row r="5720" spans="30:30" ht="12" x14ac:dyDescent="0.3">
      <c r="AD5720" s="6"/>
    </row>
    <row r="5721" spans="30:30" ht="12" x14ac:dyDescent="0.3">
      <c r="AD5721" s="6"/>
    </row>
    <row r="5722" spans="30:30" ht="12" x14ac:dyDescent="0.3">
      <c r="AD5722" s="6"/>
    </row>
    <row r="5723" spans="30:30" ht="12" x14ac:dyDescent="0.3">
      <c r="AD5723" s="6"/>
    </row>
    <row r="5724" spans="30:30" ht="12" x14ac:dyDescent="0.3">
      <c r="AD5724" s="6"/>
    </row>
    <row r="5725" spans="30:30" ht="12" x14ac:dyDescent="0.3">
      <c r="AD5725" s="6"/>
    </row>
    <row r="5726" spans="30:30" ht="12" x14ac:dyDescent="0.3">
      <c r="AD5726" s="6"/>
    </row>
    <row r="5727" spans="30:30" ht="12" x14ac:dyDescent="0.3">
      <c r="AD5727" s="6"/>
    </row>
    <row r="5728" spans="30:30" ht="12" x14ac:dyDescent="0.3">
      <c r="AD5728" s="6"/>
    </row>
    <row r="5729" spans="30:30" ht="12" x14ac:dyDescent="0.3">
      <c r="AD5729" s="6"/>
    </row>
    <row r="5730" spans="30:30" ht="12" x14ac:dyDescent="0.3">
      <c r="AD5730" s="6"/>
    </row>
    <row r="5731" spans="30:30" ht="12" x14ac:dyDescent="0.3">
      <c r="AD5731" s="6"/>
    </row>
    <row r="5732" spans="30:30" ht="12" x14ac:dyDescent="0.3">
      <c r="AD5732" s="6"/>
    </row>
    <row r="5733" spans="30:30" ht="12" x14ac:dyDescent="0.3">
      <c r="AD5733" s="6"/>
    </row>
    <row r="5734" spans="30:30" ht="12" x14ac:dyDescent="0.3">
      <c r="AD5734" s="6"/>
    </row>
    <row r="5735" spans="30:30" ht="12" x14ac:dyDescent="0.3">
      <c r="AD5735" s="6"/>
    </row>
    <row r="5736" spans="30:30" ht="12" x14ac:dyDescent="0.3">
      <c r="AD5736" s="6"/>
    </row>
    <row r="5737" spans="30:30" ht="12" x14ac:dyDescent="0.3">
      <c r="AD5737" s="6"/>
    </row>
    <row r="5738" spans="30:30" ht="12" x14ac:dyDescent="0.3">
      <c r="AD5738" s="6"/>
    </row>
    <row r="5739" spans="30:30" ht="12" x14ac:dyDescent="0.3">
      <c r="AD5739" s="6"/>
    </row>
    <row r="5740" spans="30:30" ht="12" x14ac:dyDescent="0.3">
      <c r="AD5740" s="6"/>
    </row>
    <row r="5741" spans="30:30" ht="12" x14ac:dyDescent="0.3">
      <c r="AD5741" s="6"/>
    </row>
    <row r="5742" spans="30:30" ht="12" x14ac:dyDescent="0.3">
      <c r="AD5742" s="6"/>
    </row>
    <row r="5743" spans="30:30" ht="12" x14ac:dyDescent="0.3">
      <c r="AD5743" s="6"/>
    </row>
    <row r="5744" spans="30:30" ht="12" x14ac:dyDescent="0.3">
      <c r="AD5744" s="6"/>
    </row>
    <row r="5745" spans="30:30" ht="12" x14ac:dyDescent="0.3">
      <c r="AD5745" s="6"/>
    </row>
    <row r="5746" spans="30:30" ht="12" x14ac:dyDescent="0.3">
      <c r="AD5746" s="6"/>
    </row>
    <row r="5747" spans="30:30" ht="12" x14ac:dyDescent="0.3">
      <c r="AD5747" s="6"/>
    </row>
    <row r="5748" spans="30:30" ht="12" x14ac:dyDescent="0.3">
      <c r="AD5748" s="6"/>
    </row>
    <row r="5749" spans="30:30" ht="12" x14ac:dyDescent="0.3">
      <c r="AD5749" s="6"/>
    </row>
    <row r="5750" spans="30:30" ht="12" x14ac:dyDescent="0.3">
      <c r="AD5750" s="6"/>
    </row>
    <row r="5751" spans="30:30" ht="12" x14ac:dyDescent="0.3">
      <c r="AD5751" s="6"/>
    </row>
    <row r="5752" spans="30:30" ht="12" x14ac:dyDescent="0.3">
      <c r="AD5752" s="6"/>
    </row>
    <row r="5753" spans="30:30" ht="12" x14ac:dyDescent="0.3">
      <c r="AD5753" s="6"/>
    </row>
    <row r="5754" spans="30:30" ht="12" x14ac:dyDescent="0.3">
      <c r="AD5754" s="6"/>
    </row>
    <row r="5755" spans="30:30" ht="12" x14ac:dyDescent="0.3">
      <c r="AD5755" s="6"/>
    </row>
    <row r="5756" spans="30:30" ht="12" x14ac:dyDescent="0.3">
      <c r="AD5756" s="6"/>
    </row>
    <row r="5757" spans="30:30" ht="12" x14ac:dyDescent="0.3">
      <c r="AD5757" s="6"/>
    </row>
    <row r="5758" spans="30:30" ht="12" x14ac:dyDescent="0.3">
      <c r="AD5758" s="6"/>
    </row>
    <row r="5759" spans="30:30" ht="12" x14ac:dyDescent="0.3">
      <c r="AD5759" s="6"/>
    </row>
    <row r="5760" spans="30:30" ht="12" x14ac:dyDescent="0.3">
      <c r="AD5760" s="6"/>
    </row>
    <row r="5761" spans="30:30" ht="12" x14ac:dyDescent="0.3">
      <c r="AD5761" s="6"/>
    </row>
    <row r="5762" spans="30:30" ht="12" x14ac:dyDescent="0.3">
      <c r="AD5762" s="6"/>
    </row>
    <row r="5763" spans="30:30" ht="12" x14ac:dyDescent="0.3">
      <c r="AD5763" s="6"/>
    </row>
    <row r="5764" spans="30:30" ht="12" x14ac:dyDescent="0.3">
      <c r="AD5764" s="6"/>
    </row>
    <row r="5765" spans="30:30" ht="12" x14ac:dyDescent="0.3">
      <c r="AD5765" s="6"/>
    </row>
    <row r="5766" spans="30:30" ht="12" x14ac:dyDescent="0.3">
      <c r="AD5766" s="6"/>
    </row>
    <row r="5767" spans="30:30" ht="12" x14ac:dyDescent="0.3">
      <c r="AD5767" s="6"/>
    </row>
    <row r="5768" spans="30:30" ht="12" x14ac:dyDescent="0.3">
      <c r="AD5768" s="6"/>
    </row>
    <row r="5769" spans="30:30" ht="12" x14ac:dyDescent="0.3">
      <c r="AD5769" s="6"/>
    </row>
    <row r="5770" spans="30:30" ht="12" x14ac:dyDescent="0.3">
      <c r="AD5770" s="6"/>
    </row>
    <row r="5771" spans="30:30" ht="12" x14ac:dyDescent="0.3">
      <c r="AD5771" s="6"/>
    </row>
    <row r="5772" spans="30:30" ht="12" x14ac:dyDescent="0.3">
      <c r="AD5772" s="6"/>
    </row>
    <row r="5773" spans="30:30" ht="12" x14ac:dyDescent="0.3">
      <c r="AD5773" s="6"/>
    </row>
    <row r="5774" spans="30:30" ht="12" x14ac:dyDescent="0.3">
      <c r="AD5774" s="6"/>
    </row>
    <row r="5775" spans="30:30" ht="12" x14ac:dyDescent="0.3">
      <c r="AD5775" s="6"/>
    </row>
    <row r="5776" spans="30:30" ht="12" x14ac:dyDescent="0.3">
      <c r="AD5776" s="6"/>
    </row>
    <row r="5777" spans="30:30" ht="12" x14ac:dyDescent="0.3">
      <c r="AD5777" s="6"/>
    </row>
    <row r="5778" spans="30:30" ht="12" x14ac:dyDescent="0.3">
      <c r="AD5778" s="6"/>
    </row>
    <row r="5779" spans="30:30" ht="12" x14ac:dyDescent="0.3">
      <c r="AD5779" s="6"/>
    </row>
    <row r="5780" spans="30:30" ht="12" x14ac:dyDescent="0.3">
      <c r="AD5780" s="6"/>
    </row>
    <row r="5781" spans="30:30" ht="12" x14ac:dyDescent="0.3">
      <c r="AD5781" s="6"/>
    </row>
    <row r="5782" spans="30:30" ht="12" x14ac:dyDescent="0.3">
      <c r="AD5782" s="6"/>
    </row>
    <row r="5783" spans="30:30" ht="12" x14ac:dyDescent="0.3">
      <c r="AD5783" s="6"/>
    </row>
    <row r="5784" spans="30:30" ht="12" x14ac:dyDescent="0.3">
      <c r="AD5784" s="6"/>
    </row>
    <row r="5785" spans="30:30" ht="12" x14ac:dyDescent="0.3">
      <c r="AD5785" s="6"/>
    </row>
    <row r="5786" spans="30:30" ht="12" x14ac:dyDescent="0.3">
      <c r="AD5786" s="6"/>
    </row>
    <row r="5787" spans="30:30" ht="12" x14ac:dyDescent="0.3">
      <c r="AD5787" s="6"/>
    </row>
    <row r="5788" spans="30:30" ht="12" x14ac:dyDescent="0.3">
      <c r="AD5788" s="6"/>
    </row>
    <row r="5789" spans="30:30" ht="12" x14ac:dyDescent="0.3">
      <c r="AD5789" s="6"/>
    </row>
    <row r="5790" spans="30:30" ht="12" x14ac:dyDescent="0.3">
      <c r="AD5790" s="6"/>
    </row>
    <row r="5791" spans="30:30" ht="12" x14ac:dyDescent="0.3">
      <c r="AD5791" s="6"/>
    </row>
    <row r="5792" spans="30:30" ht="12" x14ac:dyDescent="0.3">
      <c r="AD5792" s="6"/>
    </row>
    <row r="5793" spans="30:30" ht="12" x14ac:dyDescent="0.3">
      <c r="AD5793" s="6"/>
    </row>
    <row r="5794" spans="30:30" ht="12" x14ac:dyDescent="0.3">
      <c r="AD5794" s="6"/>
    </row>
    <row r="5795" spans="30:30" ht="12" x14ac:dyDescent="0.3">
      <c r="AD5795" s="6"/>
    </row>
    <row r="5796" spans="30:30" ht="12" x14ac:dyDescent="0.3">
      <c r="AD5796" s="6"/>
    </row>
    <row r="5797" spans="30:30" ht="12" x14ac:dyDescent="0.3">
      <c r="AD5797" s="6"/>
    </row>
    <row r="5798" spans="30:30" ht="12" x14ac:dyDescent="0.3">
      <c r="AD5798" s="6"/>
    </row>
    <row r="5799" spans="30:30" ht="12" x14ac:dyDescent="0.3">
      <c r="AD5799" s="6"/>
    </row>
    <row r="5800" spans="30:30" ht="12" x14ac:dyDescent="0.3">
      <c r="AD5800" s="6"/>
    </row>
    <row r="5801" spans="30:30" ht="12" x14ac:dyDescent="0.3">
      <c r="AD5801" s="6"/>
    </row>
    <row r="5802" spans="30:30" ht="12" x14ac:dyDescent="0.3">
      <c r="AD5802" s="6"/>
    </row>
    <row r="5803" spans="30:30" ht="12" x14ac:dyDescent="0.3">
      <c r="AD5803" s="6"/>
    </row>
    <row r="5804" spans="30:30" ht="12" x14ac:dyDescent="0.3">
      <c r="AD5804" s="6"/>
    </row>
    <row r="5805" spans="30:30" ht="12" x14ac:dyDescent="0.3">
      <c r="AD5805" s="6"/>
    </row>
    <row r="5806" spans="30:30" ht="12" x14ac:dyDescent="0.3">
      <c r="AD5806" s="6"/>
    </row>
    <row r="5807" spans="30:30" ht="12" x14ac:dyDescent="0.3">
      <c r="AD5807" s="6"/>
    </row>
    <row r="5808" spans="30:30" ht="12" x14ac:dyDescent="0.3">
      <c r="AD5808" s="6"/>
    </row>
    <row r="5809" spans="30:30" ht="12" x14ac:dyDescent="0.3">
      <c r="AD5809" s="6"/>
    </row>
    <row r="5810" spans="30:30" ht="12" x14ac:dyDescent="0.3">
      <c r="AD5810" s="6"/>
    </row>
    <row r="5811" spans="30:30" ht="12" x14ac:dyDescent="0.3">
      <c r="AD5811" s="6"/>
    </row>
    <row r="5812" spans="30:30" ht="12" x14ac:dyDescent="0.3">
      <c r="AD5812" s="6"/>
    </row>
    <row r="5813" spans="30:30" ht="12" x14ac:dyDescent="0.3">
      <c r="AD5813" s="6"/>
    </row>
    <row r="5814" spans="30:30" ht="12" x14ac:dyDescent="0.3">
      <c r="AD5814" s="6"/>
    </row>
    <row r="5815" spans="30:30" ht="12" x14ac:dyDescent="0.3">
      <c r="AD5815" s="6"/>
    </row>
    <row r="5816" spans="30:30" ht="12" x14ac:dyDescent="0.3">
      <c r="AD5816" s="6"/>
    </row>
    <row r="5817" spans="30:30" ht="12" x14ac:dyDescent="0.3">
      <c r="AD5817" s="6"/>
    </row>
    <row r="5818" spans="30:30" ht="12" x14ac:dyDescent="0.3">
      <c r="AD5818" s="6"/>
    </row>
    <row r="5819" spans="30:30" ht="12" x14ac:dyDescent="0.3">
      <c r="AD5819" s="6"/>
    </row>
    <row r="5820" spans="30:30" ht="12" x14ac:dyDescent="0.3">
      <c r="AD5820" s="6"/>
    </row>
    <row r="5821" spans="30:30" ht="12" x14ac:dyDescent="0.3">
      <c r="AD5821" s="6"/>
    </row>
    <row r="5822" spans="30:30" ht="12" x14ac:dyDescent="0.3">
      <c r="AD5822" s="6"/>
    </row>
    <row r="5823" spans="30:30" ht="12" x14ac:dyDescent="0.3">
      <c r="AD5823" s="6"/>
    </row>
    <row r="5824" spans="30:30" ht="12" x14ac:dyDescent="0.3">
      <c r="AD5824" s="6"/>
    </row>
    <row r="5825" spans="30:30" ht="12" x14ac:dyDescent="0.3">
      <c r="AD5825" s="6"/>
    </row>
    <row r="5826" spans="30:30" ht="12" x14ac:dyDescent="0.3">
      <c r="AD5826" s="6"/>
    </row>
    <row r="5827" spans="30:30" ht="12" x14ac:dyDescent="0.3">
      <c r="AD5827" s="6"/>
    </row>
    <row r="5828" spans="30:30" ht="12" x14ac:dyDescent="0.3">
      <c r="AD5828" s="6"/>
    </row>
    <row r="5829" spans="30:30" ht="12" x14ac:dyDescent="0.3">
      <c r="AD5829" s="6"/>
    </row>
    <row r="5830" spans="30:30" ht="12" x14ac:dyDescent="0.3">
      <c r="AD5830" s="6"/>
    </row>
    <row r="5831" spans="30:30" ht="12" x14ac:dyDescent="0.3">
      <c r="AD5831" s="6"/>
    </row>
    <row r="5832" spans="30:30" ht="12" x14ac:dyDescent="0.3">
      <c r="AD5832" s="6"/>
    </row>
    <row r="5833" spans="30:30" ht="12" x14ac:dyDescent="0.3">
      <c r="AD5833" s="6"/>
    </row>
    <row r="5834" spans="30:30" ht="12" x14ac:dyDescent="0.3">
      <c r="AD5834" s="6"/>
    </row>
    <row r="5835" spans="30:30" ht="12" x14ac:dyDescent="0.3">
      <c r="AD5835" s="6"/>
    </row>
    <row r="5836" spans="30:30" ht="12" x14ac:dyDescent="0.3">
      <c r="AD5836" s="6"/>
    </row>
    <row r="5837" spans="30:30" ht="12" x14ac:dyDescent="0.3">
      <c r="AD5837" s="6"/>
    </row>
    <row r="5838" spans="30:30" ht="12" x14ac:dyDescent="0.3">
      <c r="AD5838" s="6"/>
    </row>
    <row r="5839" spans="30:30" ht="12" x14ac:dyDescent="0.3">
      <c r="AD5839" s="6"/>
    </row>
    <row r="5840" spans="30:30" ht="12" x14ac:dyDescent="0.3">
      <c r="AD5840" s="6"/>
    </row>
    <row r="5841" spans="30:30" ht="12" x14ac:dyDescent="0.3">
      <c r="AD5841" s="6"/>
    </row>
    <row r="5842" spans="30:30" ht="12" x14ac:dyDescent="0.3">
      <c r="AD5842" s="6"/>
    </row>
    <row r="5843" spans="30:30" ht="12" x14ac:dyDescent="0.3">
      <c r="AD5843" s="6"/>
    </row>
    <row r="5844" spans="30:30" ht="12" x14ac:dyDescent="0.3">
      <c r="AD5844" s="6"/>
    </row>
    <row r="5845" spans="30:30" ht="12" x14ac:dyDescent="0.3">
      <c r="AD5845" s="6"/>
    </row>
    <row r="5846" spans="30:30" ht="12" x14ac:dyDescent="0.3">
      <c r="AD5846" s="6"/>
    </row>
    <row r="5847" spans="30:30" ht="12" x14ac:dyDescent="0.3">
      <c r="AD5847" s="6"/>
    </row>
    <row r="5848" spans="30:30" ht="12" x14ac:dyDescent="0.3">
      <c r="AD5848" s="6"/>
    </row>
    <row r="5849" spans="30:30" ht="12" x14ac:dyDescent="0.3">
      <c r="AD5849" s="6"/>
    </row>
    <row r="5850" spans="30:30" ht="12" x14ac:dyDescent="0.3">
      <c r="AD5850" s="6"/>
    </row>
    <row r="5851" spans="30:30" ht="12" x14ac:dyDescent="0.3">
      <c r="AD5851" s="6"/>
    </row>
    <row r="5852" spans="30:30" ht="12" x14ac:dyDescent="0.3">
      <c r="AD5852" s="6"/>
    </row>
    <row r="5853" spans="30:30" ht="12" x14ac:dyDescent="0.3">
      <c r="AD5853" s="6"/>
    </row>
    <row r="5854" spans="30:30" ht="12" x14ac:dyDescent="0.3">
      <c r="AD5854" s="6"/>
    </row>
    <row r="5855" spans="30:30" ht="12" x14ac:dyDescent="0.3">
      <c r="AD5855" s="6"/>
    </row>
    <row r="5856" spans="30:30" ht="12" x14ac:dyDescent="0.3">
      <c r="AD5856" s="6"/>
    </row>
    <row r="5857" spans="30:30" ht="12" x14ac:dyDescent="0.3">
      <c r="AD5857" s="6"/>
    </row>
    <row r="5858" spans="30:30" ht="12" x14ac:dyDescent="0.3">
      <c r="AD5858" s="6"/>
    </row>
    <row r="5859" spans="30:30" ht="12" x14ac:dyDescent="0.3">
      <c r="AD5859" s="6"/>
    </row>
    <row r="5860" spans="30:30" ht="12" x14ac:dyDescent="0.3">
      <c r="AD5860" s="6"/>
    </row>
    <row r="5861" spans="30:30" ht="12" x14ac:dyDescent="0.3">
      <c r="AD5861" s="6"/>
    </row>
    <row r="5862" spans="30:30" ht="12" x14ac:dyDescent="0.3">
      <c r="AD5862" s="6"/>
    </row>
    <row r="5863" spans="30:30" ht="12" x14ac:dyDescent="0.3">
      <c r="AD5863" s="6"/>
    </row>
    <row r="5864" spans="30:30" ht="12" x14ac:dyDescent="0.3">
      <c r="AD5864" s="6"/>
    </row>
    <row r="5865" spans="30:30" ht="12" x14ac:dyDescent="0.3">
      <c r="AD5865" s="6"/>
    </row>
    <row r="5866" spans="30:30" ht="12" x14ac:dyDescent="0.3">
      <c r="AD5866" s="6"/>
    </row>
    <row r="5867" spans="30:30" ht="12" x14ac:dyDescent="0.3">
      <c r="AD5867" s="6"/>
    </row>
    <row r="5868" spans="30:30" ht="12" x14ac:dyDescent="0.3">
      <c r="AD5868" s="6"/>
    </row>
    <row r="5869" spans="30:30" ht="12" x14ac:dyDescent="0.3">
      <c r="AD5869" s="6"/>
    </row>
    <row r="5870" spans="30:30" ht="12" x14ac:dyDescent="0.3">
      <c r="AD5870" s="6"/>
    </row>
    <row r="5871" spans="30:30" ht="12" x14ac:dyDescent="0.3">
      <c r="AD5871" s="6"/>
    </row>
    <row r="5872" spans="30:30" ht="12" x14ac:dyDescent="0.3">
      <c r="AD5872" s="6"/>
    </row>
    <row r="5873" spans="30:30" ht="12" x14ac:dyDescent="0.3">
      <c r="AD5873" s="6"/>
    </row>
    <row r="5874" spans="30:30" ht="12" x14ac:dyDescent="0.3">
      <c r="AD5874" s="6"/>
    </row>
    <row r="5875" spans="30:30" ht="12" x14ac:dyDescent="0.3">
      <c r="AD5875" s="6"/>
    </row>
    <row r="5876" spans="30:30" ht="12" x14ac:dyDescent="0.3">
      <c r="AD5876" s="6"/>
    </row>
    <row r="5877" spans="30:30" ht="12" x14ac:dyDescent="0.3">
      <c r="AD5877" s="6"/>
    </row>
    <row r="5878" spans="30:30" ht="12" x14ac:dyDescent="0.3">
      <c r="AD5878" s="6"/>
    </row>
    <row r="5879" spans="30:30" ht="12" x14ac:dyDescent="0.3">
      <c r="AD5879" s="6"/>
    </row>
    <row r="5880" spans="30:30" ht="12" x14ac:dyDescent="0.3">
      <c r="AD5880" s="6"/>
    </row>
    <row r="5881" spans="30:30" ht="12" x14ac:dyDescent="0.3">
      <c r="AD5881" s="6"/>
    </row>
    <row r="5882" spans="30:30" ht="12" x14ac:dyDescent="0.3">
      <c r="AD5882" s="6"/>
    </row>
    <row r="5883" spans="30:30" ht="12" x14ac:dyDescent="0.3">
      <c r="AD5883" s="6"/>
    </row>
    <row r="5884" spans="30:30" ht="12" x14ac:dyDescent="0.3">
      <c r="AD5884" s="6"/>
    </row>
    <row r="5885" spans="30:30" ht="12" x14ac:dyDescent="0.3">
      <c r="AD5885" s="6"/>
    </row>
    <row r="5886" spans="30:30" ht="12" x14ac:dyDescent="0.3">
      <c r="AD5886" s="6"/>
    </row>
    <row r="5887" spans="30:30" ht="12" x14ac:dyDescent="0.3">
      <c r="AD5887" s="6"/>
    </row>
    <row r="5888" spans="30:30" ht="12" x14ac:dyDescent="0.3">
      <c r="AD5888" s="6"/>
    </row>
    <row r="5889" spans="30:30" ht="12" x14ac:dyDescent="0.3">
      <c r="AD5889" s="6"/>
    </row>
    <row r="5890" spans="30:30" ht="12" x14ac:dyDescent="0.3">
      <c r="AD5890" s="6"/>
    </row>
    <row r="5891" spans="30:30" ht="12" x14ac:dyDescent="0.3">
      <c r="AD5891" s="6"/>
    </row>
    <row r="5892" spans="30:30" ht="12" x14ac:dyDescent="0.3">
      <c r="AD5892" s="6"/>
    </row>
    <row r="5893" spans="30:30" ht="12" x14ac:dyDescent="0.3">
      <c r="AD5893" s="6"/>
    </row>
    <row r="5894" spans="30:30" ht="12" x14ac:dyDescent="0.3">
      <c r="AD5894" s="6"/>
    </row>
    <row r="5895" spans="30:30" ht="12" x14ac:dyDescent="0.3">
      <c r="AD5895" s="6"/>
    </row>
    <row r="5896" spans="30:30" ht="12" x14ac:dyDescent="0.3">
      <c r="AD5896" s="6"/>
    </row>
    <row r="5897" spans="30:30" ht="12" x14ac:dyDescent="0.3">
      <c r="AD5897" s="6"/>
    </row>
    <row r="5898" spans="30:30" ht="12" x14ac:dyDescent="0.3">
      <c r="AD5898" s="6"/>
    </row>
    <row r="5899" spans="30:30" ht="12" x14ac:dyDescent="0.3">
      <c r="AD5899" s="6"/>
    </row>
    <row r="5900" spans="30:30" ht="12" x14ac:dyDescent="0.3">
      <c r="AD5900" s="6"/>
    </row>
    <row r="5901" spans="30:30" ht="12" x14ac:dyDescent="0.3">
      <c r="AD5901" s="6"/>
    </row>
    <row r="5902" spans="30:30" ht="12" x14ac:dyDescent="0.3">
      <c r="AD5902" s="6"/>
    </row>
    <row r="5903" spans="30:30" ht="12" x14ac:dyDescent="0.3">
      <c r="AD5903" s="6"/>
    </row>
    <row r="5904" spans="30:30" ht="12" x14ac:dyDescent="0.3">
      <c r="AD5904" s="6"/>
    </row>
    <row r="5905" spans="30:30" ht="12" x14ac:dyDescent="0.3">
      <c r="AD5905" s="6"/>
    </row>
    <row r="5906" spans="30:30" ht="12" x14ac:dyDescent="0.3">
      <c r="AD5906" s="6"/>
    </row>
    <row r="5907" spans="30:30" ht="12" x14ac:dyDescent="0.3">
      <c r="AD5907" s="6"/>
    </row>
    <row r="5908" spans="30:30" ht="12" x14ac:dyDescent="0.3">
      <c r="AD5908" s="6"/>
    </row>
    <row r="5909" spans="30:30" ht="12" x14ac:dyDescent="0.3">
      <c r="AD5909" s="6"/>
    </row>
    <row r="5910" spans="30:30" ht="12" x14ac:dyDescent="0.3">
      <c r="AD5910" s="6"/>
    </row>
    <row r="5911" spans="30:30" ht="12" x14ac:dyDescent="0.3">
      <c r="AD5911" s="6"/>
    </row>
    <row r="5912" spans="30:30" ht="12" x14ac:dyDescent="0.3">
      <c r="AD5912" s="6"/>
    </row>
    <row r="5913" spans="30:30" ht="12" x14ac:dyDescent="0.3">
      <c r="AD5913" s="6"/>
    </row>
    <row r="5914" spans="30:30" ht="12" x14ac:dyDescent="0.3">
      <c r="AD5914" s="6"/>
    </row>
    <row r="5915" spans="30:30" ht="12" x14ac:dyDescent="0.3">
      <c r="AD5915" s="6"/>
    </row>
    <row r="5916" spans="30:30" ht="12" x14ac:dyDescent="0.3">
      <c r="AD5916" s="6"/>
    </row>
    <row r="5917" spans="30:30" ht="12" x14ac:dyDescent="0.3">
      <c r="AD5917" s="6"/>
    </row>
    <row r="5918" spans="30:30" ht="12" x14ac:dyDescent="0.3">
      <c r="AD5918" s="6"/>
    </row>
    <row r="5919" spans="30:30" ht="12" x14ac:dyDescent="0.3">
      <c r="AD5919" s="6"/>
    </row>
    <row r="5920" spans="30:30" ht="12" x14ac:dyDescent="0.3">
      <c r="AD5920" s="6"/>
    </row>
    <row r="5921" spans="30:30" ht="12" x14ac:dyDescent="0.3">
      <c r="AD5921" s="6"/>
    </row>
    <row r="5922" spans="30:30" ht="12" x14ac:dyDescent="0.3">
      <c r="AD5922" s="6"/>
    </row>
    <row r="5923" spans="30:30" ht="12" x14ac:dyDescent="0.3">
      <c r="AD5923" s="6"/>
    </row>
    <row r="5924" spans="30:30" ht="12" x14ac:dyDescent="0.3">
      <c r="AD5924" s="6"/>
    </row>
    <row r="5925" spans="30:30" ht="12" x14ac:dyDescent="0.3">
      <c r="AD5925" s="6"/>
    </row>
    <row r="5926" spans="30:30" ht="12" x14ac:dyDescent="0.3">
      <c r="AD5926" s="6"/>
    </row>
    <row r="5927" spans="30:30" ht="12" x14ac:dyDescent="0.3">
      <c r="AD5927" s="6"/>
    </row>
    <row r="5928" spans="30:30" ht="12" x14ac:dyDescent="0.3">
      <c r="AD5928" s="6"/>
    </row>
    <row r="5929" spans="30:30" ht="12" x14ac:dyDescent="0.3">
      <c r="AD5929" s="6"/>
    </row>
    <row r="5930" spans="30:30" ht="12" x14ac:dyDescent="0.3">
      <c r="AD5930" s="6"/>
    </row>
    <row r="5931" spans="30:30" ht="12" x14ac:dyDescent="0.3">
      <c r="AD5931" s="6"/>
    </row>
    <row r="5932" spans="30:30" ht="12" x14ac:dyDescent="0.3">
      <c r="AD5932" s="6"/>
    </row>
    <row r="5933" spans="30:30" ht="12" x14ac:dyDescent="0.3">
      <c r="AD5933" s="6"/>
    </row>
    <row r="5934" spans="30:30" ht="12" x14ac:dyDescent="0.3">
      <c r="AD5934" s="6"/>
    </row>
    <row r="5935" spans="30:30" ht="12" x14ac:dyDescent="0.3">
      <c r="AD5935" s="6"/>
    </row>
    <row r="5936" spans="30:30" ht="12" x14ac:dyDescent="0.3">
      <c r="AD5936" s="6"/>
    </row>
    <row r="5937" spans="30:30" ht="12" x14ac:dyDescent="0.3">
      <c r="AD5937" s="6"/>
    </row>
    <row r="5938" spans="30:30" ht="12" x14ac:dyDescent="0.3">
      <c r="AD5938" s="6"/>
    </row>
    <row r="5939" spans="30:30" ht="12" x14ac:dyDescent="0.3">
      <c r="AD5939" s="6"/>
    </row>
    <row r="5940" spans="30:30" ht="12" x14ac:dyDescent="0.3">
      <c r="AD5940" s="6"/>
    </row>
    <row r="5941" spans="30:30" ht="12" x14ac:dyDescent="0.3">
      <c r="AD5941" s="6"/>
    </row>
    <row r="5942" spans="30:30" ht="12" x14ac:dyDescent="0.3">
      <c r="AD5942" s="6"/>
    </row>
    <row r="5943" spans="30:30" ht="12" x14ac:dyDescent="0.3">
      <c r="AD5943" s="6"/>
    </row>
    <row r="5944" spans="30:30" ht="12" x14ac:dyDescent="0.3">
      <c r="AD5944" s="6"/>
    </row>
    <row r="5945" spans="30:30" ht="12" x14ac:dyDescent="0.3">
      <c r="AD5945" s="6"/>
    </row>
    <row r="5946" spans="30:30" ht="12" x14ac:dyDescent="0.3">
      <c r="AD5946" s="6"/>
    </row>
    <row r="5947" spans="30:30" ht="12" x14ac:dyDescent="0.3">
      <c r="AD5947" s="6"/>
    </row>
    <row r="5948" spans="30:30" ht="12" x14ac:dyDescent="0.3">
      <c r="AD5948" s="6"/>
    </row>
    <row r="5949" spans="30:30" ht="12" x14ac:dyDescent="0.3">
      <c r="AD5949" s="6"/>
    </row>
    <row r="5950" spans="30:30" ht="12" x14ac:dyDescent="0.3">
      <c r="AD5950" s="6"/>
    </row>
    <row r="5951" spans="30:30" ht="12" x14ac:dyDescent="0.3">
      <c r="AD5951" s="6"/>
    </row>
    <row r="5952" spans="30:30" ht="12" x14ac:dyDescent="0.3">
      <c r="AD5952" s="6"/>
    </row>
    <row r="5953" spans="30:30" ht="12" x14ac:dyDescent="0.3">
      <c r="AD5953" s="6"/>
    </row>
    <row r="5954" spans="30:30" ht="12" x14ac:dyDescent="0.3">
      <c r="AD5954" s="6"/>
    </row>
    <row r="5955" spans="30:30" ht="12" x14ac:dyDescent="0.3">
      <c r="AD5955" s="6"/>
    </row>
    <row r="5956" spans="30:30" ht="12" x14ac:dyDescent="0.3">
      <c r="AD5956" s="6"/>
    </row>
    <row r="5957" spans="30:30" ht="12" x14ac:dyDescent="0.3">
      <c r="AD5957" s="6"/>
    </row>
    <row r="5958" spans="30:30" ht="12" x14ac:dyDescent="0.3">
      <c r="AD5958" s="6"/>
    </row>
    <row r="5959" spans="30:30" ht="12" x14ac:dyDescent="0.3">
      <c r="AD5959" s="6"/>
    </row>
    <row r="5960" spans="30:30" ht="12" x14ac:dyDescent="0.3">
      <c r="AD5960" s="6"/>
    </row>
    <row r="5961" spans="30:30" ht="12" x14ac:dyDescent="0.3">
      <c r="AD5961" s="6"/>
    </row>
    <row r="5962" spans="30:30" ht="12" x14ac:dyDescent="0.3">
      <c r="AD5962" s="6"/>
    </row>
    <row r="5963" spans="30:30" ht="12" x14ac:dyDescent="0.3">
      <c r="AD5963" s="6"/>
    </row>
    <row r="5964" spans="30:30" ht="12" x14ac:dyDescent="0.3">
      <c r="AD5964" s="6"/>
    </row>
    <row r="5965" spans="30:30" ht="12" x14ac:dyDescent="0.3">
      <c r="AD5965" s="6"/>
    </row>
    <row r="5966" spans="30:30" ht="12" x14ac:dyDescent="0.3">
      <c r="AD5966" s="6"/>
    </row>
    <row r="5967" spans="30:30" ht="12" x14ac:dyDescent="0.3">
      <c r="AD5967" s="6"/>
    </row>
    <row r="5968" spans="30:30" ht="12" x14ac:dyDescent="0.3">
      <c r="AD5968" s="6"/>
    </row>
    <row r="5969" spans="30:30" ht="12" x14ac:dyDescent="0.3">
      <c r="AD5969" s="6"/>
    </row>
    <row r="5970" spans="30:30" ht="12" x14ac:dyDescent="0.3">
      <c r="AD5970" s="6"/>
    </row>
    <row r="5971" spans="30:30" ht="12" x14ac:dyDescent="0.3">
      <c r="AD5971" s="6"/>
    </row>
    <row r="5972" spans="30:30" ht="12" x14ac:dyDescent="0.3">
      <c r="AD5972" s="6"/>
    </row>
    <row r="5973" spans="30:30" ht="12" x14ac:dyDescent="0.3">
      <c r="AD5973" s="6"/>
    </row>
    <row r="5974" spans="30:30" ht="12" x14ac:dyDescent="0.3">
      <c r="AD5974" s="6"/>
    </row>
    <row r="5975" spans="30:30" ht="12" x14ac:dyDescent="0.3">
      <c r="AD5975" s="6"/>
    </row>
    <row r="5976" spans="30:30" ht="12" x14ac:dyDescent="0.3">
      <c r="AD5976" s="6"/>
    </row>
    <row r="5977" spans="30:30" ht="12" x14ac:dyDescent="0.3">
      <c r="AD5977" s="6"/>
    </row>
    <row r="5978" spans="30:30" ht="12" x14ac:dyDescent="0.3">
      <c r="AD5978" s="6"/>
    </row>
    <row r="5979" spans="30:30" ht="12" x14ac:dyDescent="0.3">
      <c r="AD5979" s="6"/>
    </row>
    <row r="5980" spans="30:30" ht="12" x14ac:dyDescent="0.3">
      <c r="AD5980" s="6"/>
    </row>
    <row r="5981" spans="30:30" ht="12" x14ac:dyDescent="0.3">
      <c r="AD5981" s="6"/>
    </row>
    <row r="5982" spans="30:30" ht="12" x14ac:dyDescent="0.3">
      <c r="AD5982" s="6"/>
    </row>
    <row r="5983" spans="30:30" ht="12" x14ac:dyDescent="0.3">
      <c r="AD5983" s="6"/>
    </row>
    <row r="5984" spans="30:30" ht="12" x14ac:dyDescent="0.3">
      <c r="AD5984" s="6"/>
    </row>
    <row r="5985" spans="30:30" ht="12" x14ac:dyDescent="0.3">
      <c r="AD5985" s="6"/>
    </row>
    <row r="5986" spans="30:30" ht="12" x14ac:dyDescent="0.3">
      <c r="AD5986" s="6"/>
    </row>
    <row r="5987" spans="30:30" ht="12" x14ac:dyDescent="0.3">
      <c r="AD5987" s="6"/>
    </row>
    <row r="5988" spans="30:30" ht="12" x14ac:dyDescent="0.3">
      <c r="AD5988" s="6"/>
    </row>
    <row r="5989" spans="30:30" ht="12" x14ac:dyDescent="0.3">
      <c r="AD5989" s="6"/>
    </row>
    <row r="5990" spans="30:30" ht="12" x14ac:dyDescent="0.3">
      <c r="AD5990" s="6"/>
    </row>
    <row r="5991" spans="30:30" ht="12" x14ac:dyDescent="0.3">
      <c r="AD5991" s="6"/>
    </row>
    <row r="5992" spans="30:30" ht="12" x14ac:dyDescent="0.3">
      <c r="AD5992" s="6"/>
    </row>
    <row r="5993" spans="30:30" ht="12" x14ac:dyDescent="0.3">
      <c r="AD5993" s="6"/>
    </row>
    <row r="5994" spans="30:30" ht="12" x14ac:dyDescent="0.3">
      <c r="AD5994" s="6"/>
    </row>
    <row r="5995" spans="30:30" ht="12" x14ac:dyDescent="0.3">
      <c r="AD5995" s="6"/>
    </row>
    <row r="5996" spans="30:30" ht="12" x14ac:dyDescent="0.3">
      <c r="AD5996" s="6"/>
    </row>
    <row r="5997" spans="30:30" ht="12" x14ac:dyDescent="0.3">
      <c r="AD5997" s="6"/>
    </row>
    <row r="5998" spans="30:30" ht="12" x14ac:dyDescent="0.3">
      <c r="AD5998" s="6"/>
    </row>
    <row r="5999" spans="30:30" ht="12" x14ac:dyDescent="0.3">
      <c r="AD5999" s="6"/>
    </row>
    <row r="6000" spans="30:30" ht="12" x14ac:dyDescent="0.3">
      <c r="AD6000" s="6"/>
    </row>
    <row r="6001" spans="30:30" ht="12" x14ac:dyDescent="0.3">
      <c r="AD6001" s="6"/>
    </row>
    <row r="6002" spans="30:30" ht="12" x14ac:dyDescent="0.3">
      <c r="AD6002" s="6"/>
    </row>
    <row r="6003" spans="30:30" ht="12" x14ac:dyDescent="0.3">
      <c r="AD6003" s="6"/>
    </row>
    <row r="6004" spans="30:30" ht="12" x14ac:dyDescent="0.3">
      <c r="AD6004" s="6"/>
    </row>
    <row r="6005" spans="30:30" ht="12" x14ac:dyDescent="0.3">
      <c r="AD6005" s="6"/>
    </row>
    <row r="6006" spans="30:30" ht="12" x14ac:dyDescent="0.3">
      <c r="AD6006" s="6"/>
    </row>
    <row r="6007" spans="30:30" ht="12" x14ac:dyDescent="0.3">
      <c r="AD6007" s="6"/>
    </row>
    <row r="6008" spans="30:30" ht="12" x14ac:dyDescent="0.3">
      <c r="AD6008" s="6"/>
    </row>
    <row r="6009" spans="30:30" ht="12" x14ac:dyDescent="0.3">
      <c r="AD6009" s="6"/>
    </row>
    <row r="6010" spans="30:30" ht="12" x14ac:dyDescent="0.3">
      <c r="AD6010" s="6"/>
    </row>
    <row r="6011" spans="30:30" ht="12" x14ac:dyDescent="0.3">
      <c r="AD6011" s="6"/>
    </row>
    <row r="6012" spans="30:30" ht="12" x14ac:dyDescent="0.3">
      <c r="AD6012" s="6"/>
    </row>
    <row r="6013" spans="30:30" ht="12" x14ac:dyDescent="0.3">
      <c r="AD6013" s="6"/>
    </row>
    <row r="6014" spans="30:30" ht="12" x14ac:dyDescent="0.3">
      <c r="AD6014" s="6"/>
    </row>
    <row r="6015" spans="30:30" ht="12" x14ac:dyDescent="0.3">
      <c r="AD6015" s="6"/>
    </row>
    <row r="6016" spans="30:30" ht="12" x14ac:dyDescent="0.3">
      <c r="AD6016" s="6"/>
    </row>
    <row r="6017" spans="30:30" ht="12" x14ac:dyDescent="0.3">
      <c r="AD6017" s="6"/>
    </row>
    <row r="6018" spans="30:30" ht="12" x14ac:dyDescent="0.3">
      <c r="AD6018" s="6"/>
    </row>
    <row r="6019" spans="30:30" ht="12" x14ac:dyDescent="0.3">
      <c r="AD6019" s="6"/>
    </row>
    <row r="6020" spans="30:30" ht="12" x14ac:dyDescent="0.3">
      <c r="AD6020" s="6"/>
    </row>
    <row r="6021" spans="30:30" ht="12" x14ac:dyDescent="0.3">
      <c r="AD6021" s="6"/>
    </row>
    <row r="6022" spans="30:30" ht="12" x14ac:dyDescent="0.3">
      <c r="AD6022" s="6"/>
    </row>
    <row r="6023" spans="30:30" ht="12" x14ac:dyDescent="0.3">
      <c r="AD6023" s="6"/>
    </row>
    <row r="6024" spans="30:30" ht="12" x14ac:dyDescent="0.3">
      <c r="AD6024" s="6"/>
    </row>
    <row r="6025" spans="30:30" ht="12" x14ac:dyDescent="0.3">
      <c r="AD6025" s="6"/>
    </row>
    <row r="6026" spans="30:30" ht="12" x14ac:dyDescent="0.3">
      <c r="AD6026" s="6"/>
    </row>
    <row r="6027" spans="30:30" ht="12" x14ac:dyDescent="0.3">
      <c r="AD6027" s="6"/>
    </row>
    <row r="6028" spans="30:30" ht="12" x14ac:dyDescent="0.3">
      <c r="AD6028" s="6"/>
    </row>
    <row r="6029" spans="30:30" ht="12" x14ac:dyDescent="0.3">
      <c r="AD6029" s="6"/>
    </row>
    <row r="6030" spans="30:30" ht="12" x14ac:dyDescent="0.3">
      <c r="AD6030" s="6"/>
    </row>
    <row r="6031" spans="30:30" ht="12" x14ac:dyDescent="0.3">
      <c r="AD6031" s="6"/>
    </row>
    <row r="6032" spans="30:30" ht="12" x14ac:dyDescent="0.3">
      <c r="AD6032" s="6"/>
    </row>
    <row r="6033" spans="30:30" ht="12" x14ac:dyDescent="0.3">
      <c r="AD6033" s="6"/>
    </row>
    <row r="6034" spans="30:30" ht="12" x14ac:dyDescent="0.3">
      <c r="AD6034" s="6"/>
    </row>
    <row r="6035" spans="30:30" ht="12" x14ac:dyDescent="0.3">
      <c r="AD6035" s="6"/>
    </row>
    <row r="6036" spans="30:30" ht="12" x14ac:dyDescent="0.3">
      <c r="AD6036" s="6"/>
    </row>
    <row r="6037" spans="30:30" ht="12" x14ac:dyDescent="0.3">
      <c r="AD6037" s="6"/>
    </row>
    <row r="6038" spans="30:30" ht="12" x14ac:dyDescent="0.3">
      <c r="AD6038" s="6"/>
    </row>
    <row r="6039" spans="30:30" ht="12" x14ac:dyDescent="0.3">
      <c r="AD6039" s="6"/>
    </row>
    <row r="6040" spans="30:30" ht="12" x14ac:dyDescent="0.3">
      <c r="AD6040" s="6"/>
    </row>
    <row r="6041" spans="30:30" ht="12" x14ac:dyDescent="0.3">
      <c r="AD6041" s="6"/>
    </row>
    <row r="6042" spans="30:30" ht="12" x14ac:dyDescent="0.3">
      <c r="AD6042" s="6"/>
    </row>
    <row r="6043" spans="30:30" ht="12" x14ac:dyDescent="0.3">
      <c r="AD6043" s="6"/>
    </row>
    <row r="6044" spans="30:30" ht="12" x14ac:dyDescent="0.3">
      <c r="AD6044" s="6"/>
    </row>
    <row r="6045" spans="30:30" ht="12" x14ac:dyDescent="0.3">
      <c r="AD6045" s="6"/>
    </row>
    <row r="6046" spans="30:30" ht="12" x14ac:dyDescent="0.3">
      <c r="AD6046" s="6"/>
    </row>
    <row r="6047" spans="30:30" ht="12" x14ac:dyDescent="0.3">
      <c r="AD6047" s="6"/>
    </row>
    <row r="6048" spans="30:30" ht="12" x14ac:dyDescent="0.3">
      <c r="AD6048" s="6"/>
    </row>
    <row r="6049" spans="30:30" ht="12" x14ac:dyDescent="0.3">
      <c r="AD6049" s="6"/>
    </row>
    <row r="6050" spans="30:30" ht="12" x14ac:dyDescent="0.3">
      <c r="AD6050" s="6"/>
    </row>
    <row r="6051" spans="30:30" ht="12" x14ac:dyDescent="0.3">
      <c r="AD6051" s="6"/>
    </row>
    <row r="6052" spans="30:30" ht="12" x14ac:dyDescent="0.3">
      <c r="AD6052" s="6"/>
    </row>
    <row r="6053" spans="30:30" ht="12" x14ac:dyDescent="0.3">
      <c r="AD6053" s="6"/>
    </row>
    <row r="6054" spans="30:30" ht="12" x14ac:dyDescent="0.3">
      <c r="AD6054" s="6"/>
    </row>
    <row r="6055" spans="30:30" ht="12" x14ac:dyDescent="0.3">
      <c r="AD6055" s="6"/>
    </row>
    <row r="6056" spans="30:30" ht="12" x14ac:dyDescent="0.3">
      <c r="AD6056" s="6"/>
    </row>
    <row r="6057" spans="30:30" ht="12" x14ac:dyDescent="0.3">
      <c r="AD6057" s="6"/>
    </row>
    <row r="6058" spans="30:30" ht="12" x14ac:dyDescent="0.3">
      <c r="AD6058" s="6"/>
    </row>
    <row r="6059" spans="30:30" ht="12" x14ac:dyDescent="0.3">
      <c r="AD6059" s="6"/>
    </row>
    <row r="6060" spans="30:30" ht="12" x14ac:dyDescent="0.3">
      <c r="AD6060" s="6"/>
    </row>
    <row r="6061" spans="30:30" ht="12" x14ac:dyDescent="0.3">
      <c r="AD6061" s="6"/>
    </row>
    <row r="6062" spans="30:30" ht="12" x14ac:dyDescent="0.3">
      <c r="AD6062" s="6"/>
    </row>
    <row r="6063" spans="30:30" ht="12" x14ac:dyDescent="0.3">
      <c r="AD6063" s="6"/>
    </row>
    <row r="6064" spans="30:30" ht="12" x14ac:dyDescent="0.3">
      <c r="AD6064" s="6"/>
    </row>
    <row r="6065" spans="30:30" ht="12" x14ac:dyDescent="0.3">
      <c r="AD6065" s="6"/>
    </row>
    <row r="6066" spans="30:30" ht="12" x14ac:dyDescent="0.3">
      <c r="AD6066" s="6"/>
    </row>
    <row r="6067" spans="30:30" ht="12" x14ac:dyDescent="0.3">
      <c r="AD6067" s="6"/>
    </row>
    <row r="6068" spans="30:30" ht="12" x14ac:dyDescent="0.3">
      <c r="AD6068" s="6"/>
    </row>
    <row r="6069" spans="30:30" ht="12" x14ac:dyDescent="0.3">
      <c r="AD6069" s="6"/>
    </row>
    <row r="6070" spans="30:30" ht="12" x14ac:dyDescent="0.3">
      <c r="AD6070" s="6"/>
    </row>
    <row r="6071" spans="30:30" ht="12" x14ac:dyDescent="0.3">
      <c r="AD6071" s="6"/>
    </row>
    <row r="6072" spans="30:30" ht="12" x14ac:dyDescent="0.3">
      <c r="AD6072" s="6"/>
    </row>
    <row r="6073" spans="30:30" ht="12" x14ac:dyDescent="0.3">
      <c r="AD6073" s="6"/>
    </row>
    <row r="6074" spans="30:30" ht="12" x14ac:dyDescent="0.3">
      <c r="AD6074" s="6"/>
    </row>
    <row r="6075" spans="30:30" ht="12" x14ac:dyDescent="0.3">
      <c r="AD6075" s="6"/>
    </row>
    <row r="6076" spans="30:30" ht="12" x14ac:dyDescent="0.3">
      <c r="AD6076" s="6"/>
    </row>
    <row r="6077" spans="30:30" ht="12" x14ac:dyDescent="0.3">
      <c r="AD6077" s="6"/>
    </row>
    <row r="6078" spans="30:30" ht="12" x14ac:dyDescent="0.3">
      <c r="AD6078" s="6"/>
    </row>
    <row r="6079" spans="30:30" ht="12" x14ac:dyDescent="0.3">
      <c r="AD6079" s="6"/>
    </row>
    <row r="6080" spans="30:30" ht="12" x14ac:dyDescent="0.3">
      <c r="AD6080" s="6"/>
    </row>
    <row r="6081" spans="30:30" ht="12" x14ac:dyDescent="0.3">
      <c r="AD6081" s="6"/>
    </row>
    <row r="6082" spans="30:30" ht="12" x14ac:dyDescent="0.3">
      <c r="AD6082" s="6"/>
    </row>
    <row r="6083" spans="30:30" ht="12" x14ac:dyDescent="0.3">
      <c r="AD6083" s="6"/>
    </row>
    <row r="6084" spans="30:30" ht="12" x14ac:dyDescent="0.3">
      <c r="AD6084" s="6"/>
    </row>
    <row r="6085" spans="30:30" ht="12" x14ac:dyDescent="0.3">
      <c r="AD6085" s="6"/>
    </row>
    <row r="6086" spans="30:30" ht="12" x14ac:dyDescent="0.3">
      <c r="AD6086" s="6"/>
    </row>
    <row r="6087" spans="30:30" ht="12" x14ac:dyDescent="0.3">
      <c r="AD6087" s="6"/>
    </row>
    <row r="6088" spans="30:30" ht="12" x14ac:dyDescent="0.3">
      <c r="AD6088" s="6"/>
    </row>
    <row r="6089" spans="30:30" ht="12" x14ac:dyDescent="0.3">
      <c r="AD6089" s="6"/>
    </row>
    <row r="6090" spans="30:30" ht="12" x14ac:dyDescent="0.3">
      <c r="AD6090" s="6"/>
    </row>
    <row r="6091" spans="30:30" ht="12" x14ac:dyDescent="0.3">
      <c r="AD6091" s="6"/>
    </row>
    <row r="6092" spans="30:30" ht="12" x14ac:dyDescent="0.3">
      <c r="AD6092" s="6"/>
    </row>
    <row r="6093" spans="30:30" ht="12" x14ac:dyDescent="0.3">
      <c r="AD6093" s="6"/>
    </row>
    <row r="6094" spans="30:30" ht="12" x14ac:dyDescent="0.3">
      <c r="AD6094" s="6"/>
    </row>
    <row r="6095" spans="30:30" ht="12" x14ac:dyDescent="0.3">
      <c r="AD6095" s="6"/>
    </row>
    <row r="6096" spans="30:30" ht="12" x14ac:dyDescent="0.3">
      <c r="AD6096" s="6"/>
    </row>
    <row r="6097" spans="30:30" ht="12" x14ac:dyDescent="0.3">
      <c r="AD6097" s="6"/>
    </row>
    <row r="6098" spans="30:30" ht="12" x14ac:dyDescent="0.3">
      <c r="AD6098" s="6"/>
    </row>
    <row r="6099" spans="30:30" ht="12" x14ac:dyDescent="0.3">
      <c r="AD6099" s="6"/>
    </row>
    <row r="6100" spans="30:30" ht="12" x14ac:dyDescent="0.3">
      <c r="AD6100" s="6"/>
    </row>
    <row r="6101" spans="30:30" ht="12" x14ac:dyDescent="0.3">
      <c r="AD6101" s="6"/>
    </row>
    <row r="6102" spans="30:30" ht="12" x14ac:dyDescent="0.3">
      <c r="AD6102" s="6"/>
    </row>
    <row r="6103" spans="30:30" ht="12" x14ac:dyDescent="0.3">
      <c r="AD6103" s="6"/>
    </row>
    <row r="6104" spans="30:30" ht="12" x14ac:dyDescent="0.3">
      <c r="AD6104" s="6"/>
    </row>
    <row r="6105" spans="30:30" ht="12" x14ac:dyDescent="0.3">
      <c r="AD6105" s="6"/>
    </row>
    <row r="6106" spans="30:30" ht="12" x14ac:dyDescent="0.3">
      <c r="AD6106" s="6"/>
    </row>
    <row r="6107" spans="30:30" ht="12" x14ac:dyDescent="0.3">
      <c r="AD6107" s="6"/>
    </row>
    <row r="6108" spans="30:30" ht="12" x14ac:dyDescent="0.3">
      <c r="AD6108" s="6"/>
    </row>
    <row r="6109" spans="30:30" ht="12" x14ac:dyDescent="0.3">
      <c r="AD6109" s="6"/>
    </row>
    <row r="6110" spans="30:30" ht="12" x14ac:dyDescent="0.3">
      <c r="AD6110" s="6"/>
    </row>
    <row r="6111" spans="30:30" ht="12" x14ac:dyDescent="0.3">
      <c r="AD6111" s="6"/>
    </row>
    <row r="6112" spans="30:30" ht="12" x14ac:dyDescent="0.3">
      <c r="AD6112" s="6"/>
    </row>
    <row r="6113" spans="30:30" ht="12" x14ac:dyDescent="0.3">
      <c r="AD6113" s="6"/>
    </row>
    <row r="6114" spans="30:30" ht="12" x14ac:dyDescent="0.3">
      <c r="AD6114" s="6"/>
    </row>
    <row r="6115" spans="30:30" ht="12" x14ac:dyDescent="0.3">
      <c r="AD6115" s="6"/>
    </row>
    <row r="6116" spans="30:30" ht="12" x14ac:dyDescent="0.3">
      <c r="AD6116" s="6"/>
    </row>
    <row r="6117" spans="30:30" ht="12" x14ac:dyDescent="0.3">
      <c r="AD6117" s="6"/>
    </row>
    <row r="6118" spans="30:30" ht="12" x14ac:dyDescent="0.3">
      <c r="AD6118" s="6"/>
    </row>
    <row r="6119" spans="30:30" ht="12" x14ac:dyDescent="0.3">
      <c r="AD6119" s="6"/>
    </row>
    <row r="6120" spans="30:30" ht="12" x14ac:dyDescent="0.3">
      <c r="AD6120" s="6"/>
    </row>
    <row r="6121" spans="30:30" ht="12" x14ac:dyDescent="0.3">
      <c r="AD6121" s="6"/>
    </row>
    <row r="6122" spans="30:30" ht="12" x14ac:dyDescent="0.3">
      <c r="AD6122" s="6"/>
    </row>
    <row r="6123" spans="30:30" ht="12" x14ac:dyDescent="0.3">
      <c r="AD6123" s="6"/>
    </row>
    <row r="6124" spans="30:30" ht="12" x14ac:dyDescent="0.3">
      <c r="AD6124" s="6"/>
    </row>
    <row r="6125" spans="30:30" ht="12" x14ac:dyDescent="0.3">
      <c r="AD6125" s="6"/>
    </row>
    <row r="6126" spans="30:30" ht="12" x14ac:dyDescent="0.3">
      <c r="AD6126" s="6"/>
    </row>
    <row r="6127" spans="30:30" ht="12" x14ac:dyDescent="0.3">
      <c r="AD6127" s="6"/>
    </row>
    <row r="6128" spans="30:30" ht="12" x14ac:dyDescent="0.3">
      <c r="AD6128" s="6"/>
    </row>
    <row r="6129" spans="30:30" ht="12" x14ac:dyDescent="0.3">
      <c r="AD6129" s="6"/>
    </row>
    <row r="6130" spans="30:30" ht="12" x14ac:dyDescent="0.3">
      <c r="AD6130" s="6"/>
    </row>
    <row r="6131" spans="30:30" ht="12" x14ac:dyDescent="0.3">
      <c r="AD6131" s="6"/>
    </row>
    <row r="6132" spans="30:30" ht="12" x14ac:dyDescent="0.3">
      <c r="AD6132" s="6"/>
    </row>
    <row r="6133" spans="30:30" ht="12" x14ac:dyDescent="0.3">
      <c r="AD6133" s="6"/>
    </row>
    <row r="6134" spans="30:30" ht="12" x14ac:dyDescent="0.3">
      <c r="AD6134" s="6"/>
    </row>
    <row r="6135" spans="30:30" ht="12" x14ac:dyDescent="0.3">
      <c r="AD6135" s="6"/>
    </row>
    <row r="6136" spans="30:30" ht="12" x14ac:dyDescent="0.3">
      <c r="AD6136" s="6"/>
    </row>
    <row r="6137" spans="30:30" ht="12" x14ac:dyDescent="0.3">
      <c r="AD6137" s="6"/>
    </row>
    <row r="6138" spans="30:30" ht="12" x14ac:dyDescent="0.3">
      <c r="AD6138" s="6"/>
    </row>
    <row r="6139" spans="30:30" ht="12" x14ac:dyDescent="0.3">
      <c r="AD6139" s="6"/>
    </row>
    <row r="6140" spans="30:30" ht="12" x14ac:dyDescent="0.3">
      <c r="AD6140" s="6"/>
    </row>
    <row r="6141" spans="30:30" ht="12" x14ac:dyDescent="0.3">
      <c r="AD6141" s="6"/>
    </row>
    <row r="6142" spans="30:30" ht="12" x14ac:dyDescent="0.3">
      <c r="AD6142" s="6"/>
    </row>
    <row r="6143" spans="30:30" ht="12" x14ac:dyDescent="0.3">
      <c r="AD6143" s="6"/>
    </row>
    <row r="6144" spans="30:30" ht="12" x14ac:dyDescent="0.3">
      <c r="AD6144" s="6"/>
    </row>
    <row r="6145" spans="30:30" ht="12" x14ac:dyDescent="0.3">
      <c r="AD6145" s="6"/>
    </row>
    <row r="6146" spans="30:30" ht="12" x14ac:dyDescent="0.3">
      <c r="AD6146" s="6"/>
    </row>
    <row r="6147" spans="30:30" ht="12" x14ac:dyDescent="0.3">
      <c r="AD6147" s="6"/>
    </row>
    <row r="6148" spans="30:30" ht="12" x14ac:dyDescent="0.3">
      <c r="AD6148" s="6"/>
    </row>
    <row r="6149" spans="30:30" ht="12" x14ac:dyDescent="0.3">
      <c r="AD6149" s="6"/>
    </row>
    <row r="6150" spans="30:30" ht="12" x14ac:dyDescent="0.3">
      <c r="AD6150" s="6"/>
    </row>
    <row r="6151" spans="30:30" ht="12" x14ac:dyDescent="0.3">
      <c r="AD6151" s="6"/>
    </row>
    <row r="6152" spans="30:30" ht="12" x14ac:dyDescent="0.3">
      <c r="AD6152" s="6"/>
    </row>
    <row r="6153" spans="30:30" ht="12" x14ac:dyDescent="0.3">
      <c r="AD6153" s="6"/>
    </row>
    <row r="6154" spans="30:30" ht="12" x14ac:dyDescent="0.3">
      <c r="AD6154" s="6"/>
    </row>
    <row r="6155" spans="30:30" ht="12" x14ac:dyDescent="0.3">
      <c r="AD6155" s="6"/>
    </row>
    <row r="6156" spans="30:30" ht="12" x14ac:dyDescent="0.3">
      <c r="AD6156" s="6"/>
    </row>
    <row r="6157" spans="30:30" ht="12" x14ac:dyDescent="0.3">
      <c r="AD6157" s="6"/>
    </row>
    <row r="6158" spans="30:30" ht="12" x14ac:dyDescent="0.3">
      <c r="AD6158" s="6"/>
    </row>
    <row r="6159" spans="30:30" ht="12" x14ac:dyDescent="0.3">
      <c r="AD6159" s="6"/>
    </row>
    <row r="6160" spans="30:30" ht="12" x14ac:dyDescent="0.3">
      <c r="AD6160" s="6"/>
    </row>
    <row r="6161" spans="30:30" ht="12" x14ac:dyDescent="0.3">
      <c r="AD6161" s="6"/>
    </row>
    <row r="6162" spans="30:30" ht="12" x14ac:dyDescent="0.3">
      <c r="AD6162" s="6"/>
    </row>
    <row r="6163" spans="30:30" ht="12" x14ac:dyDescent="0.3">
      <c r="AD6163" s="6"/>
    </row>
    <row r="6164" spans="30:30" ht="12" x14ac:dyDescent="0.3">
      <c r="AD6164" s="6"/>
    </row>
    <row r="6165" spans="30:30" ht="12" x14ac:dyDescent="0.3">
      <c r="AD6165" s="6"/>
    </row>
    <row r="6166" spans="30:30" ht="12" x14ac:dyDescent="0.3">
      <c r="AD6166" s="6"/>
    </row>
    <row r="6167" spans="30:30" ht="12" x14ac:dyDescent="0.3">
      <c r="AD6167" s="6"/>
    </row>
    <row r="6168" spans="30:30" ht="12" x14ac:dyDescent="0.3">
      <c r="AD6168" s="6"/>
    </row>
    <row r="6169" spans="30:30" ht="12" x14ac:dyDescent="0.3">
      <c r="AD6169" s="6"/>
    </row>
    <row r="6170" spans="30:30" ht="12" x14ac:dyDescent="0.3">
      <c r="AD6170" s="6"/>
    </row>
    <row r="6171" spans="30:30" ht="12" x14ac:dyDescent="0.3">
      <c r="AD6171" s="6"/>
    </row>
    <row r="6172" spans="30:30" ht="12" x14ac:dyDescent="0.3">
      <c r="AD6172" s="6"/>
    </row>
    <row r="6173" spans="30:30" ht="12" x14ac:dyDescent="0.3">
      <c r="AD6173" s="6"/>
    </row>
    <row r="6174" spans="30:30" ht="12" x14ac:dyDescent="0.3">
      <c r="AD6174" s="6"/>
    </row>
    <row r="6175" spans="30:30" ht="12" x14ac:dyDescent="0.3">
      <c r="AD6175" s="6"/>
    </row>
    <row r="6176" spans="30:30" ht="12" x14ac:dyDescent="0.3">
      <c r="AD6176" s="6"/>
    </row>
    <row r="6177" spans="30:30" ht="12" x14ac:dyDescent="0.3">
      <c r="AD6177" s="6"/>
    </row>
    <row r="6178" spans="30:30" ht="12" x14ac:dyDescent="0.3">
      <c r="AD6178" s="6"/>
    </row>
    <row r="6179" spans="30:30" ht="12" x14ac:dyDescent="0.3">
      <c r="AD6179" s="6"/>
    </row>
    <row r="6180" spans="30:30" ht="12" x14ac:dyDescent="0.3">
      <c r="AD6180" s="6"/>
    </row>
    <row r="6181" spans="30:30" ht="12" x14ac:dyDescent="0.3">
      <c r="AD6181" s="6"/>
    </row>
    <row r="6182" spans="30:30" ht="12" x14ac:dyDescent="0.3">
      <c r="AD6182" s="6"/>
    </row>
    <row r="6183" spans="30:30" ht="12" x14ac:dyDescent="0.3">
      <c r="AD6183" s="6"/>
    </row>
    <row r="6184" spans="30:30" ht="12" x14ac:dyDescent="0.3">
      <c r="AD6184" s="6"/>
    </row>
    <row r="6185" spans="30:30" ht="12" x14ac:dyDescent="0.3">
      <c r="AD6185" s="6"/>
    </row>
    <row r="6186" spans="30:30" ht="12" x14ac:dyDescent="0.3">
      <c r="AD6186" s="6"/>
    </row>
    <row r="6187" spans="30:30" ht="12" x14ac:dyDescent="0.3">
      <c r="AD6187" s="6"/>
    </row>
    <row r="6188" spans="30:30" ht="12" x14ac:dyDescent="0.3">
      <c r="AD6188" s="6"/>
    </row>
    <row r="6189" spans="30:30" ht="12" x14ac:dyDescent="0.3">
      <c r="AD6189" s="6"/>
    </row>
    <row r="6190" spans="30:30" ht="12" x14ac:dyDescent="0.3">
      <c r="AD6190" s="6"/>
    </row>
    <row r="6191" spans="30:30" ht="12" x14ac:dyDescent="0.3">
      <c r="AD6191" s="6"/>
    </row>
    <row r="6192" spans="30:30" ht="12" x14ac:dyDescent="0.3">
      <c r="AD6192" s="6"/>
    </row>
    <row r="6193" spans="30:30" ht="12" x14ac:dyDescent="0.3">
      <c r="AD6193" s="6"/>
    </row>
    <row r="6194" spans="30:30" ht="12" x14ac:dyDescent="0.3">
      <c r="AD6194" s="6"/>
    </row>
    <row r="6195" spans="30:30" ht="12" x14ac:dyDescent="0.3">
      <c r="AD6195" s="6"/>
    </row>
    <row r="6196" spans="30:30" ht="12" x14ac:dyDescent="0.3">
      <c r="AD6196" s="6"/>
    </row>
    <row r="6197" spans="30:30" ht="12" x14ac:dyDescent="0.3">
      <c r="AD6197" s="6"/>
    </row>
    <row r="6198" spans="30:30" ht="12" x14ac:dyDescent="0.3">
      <c r="AD6198" s="6"/>
    </row>
    <row r="6199" spans="30:30" ht="12" x14ac:dyDescent="0.3">
      <c r="AD6199" s="6"/>
    </row>
    <row r="6200" spans="30:30" ht="12" x14ac:dyDescent="0.3">
      <c r="AD6200" s="6"/>
    </row>
    <row r="6201" spans="30:30" ht="12" x14ac:dyDescent="0.3">
      <c r="AD6201" s="6"/>
    </row>
    <row r="6202" spans="30:30" ht="12" x14ac:dyDescent="0.3">
      <c r="AD6202" s="6"/>
    </row>
    <row r="6203" spans="30:30" ht="12" x14ac:dyDescent="0.3">
      <c r="AD6203" s="6"/>
    </row>
    <row r="6204" spans="30:30" ht="12" x14ac:dyDescent="0.3">
      <c r="AD6204" s="6"/>
    </row>
    <row r="6205" spans="30:30" ht="12" x14ac:dyDescent="0.3">
      <c r="AD6205" s="6"/>
    </row>
    <row r="6206" spans="30:30" ht="12" x14ac:dyDescent="0.3">
      <c r="AD6206" s="6"/>
    </row>
    <row r="6207" spans="30:30" ht="12" x14ac:dyDescent="0.3">
      <c r="AD6207" s="6"/>
    </row>
    <row r="6208" spans="30:30" ht="12" x14ac:dyDescent="0.3">
      <c r="AD6208" s="6"/>
    </row>
    <row r="6209" spans="30:30" ht="12" x14ac:dyDescent="0.3">
      <c r="AD6209" s="6"/>
    </row>
    <row r="6210" spans="30:30" ht="12" x14ac:dyDescent="0.3">
      <c r="AD6210" s="6"/>
    </row>
    <row r="6211" spans="30:30" ht="12" x14ac:dyDescent="0.3">
      <c r="AD6211" s="6"/>
    </row>
    <row r="6212" spans="30:30" ht="12" x14ac:dyDescent="0.3">
      <c r="AD6212" s="6"/>
    </row>
    <row r="6213" spans="30:30" ht="12" x14ac:dyDescent="0.3">
      <c r="AD6213" s="6"/>
    </row>
    <row r="6214" spans="30:30" ht="12" x14ac:dyDescent="0.3">
      <c r="AD6214" s="6"/>
    </row>
    <row r="6215" spans="30:30" ht="12" x14ac:dyDescent="0.3">
      <c r="AD6215" s="6"/>
    </row>
    <row r="6216" spans="30:30" ht="12" x14ac:dyDescent="0.3">
      <c r="AD6216" s="6"/>
    </row>
    <row r="6217" spans="30:30" ht="12" x14ac:dyDescent="0.3">
      <c r="AD6217" s="6"/>
    </row>
    <row r="6218" spans="30:30" ht="12" x14ac:dyDescent="0.3">
      <c r="AD6218" s="6"/>
    </row>
    <row r="6219" spans="30:30" ht="12" x14ac:dyDescent="0.3">
      <c r="AD6219" s="6"/>
    </row>
    <row r="6220" spans="30:30" ht="12" x14ac:dyDescent="0.3">
      <c r="AD6220" s="6"/>
    </row>
    <row r="6221" spans="30:30" ht="12" x14ac:dyDescent="0.3">
      <c r="AD6221" s="6"/>
    </row>
    <row r="6222" spans="30:30" ht="12" x14ac:dyDescent="0.3">
      <c r="AD6222" s="6"/>
    </row>
    <row r="6223" spans="30:30" ht="12" x14ac:dyDescent="0.3">
      <c r="AD6223" s="6"/>
    </row>
    <row r="6224" spans="30:30" ht="12" x14ac:dyDescent="0.3">
      <c r="AD6224" s="6"/>
    </row>
    <row r="6225" spans="30:30" ht="12" x14ac:dyDescent="0.3">
      <c r="AD6225" s="6"/>
    </row>
    <row r="6226" spans="30:30" ht="12" x14ac:dyDescent="0.3">
      <c r="AD6226" s="6"/>
    </row>
    <row r="6227" spans="30:30" ht="12" x14ac:dyDescent="0.3">
      <c r="AD6227" s="6"/>
    </row>
    <row r="6228" spans="30:30" ht="12" x14ac:dyDescent="0.3">
      <c r="AD6228" s="6"/>
    </row>
    <row r="6229" spans="30:30" ht="12" x14ac:dyDescent="0.3">
      <c r="AD6229" s="6"/>
    </row>
    <row r="6230" spans="30:30" ht="12" x14ac:dyDescent="0.3">
      <c r="AD6230" s="6"/>
    </row>
    <row r="6231" spans="30:30" ht="12" x14ac:dyDescent="0.3">
      <c r="AD6231" s="6"/>
    </row>
    <row r="6232" spans="30:30" ht="12" x14ac:dyDescent="0.3">
      <c r="AD6232" s="6"/>
    </row>
    <row r="6233" spans="30:30" ht="12" x14ac:dyDescent="0.3">
      <c r="AD6233" s="6"/>
    </row>
    <row r="6234" spans="30:30" ht="12" x14ac:dyDescent="0.3">
      <c r="AD6234" s="6"/>
    </row>
    <row r="6235" spans="30:30" ht="12" x14ac:dyDescent="0.3">
      <c r="AD6235" s="6"/>
    </row>
    <row r="6236" spans="30:30" ht="12" x14ac:dyDescent="0.3">
      <c r="AD6236" s="6"/>
    </row>
    <row r="6237" spans="30:30" ht="12" x14ac:dyDescent="0.3">
      <c r="AD6237" s="6"/>
    </row>
    <row r="6238" spans="30:30" ht="12" x14ac:dyDescent="0.3">
      <c r="AD6238" s="6"/>
    </row>
    <row r="6239" spans="30:30" ht="12" x14ac:dyDescent="0.3">
      <c r="AD6239" s="6"/>
    </row>
    <row r="6240" spans="30:30" ht="12" x14ac:dyDescent="0.3">
      <c r="AD6240" s="6"/>
    </row>
    <row r="6241" spans="30:30" ht="12" x14ac:dyDescent="0.3">
      <c r="AD6241" s="6"/>
    </row>
    <row r="6242" spans="30:30" ht="12" x14ac:dyDescent="0.3">
      <c r="AD6242" s="6"/>
    </row>
    <row r="6243" spans="30:30" ht="12" x14ac:dyDescent="0.3">
      <c r="AD6243" s="6"/>
    </row>
    <row r="6244" spans="30:30" ht="12" x14ac:dyDescent="0.3">
      <c r="AD6244" s="6"/>
    </row>
    <row r="6245" spans="30:30" ht="12" x14ac:dyDescent="0.3">
      <c r="AD6245" s="6"/>
    </row>
    <row r="6246" spans="30:30" ht="12" x14ac:dyDescent="0.3">
      <c r="AD6246" s="6"/>
    </row>
    <row r="6247" spans="30:30" ht="12" x14ac:dyDescent="0.3">
      <c r="AD6247" s="6"/>
    </row>
    <row r="6248" spans="30:30" ht="12" x14ac:dyDescent="0.3">
      <c r="AD6248" s="6"/>
    </row>
    <row r="6249" spans="30:30" ht="12" x14ac:dyDescent="0.3">
      <c r="AD6249" s="6"/>
    </row>
    <row r="6250" spans="30:30" ht="12" x14ac:dyDescent="0.3">
      <c r="AD6250" s="6"/>
    </row>
    <row r="6251" spans="30:30" ht="12" x14ac:dyDescent="0.3">
      <c r="AD6251" s="6"/>
    </row>
    <row r="6252" spans="30:30" ht="12" x14ac:dyDescent="0.3">
      <c r="AD6252" s="6"/>
    </row>
    <row r="6253" spans="30:30" ht="12" x14ac:dyDescent="0.3">
      <c r="AD6253" s="6"/>
    </row>
    <row r="6254" spans="30:30" ht="12" x14ac:dyDescent="0.3">
      <c r="AD6254" s="6"/>
    </row>
    <row r="6255" spans="30:30" ht="12" x14ac:dyDescent="0.3">
      <c r="AD6255" s="6"/>
    </row>
    <row r="6256" spans="30:30" ht="12" x14ac:dyDescent="0.3">
      <c r="AD6256" s="6"/>
    </row>
    <row r="6257" spans="30:30" ht="12" x14ac:dyDescent="0.3">
      <c r="AD6257" s="6"/>
    </row>
    <row r="6258" spans="30:30" ht="12" x14ac:dyDescent="0.3">
      <c r="AD6258" s="6"/>
    </row>
    <row r="6259" spans="30:30" ht="12" x14ac:dyDescent="0.3">
      <c r="AD6259" s="6"/>
    </row>
    <row r="6260" spans="30:30" ht="12" x14ac:dyDescent="0.3">
      <c r="AD6260" s="6"/>
    </row>
    <row r="6261" spans="30:30" ht="12" x14ac:dyDescent="0.3">
      <c r="AD6261" s="6"/>
    </row>
    <row r="6262" spans="30:30" ht="12" x14ac:dyDescent="0.3">
      <c r="AD6262" s="6"/>
    </row>
    <row r="6263" spans="30:30" ht="12" x14ac:dyDescent="0.3">
      <c r="AD6263" s="6"/>
    </row>
    <row r="6264" spans="30:30" ht="12" x14ac:dyDescent="0.3">
      <c r="AD6264" s="6"/>
    </row>
    <row r="6265" spans="30:30" ht="12" x14ac:dyDescent="0.3">
      <c r="AD6265" s="6"/>
    </row>
    <row r="6266" spans="30:30" ht="12" x14ac:dyDescent="0.3">
      <c r="AD6266" s="6"/>
    </row>
    <row r="6267" spans="30:30" ht="12" x14ac:dyDescent="0.3">
      <c r="AD6267" s="6"/>
    </row>
    <row r="6268" spans="30:30" ht="12" x14ac:dyDescent="0.3">
      <c r="AD6268" s="6"/>
    </row>
    <row r="6269" spans="30:30" ht="12" x14ac:dyDescent="0.3">
      <c r="AD6269" s="6"/>
    </row>
    <row r="6270" spans="30:30" ht="12" x14ac:dyDescent="0.3">
      <c r="AD6270" s="6"/>
    </row>
    <row r="6271" spans="30:30" ht="12" x14ac:dyDescent="0.3">
      <c r="AD6271" s="6"/>
    </row>
    <row r="6272" spans="30:30" ht="12" x14ac:dyDescent="0.3">
      <c r="AD6272" s="6"/>
    </row>
    <row r="6273" spans="30:30" ht="12" x14ac:dyDescent="0.3">
      <c r="AD6273" s="6"/>
    </row>
    <row r="6274" spans="30:30" ht="12" x14ac:dyDescent="0.3">
      <c r="AD6274" s="6"/>
    </row>
    <row r="6275" spans="30:30" ht="12" x14ac:dyDescent="0.3">
      <c r="AD6275" s="6"/>
    </row>
    <row r="6276" spans="30:30" ht="12" x14ac:dyDescent="0.3">
      <c r="AD6276" s="6"/>
    </row>
    <row r="6277" spans="30:30" ht="12" x14ac:dyDescent="0.3">
      <c r="AD6277" s="6"/>
    </row>
    <row r="6278" spans="30:30" ht="12" x14ac:dyDescent="0.3">
      <c r="AD6278" s="6"/>
    </row>
    <row r="6279" spans="30:30" ht="12" x14ac:dyDescent="0.3">
      <c r="AD6279" s="6"/>
    </row>
    <row r="6280" spans="30:30" ht="12" x14ac:dyDescent="0.3">
      <c r="AD6280" s="6"/>
    </row>
    <row r="6281" spans="30:30" ht="12" x14ac:dyDescent="0.3">
      <c r="AD6281" s="6"/>
    </row>
    <row r="6282" spans="30:30" ht="12" x14ac:dyDescent="0.3">
      <c r="AD6282" s="6"/>
    </row>
    <row r="6283" spans="30:30" ht="12" x14ac:dyDescent="0.3">
      <c r="AD6283" s="6"/>
    </row>
    <row r="6284" spans="30:30" ht="12" x14ac:dyDescent="0.3">
      <c r="AD6284" s="6"/>
    </row>
    <row r="6285" spans="30:30" ht="12" x14ac:dyDescent="0.3">
      <c r="AD6285" s="6"/>
    </row>
    <row r="6286" spans="30:30" ht="12" x14ac:dyDescent="0.3">
      <c r="AD6286" s="6"/>
    </row>
    <row r="6287" spans="30:30" ht="12" x14ac:dyDescent="0.3">
      <c r="AD6287" s="6"/>
    </row>
    <row r="6288" spans="30:30" ht="12" x14ac:dyDescent="0.3">
      <c r="AD6288" s="6"/>
    </row>
    <row r="6289" spans="30:30" ht="12" x14ac:dyDescent="0.3">
      <c r="AD6289" s="6"/>
    </row>
    <row r="6290" spans="30:30" ht="12" x14ac:dyDescent="0.3">
      <c r="AD6290" s="6"/>
    </row>
    <row r="6291" spans="30:30" ht="12" x14ac:dyDescent="0.3">
      <c r="AD6291" s="6"/>
    </row>
    <row r="6292" spans="30:30" ht="12" x14ac:dyDescent="0.3">
      <c r="AD6292" s="6"/>
    </row>
    <row r="6293" spans="30:30" ht="12" x14ac:dyDescent="0.3">
      <c r="AD6293" s="6"/>
    </row>
    <row r="6294" spans="30:30" ht="12" x14ac:dyDescent="0.3">
      <c r="AD6294" s="6"/>
    </row>
    <row r="6295" spans="30:30" ht="12" x14ac:dyDescent="0.3">
      <c r="AD6295" s="6"/>
    </row>
    <row r="6296" spans="30:30" ht="12" x14ac:dyDescent="0.3">
      <c r="AD6296" s="6"/>
    </row>
    <row r="6297" spans="30:30" ht="12" x14ac:dyDescent="0.3">
      <c r="AD6297" s="6"/>
    </row>
    <row r="6298" spans="30:30" ht="12" x14ac:dyDescent="0.3">
      <c r="AD6298" s="6"/>
    </row>
    <row r="6299" spans="30:30" ht="12" x14ac:dyDescent="0.3">
      <c r="AD6299" s="6"/>
    </row>
    <row r="6300" spans="30:30" ht="12" x14ac:dyDescent="0.3">
      <c r="AD6300" s="6"/>
    </row>
    <row r="6301" spans="30:30" ht="12" x14ac:dyDescent="0.3">
      <c r="AD6301" s="6"/>
    </row>
    <row r="6302" spans="30:30" ht="12" x14ac:dyDescent="0.3">
      <c r="AD6302" s="6"/>
    </row>
    <row r="6303" spans="30:30" ht="12" x14ac:dyDescent="0.3">
      <c r="AD6303" s="6"/>
    </row>
    <row r="6304" spans="30:30" ht="12" x14ac:dyDescent="0.3">
      <c r="AD6304" s="6"/>
    </row>
    <row r="6305" spans="30:30" ht="12" x14ac:dyDescent="0.3">
      <c r="AD6305" s="6"/>
    </row>
    <row r="6306" spans="30:30" ht="12" x14ac:dyDescent="0.3">
      <c r="AD6306" s="6"/>
    </row>
    <row r="6307" spans="30:30" ht="12" x14ac:dyDescent="0.3">
      <c r="AD6307" s="6"/>
    </row>
    <row r="6308" spans="30:30" ht="12" x14ac:dyDescent="0.3">
      <c r="AD6308" s="6"/>
    </row>
    <row r="6309" spans="30:30" ht="12" x14ac:dyDescent="0.3">
      <c r="AD6309" s="6"/>
    </row>
    <row r="6310" spans="30:30" ht="12" x14ac:dyDescent="0.3">
      <c r="AD6310" s="6"/>
    </row>
    <row r="6311" spans="30:30" ht="12" x14ac:dyDescent="0.3">
      <c r="AD6311" s="6"/>
    </row>
    <row r="6312" spans="30:30" ht="12" x14ac:dyDescent="0.3">
      <c r="AD6312" s="6"/>
    </row>
    <row r="6313" spans="30:30" ht="12" x14ac:dyDescent="0.3">
      <c r="AD6313" s="6"/>
    </row>
    <row r="6314" spans="30:30" ht="12" x14ac:dyDescent="0.3">
      <c r="AD6314" s="6"/>
    </row>
    <row r="6315" spans="30:30" ht="12" x14ac:dyDescent="0.3">
      <c r="AD6315" s="6"/>
    </row>
    <row r="6316" spans="30:30" ht="12" x14ac:dyDescent="0.3">
      <c r="AD6316" s="6"/>
    </row>
    <row r="6317" spans="30:30" ht="12" x14ac:dyDescent="0.3">
      <c r="AD6317" s="6"/>
    </row>
    <row r="6318" spans="30:30" ht="12" x14ac:dyDescent="0.3">
      <c r="AD6318" s="6"/>
    </row>
    <row r="6319" spans="30:30" ht="12" x14ac:dyDescent="0.3">
      <c r="AD6319" s="6"/>
    </row>
    <row r="6320" spans="30:30" ht="12" x14ac:dyDescent="0.3">
      <c r="AD6320" s="6"/>
    </row>
    <row r="6321" spans="30:30" ht="12" x14ac:dyDescent="0.3">
      <c r="AD6321" s="6"/>
    </row>
    <row r="6322" spans="30:30" ht="12" x14ac:dyDescent="0.3">
      <c r="AD6322" s="6"/>
    </row>
    <row r="6323" spans="30:30" ht="12" x14ac:dyDescent="0.3">
      <c r="AD6323" s="6"/>
    </row>
    <row r="6324" spans="30:30" ht="12" x14ac:dyDescent="0.3">
      <c r="AD6324" s="6"/>
    </row>
    <row r="6325" spans="30:30" ht="12" x14ac:dyDescent="0.3">
      <c r="AD6325" s="6"/>
    </row>
    <row r="6326" spans="30:30" ht="12" x14ac:dyDescent="0.3">
      <c r="AD6326" s="6"/>
    </row>
    <row r="6327" spans="30:30" ht="12" x14ac:dyDescent="0.3">
      <c r="AD6327" s="6"/>
    </row>
    <row r="6328" spans="30:30" ht="12" x14ac:dyDescent="0.3">
      <c r="AD6328" s="6"/>
    </row>
    <row r="6329" spans="30:30" ht="12" x14ac:dyDescent="0.3">
      <c r="AD6329" s="6"/>
    </row>
    <row r="6330" spans="30:30" ht="12" x14ac:dyDescent="0.3">
      <c r="AD6330" s="6"/>
    </row>
    <row r="6331" spans="30:30" ht="12" x14ac:dyDescent="0.3">
      <c r="AD6331" s="6"/>
    </row>
    <row r="6332" spans="30:30" ht="12" x14ac:dyDescent="0.3">
      <c r="AD6332" s="6"/>
    </row>
    <row r="6333" spans="30:30" ht="12" x14ac:dyDescent="0.3">
      <c r="AD6333" s="6"/>
    </row>
    <row r="6334" spans="30:30" ht="12" x14ac:dyDescent="0.3">
      <c r="AD6334" s="6"/>
    </row>
    <row r="6335" spans="30:30" ht="12" x14ac:dyDescent="0.3">
      <c r="AD6335" s="6"/>
    </row>
    <row r="6336" spans="30:30" ht="12" x14ac:dyDescent="0.3">
      <c r="AD6336" s="6"/>
    </row>
    <row r="6337" spans="30:30" ht="12" x14ac:dyDescent="0.3">
      <c r="AD6337" s="6"/>
    </row>
    <row r="6338" spans="30:30" ht="12" x14ac:dyDescent="0.3">
      <c r="AD6338" s="6"/>
    </row>
    <row r="6339" spans="30:30" ht="12" x14ac:dyDescent="0.3">
      <c r="AD6339" s="6"/>
    </row>
    <row r="6340" spans="30:30" ht="12" x14ac:dyDescent="0.3">
      <c r="AD6340" s="6"/>
    </row>
    <row r="6341" spans="30:30" ht="12" x14ac:dyDescent="0.3">
      <c r="AD6341" s="6"/>
    </row>
    <row r="6342" spans="30:30" ht="12" x14ac:dyDescent="0.3">
      <c r="AD6342" s="6"/>
    </row>
    <row r="6343" spans="30:30" ht="12" x14ac:dyDescent="0.3">
      <c r="AD6343" s="6"/>
    </row>
    <row r="6344" spans="30:30" ht="12" x14ac:dyDescent="0.3">
      <c r="AD6344" s="6"/>
    </row>
    <row r="6345" spans="30:30" ht="12" x14ac:dyDescent="0.3">
      <c r="AD6345" s="6"/>
    </row>
    <row r="6346" spans="30:30" ht="12" x14ac:dyDescent="0.3">
      <c r="AD6346" s="6"/>
    </row>
    <row r="6347" spans="30:30" ht="12" x14ac:dyDescent="0.3">
      <c r="AD6347" s="6"/>
    </row>
    <row r="6348" spans="30:30" ht="12" x14ac:dyDescent="0.3">
      <c r="AD6348" s="6"/>
    </row>
    <row r="6349" spans="30:30" ht="12" x14ac:dyDescent="0.3">
      <c r="AD6349" s="6"/>
    </row>
    <row r="6350" spans="30:30" ht="12" x14ac:dyDescent="0.3">
      <c r="AD6350" s="6"/>
    </row>
    <row r="6351" spans="30:30" ht="12" x14ac:dyDescent="0.3">
      <c r="AD6351" s="6"/>
    </row>
    <row r="6352" spans="30:30" ht="12" x14ac:dyDescent="0.3">
      <c r="AD6352" s="6"/>
    </row>
    <row r="6353" spans="30:30" ht="12" x14ac:dyDescent="0.3">
      <c r="AD6353" s="6"/>
    </row>
    <row r="6354" spans="30:30" ht="12" x14ac:dyDescent="0.3">
      <c r="AD6354" s="6"/>
    </row>
    <row r="6355" spans="30:30" ht="12" x14ac:dyDescent="0.3">
      <c r="AD6355" s="6"/>
    </row>
    <row r="6356" spans="30:30" ht="12" x14ac:dyDescent="0.3">
      <c r="AD6356" s="6"/>
    </row>
    <row r="6357" spans="30:30" ht="12" x14ac:dyDescent="0.3">
      <c r="AD6357" s="6"/>
    </row>
    <row r="6358" spans="30:30" ht="12" x14ac:dyDescent="0.3">
      <c r="AD6358" s="6"/>
    </row>
    <row r="6359" spans="30:30" ht="12" x14ac:dyDescent="0.3">
      <c r="AD6359" s="6"/>
    </row>
    <row r="6360" spans="30:30" ht="12" x14ac:dyDescent="0.3">
      <c r="AD6360" s="6"/>
    </row>
    <row r="6361" spans="30:30" ht="12" x14ac:dyDescent="0.3">
      <c r="AD6361" s="6"/>
    </row>
    <row r="6362" spans="30:30" ht="12" x14ac:dyDescent="0.3">
      <c r="AD6362" s="6"/>
    </row>
    <row r="6363" spans="30:30" ht="12" x14ac:dyDescent="0.3">
      <c r="AD6363" s="6"/>
    </row>
    <row r="6364" spans="30:30" ht="12" x14ac:dyDescent="0.3">
      <c r="AD6364" s="6"/>
    </row>
    <row r="6365" spans="30:30" ht="12" x14ac:dyDescent="0.3">
      <c r="AD6365" s="6"/>
    </row>
    <row r="6366" spans="30:30" ht="12" x14ac:dyDescent="0.3">
      <c r="AD6366" s="6"/>
    </row>
    <row r="6367" spans="30:30" ht="12" x14ac:dyDescent="0.3">
      <c r="AD6367" s="6"/>
    </row>
    <row r="6368" spans="30:30" ht="12" x14ac:dyDescent="0.3">
      <c r="AD6368" s="6"/>
    </row>
    <row r="6369" spans="30:30" ht="12" x14ac:dyDescent="0.3">
      <c r="AD6369" s="6"/>
    </row>
    <row r="6370" spans="30:30" ht="12" x14ac:dyDescent="0.3">
      <c r="AD6370" s="6"/>
    </row>
    <row r="6371" spans="30:30" ht="12" x14ac:dyDescent="0.3">
      <c r="AD6371" s="6"/>
    </row>
    <row r="6372" spans="30:30" ht="12" x14ac:dyDescent="0.3">
      <c r="AD6372" s="6"/>
    </row>
    <row r="6373" spans="30:30" ht="12" x14ac:dyDescent="0.3">
      <c r="AD6373" s="6"/>
    </row>
    <row r="6374" spans="30:30" ht="12" x14ac:dyDescent="0.3">
      <c r="AD6374" s="6"/>
    </row>
    <row r="6375" spans="30:30" ht="12" x14ac:dyDescent="0.3">
      <c r="AD6375" s="6"/>
    </row>
    <row r="6376" spans="30:30" ht="12" x14ac:dyDescent="0.3">
      <c r="AD6376" s="6"/>
    </row>
    <row r="6377" spans="30:30" ht="12" x14ac:dyDescent="0.3">
      <c r="AD6377" s="6"/>
    </row>
    <row r="6378" spans="30:30" ht="12" x14ac:dyDescent="0.3">
      <c r="AD6378" s="6"/>
    </row>
    <row r="6379" spans="30:30" ht="12" x14ac:dyDescent="0.3">
      <c r="AD6379" s="6"/>
    </row>
    <row r="6380" spans="30:30" ht="12" x14ac:dyDescent="0.3">
      <c r="AD6380" s="6"/>
    </row>
    <row r="6381" spans="30:30" ht="12" x14ac:dyDescent="0.3">
      <c r="AD6381" s="6"/>
    </row>
    <row r="6382" spans="30:30" ht="12" x14ac:dyDescent="0.3">
      <c r="AD6382" s="6"/>
    </row>
    <row r="6383" spans="30:30" ht="12" x14ac:dyDescent="0.3">
      <c r="AD6383" s="6"/>
    </row>
    <row r="6384" spans="30:30" ht="12" x14ac:dyDescent="0.3">
      <c r="AD6384" s="6"/>
    </row>
    <row r="6385" spans="30:30" ht="12" x14ac:dyDescent="0.3">
      <c r="AD6385" s="6"/>
    </row>
    <row r="6386" spans="30:30" ht="12" x14ac:dyDescent="0.3">
      <c r="AD6386" s="6"/>
    </row>
    <row r="6387" spans="30:30" ht="12" x14ac:dyDescent="0.3">
      <c r="AD6387" s="6"/>
    </row>
    <row r="6388" spans="30:30" ht="12" x14ac:dyDescent="0.3">
      <c r="AD6388" s="6"/>
    </row>
    <row r="6389" spans="30:30" ht="12" x14ac:dyDescent="0.3">
      <c r="AD6389" s="6"/>
    </row>
    <row r="6390" spans="30:30" ht="12" x14ac:dyDescent="0.3">
      <c r="AD6390" s="6"/>
    </row>
    <row r="6391" spans="30:30" ht="12" x14ac:dyDescent="0.3">
      <c r="AD6391" s="6"/>
    </row>
    <row r="6392" spans="30:30" ht="12" x14ac:dyDescent="0.3">
      <c r="AD6392" s="6"/>
    </row>
    <row r="6393" spans="30:30" ht="12" x14ac:dyDescent="0.3">
      <c r="AD6393" s="6"/>
    </row>
    <row r="6394" spans="30:30" ht="12" x14ac:dyDescent="0.3">
      <c r="AD6394" s="6"/>
    </row>
    <row r="6395" spans="30:30" ht="12" x14ac:dyDescent="0.3">
      <c r="AD6395" s="6"/>
    </row>
    <row r="6396" spans="30:30" ht="12" x14ac:dyDescent="0.3">
      <c r="AD6396" s="6"/>
    </row>
    <row r="6397" spans="30:30" ht="12" x14ac:dyDescent="0.3">
      <c r="AD6397" s="6"/>
    </row>
    <row r="6398" spans="30:30" ht="12" x14ac:dyDescent="0.3">
      <c r="AD6398" s="6"/>
    </row>
    <row r="6399" spans="30:30" ht="12" x14ac:dyDescent="0.3">
      <c r="AD6399" s="6"/>
    </row>
    <row r="6400" spans="30:30" ht="12" x14ac:dyDescent="0.3">
      <c r="AD6400" s="6"/>
    </row>
    <row r="6401" spans="30:30" ht="12" x14ac:dyDescent="0.3">
      <c r="AD6401" s="6"/>
    </row>
    <row r="6402" spans="30:30" ht="12" x14ac:dyDescent="0.3">
      <c r="AD6402" s="6"/>
    </row>
    <row r="6403" spans="30:30" ht="12" x14ac:dyDescent="0.3">
      <c r="AD6403" s="6"/>
    </row>
    <row r="6404" spans="30:30" ht="12" x14ac:dyDescent="0.3">
      <c r="AD6404" s="6"/>
    </row>
    <row r="6405" spans="30:30" ht="12" x14ac:dyDescent="0.3">
      <c r="AD6405" s="6"/>
    </row>
    <row r="6406" spans="30:30" ht="12" x14ac:dyDescent="0.3">
      <c r="AD6406" s="6"/>
    </row>
    <row r="6407" spans="30:30" ht="12" x14ac:dyDescent="0.3">
      <c r="AD6407" s="6"/>
    </row>
    <row r="6408" spans="30:30" ht="12" x14ac:dyDescent="0.3">
      <c r="AD6408" s="6"/>
    </row>
    <row r="6409" spans="30:30" ht="12" x14ac:dyDescent="0.3">
      <c r="AD6409" s="6"/>
    </row>
    <row r="6410" spans="30:30" ht="12" x14ac:dyDescent="0.3">
      <c r="AD6410" s="6"/>
    </row>
    <row r="6411" spans="30:30" ht="12" x14ac:dyDescent="0.3">
      <c r="AD6411" s="6"/>
    </row>
    <row r="6412" spans="30:30" ht="12" x14ac:dyDescent="0.3">
      <c r="AD6412" s="6"/>
    </row>
    <row r="6413" spans="30:30" ht="12" x14ac:dyDescent="0.3">
      <c r="AD6413" s="6"/>
    </row>
    <row r="6414" spans="30:30" ht="12" x14ac:dyDescent="0.3">
      <c r="AD6414" s="6"/>
    </row>
    <row r="6415" spans="30:30" ht="12" x14ac:dyDescent="0.3">
      <c r="AD6415" s="6"/>
    </row>
    <row r="6416" spans="30:30" ht="12" x14ac:dyDescent="0.3">
      <c r="AD6416" s="6"/>
    </row>
    <row r="6417" spans="30:30" ht="12" x14ac:dyDescent="0.3">
      <c r="AD6417" s="6"/>
    </row>
    <row r="6418" spans="30:30" ht="12" x14ac:dyDescent="0.3">
      <c r="AD6418" s="6"/>
    </row>
    <row r="6419" spans="30:30" ht="12" x14ac:dyDescent="0.3">
      <c r="AD6419" s="6"/>
    </row>
    <row r="6420" spans="30:30" ht="12" x14ac:dyDescent="0.3">
      <c r="AD6420" s="6"/>
    </row>
    <row r="6421" spans="30:30" ht="12" x14ac:dyDescent="0.3">
      <c r="AD6421" s="6"/>
    </row>
    <row r="6422" spans="30:30" ht="12" x14ac:dyDescent="0.3">
      <c r="AD6422" s="6"/>
    </row>
    <row r="6423" spans="30:30" ht="12" x14ac:dyDescent="0.3">
      <c r="AD6423" s="6"/>
    </row>
    <row r="6424" spans="30:30" ht="12" x14ac:dyDescent="0.3">
      <c r="AD6424" s="6"/>
    </row>
    <row r="6425" spans="30:30" ht="12" x14ac:dyDescent="0.3">
      <c r="AD6425" s="6"/>
    </row>
    <row r="6426" spans="30:30" ht="12" x14ac:dyDescent="0.3">
      <c r="AD6426" s="6"/>
    </row>
    <row r="6427" spans="30:30" ht="12" x14ac:dyDescent="0.3">
      <c r="AD6427" s="6"/>
    </row>
    <row r="6428" spans="30:30" ht="12" x14ac:dyDescent="0.3">
      <c r="AD6428" s="6"/>
    </row>
    <row r="6429" spans="30:30" ht="12" x14ac:dyDescent="0.3">
      <c r="AD6429" s="6"/>
    </row>
    <row r="6430" spans="30:30" ht="12" x14ac:dyDescent="0.3">
      <c r="AD6430" s="6"/>
    </row>
    <row r="6431" spans="30:30" ht="12" x14ac:dyDescent="0.3">
      <c r="AD6431" s="6"/>
    </row>
    <row r="6432" spans="30:30" ht="12" x14ac:dyDescent="0.3">
      <c r="AD6432" s="6"/>
    </row>
    <row r="6433" spans="30:30" ht="12" x14ac:dyDescent="0.3">
      <c r="AD6433" s="6"/>
    </row>
    <row r="6434" spans="30:30" ht="12" x14ac:dyDescent="0.3">
      <c r="AD6434" s="6"/>
    </row>
    <row r="6435" spans="30:30" ht="12" x14ac:dyDescent="0.3">
      <c r="AD6435" s="6"/>
    </row>
    <row r="6436" spans="30:30" ht="12" x14ac:dyDescent="0.3">
      <c r="AD6436" s="6"/>
    </row>
    <row r="6437" spans="30:30" ht="12" x14ac:dyDescent="0.3">
      <c r="AD6437" s="6"/>
    </row>
    <row r="6438" spans="30:30" ht="12" x14ac:dyDescent="0.3">
      <c r="AD6438" s="6"/>
    </row>
    <row r="6439" spans="30:30" ht="12" x14ac:dyDescent="0.3">
      <c r="AD6439" s="6"/>
    </row>
    <row r="6440" spans="30:30" ht="12" x14ac:dyDescent="0.3">
      <c r="AD6440" s="6"/>
    </row>
    <row r="6441" spans="30:30" ht="12" x14ac:dyDescent="0.3">
      <c r="AD6441" s="6"/>
    </row>
    <row r="6442" spans="30:30" ht="12" x14ac:dyDescent="0.3">
      <c r="AD6442" s="6"/>
    </row>
    <row r="6443" spans="30:30" ht="12" x14ac:dyDescent="0.3">
      <c r="AD6443" s="6"/>
    </row>
    <row r="6444" spans="30:30" ht="12" x14ac:dyDescent="0.3">
      <c r="AD6444" s="6"/>
    </row>
    <row r="6445" spans="30:30" ht="12" x14ac:dyDescent="0.3">
      <c r="AD6445" s="6"/>
    </row>
    <row r="6446" spans="30:30" ht="12" x14ac:dyDescent="0.3">
      <c r="AD6446" s="6"/>
    </row>
    <row r="6447" spans="30:30" ht="12" x14ac:dyDescent="0.3">
      <c r="AD6447" s="6"/>
    </row>
    <row r="6448" spans="30:30" ht="12" x14ac:dyDescent="0.3">
      <c r="AD6448" s="6"/>
    </row>
    <row r="6449" spans="30:30" ht="12" x14ac:dyDescent="0.3">
      <c r="AD6449" s="6"/>
    </row>
    <row r="6450" spans="30:30" ht="12" x14ac:dyDescent="0.3">
      <c r="AD6450" s="6"/>
    </row>
    <row r="6451" spans="30:30" ht="12" x14ac:dyDescent="0.3">
      <c r="AD6451" s="6"/>
    </row>
    <row r="6452" spans="30:30" ht="12" x14ac:dyDescent="0.3">
      <c r="AD6452" s="6"/>
    </row>
    <row r="6453" spans="30:30" ht="12" x14ac:dyDescent="0.3">
      <c r="AD6453" s="6"/>
    </row>
    <row r="6454" spans="30:30" ht="12" x14ac:dyDescent="0.3">
      <c r="AD6454" s="6"/>
    </row>
    <row r="6455" spans="30:30" ht="12" x14ac:dyDescent="0.3">
      <c r="AD6455" s="6"/>
    </row>
    <row r="6456" spans="30:30" ht="12" x14ac:dyDescent="0.3">
      <c r="AD6456" s="6"/>
    </row>
    <row r="6457" spans="30:30" ht="12" x14ac:dyDescent="0.3">
      <c r="AD6457" s="6"/>
    </row>
    <row r="6458" spans="30:30" ht="12" x14ac:dyDescent="0.3">
      <c r="AD6458" s="6"/>
    </row>
    <row r="6459" spans="30:30" ht="12" x14ac:dyDescent="0.3">
      <c r="AD6459" s="6"/>
    </row>
    <row r="6460" spans="30:30" ht="12" x14ac:dyDescent="0.3">
      <c r="AD6460" s="6"/>
    </row>
    <row r="6461" spans="30:30" ht="12" x14ac:dyDescent="0.3">
      <c r="AD6461" s="6"/>
    </row>
    <row r="6462" spans="30:30" ht="12" x14ac:dyDescent="0.3">
      <c r="AD6462" s="6"/>
    </row>
    <row r="6463" spans="30:30" ht="12" x14ac:dyDescent="0.3">
      <c r="AD6463" s="6"/>
    </row>
    <row r="6464" spans="30:30" ht="12" x14ac:dyDescent="0.3">
      <c r="AD6464" s="6"/>
    </row>
    <row r="6465" spans="30:30" ht="12" x14ac:dyDescent="0.3">
      <c r="AD6465" s="6"/>
    </row>
    <row r="6466" spans="30:30" ht="12" x14ac:dyDescent="0.3">
      <c r="AD6466" s="6"/>
    </row>
    <row r="6467" spans="30:30" ht="12" x14ac:dyDescent="0.3">
      <c r="AD6467" s="6"/>
    </row>
    <row r="6468" spans="30:30" ht="12" x14ac:dyDescent="0.3">
      <c r="AD6468" s="6"/>
    </row>
    <row r="6469" spans="30:30" ht="12" x14ac:dyDescent="0.3">
      <c r="AD6469" s="6"/>
    </row>
    <row r="6470" spans="30:30" ht="12" x14ac:dyDescent="0.3">
      <c r="AD6470" s="6"/>
    </row>
    <row r="6471" spans="30:30" ht="12" x14ac:dyDescent="0.3">
      <c r="AD6471" s="6"/>
    </row>
    <row r="6472" spans="30:30" ht="12" x14ac:dyDescent="0.3">
      <c r="AD6472" s="6"/>
    </row>
    <row r="6473" spans="30:30" ht="12" x14ac:dyDescent="0.3">
      <c r="AD6473" s="6"/>
    </row>
    <row r="6474" spans="30:30" ht="12" x14ac:dyDescent="0.3">
      <c r="AD6474" s="6"/>
    </row>
    <row r="6475" spans="30:30" ht="12" x14ac:dyDescent="0.3">
      <c r="AD6475" s="6"/>
    </row>
    <row r="6476" spans="30:30" ht="12" x14ac:dyDescent="0.3">
      <c r="AD6476" s="6"/>
    </row>
    <row r="6477" spans="30:30" ht="12" x14ac:dyDescent="0.3">
      <c r="AD6477" s="6"/>
    </row>
    <row r="6478" spans="30:30" ht="12" x14ac:dyDescent="0.3">
      <c r="AD6478" s="6"/>
    </row>
    <row r="6479" spans="30:30" ht="12" x14ac:dyDescent="0.3">
      <c r="AD6479" s="6"/>
    </row>
    <row r="6480" spans="30:30" ht="12" x14ac:dyDescent="0.3">
      <c r="AD6480" s="6"/>
    </row>
    <row r="6481" spans="30:30" ht="12" x14ac:dyDescent="0.3">
      <c r="AD6481" s="6"/>
    </row>
    <row r="6482" spans="30:30" ht="12" x14ac:dyDescent="0.3">
      <c r="AD6482" s="6"/>
    </row>
    <row r="6483" spans="30:30" ht="12" x14ac:dyDescent="0.3">
      <c r="AD6483" s="6"/>
    </row>
    <row r="6484" spans="30:30" ht="12" x14ac:dyDescent="0.3">
      <c r="AD6484" s="6"/>
    </row>
    <row r="6485" spans="30:30" ht="12" x14ac:dyDescent="0.3">
      <c r="AD6485" s="6"/>
    </row>
    <row r="6486" spans="30:30" ht="12" x14ac:dyDescent="0.3">
      <c r="AD6486" s="6"/>
    </row>
    <row r="6487" spans="30:30" ht="12" x14ac:dyDescent="0.3">
      <c r="AD6487" s="6"/>
    </row>
    <row r="6488" spans="30:30" ht="12" x14ac:dyDescent="0.3">
      <c r="AD6488" s="6"/>
    </row>
    <row r="6489" spans="30:30" ht="12" x14ac:dyDescent="0.3">
      <c r="AD6489" s="6"/>
    </row>
    <row r="6490" spans="30:30" ht="12" x14ac:dyDescent="0.3">
      <c r="AD6490" s="6"/>
    </row>
    <row r="6491" spans="30:30" ht="12" x14ac:dyDescent="0.3">
      <c r="AD6491" s="6"/>
    </row>
    <row r="6492" spans="30:30" ht="12" x14ac:dyDescent="0.3">
      <c r="AD6492" s="6"/>
    </row>
    <row r="6493" spans="30:30" ht="12" x14ac:dyDescent="0.3">
      <c r="AD6493" s="6"/>
    </row>
    <row r="6494" spans="30:30" ht="12" x14ac:dyDescent="0.3">
      <c r="AD6494" s="6"/>
    </row>
    <row r="6495" spans="30:30" ht="12" x14ac:dyDescent="0.3">
      <c r="AD6495" s="6"/>
    </row>
    <row r="6496" spans="30:30" ht="12" x14ac:dyDescent="0.3">
      <c r="AD6496" s="6"/>
    </row>
    <row r="6497" spans="30:30" ht="12" x14ac:dyDescent="0.3">
      <c r="AD6497" s="6"/>
    </row>
    <row r="6498" spans="30:30" ht="12" x14ac:dyDescent="0.3">
      <c r="AD6498" s="6"/>
    </row>
    <row r="6499" spans="30:30" ht="12" x14ac:dyDescent="0.3">
      <c r="AD6499" s="6"/>
    </row>
    <row r="6500" spans="30:30" ht="12" x14ac:dyDescent="0.3">
      <c r="AD6500" s="6"/>
    </row>
    <row r="6501" spans="30:30" ht="12" x14ac:dyDescent="0.3">
      <c r="AD6501" s="6"/>
    </row>
    <row r="6502" spans="30:30" ht="12" x14ac:dyDescent="0.3">
      <c r="AD6502" s="6"/>
    </row>
    <row r="6503" spans="30:30" ht="12" x14ac:dyDescent="0.3">
      <c r="AD6503" s="6"/>
    </row>
    <row r="6504" spans="30:30" ht="12" x14ac:dyDescent="0.3">
      <c r="AD6504" s="6"/>
    </row>
    <row r="6505" spans="30:30" ht="12" x14ac:dyDescent="0.3">
      <c r="AD6505" s="6"/>
    </row>
    <row r="6506" spans="30:30" ht="12" x14ac:dyDescent="0.3">
      <c r="AD6506" s="6"/>
    </row>
    <row r="6507" spans="30:30" ht="12" x14ac:dyDescent="0.3">
      <c r="AD6507" s="6"/>
    </row>
    <row r="6508" spans="30:30" ht="12" x14ac:dyDescent="0.3">
      <c r="AD6508" s="6"/>
    </row>
    <row r="6509" spans="30:30" ht="12" x14ac:dyDescent="0.3">
      <c r="AD6509" s="6"/>
    </row>
    <row r="6510" spans="30:30" ht="12" x14ac:dyDescent="0.3">
      <c r="AD6510" s="6"/>
    </row>
    <row r="6511" spans="30:30" ht="12" x14ac:dyDescent="0.3">
      <c r="AD6511" s="6"/>
    </row>
    <row r="6512" spans="30:30" ht="12" x14ac:dyDescent="0.3">
      <c r="AD6512" s="6"/>
    </row>
    <row r="6513" spans="30:30" ht="12" x14ac:dyDescent="0.3">
      <c r="AD6513" s="6"/>
    </row>
    <row r="6514" spans="30:30" ht="12" x14ac:dyDescent="0.3">
      <c r="AD6514" s="6"/>
    </row>
    <row r="6515" spans="30:30" ht="12" x14ac:dyDescent="0.3">
      <c r="AD6515" s="6"/>
    </row>
    <row r="6516" spans="30:30" ht="12" x14ac:dyDescent="0.3">
      <c r="AD6516" s="6"/>
    </row>
    <row r="6517" spans="30:30" ht="12" x14ac:dyDescent="0.3">
      <c r="AD6517" s="6"/>
    </row>
    <row r="6518" spans="30:30" ht="12" x14ac:dyDescent="0.3">
      <c r="AD6518" s="6"/>
    </row>
    <row r="6519" spans="30:30" ht="12" x14ac:dyDescent="0.3">
      <c r="AD6519" s="6"/>
    </row>
    <row r="6520" spans="30:30" ht="12" x14ac:dyDescent="0.3">
      <c r="AD6520" s="6"/>
    </row>
    <row r="6521" spans="30:30" ht="12" x14ac:dyDescent="0.3">
      <c r="AD6521" s="6"/>
    </row>
    <row r="6522" spans="30:30" ht="12" x14ac:dyDescent="0.3">
      <c r="AD6522" s="6"/>
    </row>
    <row r="6523" spans="30:30" ht="12" x14ac:dyDescent="0.3">
      <c r="AD6523" s="6"/>
    </row>
    <row r="6524" spans="30:30" ht="12" x14ac:dyDescent="0.3">
      <c r="AD6524" s="6"/>
    </row>
    <row r="6525" spans="30:30" ht="12" x14ac:dyDescent="0.3">
      <c r="AD6525" s="6"/>
    </row>
    <row r="6526" spans="30:30" ht="12" x14ac:dyDescent="0.3">
      <c r="AD6526" s="6"/>
    </row>
    <row r="6527" spans="30:30" ht="12" x14ac:dyDescent="0.3">
      <c r="AD6527" s="6"/>
    </row>
    <row r="6528" spans="30:30" ht="12" x14ac:dyDescent="0.3">
      <c r="AD6528" s="6"/>
    </row>
    <row r="6529" spans="30:30" ht="12" x14ac:dyDescent="0.3">
      <c r="AD6529" s="6"/>
    </row>
    <row r="6530" spans="30:30" ht="12" x14ac:dyDescent="0.3">
      <c r="AD6530" s="6"/>
    </row>
    <row r="6531" spans="30:30" ht="12" x14ac:dyDescent="0.3">
      <c r="AD6531" s="6"/>
    </row>
    <row r="6532" spans="30:30" ht="12" x14ac:dyDescent="0.3">
      <c r="AD6532" s="6"/>
    </row>
    <row r="6533" spans="30:30" ht="12" x14ac:dyDescent="0.3">
      <c r="AD6533" s="6"/>
    </row>
    <row r="6534" spans="30:30" ht="12" x14ac:dyDescent="0.3">
      <c r="AD6534" s="6"/>
    </row>
    <row r="6535" spans="30:30" ht="12" x14ac:dyDescent="0.3">
      <c r="AD6535" s="6"/>
    </row>
    <row r="6536" spans="30:30" ht="12" x14ac:dyDescent="0.3">
      <c r="AD6536" s="6"/>
    </row>
    <row r="6537" spans="30:30" ht="12" x14ac:dyDescent="0.3">
      <c r="AD6537" s="6"/>
    </row>
    <row r="6538" spans="30:30" ht="12" x14ac:dyDescent="0.3">
      <c r="AD6538" s="6"/>
    </row>
    <row r="6539" spans="30:30" ht="12" x14ac:dyDescent="0.3">
      <c r="AD6539" s="6"/>
    </row>
    <row r="6540" spans="30:30" ht="12" x14ac:dyDescent="0.3">
      <c r="AD6540" s="6"/>
    </row>
    <row r="6541" spans="30:30" ht="12" x14ac:dyDescent="0.3">
      <c r="AD6541" s="6"/>
    </row>
    <row r="6542" spans="30:30" ht="12" x14ac:dyDescent="0.3">
      <c r="AD6542" s="6"/>
    </row>
    <row r="6543" spans="30:30" ht="12" x14ac:dyDescent="0.3">
      <c r="AD6543" s="6"/>
    </row>
    <row r="6544" spans="30:30" ht="12" x14ac:dyDescent="0.3">
      <c r="AD6544" s="6"/>
    </row>
    <row r="6545" spans="30:30" ht="12" x14ac:dyDescent="0.3">
      <c r="AD6545" s="6"/>
    </row>
    <row r="6546" spans="30:30" ht="12" x14ac:dyDescent="0.3">
      <c r="AD6546" s="6"/>
    </row>
    <row r="6547" spans="30:30" ht="12" x14ac:dyDescent="0.3">
      <c r="AD6547" s="6"/>
    </row>
    <row r="6548" spans="30:30" ht="12" x14ac:dyDescent="0.3">
      <c r="AD6548" s="6"/>
    </row>
    <row r="6549" spans="30:30" ht="12" x14ac:dyDescent="0.3">
      <c r="AD6549" s="6"/>
    </row>
    <row r="6550" spans="30:30" ht="12" x14ac:dyDescent="0.3">
      <c r="AD6550" s="6"/>
    </row>
    <row r="6551" spans="30:30" ht="12" x14ac:dyDescent="0.3">
      <c r="AD6551" s="6"/>
    </row>
    <row r="6552" spans="30:30" ht="12" x14ac:dyDescent="0.3">
      <c r="AD6552" s="6"/>
    </row>
    <row r="6553" spans="30:30" ht="12" x14ac:dyDescent="0.3">
      <c r="AD6553" s="6"/>
    </row>
    <row r="6554" spans="30:30" ht="12" x14ac:dyDescent="0.3">
      <c r="AD6554" s="6"/>
    </row>
    <row r="6555" spans="30:30" ht="12" x14ac:dyDescent="0.3">
      <c r="AD6555" s="6"/>
    </row>
    <row r="6556" spans="30:30" ht="12" x14ac:dyDescent="0.3">
      <c r="AD6556" s="6"/>
    </row>
    <row r="6557" spans="30:30" ht="12" x14ac:dyDescent="0.3">
      <c r="AD6557" s="6"/>
    </row>
    <row r="6558" spans="30:30" ht="12" x14ac:dyDescent="0.3">
      <c r="AD6558" s="6"/>
    </row>
    <row r="6559" spans="30:30" ht="12" x14ac:dyDescent="0.3">
      <c r="AD6559" s="6"/>
    </row>
    <row r="6560" spans="30:30" ht="12" x14ac:dyDescent="0.3">
      <c r="AD6560" s="6"/>
    </row>
    <row r="6561" spans="30:30" ht="12" x14ac:dyDescent="0.3">
      <c r="AD6561" s="6"/>
    </row>
    <row r="6562" spans="30:30" ht="12" x14ac:dyDescent="0.3">
      <c r="AD6562" s="6"/>
    </row>
    <row r="6563" spans="30:30" ht="12" x14ac:dyDescent="0.3">
      <c r="AD6563" s="6"/>
    </row>
    <row r="6564" spans="30:30" ht="12" x14ac:dyDescent="0.3">
      <c r="AD6564" s="6"/>
    </row>
    <row r="6565" spans="30:30" ht="12" x14ac:dyDescent="0.3">
      <c r="AD6565" s="6"/>
    </row>
    <row r="6566" spans="30:30" ht="12" x14ac:dyDescent="0.3">
      <c r="AD6566" s="6"/>
    </row>
    <row r="6567" spans="30:30" ht="12" x14ac:dyDescent="0.3">
      <c r="AD6567" s="6"/>
    </row>
    <row r="6568" spans="30:30" ht="12" x14ac:dyDescent="0.3">
      <c r="AD6568" s="6"/>
    </row>
    <row r="6569" spans="30:30" ht="12" x14ac:dyDescent="0.3">
      <c r="AD6569" s="6"/>
    </row>
    <row r="6570" spans="30:30" ht="12" x14ac:dyDescent="0.3">
      <c r="AD6570" s="6"/>
    </row>
    <row r="6571" spans="30:30" ht="12" x14ac:dyDescent="0.3">
      <c r="AD6571" s="6"/>
    </row>
    <row r="6572" spans="30:30" ht="12" x14ac:dyDescent="0.3">
      <c r="AD6572" s="6"/>
    </row>
    <row r="6573" spans="30:30" ht="12" x14ac:dyDescent="0.3">
      <c r="AD6573" s="6"/>
    </row>
    <row r="6574" spans="30:30" ht="12" x14ac:dyDescent="0.3">
      <c r="AD6574" s="6"/>
    </row>
    <row r="6575" spans="30:30" ht="12" x14ac:dyDescent="0.3">
      <c r="AD6575" s="6"/>
    </row>
    <row r="6576" spans="30:30" ht="12" x14ac:dyDescent="0.3">
      <c r="AD6576" s="6"/>
    </row>
    <row r="6577" spans="30:30" ht="12" x14ac:dyDescent="0.3">
      <c r="AD6577" s="6"/>
    </row>
    <row r="6578" spans="30:30" ht="12" x14ac:dyDescent="0.3">
      <c r="AD6578" s="6"/>
    </row>
    <row r="6579" spans="30:30" ht="12" x14ac:dyDescent="0.3">
      <c r="AD6579" s="6"/>
    </row>
    <row r="6580" spans="30:30" ht="12" x14ac:dyDescent="0.3">
      <c r="AD6580" s="6"/>
    </row>
    <row r="6581" spans="30:30" ht="12" x14ac:dyDescent="0.3">
      <c r="AD6581" s="6"/>
    </row>
    <row r="6582" spans="30:30" ht="12" x14ac:dyDescent="0.3">
      <c r="AD6582" s="6"/>
    </row>
    <row r="6583" spans="30:30" ht="12" x14ac:dyDescent="0.3">
      <c r="AD6583" s="6"/>
    </row>
    <row r="6584" spans="30:30" ht="12" x14ac:dyDescent="0.3">
      <c r="AD6584" s="6"/>
    </row>
    <row r="6585" spans="30:30" ht="12" x14ac:dyDescent="0.3">
      <c r="AD6585" s="6"/>
    </row>
    <row r="6586" spans="30:30" ht="12" x14ac:dyDescent="0.3">
      <c r="AD6586" s="6"/>
    </row>
    <row r="6587" spans="30:30" ht="12" x14ac:dyDescent="0.3">
      <c r="AD6587" s="6"/>
    </row>
    <row r="6588" spans="30:30" ht="12" x14ac:dyDescent="0.3">
      <c r="AD6588" s="6"/>
    </row>
    <row r="6589" spans="30:30" ht="12" x14ac:dyDescent="0.3">
      <c r="AD6589" s="6"/>
    </row>
    <row r="6590" spans="30:30" ht="12" x14ac:dyDescent="0.3">
      <c r="AD6590" s="6"/>
    </row>
    <row r="6591" spans="30:30" ht="12" x14ac:dyDescent="0.3">
      <c r="AD6591" s="6"/>
    </row>
    <row r="6592" spans="30:30" ht="12" x14ac:dyDescent="0.3">
      <c r="AD6592" s="6"/>
    </row>
    <row r="6593" spans="30:30" ht="12" x14ac:dyDescent="0.3">
      <c r="AD6593" s="6"/>
    </row>
    <row r="6594" spans="30:30" ht="12" x14ac:dyDescent="0.3">
      <c r="AD6594" s="6"/>
    </row>
    <row r="6595" spans="30:30" ht="12" x14ac:dyDescent="0.3">
      <c r="AD6595" s="6"/>
    </row>
    <row r="6596" spans="30:30" ht="12" x14ac:dyDescent="0.3">
      <c r="AD6596" s="6"/>
    </row>
    <row r="6597" spans="30:30" ht="12" x14ac:dyDescent="0.3">
      <c r="AD6597" s="6"/>
    </row>
    <row r="6598" spans="30:30" ht="12" x14ac:dyDescent="0.3">
      <c r="AD6598" s="6"/>
    </row>
    <row r="6599" spans="30:30" ht="12" x14ac:dyDescent="0.3">
      <c r="AD6599" s="6"/>
    </row>
    <row r="6600" spans="30:30" ht="12" x14ac:dyDescent="0.3">
      <c r="AD6600" s="6"/>
    </row>
    <row r="6601" spans="30:30" ht="12" x14ac:dyDescent="0.3">
      <c r="AD6601" s="6"/>
    </row>
    <row r="6602" spans="30:30" ht="12" x14ac:dyDescent="0.3">
      <c r="AD6602" s="6"/>
    </row>
    <row r="6603" spans="30:30" ht="12" x14ac:dyDescent="0.3">
      <c r="AD6603" s="6"/>
    </row>
    <row r="6604" spans="30:30" ht="12" x14ac:dyDescent="0.3">
      <c r="AD6604" s="6"/>
    </row>
    <row r="6605" spans="30:30" ht="12" x14ac:dyDescent="0.3">
      <c r="AD6605" s="6"/>
    </row>
    <row r="6606" spans="30:30" ht="12" x14ac:dyDescent="0.3">
      <c r="AD6606" s="6"/>
    </row>
    <row r="6607" spans="30:30" ht="12" x14ac:dyDescent="0.3">
      <c r="AD6607" s="6"/>
    </row>
    <row r="6608" spans="30:30" ht="12" x14ac:dyDescent="0.3">
      <c r="AD6608" s="6"/>
    </row>
    <row r="6609" spans="30:30" ht="12" x14ac:dyDescent="0.3">
      <c r="AD6609" s="6"/>
    </row>
    <row r="6610" spans="30:30" ht="12" x14ac:dyDescent="0.3">
      <c r="AD6610" s="6"/>
    </row>
    <row r="6611" spans="30:30" ht="12" x14ac:dyDescent="0.3">
      <c r="AD6611" s="6"/>
    </row>
    <row r="6612" spans="30:30" ht="12" x14ac:dyDescent="0.3">
      <c r="AD6612" s="6"/>
    </row>
    <row r="6613" spans="30:30" ht="12" x14ac:dyDescent="0.3">
      <c r="AD6613" s="6"/>
    </row>
    <row r="6614" spans="30:30" ht="12" x14ac:dyDescent="0.3">
      <c r="AD6614" s="6"/>
    </row>
    <row r="6615" spans="30:30" ht="12" x14ac:dyDescent="0.3">
      <c r="AD6615" s="6"/>
    </row>
    <row r="6616" spans="30:30" ht="12" x14ac:dyDescent="0.3">
      <c r="AD6616" s="6"/>
    </row>
    <row r="6617" spans="30:30" ht="12" x14ac:dyDescent="0.3">
      <c r="AD6617" s="6"/>
    </row>
    <row r="6618" spans="30:30" ht="12" x14ac:dyDescent="0.3">
      <c r="AD6618" s="6"/>
    </row>
    <row r="6619" spans="30:30" ht="12" x14ac:dyDescent="0.3">
      <c r="AD6619" s="6"/>
    </row>
    <row r="6620" spans="30:30" ht="12" x14ac:dyDescent="0.3">
      <c r="AD6620" s="6"/>
    </row>
    <row r="6621" spans="30:30" ht="12" x14ac:dyDescent="0.3">
      <c r="AD6621" s="6"/>
    </row>
    <row r="6622" spans="30:30" ht="12" x14ac:dyDescent="0.3">
      <c r="AD6622" s="6"/>
    </row>
    <row r="6623" spans="30:30" ht="12" x14ac:dyDescent="0.3">
      <c r="AD6623" s="6"/>
    </row>
    <row r="6624" spans="30:30" ht="12" x14ac:dyDescent="0.3">
      <c r="AD6624" s="6"/>
    </row>
    <row r="6625" spans="30:30" ht="12" x14ac:dyDescent="0.3">
      <c r="AD6625" s="6"/>
    </row>
    <row r="6626" spans="30:30" ht="12" x14ac:dyDescent="0.3">
      <c r="AD6626" s="6"/>
    </row>
    <row r="6627" spans="30:30" ht="12" x14ac:dyDescent="0.3">
      <c r="AD6627" s="6"/>
    </row>
    <row r="6628" spans="30:30" ht="12" x14ac:dyDescent="0.3">
      <c r="AD6628" s="6"/>
    </row>
    <row r="6629" spans="30:30" ht="12" x14ac:dyDescent="0.3">
      <c r="AD6629" s="6"/>
    </row>
    <row r="6630" spans="30:30" ht="12" x14ac:dyDescent="0.3">
      <c r="AD6630" s="6"/>
    </row>
    <row r="6631" spans="30:30" ht="12" x14ac:dyDescent="0.3">
      <c r="AD6631" s="6"/>
    </row>
    <row r="6632" spans="30:30" ht="12" x14ac:dyDescent="0.3">
      <c r="AD6632" s="6"/>
    </row>
    <row r="6633" spans="30:30" ht="12" x14ac:dyDescent="0.3">
      <c r="AD6633" s="6"/>
    </row>
    <row r="6634" spans="30:30" ht="12" x14ac:dyDescent="0.3">
      <c r="AD6634" s="6"/>
    </row>
    <row r="6635" spans="30:30" ht="12" x14ac:dyDescent="0.3">
      <c r="AD6635" s="6"/>
    </row>
    <row r="6636" spans="30:30" ht="12" x14ac:dyDescent="0.3">
      <c r="AD6636" s="6"/>
    </row>
    <row r="6637" spans="30:30" ht="12" x14ac:dyDescent="0.3">
      <c r="AD6637" s="6"/>
    </row>
    <row r="6638" spans="30:30" ht="12" x14ac:dyDescent="0.3">
      <c r="AD6638" s="6"/>
    </row>
    <row r="6639" spans="30:30" ht="12" x14ac:dyDescent="0.3">
      <c r="AD6639" s="6"/>
    </row>
    <row r="6640" spans="30:30" ht="12" x14ac:dyDescent="0.3">
      <c r="AD6640" s="6"/>
    </row>
    <row r="6641" spans="30:30" ht="12" x14ac:dyDescent="0.3">
      <c r="AD6641" s="6"/>
    </row>
    <row r="6642" spans="30:30" ht="12" x14ac:dyDescent="0.3">
      <c r="AD6642" s="6"/>
    </row>
    <row r="6643" spans="30:30" ht="12" x14ac:dyDescent="0.3">
      <c r="AD6643" s="6"/>
    </row>
    <row r="6644" spans="30:30" ht="12" x14ac:dyDescent="0.3">
      <c r="AD6644" s="6"/>
    </row>
    <row r="6645" spans="30:30" ht="12" x14ac:dyDescent="0.3">
      <c r="AD6645" s="6"/>
    </row>
    <row r="6646" spans="30:30" ht="12" x14ac:dyDescent="0.3">
      <c r="AD6646" s="6"/>
    </row>
    <row r="6647" spans="30:30" ht="12" x14ac:dyDescent="0.3">
      <c r="AD6647" s="6"/>
    </row>
    <row r="6648" spans="30:30" ht="12" x14ac:dyDescent="0.3">
      <c r="AD6648" s="6"/>
    </row>
    <row r="6649" spans="30:30" ht="12" x14ac:dyDescent="0.3">
      <c r="AD6649" s="6"/>
    </row>
    <row r="6650" spans="30:30" ht="12" x14ac:dyDescent="0.3">
      <c r="AD6650" s="6"/>
    </row>
    <row r="6651" spans="30:30" ht="12" x14ac:dyDescent="0.3">
      <c r="AD6651" s="6"/>
    </row>
    <row r="6652" spans="30:30" ht="12" x14ac:dyDescent="0.3">
      <c r="AD6652" s="6"/>
    </row>
    <row r="6653" spans="30:30" ht="12" x14ac:dyDescent="0.3">
      <c r="AD6653" s="6"/>
    </row>
    <row r="6654" spans="30:30" ht="12" x14ac:dyDescent="0.3">
      <c r="AD6654" s="6"/>
    </row>
    <row r="6655" spans="30:30" ht="12" x14ac:dyDescent="0.3">
      <c r="AD6655" s="6"/>
    </row>
    <row r="6656" spans="30:30" ht="12" x14ac:dyDescent="0.3">
      <c r="AD6656" s="6"/>
    </row>
    <row r="6657" spans="30:30" ht="12" x14ac:dyDescent="0.3">
      <c r="AD6657" s="6"/>
    </row>
    <row r="6658" spans="30:30" ht="12" x14ac:dyDescent="0.3">
      <c r="AD6658" s="6"/>
    </row>
    <row r="6659" spans="30:30" ht="12" x14ac:dyDescent="0.3">
      <c r="AD6659" s="6"/>
    </row>
    <row r="6660" spans="30:30" ht="12" x14ac:dyDescent="0.3">
      <c r="AD6660" s="6"/>
    </row>
    <row r="6661" spans="30:30" ht="12" x14ac:dyDescent="0.3">
      <c r="AD6661" s="6"/>
    </row>
    <row r="6662" spans="30:30" ht="12" x14ac:dyDescent="0.3">
      <c r="AD6662" s="6"/>
    </row>
    <row r="6663" spans="30:30" ht="12" x14ac:dyDescent="0.3">
      <c r="AD6663" s="6"/>
    </row>
    <row r="6664" spans="30:30" ht="12" x14ac:dyDescent="0.3">
      <c r="AD6664" s="6"/>
    </row>
    <row r="6665" spans="30:30" ht="12" x14ac:dyDescent="0.3">
      <c r="AD6665" s="6"/>
    </row>
    <row r="6666" spans="30:30" ht="12" x14ac:dyDescent="0.3">
      <c r="AD6666" s="6"/>
    </row>
    <row r="6667" spans="30:30" ht="12" x14ac:dyDescent="0.3">
      <c r="AD6667" s="6"/>
    </row>
    <row r="6668" spans="30:30" ht="12" x14ac:dyDescent="0.3">
      <c r="AD6668" s="6"/>
    </row>
    <row r="6669" spans="30:30" ht="12" x14ac:dyDescent="0.3">
      <c r="AD6669" s="6"/>
    </row>
    <row r="6670" spans="30:30" ht="12" x14ac:dyDescent="0.3">
      <c r="AD6670" s="6"/>
    </row>
    <row r="6671" spans="30:30" ht="12" x14ac:dyDescent="0.3">
      <c r="AD6671" s="6"/>
    </row>
    <row r="6672" spans="30:30" ht="12" x14ac:dyDescent="0.3">
      <c r="AD6672" s="6"/>
    </row>
    <row r="6673" spans="30:30" ht="12" x14ac:dyDescent="0.3">
      <c r="AD6673" s="6"/>
    </row>
    <row r="6674" spans="30:30" ht="12" x14ac:dyDescent="0.3">
      <c r="AD6674" s="6"/>
    </row>
    <row r="6675" spans="30:30" ht="12" x14ac:dyDescent="0.3">
      <c r="AD6675" s="6"/>
    </row>
    <row r="6676" spans="30:30" ht="12" x14ac:dyDescent="0.3">
      <c r="AD6676" s="6"/>
    </row>
    <row r="6677" spans="30:30" ht="12" x14ac:dyDescent="0.3">
      <c r="AD6677" s="6"/>
    </row>
    <row r="6678" spans="30:30" ht="12" x14ac:dyDescent="0.3">
      <c r="AD6678" s="6"/>
    </row>
    <row r="6679" spans="30:30" ht="12" x14ac:dyDescent="0.3">
      <c r="AD6679" s="6"/>
    </row>
    <row r="6680" spans="30:30" ht="12" x14ac:dyDescent="0.3">
      <c r="AD6680" s="6"/>
    </row>
    <row r="6681" spans="30:30" ht="12" x14ac:dyDescent="0.3">
      <c r="AD6681" s="6"/>
    </row>
    <row r="6682" spans="30:30" ht="12" x14ac:dyDescent="0.3">
      <c r="AD6682" s="6"/>
    </row>
    <row r="6683" spans="30:30" ht="12" x14ac:dyDescent="0.3">
      <c r="AD6683" s="6"/>
    </row>
    <row r="6684" spans="30:30" ht="12" x14ac:dyDescent="0.3">
      <c r="AD6684" s="6"/>
    </row>
    <row r="6685" spans="30:30" ht="12" x14ac:dyDescent="0.3">
      <c r="AD6685" s="6"/>
    </row>
    <row r="6686" spans="30:30" ht="12" x14ac:dyDescent="0.3">
      <c r="AD6686" s="6"/>
    </row>
    <row r="6687" spans="30:30" ht="12" x14ac:dyDescent="0.3">
      <c r="AD6687" s="6"/>
    </row>
    <row r="6688" spans="30:30" ht="12" x14ac:dyDescent="0.3">
      <c r="AD6688" s="6"/>
    </row>
    <row r="6689" spans="30:30" ht="12" x14ac:dyDescent="0.3">
      <c r="AD6689" s="6"/>
    </row>
    <row r="6690" spans="30:30" ht="12" x14ac:dyDescent="0.3">
      <c r="AD6690" s="6"/>
    </row>
    <row r="6691" spans="30:30" ht="12" x14ac:dyDescent="0.3">
      <c r="AD6691" s="6"/>
    </row>
    <row r="6692" spans="30:30" ht="12" x14ac:dyDescent="0.3">
      <c r="AD6692" s="6"/>
    </row>
    <row r="6693" spans="30:30" ht="12" x14ac:dyDescent="0.3">
      <c r="AD6693" s="6"/>
    </row>
    <row r="6694" spans="30:30" ht="12" x14ac:dyDescent="0.3">
      <c r="AD6694" s="6"/>
    </row>
    <row r="6695" spans="30:30" ht="12" x14ac:dyDescent="0.3">
      <c r="AD6695" s="6"/>
    </row>
    <row r="6696" spans="30:30" ht="12" x14ac:dyDescent="0.3">
      <c r="AD6696" s="6"/>
    </row>
    <row r="6697" spans="30:30" ht="12" x14ac:dyDescent="0.3">
      <c r="AD6697" s="6"/>
    </row>
    <row r="6698" spans="30:30" ht="12" x14ac:dyDescent="0.3">
      <c r="AD6698" s="6"/>
    </row>
    <row r="6699" spans="30:30" ht="12" x14ac:dyDescent="0.3">
      <c r="AD6699" s="6"/>
    </row>
    <row r="6700" spans="30:30" ht="12" x14ac:dyDescent="0.3">
      <c r="AD6700" s="6"/>
    </row>
    <row r="6701" spans="30:30" ht="12" x14ac:dyDescent="0.3">
      <c r="AD6701" s="6"/>
    </row>
    <row r="6702" spans="30:30" ht="12" x14ac:dyDescent="0.3">
      <c r="AD6702" s="6"/>
    </row>
    <row r="6703" spans="30:30" ht="12" x14ac:dyDescent="0.3">
      <c r="AD6703" s="6"/>
    </row>
    <row r="6704" spans="30:30" ht="12" x14ac:dyDescent="0.3">
      <c r="AD6704" s="6"/>
    </row>
    <row r="6705" spans="30:30" ht="12" x14ac:dyDescent="0.3">
      <c r="AD6705" s="6"/>
    </row>
    <row r="6706" spans="30:30" ht="12" x14ac:dyDescent="0.3">
      <c r="AD6706" s="6"/>
    </row>
    <row r="6707" spans="30:30" ht="12" x14ac:dyDescent="0.3">
      <c r="AD6707" s="6"/>
    </row>
    <row r="6708" spans="30:30" ht="12" x14ac:dyDescent="0.3">
      <c r="AD6708" s="6"/>
    </row>
    <row r="6709" spans="30:30" ht="12" x14ac:dyDescent="0.3">
      <c r="AD6709" s="6"/>
    </row>
    <row r="6710" spans="30:30" ht="12" x14ac:dyDescent="0.3">
      <c r="AD6710" s="6"/>
    </row>
    <row r="6711" spans="30:30" ht="12" x14ac:dyDescent="0.3">
      <c r="AD6711" s="6"/>
    </row>
    <row r="6712" spans="30:30" ht="12" x14ac:dyDescent="0.3">
      <c r="AD6712" s="6"/>
    </row>
    <row r="6713" spans="30:30" ht="12" x14ac:dyDescent="0.3">
      <c r="AD6713" s="6"/>
    </row>
    <row r="6714" spans="30:30" ht="12" x14ac:dyDescent="0.3">
      <c r="AD6714" s="6"/>
    </row>
    <row r="6715" spans="30:30" ht="12" x14ac:dyDescent="0.3">
      <c r="AD6715" s="6"/>
    </row>
    <row r="6716" spans="30:30" ht="12" x14ac:dyDescent="0.3">
      <c r="AD6716" s="6"/>
    </row>
    <row r="6717" spans="30:30" ht="12" x14ac:dyDescent="0.3">
      <c r="AD6717" s="6"/>
    </row>
    <row r="6718" spans="30:30" ht="12" x14ac:dyDescent="0.3">
      <c r="AD6718" s="6"/>
    </row>
    <row r="6719" spans="30:30" ht="12" x14ac:dyDescent="0.3">
      <c r="AD6719" s="6"/>
    </row>
    <row r="6720" spans="30:30" ht="12" x14ac:dyDescent="0.3">
      <c r="AD6720" s="6"/>
    </row>
    <row r="6721" spans="30:30" ht="12" x14ac:dyDescent="0.3">
      <c r="AD6721" s="6"/>
    </row>
    <row r="6722" spans="30:30" ht="12" x14ac:dyDescent="0.3">
      <c r="AD6722" s="6"/>
    </row>
    <row r="6723" spans="30:30" ht="12" x14ac:dyDescent="0.3">
      <c r="AD6723" s="6"/>
    </row>
    <row r="6724" spans="30:30" ht="12" x14ac:dyDescent="0.3">
      <c r="AD6724" s="6"/>
    </row>
    <row r="6725" spans="30:30" ht="12" x14ac:dyDescent="0.3">
      <c r="AD6725" s="6"/>
    </row>
    <row r="6726" spans="30:30" ht="12" x14ac:dyDescent="0.3">
      <c r="AD6726" s="6"/>
    </row>
    <row r="6727" spans="30:30" ht="12" x14ac:dyDescent="0.3">
      <c r="AD6727" s="6"/>
    </row>
    <row r="6728" spans="30:30" ht="12" x14ac:dyDescent="0.3">
      <c r="AD6728" s="6"/>
    </row>
    <row r="6729" spans="30:30" ht="12" x14ac:dyDescent="0.3">
      <c r="AD6729" s="6"/>
    </row>
    <row r="6730" spans="30:30" ht="12" x14ac:dyDescent="0.3">
      <c r="AD6730" s="6"/>
    </row>
    <row r="6731" spans="30:30" ht="12" x14ac:dyDescent="0.3">
      <c r="AD6731" s="6"/>
    </row>
    <row r="6732" spans="30:30" ht="12" x14ac:dyDescent="0.3">
      <c r="AD6732" s="6"/>
    </row>
    <row r="6733" spans="30:30" ht="12" x14ac:dyDescent="0.3">
      <c r="AD6733" s="6"/>
    </row>
    <row r="6734" spans="30:30" ht="12" x14ac:dyDescent="0.3">
      <c r="AD6734" s="6"/>
    </row>
    <row r="6735" spans="30:30" ht="12" x14ac:dyDescent="0.3">
      <c r="AD6735" s="6"/>
    </row>
    <row r="6736" spans="30:30" ht="12" x14ac:dyDescent="0.3">
      <c r="AD6736" s="6"/>
    </row>
    <row r="6737" spans="30:30" ht="12" x14ac:dyDescent="0.3">
      <c r="AD6737" s="6"/>
    </row>
    <row r="6738" spans="30:30" ht="12" x14ac:dyDescent="0.3">
      <c r="AD6738" s="6"/>
    </row>
    <row r="6739" spans="30:30" ht="12" x14ac:dyDescent="0.3">
      <c r="AD6739" s="6"/>
    </row>
    <row r="6740" spans="30:30" ht="12" x14ac:dyDescent="0.3">
      <c r="AD6740" s="6"/>
    </row>
    <row r="6741" spans="30:30" ht="12" x14ac:dyDescent="0.3">
      <c r="AD6741" s="6"/>
    </row>
    <row r="6742" spans="30:30" ht="12" x14ac:dyDescent="0.3">
      <c r="AD6742" s="6"/>
    </row>
    <row r="6743" spans="30:30" ht="12" x14ac:dyDescent="0.3">
      <c r="AD6743" s="6"/>
    </row>
    <row r="6744" spans="30:30" ht="12" x14ac:dyDescent="0.3">
      <c r="AD6744" s="6"/>
    </row>
    <row r="6745" spans="30:30" ht="12" x14ac:dyDescent="0.3">
      <c r="AD6745" s="6"/>
    </row>
    <row r="6746" spans="30:30" ht="12" x14ac:dyDescent="0.3">
      <c r="AD6746" s="6"/>
    </row>
    <row r="6747" spans="30:30" ht="12" x14ac:dyDescent="0.3">
      <c r="AD6747" s="6"/>
    </row>
    <row r="6748" spans="30:30" ht="12" x14ac:dyDescent="0.3">
      <c r="AD6748" s="6"/>
    </row>
    <row r="6749" spans="30:30" ht="12" x14ac:dyDescent="0.3">
      <c r="AD6749" s="6"/>
    </row>
    <row r="6750" spans="30:30" ht="12" x14ac:dyDescent="0.3">
      <c r="AD6750" s="6"/>
    </row>
    <row r="6751" spans="30:30" ht="12" x14ac:dyDescent="0.3">
      <c r="AD6751" s="6"/>
    </row>
    <row r="6752" spans="30:30" ht="12" x14ac:dyDescent="0.3">
      <c r="AD6752" s="6"/>
    </row>
    <row r="6753" spans="30:30" ht="12" x14ac:dyDescent="0.3">
      <c r="AD6753" s="6"/>
    </row>
    <row r="6754" spans="30:30" ht="12" x14ac:dyDescent="0.3">
      <c r="AD6754" s="6"/>
    </row>
    <row r="6755" spans="30:30" ht="12" x14ac:dyDescent="0.3">
      <c r="AD6755" s="6"/>
    </row>
    <row r="6756" spans="30:30" ht="12" x14ac:dyDescent="0.3">
      <c r="AD6756" s="6"/>
    </row>
    <row r="6757" spans="30:30" ht="12" x14ac:dyDescent="0.3">
      <c r="AD6757" s="6"/>
    </row>
    <row r="6758" spans="30:30" ht="12" x14ac:dyDescent="0.3">
      <c r="AD6758" s="6"/>
    </row>
    <row r="6759" spans="30:30" ht="12" x14ac:dyDescent="0.3">
      <c r="AD6759" s="6"/>
    </row>
    <row r="6760" spans="30:30" ht="12" x14ac:dyDescent="0.3">
      <c r="AD6760" s="6"/>
    </row>
    <row r="6761" spans="30:30" ht="12" x14ac:dyDescent="0.3">
      <c r="AD6761" s="6"/>
    </row>
    <row r="6762" spans="30:30" ht="12" x14ac:dyDescent="0.3">
      <c r="AD6762" s="6"/>
    </row>
    <row r="6763" spans="30:30" ht="12" x14ac:dyDescent="0.3">
      <c r="AD6763" s="6"/>
    </row>
    <row r="6764" spans="30:30" ht="12" x14ac:dyDescent="0.3">
      <c r="AD6764" s="6"/>
    </row>
    <row r="6765" spans="30:30" ht="12" x14ac:dyDescent="0.3">
      <c r="AD6765" s="6"/>
    </row>
    <row r="6766" spans="30:30" ht="12" x14ac:dyDescent="0.3">
      <c r="AD6766" s="6"/>
    </row>
    <row r="6767" spans="30:30" ht="12" x14ac:dyDescent="0.3">
      <c r="AD6767" s="6"/>
    </row>
    <row r="6768" spans="30:30" ht="12" x14ac:dyDescent="0.3">
      <c r="AD6768" s="6"/>
    </row>
    <row r="6769" spans="30:30" ht="12" x14ac:dyDescent="0.3">
      <c r="AD6769" s="6"/>
    </row>
    <row r="6770" spans="30:30" ht="12" x14ac:dyDescent="0.3">
      <c r="AD6770" s="6"/>
    </row>
    <row r="6771" spans="30:30" ht="12" x14ac:dyDescent="0.3">
      <c r="AD6771" s="6"/>
    </row>
    <row r="6772" spans="30:30" ht="12" x14ac:dyDescent="0.3">
      <c r="AD6772" s="6"/>
    </row>
    <row r="6773" spans="30:30" ht="12" x14ac:dyDescent="0.3">
      <c r="AD6773" s="6"/>
    </row>
    <row r="6774" spans="30:30" ht="12" x14ac:dyDescent="0.3">
      <c r="AD6774" s="6"/>
    </row>
    <row r="6775" spans="30:30" ht="12" x14ac:dyDescent="0.3">
      <c r="AD6775" s="6"/>
    </row>
    <row r="6776" spans="30:30" ht="12" x14ac:dyDescent="0.3">
      <c r="AD6776" s="6"/>
    </row>
    <row r="6777" spans="30:30" ht="12" x14ac:dyDescent="0.3">
      <c r="AD6777" s="6"/>
    </row>
    <row r="6778" spans="30:30" ht="12" x14ac:dyDescent="0.3">
      <c r="AD6778" s="6"/>
    </row>
    <row r="6779" spans="30:30" ht="12" x14ac:dyDescent="0.3">
      <c r="AD6779" s="6"/>
    </row>
    <row r="6780" spans="30:30" ht="12" x14ac:dyDescent="0.3">
      <c r="AD6780" s="6"/>
    </row>
    <row r="6781" spans="30:30" ht="12" x14ac:dyDescent="0.3">
      <c r="AD6781" s="6"/>
    </row>
    <row r="6782" spans="30:30" ht="12" x14ac:dyDescent="0.3">
      <c r="AD6782" s="6"/>
    </row>
    <row r="6783" spans="30:30" ht="12" x14ac:dyDescent="0.3">
      <c r="AD6783" s="6"/>
    </row>
    <row r="6784" spans="30:30" ht="12" x14ac:dyDescent="0.3">
      <c r="AD6784" s="6"/>
    </row>
    <row r="6785" spans="30:30" ht="12" x14ac:dyDescent="0.3">
      <c r="AD6785" s="6"/>
    </row>
    <row r="6786" spans="30:30" ht="12" x14ac:dyDescent="0.3">
      <c r="AD6786" s="6"/>
    </row>
    <row r="6787" spans="30:30" ht="12" x14ac:dyDescent="0.3">
      <c r="AD6787" s="6"/>
    </row>
    <row r="6788" spans="30:30" ht="12" x14ac:dyDescent="0.3">
      <c r="AD6788" s="6"/>
    </row>
    <row r="6789" spans="30:30" ht="12" x14ac:dyDescent="0.3">
      <c r="AD6789" s="6"/>
    </row>
    <row r="6790" spans="30:30" ht="12" x14ac:dyDescent="0.3">
      <c r="AD6790" s="6"/>
    </row>
    <row r="6791" spans="30:30" ht="12" x14ac:dyDescent="0.3">
      <c r="AD6791" s="6"/>
    </row>
    <row r="6792" spans="30:30" ht="12" x14ac:dyDescent="0.3">
      <c r="AD6792" s="6"/>
    </row>
    <row r="6793" spans="30:30" ht="12" x14ac:dyDescent="0.3">
      <c r="AD6793" s="6"/>
    </row>
    <row r="6794" spans="30:30" ht="12" x14ac:dyDescent="0.3">
      <c r="AD6794" s="6"/>
    </row>
    <row r="6795" spans="30:30" ht="12" x14ac:dyDescent="0.3">
      <c r="AD6795" s="6"/>
    </row>
    <row r="6796" spans="30:30" ht="12" x14ac:dyDescent="0.3">
      <c r="AD6796" s="6"/>
    </row>
    <row r="6797" spans="30:30" ht="12" x14ac:dyDescent="0.3">
      <c r="AD6797" s="6"/>
    </row>
    <row r="6798" spans="30:30" ht="12" x14ac:dyDescent="0.3">
      <c r="AD6798" s="6"/>
    </row>
    <row r="6799" spans="30:30" ht="12" x14ac:dyDescent="0.3">
      <c r="AD6799" s="6"/>
    </row>
    <row r="6800" spans="30:30" ht="12" x14ac:dyDescent="0.3">
      <c r="AD6800" s="6"/>
    </row>
    <row r="6801" spans="30:30" ht="12" x14ac:dyDescent="0.3">
      <c r="AD6801" s="6"/>
    </row>
    <row r="6802" spans="30:30" ht="12" x14ac:dyDescent="0.3">
      <c r="AD6802" s="6"/>
    </row>
    <row r="6803" spans="30:30" ht="12" x14ac:dyDescent="0.3">
      <c r="AD6803" s="6"/>
    </row>
    <row r="6804" spans="30:30" ht="12" x14ac:dyDescent="0.3">
      <c r="AD6804" s="6"/>
    </row>
    <row r="6805" spans="30:30" ht="12" x14ac:dyDescent="0.3">
      <c r="AD6805" s="6"/>
    </row>
    <row r="6806" spans="30:30" ht="12" x14ac:dyDescent="0.3">
      <c r="AD6806" s="6"/>
    </row>
    <row r="6807" spans="30:30" ht="12" x14ac:dyDescent="0.3">
      <c r="AD6807" s="6"/>
    </row>
    <row r="6808" spans="30:30" ht="12" x14ac:dyDescent="0.3">
      <c r="AD6808" s="6"/>
    </row>
    <row r="6809" spans="30:30" ht="12" x14ac:dyDescent="0.3">
      <c r="AD6809" s="6"/>
    </row>
    <row r="6810" spans="30:30" ht="12" x14ac:dyDescent="0.3">
      <c r="AD6810" s="6"/>
    </row>
    <row r="6811" spans="30:30" ht="12" x14ac:dyDescent="0.3">
      <c r="AD6811" s="6"/>
    </row>
    <row r="6812" spans="30:30" ht="12" x14ac:dyDescent="0.3">
      <c r="AD6812" s="6"/>
    </row>
    <row r="6813" spans="30:30" ht="12" x14ac:dyDescent="0.3">
      <c r="AD6813" s="6"/>
    </row>
    <row r="6814" spans="30:30" ht="12" x14ac:dyDescent="0.3">
      <c r="AD6814" s="6"/>
    </row>
    <row r="6815" spans="30:30" ht="12" x14ac:dyDescent="0.3">
      <c r="AD6815" s="6"/>
    </row>
    <row r="6816" spans="30:30" ht="12" x14ac:dyDescent="0.3">
      <c r="AD6816" s="6"/>
    </row>
    <row r="6817" spans="30:30" ht="12" x14ac:dyDescent="0.3">
      <c r="AD6817" s="6"/>
    </row>
    <row r="6818" spans="30:30" ht="12" x14ac:dyDescent="0.3">
      <c r="AD6818" s="6"/>
    </row>
    <row r="6819" spans="30:30" ht="12" x14ac:dyDescent="0.3">
      <c r="AD6819" s="6"/>
    </row>
    <row r="6820" spans="30:30" ht="12" x14ac:dyDescent="0.3">
      <c r="AD6820" s="6"/>
    </row>
    <row r="6821" spans="30:30" ht="12" x14ac:dyDescent="0.3">
      <c r="AD6821" s="6"/>
    </row>
    <row r="6822" spans="30:30" ht="12" x14ac:dyDescent="0.3">
      <c r="AD6822" s="6"/>
    </row>
    <row r="6823" spans="30:30" ht="12" x14ac:dyDescent="0.3">
      <c r="AD6823" s="6"/>
    </row>
    <row r="6824" spans="30:30" ht="12" x14ac:dyDescent="0.3">
      <c r="AD6824" s="6"/>
    </row>
    <row r="6825" spans="30:30" ht="12" x14ac:dyDescent="0.3">
      <c r="AD6825" s="6"/>
    </row>
    <row r="6826" spans="30:30" ht="12" x14ac:dyDescent="0.3">
      <c r="AD6826" s="6"/>
    </row>
    <row r="6827" spans="30:30" ht="12" x14ac:dyDescent="0.3">
      <c r="AD6827" s="6"/>
    </row>
    <row r="6828" spans="30:30" ht="12" x14ac:dyDescent="0.3">
      <c r="AD6828" s="6"/>
    </row>
    <row r="6829" spans="30:30" ht="12" x14ac:dyDescent="0.3">
      <c r="AD6829" s="6"/>
    </row>
    <row r="6830" spans="30:30" ht="12" x14ac:dyDescent="0.3">
      <c r="AD6830" s="6"/>
    </row>
    <row r="6831" spans="30:30" ht="12" x14ac:dyDescent="0.3">
      <c r="AD6831" s="6"/>
    </row>
    <row r="6832" spans="30:30" ht="12" x14ac:dyDescent="0.3">
      <c r="AD6832" s="6"/>
    </row>
    <row r="6833" spans="30:30" ht="12" x14ac:dyDescent="0.3">
      <c r="AD6833" s="6"/>
    </row>
    <row r="6834" spans="30:30" ht="12" x14ac:dyDescent="0.3">
      <c r="AD6834" s="6"/>
    </row>
    <row r="6835" spans="30:30" ht="12" x14ac:dyDescent="0.3">
      <c r="AD6835" s="6"/>
    </row>
    <row r="6836" spans="30:30" ht="12" x14ac:dyDescent="0.3">
      <c r="AD6836" s="6"/>
    </row>
    <row r="6837" spans="30:30" ht="12" x14ac:dyDescent="0.3">
      <c r="AD6837" s="6"/>
    </row>
    <row r="6838" spans="30:30" ht="12" x14ac:dyDescent="0.3">
      <c r="AD6838" s="6"/>
    </row>
    <row r="6839" spans="30:30" ht="12" x14ac:dyDescent="0.3">
      <c r="AD6839" s="6"/>
    </row>
    <row r="6840" spans="30:30" ht="12" x14ac:dyDescent="0.3">
      <c r="AD6840" s="6"/>
    </row>
    <row r="6841" spans="30:30" ht="12" x14ac:dyDescent="0.3">
      <c r="AD6841" s="6"/>
    </row>
    <row r="6842" spans="30:30" ht="12" x14ac:dyDescent="0.3">
      <c r="AD6842" s="6"/>
    </row>
    <row r="6843" spans="30:30" ht="12" x14ac:dyDescent="0.3">
      <c r="AD6843" s="6"/>
    </row>
    <row r="6844" spans="30:30" ht="12" x14ac:dyDescent="0.3">
      <c r="AD6844" s="6"/>
    </row>
    <row r="6845" spans="30:30" ht="12" x14ac:dyDescent="0.3">
      <c r="AD6845" s="6"/>
    </row>
    <row r="6846" spans="30:30" ht="12" x14ac:dyDescent="0.3">
      <c r="AD6846" s="6"/>
    </row>
    <row r="6847" spans="30:30" ht="12" x14ac:dyDescent="0.3">
      <c r="AD6847" s="6"/>
    </row>
    <row r="6848" spans="30:30" ht="12" x14ac:dyDescent="0.3">
      <c r="AD6848" s="6"/>
    </row>
    <row r="6849" spans="30:30" ht="12" x14ac:dyDescent="0.3">
      <c r="AD6849" s="6"/>
    </row>
    <row r="6850" spans="30:30" ht="12" x14ac:dyDescent="0.3">
      <c r="AD6850" s="6"/>
    </row>
    <row r="6851" spans="30:30" ht="12" x14ac:dyDescent="0.3">
      <c r="AD6851" s="6"/>
    </row>
    <row r="6852" spans="30:30" ht="12" x14ac:dyDescent="0.3">
      <c r="AD6852" s="6"/>
    </row>
    <row r="6853" spans="30:30" ht="12" x14ac:dyDescent="0.3">
      <c r="AD6853" s="6"/>
    </row>
    <row r="6854" spans="30:30" ht="12" x14ac:dyDescent="0.3">
      <c r="AD6854" s="6"/>
    </row>
    <row r="6855" spans="30:30" ht="12" x14ac:dyDescent="0.3">
      <c r="AD6855" s="6"/>
    </row>
    <row r="6856" spans="30:30" ht="12" x14ac:dyDescent="0.3">
      <c r="AD6856" s="6"/>
    </row>
    <row r="6857" spans="30:30" ht="12" x14ac:dyDescent="0.3">
      <c r="AD6857" s="6"/>
    </row>
    <row r="6858" spans="30:30" ht="12" x14ac:dyDescent="0.3">
      <c r="AD6858" s="6"/>
    </row>
    <row r="6859" spans="30:30" ht="12" x14ac:dyDescent="0.3">
      <c r="AD6859" s="6"/>
    </row>
    <row r="6860" spans="30:30" ht="12" x14ac:dyDescent="0.3">
      <c r="AD6860" s="6"/>
    </row>
    <row r="6861" spans="30:30" ht="12" x14ac:dyDescent="0.3">
      <c r="AD6861" s="6"/>
    </row>
    <row r="6862" spans="30:30" ht="12" x14ac:dyDescent="0.3">
      <c r="AD6862" s="6"/>
    </row>
    <row r="6863" spans="30:30" ht="12" x14ac:dyDescent="0.3">
      <c r="AD6863" s="6"/>
    </row>
    <row r="6864" spans="30:30" ht="12" x14ac:dyDescent="0.3">
      <c r="AD6864" s="6"/>
    </row>
    <row r="6865" spans="30:30" ht="12" x14ac:dyDescent="0.3">
      <c r="AD6865" s="6"/>
    </row>
    <row r="6866" spans="30:30" ht="12" x14ac:dyDescent="0.3">
      <c r="AD6866" s="6"/>
    </row>
    <row r="6867" spans="30:30" ht="12" x14ac:dyDescent="0.3">
      <c r="AD6867" s="6"/>
    </row>
    <row r="6868" spans="30:30" ht="12" x14ac:dyDescent="0.3">
      <c r="AD6868" s="6"/>
    </row>
    <row r="6869" spans="30:30" ht="12" x14ac:dyDescent="0.3">
      <c r="AD6869" s="6"/>
    </row>
    <row r="6870" spans="30:30" ht="12" x14ac:dyDescent="0.3">
      <c r="AD6870" s="6"/>
    </row>
    <row r="6871" spans="30:30" ht="12" x14ac:dyDescent="0.3">
      <c r="AD6871" s="6"/>
    </row>
    <row r="6872" spans="30:30" ht="12" x14ac:dyDescent="0.3">
      <c r="AD6872" s="6"/>
    </row>
    <row r="6873" spans="30:30" ht="12" x14ac:dyDescent="0.3">
      <c r="AD6873" s="6"/>
    </row>
    <row r="6874" spans="30:30" ht="12" x14ac:dyDescent="0.3">
      <c r="AD6874" s="6"/>
    </row>
    <row r="6875" spans="30:30" ht="12" x14ac:dyDescent="0.3">
      <c r="AD6875" s="6"/>
    </row>
    <row r="6876" spans="30:30" ht="12" x14ac:dyDescent="0.3">
      <c r="AD6876" s="6"/>
    </row>
    <row r="6877" spans="30:30" ht="12" x14ac:dyDescent="0.3">
      <c r="AD6877" s="6"/>
    </row>
    <row r="6878" spans="30:30" ht="12" x14ac:dyDescent="0.3">
      <c r="AD6878" s="6"/>
    </row>
    <row r="6879" spans="30:30" ht="12" x14ac:dyDescent="0.3">
      <c r="AD6879" s="6"/>
    </row>
    <row r="6880" spans="30:30" ht="12" x14ac:dyDescent="0.3">
      <c r="AD6880" s="6"/>
    </row>
    <row r="6881" spans="30:30" ht="12" x14ac:dyDescent="0.3">
      <c r="AD6881" s="6"/>
    </row>
    <row r="6882" spans="30:30" ht="12" x14ac:dyDescent="0.3">
      <c r="AD6882" s="6"/>
    </row>
    <row r="6883" spans="30:30" ht="12" x14ac:dyDescent="0.3">
      <c r="AD6883" s="6"/>
    </row>
    <row r="6884" spans="30:30" ht="12" x14ac:dyDescent="0.3">
      <c r="AD6884" s="6"/>
    </row>
    <row r="6885" spans="30:30" ht="12" x14ac:dyDescent="0.3">
      <c r="AD6885" s="6"/>
    </row>
    <row r="6886" spans="30:30" ht="12" x14ac:dyDescent="0.3">
      <c r="AD6886" s="6"/>
    </row>
    <row r="6887" spans="30:30" ht="12" x14ac:dyDescent="0.3">
      <c r="AD6887" s="6"/>
    </row>
    <row r="6888" spans="30:30" ht="12" x14ac:dyDescent="0.3">
      <c r="AD6888" s="6"/>
    </row>
    <row r="6889" spans="30:30" ht="12" x14ac:dyDescent="0.3">
      <c r="AD6889" s="6"/>
    </row>
    <row r="6890" spans="30:30" ht="12" x14ac:dyDescent="0.3">
      <c r="AD6890" s="6"/>
    </row>
    <row r="6891" spans="30:30" ht="12" x14ac:dyDescent="0.3">
      <c r="AD6891" s="6"/>
    </row>
    <row r="6892" spans="30:30" ht="12" x14ac:dyDescent="0.3">
      <c r="AD6892" s="6"/>
    </row>
    <row r="6893" spans="30:30" ht="12" x14ac:dyDescent="0.3">
      <c r="AD6893" s="6"/>
    </row>
    <row r="6894" spans="30:30" ht="12" x14ac:dyDescent="0.3">
      <c r="AD6894" s="6"/>
    </row>
    <row r="6895" spans="30:30" ht="12" x14ac:dyDescent="0.3">
      <c r="AD6895" s="6"/>
    </row>
    <row r="6896" spans="30:30" ht="12" x14ac:dyDescent="0.3">
      <c r="AD6896" s="6"/>
    </row>
    <row r="6897" spans="30:30" ht="12" x14ac:dyDescent="0.3">
      <c r="AD6897" s="6"/>
    </row>
    <row r="6898" spans="30:30" ht="12" x14ac:dyDescent="0.3">
      <c r="AD6898" s="6"/>
    </row>
    <row r="6899" spans="30:30" ht="12" x14ac:dyDescent="0.3">
      <c r="AD6899" s="6"/>
    </row>
    <row r="6900" spans="30:30" ht="12" x14ac:dyDescent="0.3">
      <c r="AD6900" s="6"/>
    </row>
    <row r="6901" spans="30:30" ht="12" x14ac:dyDescent="0.3">
      <c r="AD6901" s="6"/>
    </row>
    <row r="6902" spans="30:30" ht="12" x14ac:dyDescent="0.3">
      <c r="AD6902" s="6"/>
    </row>
    <row r="6903" spans="30:30" ht="12" x14ac:dyDescent="0.3">
      <c r="AD6903" s="6"/>
    </row>
    <row r="6904" spans="30:30" ht="12" x14ac:dyDescent="0.3">
      <c r="AD6904" s="6"/>
    </row>
    <row r="6905" spans="30:30" ht="12" x14ac:dyDescent="0.3">
      <c r="AD6905" s="6"/>
    </row>
    <row r="6906" spans="30:30" ht="12" x14ac:dyDescent="0.3">
      <c r="AD6906" s="6"/>
    </row>
    <row r="6907" spans="30:30" ht="12" x14ac:dyDescent="0.3">
      <c r="AD6907" s="6"/>
    </row>
    <row r="6908" spans="30:30" ht="12" x14ac:dyDescent="0.3">
      <c r="AD6908" s="6"/>
    </row>
    <row r="6909" spans="30:30" ht="12" x14ac:dyDescent="0.3">
      <c r="AD6909" s="6"/>
    </row>
    <row r="6910" spans="30:30" ht="12" x14ac:dyDescent="0.3">
      <c r="AD6910" s="6"/>
    </row>
    <row r="6911" spans="30:30" ht="12" x14ac:dyDescent="0.3">
      <c r="AD6911" s="6"/>
    </row>
    <row r="6912" spans="30:30" ht="12" x14ac:dyDescent="0.3">
      <c r="AD6912" s="6"/>
    </row>
    <row r="6913" spans="30:30" ht="12" x14ac:dyDescent="0.3">
      <c r="AD6913" s="6"/>
    </row>
    <row r="6914" spans="30:30" ht="12" x14ac:dyDescent="0.3">
      <c r="AD6914" s="6"/>
    </row>
    <row r="6915" spans="30:30" ht="12" x14ac:dyDescent="0.3">
      <c r="AD6915" s="6"/>
    </row>
    <row r="6916" spans="30:30" ht="12" x14ac:dyDescent="0.3">
      <c r="AD6916" s="6"/>
    </row>
    <row r="6917" spans="30:30" ht="12" x14ac:dyDescent="0.3">
      <c r="AD6917" s="6"/>
    </row>
    <row r="6918" spans="30:30" ht="12" x14ac:dyDescent="0.3">
      <c r="AD6918" s="6"/>
    </row>
    <row r="6919" spans="30:30" ht="12" x14ac:dyDescent="0.3">
      <c r="AD6919" s="6"/>
    </row>
    <row r="6920" spans="30:30" ht="12" x14ac:dyDescent="0.3">
      <c r="AD6920" s="6"/>
    </row>
    <row r="6921" spans="30:30" ht="12" x14ac:dyDescent="0.3">
      <c r="AD6921" s="6"/>
    </row>
    <row r="6922" spans="30:30" ht="12" x14ac:dyDescent="0.3">
      <c r="AD6922" s="6"/>
    </row>
    <row r="6923" spans="30:30" ht="12" x14ac:dyDescent="0.3">
      <c r="AD6923" s="6"/>
    </row>
    <row r="6924" spans="30:30" ht="12" x14ac:dyDescent="0.3">
      <c r="AD6924" s="6"/>
    </row>
    <row r="6925" spans="30:30" ht="12" x14ac:dyDescent="0.3">
      <c r="AD6925" s="6"/>
    </row>
    <row r="6926" spans="30:30" ht="12" x14ac:dyDescent="0.3">
      <c r="AD6926" s="6"/>
    </row>
    <row r="6927" spans="30:30" ht="12" x14ac:dyDescent="0.3">
      <c r="AD6927" s="6"/>
    </row>
    <row r="6928" spans="30:30" ht="12" x14ac:dyDescent="0.3">
      <c r="AD6928" s="6"/>
    </row>
    <row r="6929" spans="30:30" ht="12" x14ac:dyDescent="0.3">
      <c r="AD6929" s="6"/>
    </row>
    <row r="6930" spans="30:30" ht="12" x14ac:dyDescent="0.3">
      <c r="AD6930" s="6"/>
    </row>
    <row r="6931" spans="30:30" ht="12" x14ac:dyDescent="0.3">
      <c r="AD6931" s="6"/>
    </row>
    <row r="6932" spans="30:30" ht="12" x14ac:dyDescent="0.3">
      <c r="AD6932" s="6"/>
    </row>
    <row r="6933" spans="30:30" ht="12" x14ac:dyDescent="0.3">
      <c r="AD6933" s="6"/>
    </row>
    <row r="6934" spans="30:30" ht="12" x14ac:dyDescent="0.3">
      <c r="AD6934" s="6"/>
    </row>
    <row r="6935" spans="30:30" ht="12" x14ac:dyDescent="0.3">
      <c r="AD6935" s="6"/>
    </row>
    <row r="6936" spans="30:30" ht="12" x14ac:dyDescent="0.3">
      <c r="AD6936" s="6"/>
    </row>
    <row r="6937" spans="30:30" ht="12" x14ac:dyDescent="0.3">
      <c r="AD6937" s="6"/>
    </row>
    <row r="6938" spans="30:30" ht="12" x14ac:dyDescent="0.3">
      <c r="AD6938" s="6"/>
    </row>
    <row r="6939" spans="30:30" ht="12" x14ac:dyDescent="0.3">
      <c r="AD6939" s="6"/>
    </row>
    <row r="6940" spans="30:30" ht="12" x14ac:dyDescent="0.3">
      <c r="AD6940" s="6"/>
    </row>
    <row r="6941" spans="30:30" ht="12" x14ac:dyDescent="0.3">
      <c r="AD6941" s="6"/>
    </row>
    <row r="6942" spans="30:30" ht="12" x14ac:dyDescent="0.3">
      <c r="AD6942" s="6"/>
    </row>
    <row r="6943" spans="30:30" ht="12" x14ac:dyDescent="0.3">
      <c r="AD6943" s="6"/>
    </row>
    <row r="6944" spans="30:30" ht="12" x14ac:dyDescent="0.3">
      <c r="AD6944" s="6"/>
    </row>
    <row r="6945" spans="30:30" ht="12" x14ac:dyDescent="0.3">
      <c r="AD6945" s="6"/>
    </row>
    <row r="6946" spans="30:30" ht="12" x14ac:dyDescent="0.3">
      <c r="AD6946" s="6"/>
    </row>
    <row r="6947" spans="30:30" ht="12" x14ac:dyDescent="0.3">
      <c r="AD6947" s="6"/>
    </row>
    <row r="6948" spans="30:30" ht="12" x14ac:dyDescent="0.3">
      <c r="AD6948" s="6"/>
    </row>
    <row r="6949" spans="30:30" ht="12" x14ac:dyDescent="0.3">
      <c r="AD6949" s="6"/>
    </row>
    <row r="6950" spans="30:30" ht="12" x14ac:dyDescent="0.3">
      <c r="AD6950" s="6"/>
    </row>
    <row r="6951" spans="30:30" ht="12" x14ac:dyDescent="0.3">
      <c r="AD6951" s="6"/>
    </row>
    <row r="6952" spans="30:30" ht="12" x14ac:dyDescent="0.3">
      <c r="AD6952" s="6"/>
    </row>
    <row r="6953" spans="30:30" ht="12" x14ac:dyDescent="0.3">
      <c r="AD6953" s="6"/>
    </row>
    <row r="6954" spans="30:30" ht="12" x14ac:dyDescent="0.3">
      <c r="AD6954" s="6"/>
    </row>
    <row r="6955" spans="30:30" ht="12" x14ac:dyDescent="0.3">
      <c r="AD6955" s="6"/>
    </row>
    <row r="6956" spans="30:30" ht="12" x14ac:dyDescent="0.3">
      <c r="AD6956" s="6"/>
    </row>
    <row r="6957" spans="30:30" ht="12" x14ac:dyDescent="0.3">
      <c r="AD6957" s="6"/>
    </row>
    <row r="6958" spans="30:30" ht="12" x14ac:dyDescent="0.3">
      <c r="AD6958" s="6"/>
    </row>
    <row r="6959" spans="30:30" ht="12" x14ac:dyDescent="0.3">
      <c r="AD6959" s="6"/>
    </row>
    <row r="6960" spans="30:30" ht="12" x14ac:dyDescent="0.3">
      <c r="AD6960" s="6"/>
    </row>
    <row r="6961" spans="30:30" ht="12" x14ac:dyDescent="0.3">
      <c r="AD6961" s="6"/>
    </row>
    <row r="6962" spans="30:30" ht="12" x14ac:dyDescent="0.3">
      <c r="AD6962" s="6"/>
    </row>
    <row r="6963" spans="30:30" ht="12" x14ac:dyDescent="0.3">
      <c r="AD6963" s="6"/>
    </row>
    <row r="6964" spans="30:30" ht="12" x14ac:dyDescent="0.3">
      <c r="AD6964" s="6"/>
    </row>
    <row r="6965" spans="30:30" ht="12" x14ac:dyDescent="0.3">
      <c r="AD6965" s="6"/>
    </row>
    <row r="6966" spans="30:30" ht="12" x14ac:dyDescent="0.3">
      <c r="AD6966" s="6"/>
    </row>
    <row r="6967" spans="30:30" ht="12" x14ac:dyDescent="0.3">
      <c r="AD6967" s="6"/>
    </row>
    <row r="6968" spans="30:30" ht="12" x14ac:dyDescent="0.3">
      <c r="AD6968" s="6"/>
    </row>
    <row r="6969" spans="30:30" ht="12" x14ac:dyDescent="0.3">
      <c r="AD6969" s="6"/>
    </row>
    <row r="6970" spans="30:30" ht="12" x14ac:dyDescent="0.3">
      <c r="AD6970" s="6"/>
    </row>
    <row r="6971" spans="30:30" ht="12" x14ac:dyDescent="0.3">
      <c r="AD6971" s="6"/>
    </row>
    <row r="6972" spans="30:30" ht="12" x14ac:dyDescent="0.3">
      <c r="AD6972" s="6"/>
    </row>
    <row r="6973" spans="30:30" ht="12" x14ac:dyDescent="0.3">
      <c r="AD6973" s="6"/>
    </row>
    <row r="6974" spans="30:30" ht="12" x14ac:dyDescent="0.3">
      <c r="AD6974" s="6"/>
    </row>
    <row r="6975" spans="30:30" ht="12" x14ac:dyDescent="0.3">
      <c r="AD6975" s="6"/>
    </row>
    <row r="6976" spans="30:30" ht="12" x14ac:dyDescent="0.3">
      <c r="AD6976" s="6"/>
    </row>
    <row r="6977" spans="30:30" ht="12" x14ac:dyDescent="0.3">
      <c r="AD6977" s="6"/>
    </row>
    <row r="6978" spans="30:30" ht="12" x14ac:dyDescent="0.3">
      <c r="AD6978" s="6"/>
    </row>
    <row r="6979" spans="30:30" ht="12" x14ac:dyDescent="0.3">
      <c r="AD6979" s="6"/>
    </row>
    <row r="6980" spans="30:30" ht="12" x14ac:dyDescent="0.3">
      <c r="AD6980" s="6"/>
    </row>
    <row r="6981" spans="30:30" ht="12" x14ac:dyDescent="0.3">
      <c r="AD6981" s="6"/>
    </row>
    <row r="6982" spans="30:30" ht="12" x14ac:dyDescent="0.3">
      <c r="AD6982" s="6"/>
    </row>
    <row r="6983" spans="30:30" ht="12" x14ac:dyDescent="0.3">
      <c r="AD6983" s="6"/>
    </row>
    <row r="6984" spans="30:30" ht="12" x14ac:dyDescent="0.3">
      <c r="AD6984" s="6"/>
    </row>
    <row r="6985" spans="30:30" ht="12" x14ac:dyDescent="0.3">
      <c r="AD6985" s="6"/>
    </row>
    <row r="6986" spans="30:30" ht="12" x14ac:dyDescent="0.3">
      <c r="AD6986" s="6"/>
    </row>
    <row r="6987" spans="30:30" ht="12" x14ac:dyDescent="0.3">
      <c r="AD6987" s="6"/>
    </row>
    <row r="6988" spans="30:30" ht="12" x14ac:dyDescent="0.3">
      <c r="AD6988" s="6"/>
    </row>
    <row r="6989" spans="30:30" ht="12" x14ac:dyDescent="0.3">
      <c r="AD6989" s="6"/>
    </row>
    <row r="6990" spans="30:30" ht="12" x14ac:dyDescent="0.3">
      <c r="AD6990" s="6"/>
    </row>
    <row r="6991" spans="30:30" ht="12" x14ac:dyDescent="0.3">
      <c r="AD6991" s="6"/>
    </row>
    <row r="6992" spans="30:30" ht="12" x14ac:dyDescent="0.3">
      <c r="AD6992" s="6"/>
    </row>
    <row r="6993" spans="30:30" ht="12" x14ac:dyDescent="0.3">
      <c r="AD6993" s="6"/>
    </row>
    <row r="6994" spans="30:30" ht="12" x14ac:dyDescent="0.3">
      <c r="AD6994" s="6"/>
    </row>
    <row r="6995" spans="30:30" ht="12" x14ac:dyDescent="0.3">
      <c r="AD6995" s="6"/>
    </row>
    <row r="6996" spans="30:30" ht="12" x14ac:dyDescent="0.3">
      <c r="AD6996" s="6"/>
    </row>
    <row r="6997" spans="30:30" ht="12" x14ac:dyDescent="0.3">
      <c r="AD6997" s="6"/>
    </row>
    <row r="6998" spans="30:30" ht="12" x14ac:dyDescent="0.3">
      <c r="AD6998" s="6"/>
    </row>
    <row r="6999" spans="30:30" ht="12" x14ac:dyDescent="0.3">
      <c r="AD6999" s="6"/>
    </row>
    <row r="7000" spans="30:30" ht="12" x14ac:dyDescent="0.3">
      <c r="AD7000" s="6"/>
    </row>
    <row r="7001" spans="30:30" ht="12" x14ac:dyDescent="0.3">
      <c r="AD7001" s="6"/>
    </row>
    <row r="7002" spans="30:30" ht="12" x14ac:dyDescent="0.3">
      <c r="AD7002" s="6"/>
    </row>
    <row r="7003" spans="30:30" ht="12" x14ac:dyDescent="0.3">
      <c r="AD7003" s="6"/>
    </row>
    <row r="7004" spans="30:30" ht="12" x14ac:dyDescent="0.3">
      <c r="AD7004" s="6"/>
    </row>
    <row r="7005" spans="30:30" ht="12" x14ac:dyDescent="0.3">
      <c r="AD7005" s="6"/>
    </row>
    <row r="7006" spans="30:30" ht="12" x14ac:dyDescent="0.3">
      <c r="AD7006" s="6"/>
    </row>
    <row r="7007" spans="30:30" ht="12" x14ac:dyDescent="0.3">
      <c r="AD7007" s="6"/>
    </row>
    <row r="7008" spans="30:30" ht="12" x14ac:dyDescent="0.3">
      <c r="AD7008" s="6"/>
    </row>
    <row r="7009" spans="30:30" ht="12" x14ac:dyDescent="0.3">
      <c r="AD7009" s="6"/>
    </row>
    <row r="7010" spans="30:30" ht="12" x14ac:dyDescent="0.3">
      <c r="AD7010" s="6"/>
    </row>
    <row r="7011" spans="30:30" ht="12" x14ac:dyDescent="0.3">
      <c r="AD7011" s="6"/>
    </row>
    <row r="7012" spans="30:30" ht="12" x14ac:dyDescent="0.3">
      <c r="AD7012" s="6"/>
    </row>
    <row r="7013" spans="30:30" ht="12" x14ac:dyDescent="0.3">
      <c r="AD7013" s="6"/>
    </row>
    <row r="7014" spans="30:30" ht="12" x14ac:dyDescent="0.3">
      <c r="AD7014" s="6"/>
    </row>
    <row r="7015" spans="30:30" ht="12" x14ac:dyDescent="0.3">
      <c r="AD7015" s="6"/>
    </row>
    <row r="7016" spans="30:30" ht="12" x14ac:dyDescent="0.3">
      <c r="AD7016" s="6"/>
    </row>
    <row r="7017" spans="30:30" ht="12" x14ac:dyDescent="0.3">
      <c r="AD7017" s="6"/>
    </row>
    <row r="7018" spans="30:30" ht="12" x14ac:dyDescent="0.3">
      <c r="AD7018" s="6"/>
    </row>
    <row r="7019" spans="30:30" ht="12" x14ac:dyDescent="0.3">
      <c r="AD7019" s="6"/>
    </row>
    <row r="7020" spans="30:30" ht="12" x14ac:dyDescent="0.3">
      <c r="AD7020" s="6"/>
    </row>
    <row r="7021" spans="30:30" ht="12" x14ac:dyDescent="0.3">
      <c r="AD7021" s="6"/>
    </row>
    <row r="7022" spans="30:30" ht="12" x14ac:dyDescent="0.3">
      <c r="AD7022" s="6"/>
    </row>
    <row r="7023" spans="30:30" ht="12" x14ac:dyDescent="0.3">
      <c r="AD7023" s="6"/>
    </row>
    <row r="7024" spans="30:30" ht="12" x14ac:dyDescent="0.3">
      <c r="AD7024" s="6"/>
    </row>
    <row r="7025" spans="30:30" ht="12" x14ac:dyDescent="0.3">
      <c r="AD7025" s="6"/>
    </row>
    <row r="7026" spans="30:30" ht="12" x14ac:dyDescent="0.3">
      <c r="AD7026" s="6"/>
    </row>
    <row r="7027" spans="30:30" ht="12" x14ac:dyDescent="0.3">
      <c r="AD7027" s="6"/>
    </row>
    <row r="7028" spans="30:30" ht="12" x14ac:dyDescent="0.3">
      <c r="AD7028" s="6"/>
    </row>
    <row r="7029" spans="30:30" ht="12" x14ac:dyDescent="0.3">
      <c r="AD7029" s="6"/>
    </row>
    <row r="7030" spans="30:30" ht="12" x14ac:dyDescent="0.3">
      <c r="AD7030" s="6"/>
    </row>
    <row r="7031" spans="30:30" ht="12" x14ac:dyDescent="0.3">
      <c r="AD7031" s="6"/>
    </row>
    <row r="7032" spans="30:30" ht="12" x14ac:dyDescent="0.3">
      <c r="AD7032" s="6"/>
    </row>
    <row r="7033" spans="30:30" ht="12" x14ac:dyDescent="0.3">
      <c r="AD7033" s="6"/>
    </row>
    <row r="7034" spans="30:30" ht="12" x14ac:dyDescent="0.3">
      <c r="AD7034" s="6"/>
    </row>
    <row r="7035" spans="30:30" ht="12" x14ac:dyDescent="0.3">
      <c r="AD7035" s="6"/>
    </row>
    <row r="7036" spans="30:30" ht="12" x14ac:dyDescent="0.3">
      <c r="AD7036" s="6"/>
    </row>
    <row r="7037" spans="30:30" ht="12" x14ac:dyDescent="0.3">
      <c r="AD7037" s="6"/>
    </row>
    <row r="7038" spans="30:30" ht="12" x14ac:dyDescent="0.3">
      <c r="AD7038" s="6"/>
    </row>
    <row r="7039" spans="30:30" ht="12" x14ac:dyDescent="0.3">
      <c r="AD7039" s="6"/>
    </row>
    <row r="7040" spans="30:30" ht="12" x14ac:dyDescent="0.3">
      <c r="AD7040" s="6"/>
    </row>
    <row r="7041" spans="30:30" ht="12" x14ac:dyDescent="0.3">
      <c r="AD7041" s="6"/>
    </row>
    <row r="7042" spans="30:30" ht="12" x14ac:dyDescent="0.3">
      <c r="AD7042" s="6"/>
    </row>
    <row r="7043" spans="30:30" ht="12" x14ac:dyDescent="0.3">
      <c r="AD7043" s="6"/>
    </row>
    <row r="7044" spans="30:30" ht="12" x14ac:dyDescent="0.3">
      <c r="AD7044" s="6"/>
    </row>
    <row r="7045" spans="30:30" ht="12" x14ac:dyDescent="0.3">
      <c r="AD7045" s="6"/>
    </row>
    <row r="7046" spans="30:30" ht="12" x14ac:dyDescent="0.3">
      <c r="AD7046" s="6"/>
    </row>
    <row r="7047" spans="30:30" ht="12" x14ac:dyDescent="0.3">
      <c r="AD7047" s="6"/>
    </row>
    <row r="7048" spans="30:30" ht="12" x14ac:dyDescent="0.3">
      <c r="AD7048" s="6"/>
    </row>
    <row r="7049" spans="30:30" ht="12" x14ac:dyDescent="0.3">
      <c r="AD7049" s="6"/>
    </row>
    <row r="7050" spans="30:30" ht="12" x14ac:dyDescent="0.3">
      <c r="AD7050" s="6"/>
    </row>
    <row r="7051" spans="30:30" ht="12" x14ac:dyDescent="0.3">
      <c r="AD7051" s="6"/>
    </row>
    <row r="7052" spans="30:30" ht="12" x14ac:dyDescent="0.3">
      <c r="AD7052" s="6"/>
    </row>
    <row r="7053" spans="30:30" ht="12" x14ac:dyDescent="0.3">
      <c r="AD7053" s="6"/>
    </row>
    <row r="7054" spans="30:30" ht="12" x14ac:dyDescent="0.3">
      <c r="AD7054" s="6"/>
    </row>
    <row r="7055" spans="30:30" ht="12" x14ac:dyDescent="0.3">
      <c r="AD7055" s="6"/>
    </row>
    <row r="7056" spans="30:30" ht="12" x14ac:dyDescent="0.3">
      <c r="AD7056" s="6"/>
    </row>
    <row r="7057" spans="30:30" ht="12" x14ac:dyDescent="0.3">
      <c r="AD7057" s="6"/>
    </row>
    <row r="7058" spans="30:30" ht="12" x14ac:dyDescent="0.3">
      <c r="AD7058" s="6"/>
    </row>
    <row r="7059" spans="30:30" ht="12" x14ac:dyDescent="0.3">
      <c r="AD7059" s="6"/>
    </row>
    <row r="7060" spans="30:30" ht="12" x14ac:dyDescent="0.3">
      <c r="AD7060" s="6"/>
    </row>
    <row r="7061" spans="30:30" ht="12" x14ac:dyDescent="0.3">
      <c r="AD7061" s="6"/>
    </row>
    <row r="7062" spans="30:30" ht="12" x14ac:dyDescent="0.3">
      <c r="AD7062" s="6"/>
    </row>
    <row r="7063" spans="30:30" ht="12" x14ac:dyDescent="0.3">
      <c r="AD7063" s="6"/>
    </row>
    <row r="7064" spans="30:30" ht="12" x14ac:dyDescent="0.3">
      <c r="AD7064" s="6"/>
    </row>
    <row r="7065" spans="30:30" ht="12" x14ac:dyDescent="0.3">
      <c r="AD7065" s="6"/>
    </row>
    <row r="7066" spans="30:30" ht="12" x14ac:dyDescent="0.3">
      <c r="AD7066" s="6"/>
    </row>
    <row r="7067" spans="30:30" ht="12" x14ac:dyDescent="0.3">
      <c r="AD7067" s="6"/>
    </row>
    <row r="7068" spans="30:30" ht="12" x14ac:dyDescent="0.3">
      <c r="AD7068" s="6"/>
    </row>
    <row r="7069" spans="30:30" ht="12" x14ac:dyDescent="0.3">
      <c r="AD7069" s="6"/>
    </row>
    <row r="7070" spans="30:30" ht="12" x14ac:dyDescent="0.3">
      <c r="AD7070" s="6"/>
    </row>
    <row r="7071" spans="30:30" ht="12" x14ac:dyDescent="0.3">
      <c r="AD7071" s="6"/>
    </row>
    <row r="7072" spans="30:30" ht="12" x14ac:dyDescent="0.3">
      <c r="AD7072" s="6"/>
    </row>
    <row r="7073" spans="30:30" ht="12" x14ac:dyDescent="0.3">
      <c r="AD7073" s="6"/>
    </row>
    <row r="7074" spans="30:30" ht="12" x14ac:dyDescent="0.3">
      <c r="AD7074" s="6"/>
    </row>
    <row r="7075" spans="30:30" ht="12" x14ac:dyDescent="0.3">
      <c r="AD7075" s="6"/>
    </row>
    <row r="7076" spans="30:30" ht="12" x14ac:dyDescent="0.3">
      <c r="AD7076" s="6"/>
    </row>
    <row r="7077" spans="30:30" ht="12" x14ac:dyDescent="0.3">
      <c r="AD7077" s="6"/>
    </row>
    <row r="7078" spans="30:30" ht="12" x14ac:dyDescent="0.3">
      <c r="AD7078" s="6"/>
    </row>
    <row r="7079" spans="30:30" ht="12" x14ac:dyDescent="0.3">
      <c r="AD7079" s="6"/>
    </row>
    <row r="7080" spans="30:30" ht="12" x14ac:dyDescent="0.3">
      <c r="AD7080" s="6"/>
    </row>
    <row r="7081" spans="30:30" ht="12" x14ac:dyDescent="0.3">
      <c r="AD7081" s="6"/>
    </row>
    <row r="7082" spans="30:30" ht="12" x14ac:dyDescent="0.3">
      <c r="AD7082" s="6"/>
    </row>
    <row r="7083" spans="30:30" ht="12" x14ac:dyDescent="0.3">
      <c r="AD7083" s="6"/>
    </row>
    <row r="7084" spans="30:30" ht="12" x14ac:dyDescent="0.3">
      <c r="AD7084" s="6"/>
    </row>
    <row r="7085" spans="30:30" ht="12" x14ac:dyDescent="0.3">
      <c r="AD7085" s="6"/>
    </row>
    <row r="7086" spans="30:30" ht="12" x14ac:dyDescent="0.3">
      <c r="AD7086" s="6"/>
    </row>
    <row r="7087" spans="30:30" ht="12" x14ac:dyDescent="0.3">
      <c r="AD7087" s="6"/>
    </row>
    <row r="7088" spans="30:30" ht="12" x14ac:dyDescent="0.3">
      <c r="AD7088" s="6"/>
    </row>
    <row r="7089" spans="30:30" ht="12" x14ac:dyDescent="0.3">
      <c r="AD7089" s="6"/>
    </row>
    <row r="7090" spans="30:30" ht="12" x14ac:dyDescent="0.3">
      <c r="AD7090" s="6"/>
    </row>
    <row r="7091" spans="30:30" ht="12" x14ac:dyDescent="0.3">
      <c r="AD7091" s="6"/>
    </row>
    <row r="7092" spans="30:30" ht="12" x14ac:dyDescent="0.3">
      <c r="AD7092" s="6"/>
    </row>
    <row r="7093" spans="30:30" ht="12" x14ac:dyDescent="0.3">
      <c r="AD7093" s="6"/>
    </row>
    <row r="7094" spans="30:30" ht="12" x14ac:dyDescent="0.3">
      <c r="AD7094" s="6"/>
    </row>
    <row r="7095" spans="30:30" ht="12" x14ac:dyDescent="0.3">
      <c r="AD7095" s="6"/>
    </row>
    <row r="7096" spans="30:30" ht="12" x14ac:dyDescent="0.3">
      <c r="AD7096" s="6"/>
    </row>
    <row r="7097" spans="30:30" ht="12" x14ac:dyDescent="0.3">
      <c r="AD7097" s="6"/>
    </row>
    <row r="7098" spans="30:30" ht="12" x14ac:dyDescent="0.3">
      <c r="AD7098" s="6"/>
    </row>
    <row r="7099" spans="30:30" ht="12" x14ac:dyDescent="0.3">
      <c r="AD7099" s="6"/>
    </row>
    <row r="7100" spans="30:30" ht="12" x14ac:dyDescent="0.3">
      <c r="AD7100" s="6"/>
    </row>
    <row r="7101" spans="30:30" ht="12" x14ac:dyDescent="0.3">
      <c r="AD7101" s="6"/>
    </row>
    <row r="7102" spans="30:30" ht="12" x14ac:dyDescent="0.3">
      <c r="AD7102" s="6"/>
    </row>
    <row r="7103" spans="30:30" ht="12" x14ac:dyDescent="0.3">
      <c r="AD7103" s="6"/>
    </row>
    <row r="7104" spans="30:30" ht="12" x14ac:dyDescent="0.3">
      <c r="AD7104" s="6"/>
    </row>
    <row r="7105" spans="30:30" ht="12" x14ac:dyDescent="0.3">
      <c r="AD7105" s="6"/>
    </row>
    <row r="7106" spans="30:30" ht="12" x14ac:dyDescent="0.3">
      <c r="AD7106" s="6"/>
    </row>
    <row r="7107" spans="30:30" ht="12" x14ac:dyDescent="0.3">
      <c r="AD7107" s="6"/>
    </row>
    <row r="7108" spans="30:30" ht="12" x14ac:dyDescent="0.3">
      <c r="AD7108" s="6"/>
    </row>
    <row r="7109" spans="30:30" ht="12" x14ac:dyDescent="0.3">
      <c r="AD7109" s="6"/>
    </row>
    <row r="7110" spans="30:30" ht="12" x14ac:dyDescent="0.3">
      <c r="AD7110" s="6"/>
    </row>
    <row r="7111" spans="30:30" ht="12" x14ac:dyDescent="0.3">
      <c r="AD7111" s="6"/>
    </row>
    <row r="7112" spans="30:30" ht="12" x14ac:dyDescent="0.3">
      <c r="AD7112" s="6"/>
    </row>
    <row r="7113" spans="30:30" ht="12" x14ac:dyDescent="0.3">
      <c r="AD7113" s="6"/>
    </row>
    <row r="7114" spans="30:30" ht="12" x14ac:dyDescent="0.3">
      <c r="AD7114" s="6"/>
    </row>
    <row r="7115" spans="30:30" ht="12" x14ac:dyDescent="0.3">
      <c r="AD7115" s="6"/>
    </row>
    <row r="7116" spans="30:30" ht="12" x14ac:dyDescent="0.3">
      <c r="AD7116" s="6"/>
    </row>
    <row r="7117" spans="30:30" ht="12" x14ac:dyDescent="0.3">
      <c r="AD7117" s="6"/>
    </row>
    <row r="7118" spans="30:30" ht="12" x14ac:dyDescent="0.3">
      <c r="AD7118" s="6"/>
    </row>
    <row r="7119" spans="30:30" ht="12" x14ac:dyDescent="0.3">
      <c r="AD7119" s="6"/>
    </row>
    <row r="7120" spans="30:30" ht="12" x14ac:dyDescent="0.3">
      <c r="AD7120" s="6"/>
    </row>
    <row r="7121" spans="30:30" ht="12" x14ac:dyDescent="0.3">
      <c r="AD7121" s="6"/>
    </row>
    <row r="7122" spans="30:30" ht="12" x14ac:dyDescent="0.3">
      <c r="AD7122" s="6"/>
    </row>
    <row r="7123" spans="30:30" ht="12" x14ac:dyDescent="0.3">
      <c r="AD7123" s="6"/>
    </row>
    <row r="7124" spans="30:30" ht="12" x14ac:dyDescent="0.3">
      <c r="AD7124" s="6"/>
    </row>
    <row r="7125" spans="30:30" ht="12" x14ac:dyDescent="0.3">
      <c r="AD7125" s="6"/>
    </row>
    <row r="7126" spans="30:30" ht="12" x14ac:dyDescent="0.3">
      <c r="AD7126" s="6"/>
    </row>
    <row r="7127" spans="30:30" ht="12" x14ac:dyDescent="0.3">
      <c r="AD7127" s="6"/>
    </row>
    <row r="7128" spans="30:30" ht="12" x14ac:dyDescent="0.3">
      <c r="AD7128" s="6"/>
    </row>
    <row r="7129" spans="30:30" ht="12" x14ac:dyDescent="0.3">
      <c r="AD7129" s="6"/>
    </row>
    <row r="7130" spans="30:30" ht="12" x14ac:dyDescent="0.3">
      <c r="AD7130" s="6"/>
    </row>
    <row r="7131" spans="30:30" ht="12" x14ac:dyDescent="0.3">
      <c r="AD7131" s="6"/>
    </row>
    <row r="7132" spans="30:30" ht="12" x14ac:dyDescent="0.3">
      <c r="AD7132" s="6"/>
    </row>
    <row r="7133" spans="30:30" ht="12" x14ac:dyDescent="0.3">
      <c r="AD7133" s="6"/>
    </row>
    <row r="7134" spans="30:30" ht="12" x14ac:dyDescent="0.3">
      <c r="AD7134" s="6"/>
    </row>
    <row r="7135" spans="30:30" ht="12" x14ac:dyDescent="0.3">
      <c r="AD7135" s="6"/>
    </row>
    <row r="7136" spans="30:30" ht="12" x14ac:dyDescent="0.3">
      <c r="AD7136" s="6"/>
    </row>
    <row r="7137" spans="30:30" ht="12" x14ac:dyDescent="0.3">
      <c r="AD7137" s="6"/>
    </row>
    <row r="7138" spans="30:30" ht="12" x14ac:dyDescent="0.3">
      <c r="AD7138" s="6"/>
    </row>
    <row r="7139" spans="30:30" ht="12" x14ac:dyDescent="0.3">
      <c r="AD7139" s="6"/>
    </row>
    <row r="7140" spans="30:30" ht="12" x14ac:dyDescent="0.3">
      <c r="AD7140" s="6"/>
    </row>
    <row r="7141" spans="30:30" ht="12" x14ac:dyDescent="0.3">
      <c r="AD7141" s="6"/>
    </row>
    <row r="7142" spans="30:30" ht="12" x14ac:dyDescent="0.3">
      <c r="AD7142" s="6"/>
    </row>
    <row r="7143" spans="30:30" ht="12" x14ac:dyDescent="0.3">
      <c r="AD7143" s="6"/>
    </row>
    <row r="7144" spans="30:30" ht="12" x14ac:dyDescent="0.3">
      <c r="AD7144" s="6"/>
    </row>
    <row r="7145" spans="30:30" ht="12" x14ac:dyDescent="0.3">
      <c r="AD7145" s="6"/>
    </row>
    <row r="7146" spans="30:30" ht="12" x14ac:dyDescent="0.3">
      <c r="AD7146" s="6"/>
    </row>
    <row r="7147" spans="30:30" ht="12" x14ac:dyDescent="0.3">
      <c r="AD7147" s="6"/>
    </row>
    <row r="7148" spans="30:30" ht="12" x14ac:dyDescent="0.3">
      <c r="AD7148" s="6"/>
    </row>
    <row r="7149" spans="30:30" ht="12" x14ac:dyDescent="0.3">
      <c r="AD7149" s="6"/>
    </row>
    <row r="7150" spans="30:30" ht="12" x14ac:dyDescent="0.3">
      <c r="AD7150" s="6"/>
    </row>
    <row r="7151" spans="30:30" ht="12" x14ac:dyDescent="0.3">
      <c r="AD7151" s="6"/>
    </row>
    <row r="7152" spans="30:30" ht="12" x14ac:dyDescent="0.3">
      <c r="AD7152" s="6"/>
    </row>
    <row r="7153" spans="30:30" ht="12" x14ac:dyDescent="0.3">
      <c r="AD7153" s="6"/>
    </row>
    <row r="7154" spans="30:30" ht="12" x14ac:dyDescent="0.3">
      <c r="AD7154" s="6"/>
    </row>
    <row r="7155" spans="30:30" ht="12" x14ac:dyDescent="0.3">
      <c r="AD7155" s="6"/>
    </row>
    <row r="7156" spans="30:30" ht="12" x14ac:dyDescent="0.3">
      <c r="AD7156" s="6"/>
    </row>
    <row r="7157" spans="30:30" ht="12" x14ac:dyDescent="0.3">
      <c r="AD7157" s="6"/>
    </row>
    <row r="7158" spans="30:30" ht="12" x14ac:dyDescent="0.3">
      <c r="AD7158" s="6"/>
    </row>
    <row r="7159" spans="30:30" ht="12" x14ac:dyDescent="0.3">
      <c r="AD7159" s="6"/>
    </row>
    <row r="7160" spans="30:30" ht="12" x14ac:dyDescent="0.3">
      <c r="AD7160" s="6"/>
    </row>
    <row r="7161" spans="30:30" ht="12" x14ac:dyDescent="0.3">
      <c r="AD7161" s="6"/>
    </row>
    <row r="7162" spans="30:30" ht="12" x14ac:dyDescent="0.3">
      <c r="AD7162" s="6"/>
    </row>
    <row r="7163" spans="30:30" ht="12" x14ac:dyDescent="0.3">
      <c r="AD7163" s="6"/>
    </row>
    <row r="7164" spans="30:30" ht="12" x14ac:dyDescent="0.3">
      <c r="AD7164" s="6"/>
    </row>
    <row r="7165" spans="30:30" ht="12" x14ac:dyDescent="0.3">
      <c r="AD7165" s="6"/>
    </row>
    <row r="7166" spans="30:30" ht="12" x14ac:dyDescent="0.3">
      <c r="AD7166" s="6"/>
    </row>
    <row r="7167" spans="30:30" ht="12" x14ac:dyDescent="0.3">
      <c r="AD7167" s="6"/>
    </row>
    <row r="7168" spans="30:30" ht="12" x14ac:dyDescent="0.3">
      <c r="AD7168" s="6"/>
    </row>
    <row r="7169" spans="30:30" ht="12" x14ac:dyDescent="0.3">
      <c r="AD7169" s="6"/>
    </row>
    <row r="7170" spans="30:30" ht="12" x14ac:dyDescent="0.3">
      <c r="AD7170" s="6"/>
    </row>
    <row r="7171" spans="30:30" ht="12" x14ac:dyDescent="0.3">
      <c r="AD7171" s="6"/>
    </row>
    <row r="7172" spans="30:30" ht="12" x14ac:dyDescent="0.3">
      <c r="AD7172" s="6"/>
    </row>
    <row r="7173" spans="30:30" ht="12" x14ac:dyDescent="0.3">
      <c r="AD7173" s="6"/>
    </row>
    <row r="7174" spans="30:30" ht="12" x14ac:dyDescent="0.3">
      <c r="AD7174" s="6"/>
    </row>
    <row r="7175" spans="30:30" ht="12" x14ac:dyDescent="0.3">
      <c r="AD7175" s="6"/>
    </row>
    <row r="7176" spans="30:30" ht="12" x14ac:dyDescent="0.3">
      <c r="AD7176" s="6"/>
    </row>
    <row r="7177" spans="30:30" ht="12" x14ac:dyDescent="0.3">
      <c r="AD7177" s="6"/>
    </row>
    <row r="7178" spans="30:30" ht="12" x14ac:dyDescent="0.3">
      <c r="AD7178" s="6"/>
    </row>
    <row r="7179" spans="30:30" ht="12" x14ac:dyDescent="0.3">
      <c r="AD7179" s="6"/>
    </row>
    <row r="7180" spans="30:30" ht="12" x14ac:dyDescent="0.3">
      <c r="AD7180" s="6"/>
    </row>
    <row r="7181" spans="30:30" ht="12" x14ac:dyDescent="0.3">
      <c r="AD7181" s="6"/>
    </row>
    <row r="7182" spans="30:30" ht="12" x14ac:dyDescent="0.3">
      <c r="AD7182" s="6"/>
    </row>
    <row r="7183" spans="30:30" ht="12" x14ac:dyDescent="0.3">
      <c r="AD7183" s="6"/>
    </row>
    <row r="7184" spans="30:30" ht="12" x14ac:dyDescent="0.3">
      <c r="AD7184" s="6"/>
    </row>
    <row r="7185" spans="30:30" ht="12" x14ac:dyDescent="0.3">
      <c r="AD7185" s="6"/>
    </row>
    <row r="7186" spans="30:30" ht="12" x14ac:dyDescent="0.3">
      <c r="AD7186" s="6"/>
    </row>
    <row r="7187" spans="30:30" ht="12" x14ac:dyDescent="0.3">
      <c r="AD7187" s="6"/>
    </row>
    <row r="7188" spans="30:30" ht="12" x14ac:dyDescent="0.3">
      <c r="AD7188" s="6"/>
    </row>
    <row r="7189" spans="30:30" ht="12" x14ac:dyDescent="0.3">
      <c r="AD7189" s="6"/>
    </row>
    <row r="7190" spans="30:30" ht="12" x14ac:dyDescent="0.3">
      <c r="AD7190" s="6"/>
    </row>
    <row r="7191" spans="30:30" ht="12" x14ac:dyDescent="0.3">
      <c r="AD7191" s="6"/>
    </row>
    <row r="7192" spans="30:30" ht="12" x14ac:dyDescent="0.3">
      <c r="AD7192" s="6"/>
    </row>
    <row r="7193" spans="30:30" ht="12" x14ac:dyDescent="0.3">
      <c r="AD7193" s="6"/>
    </row>
    <row r="7194" spans="30:30" ht="12" x14ac:dyDescent="0.3">
      <c r="AD7194" s="6"/>
    </row>
    <row r="7195" spans="30:30" ht="12" x14ac:dyDescent="0.3">
      <c r="AD7195" s="6"/>
    </row>
    <row r="7196" spans="30:30" ht="12" x14ac:dyDescent="0.3">
      <c r="AD7196" s="6"/>
    </row>
    <row r="7197" spans="30:30" ht="12" x14ac:dyDescent="0.3">
      <c r="AD7197" s="6"/>
    </row>
    <row r="7198" spans="30:30" ht="12" x14ac:dyDescent="0.3">
      <c r="AD7198" s="6"/>
    </row>
    <row r="7199" spans="30:30" ht="12" x14ac:dyDescent="0.3">
      <c r="AD7199" s="6"/>
    </row>
    <row r="7200" spans="30:30" ht="12" x14ac:dyDescent="0.3">
      <c r="AD7200" s="6"/>
    </row>
    <row r="7201" spans="30:30" ht="12" x14ac:dyDescent="0.3">
      <c r="AD7201" s="6"/>
    </row>
    <row r="7202" spans="30:30" ht="12" x14ac:dyDescent="0.3">
      <c r="AD7202" s="6"/>
    </row>
    <row r="7203" spans="30:30" ht="12" x14ac:dyDescent="0.3">
      <c r="AD7203" s="6"/>
    </row>
    <row r="7204" spans="30:30" ht="12" x14ac:dyDescent="0.3">
      <c r="AD7204" s="6"/>
    </row>
    <row r="7205" spans="30:30" ht="12" x14ac:dyDescent="0.3">
      <c r="AD7205" s="6"/>
    </row>
    <row r="7206" spans="30:30" ht="12" x14ac:dyDescent="0.3">
      <c r="AD7206" s="6"/>
    </row>
    <row r="7207" spans="30:30" ht="12" x14ac:dyDescent="0.3">
      <c r="AD7207" s="6"/>
    </row>
    <row r="7208" spans="30:30" ht="12" x14ac:dyDescent="0.3">
      <c r="AD7208" s="6"/>
    </row>
    <row r="7209" spans="30:30" ht="12" x14ac:dyDescent="0.3">
      <c r="AD7209" s="6"/>
    </row>
    <row r="7210" spans="30:30" ht="12" x14ac:dyDescent="0.3">
      <c r="AD7210" s="6"/>
    </row>
    <row r="7211" spans="30:30" ht="12" x14ac:dyDescent="0.3">
      <c r="AD7211" s="6"/>
    </row>
    <row r="7212" spans="30:30" ht="12" x14ac:dyDescent="0.3">
      <c r="AD7212" s="6"/>
    </row>
    <row r="7213" spans="30:30" ht="12" x14ac:dyDescent="0.3">
      <c r="AD7213" s="6"/>
    </row>
    <row r="7214" spans="30:30" ht="12" x14ac:dyDescent="0.3">
      <c r="AD7214" s="6"/>
    </row>
    <row r="7215" spans="30:30" ht="12" x14ac:dyDescent="0.3">
      <c r="AD7215" s="6"/>
    </row>
    <row r="7216" spans="30:30" ht="12" x14ac:dyDescent="0.3">
      <c r="AD7216" s="6"/>
    </row>
    <row r="7217" spans="30:30" ht="12" x14ac:dyDescent="0.3">
      <c r="AD7217" s="6"/>
    </row>
    <row r="7218" spans="30:30" ht="12" x14ac:dyDescent="0.3">
      <c r="AD7218" s="6"/>
    </row>
    <row r="7219" spans="30:30" ht="12" x14ac:dyDescent="0.3">
      <c r="AD7219" s="6"/>
    </row>
    <row r="7220" spans="30:30" ht="12" x14ac:dyDescent="0.3">
      <c r="AD7220" s="6"/>
    </row>
    <row r="7221" spans="30:30" ht="12" x14ac:dyDescent="0.3">
      <c r="AD7221" s="6"/>
    </row>
    <row r="7222" spans="30:30" ht="12" x14ac:dyDescent="0.3">
      <c r="AD7222" s="6"/>
    </row>
    <row r="7223" spans="30:30" ht="12" x14ac:dyDescent="0.3">
      <c r="AD7223" s="6"/>
    </row>
    <row r="7224" spans="30:30" ht="12" x14ac:dyDescent="0.3">
      <c r="AD7224" s="6"/>
    </row>
    <row r="7225" spans="30:30" ht="12" x14ac:dyDescent="0.3">
      <c r="AD7225" s="6"/>
    </row>
    <row r="7226" spans="30:30" ht="12" x14ac:dyDescent="0.3">
      <c r="AD7226" s="6"/>
    </row>
    <row r="7227" spans="30:30" ht="12" x14ac:dyDescent="0.3">
      <c r="AD7227" s="6"/>
    </row>
    <row r="7228" spans="30:30" ht="12" x14ac:dyDescent="0.3">
      <c r="AD7228" s="6"/>
    </row>
    <row r="7229" spans="30:30" ht="12" x14ac:dyDescent="0.3">
      <c r="AD7229" s="6"/>
    </row>
    <row r="7230" spans="30:30" ht="12" x14ac:dyDescent="0.3">
      <c r="AD7230" s="6"/>
    </row>
  </sheetData>
  <phoneticPr fontId="3" type="noConversion"/>
  <conditionalFormatting sqref="A1:K1048576">
    <cfRule type="expression" dxfId="83" priority="4">
      <formula>IF($D1="Boss",TRUE,FALSE)</formula>
    </cfRule>
    <cfRule type="expression" dxfId="82" priority="6">
      <formula>MOD($C1,2)</formula>
    </cfRule>
  </conditionalFormatting>
  <conditionalFormatting sqref="O15:X33">
    <cfRule type="cellIs" dxfId="81" priority="1" operator="equal">
      <formula>0</formula>
    </cfRule>
    <cfRule type="cellIs" dxfId="80" priority="2" operator="greater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CCFFFF"/>
  </sheetPr>
  <dimension ref="A1:AN41"/>
  <sheetViews>
    <sheetView workbookViewId="0"/>
    <sheetView workbookViewId="1"/>
  </sheetViews>
  <sheetFormatPr defaultRowHeight="12" x14ac:dyDescent="0.3"/>
  <cols>
    <col min="1" max="1" width="9" style="160"/>
    <col min="2" max="2" width="9.5" style="160" bestFit="1" customWidth="1"/>
    <col min="3" max="3" width="9" style="160"/>
    <col min="4" max="4" width="2" style="162" customWidth="1"/>
    <col min="5" max="5" width="9" style="160"/>
    <col min="6" max="6" width="11.625" style="160" bestFit="1" customWidth="1"/>
    <col min="7" max="7" width="9" style="160"/>
    <col min="8" max="8" width="2" style="162" customWidth="1"/>
    <col min="9" max="9" width="9" style="160"/>
    <col min="10" max="10" width="13.375" style="160" bestFit="1" customWidth="1"/>
    <col min="11" max="11" width="9" style="160"/>
    <col min="12" max="12" width="2" style="162" customWidth="1"/>
    <col min="13" max="13" width="9" style="160"/>
    <col min="14" max="14" width="11.125" style="160" bestFit="1" customWidth="1"/>
    <col min="15" max="15" width="9" style="160"/>
    <col min="16" max="16" width="2" style="162" customWidth="1"/>
    <col min="17" max="17" width="9" style="160"/>
    <col min="18" max="18" width="14.375" style="160" bestFit="1" customWidth="1"/>
    <col min="19" max="19" width="9" style="160"/>
    <col min="20" max="20" width="2" style="162" customWidth="1"/>
    <col min="21" max="21" width="9" style="160"/>
    <col min="22" max="22" width="9.5" style="160" bestFit="1" customWidth="1"/>
    <col min="23" max="23" width="9" style="160"/>
    <col min="24" max="24" width="2" style="162" customWidth="1"/>
    <col min="25" max="25" width="9" style="160"/>
    <col min="26" max="26" width="11.625" style="160" bestFit="1" customWidth="1"/>
    <col min="27" max="27" width="9" style="160"/>
    <col min="28" max="28" width="2" style="162" customWidth="1"/>
    <col min="29" max="29" width="9" style="160"/>
    <col min="30" max="30" width="13.375" style="160" bestFit="1" customWidth="1"/>
    <col min="31" max="31" width="9" style="160"/>
    <col min="32" max="32" width="2" style="162" customWidth="1"/>
    <col min="33" max="33" width="9" style="160"/>
    <col min="34" max="34" width="11.125" style="160" bestFit="1" customWidth="1"/>
    <col min="35" max="35" width="9" style="160"/>
    <col min="36" max="36" width="2" style="162" customWidth="1"/>
    <col min="37" max="37" width="9" style="160"/>
    <col min="38" max="38" width="14.375" style="160" bestFit="1" customWidth="1"/>
    <col min="39" max="39" width="9" style="160"/>
    <col min="40" max="40" width="2" style="162" customWidth="1"/>
    <col min="41" max="16384" width="9" style="160"/>
  </cols>
  <sheetData>
    <row r="1" spans="1:39" x14ac:dyDescent="0.3">
      <c r="A1" s="160" t="s">
        <v>1118</v>
      </c>
      <c r="B1" s="160">
        <v>1</v>
      </c>
      <c r="E1" s="160" t="s">
        <v>1118</v>
      </c>
      <c r="I1" s="160" t="s">
        <v>1118</v>
      </c>
      <c r="M1" s="160" t="s">
        <v>1118</v>
      </c>
      <c r="N1" s="160">
        <v>4</v>
      </c>
      <c r="Q1" s="160" t="s">
        <v>1118</v>
      </c>
      <c r="R1" s="160">
        <v>5</v>
      </c>
      <c r="U1" s="160" t="s">
        <v>1118</v>
      </c>
      <c r="V1" s="160">
        <v>1</v>
      </c>
      <c r="Y1" s="160" t="s">
        <v>1118</v>
      </c>
      <c r="AC1" s="160" t="s">
        <v>1118</v>
      </c>
      <c r="AG1" s="160" t="s">
        <v>1118</v>
      </c>
      <c r="AH1" s="160">
        <v>4</v>
      </c>
      <c r="AK1" s="160" t="s">
        <v>1118</v>
      </c>
      <c r="AL1" s="160">
        <v>5</v>
      </c>
    </row>
    <row r="2" spans="1:39" x14ac:dyDescent="0.3">
      <c r="A2" s="160">
        <v>1</v>
      </c>
      <c r="B2" s="160">
        <v>1</v>
      </c>
      <c r="C2" s="160">
        <v>1</v>
      </c>
      <c r="E2" s="160">
        <v>2</v>
      </c>
      <c r="F2" s="160">
        <v>2</v>
      </c>
      <c r="G2" s="160">
        <v>2</v>
      </c>
      <c r="I2" s="160">
        <v>3</v>
      </c>
      <c r="J2" s="160">
        <v>3</v>
      </c>
      <c r="K2" s="160">
        <v>3</v>
      </c>
      <c r="M2" s="160">
        <v>4</v>
      </c>
      <c r="N2" s="160">
        <v>4</v>
      </c>
      <c r="O2" s="160">
        <v>4</v>
      </c>
      <c r="Q2" s="160">
        <v>5</v>
      </c>
      <c r="R2" s="160">
        <v>5</v>
      </c>
      <c r="S2" s="160">
        <v>5</v>
      </c>
      <c r="U2" s="160">
        <v>6</v>
      </c>
      <c r="V2" s="160">
        <v>6</v>
      </c>
      <c r="W2" s="160">
        <v>6</v>
      </c>
      <c r="Y2" s="160">
        <v>7</v>
      </c>
      <c r="Z2" s="160">
        <v>7</v>
      </c>
      <c r="AA2" s="160">
        <v>7</v>
      </c>
      <c r="AC2" s="160">
        <v>8</v>
      </c>
      <c r="AD2" s="160">
        <v>8</v>
      </c>
      <c r="AE2" s="160">
        <v>8</v>
      </c>
      <c r="AG2" s="160">
        <v>9</v>
      </c>
      <c r="AH2" s="160">
        <v>9</v>
      </c>
      <c r="AI2" s="160">
        <v>9</v>
      </c>
      <c r="AK2" s="160">
        <v>10</v>
      </c>
      <c r="AL2" s="160">
        <v>10</v>
      </c>
      <c r="AM2" s="160">
        <v>10</v>
      </c>
    </row>
    <row r="3" spans="1:39" x14ac:dyDescent="0.3">
      <c r="A3" s="160">
        <v>1</v>
      </c>
      <c r="B3" s="160">
        <v>2</v>
      </c>
      <c r="C3" s="160">
        <v>3</v>
      </c>
      <c r="E3" s="160">
        <v>1</v>
      </c>
      <c r="F3" s="160">
        <v>2</v>
      </c>
      <c r="G3" s="160">
        <v>3</v>
      </c>
      <c r="I3" s="160">
        <v>1</v>
      </c>
      <c r="J3" s="160">
        <v>2</v>
      </c>
      <c r="K3" s="160">
        <v>3</v>
      </c>
      <c r="M3" s="160">
        <v>1</v>
      </c>
      <c r="N3" s="160">
        <v>2</v>
      </c>
      <c r="O3" s="160">
        <v>3</v>
      </c>
      <c r="Q3" s="160">
        <v>1</v>
      </c>
      <c r="R3" s="160">
        <v>2</v>
      </c>
      <c r="S3" s="160">
        <v>3</v>
      </c>
      <c r="U3" s="160">
        <v>1</v>
      </c>
      <c r="V3" s="160">
        <v>2</v>
      </c>
      <c r="W3" s="160">
        <v>3</v>
      </c>
      <c r="Y3" s="160">
        <v>1</v>
      </c>
      <c r="Z3" s="160">
        <v>2</v>
      </c>
      <c r="AA3" s="160">
        <v>3</v>
      </c>
      <c r="AC3" s="160">
        <v>1</v>
      </c>
      <c r="AD3" s="160">
        <v>2</v>
      </c>
      <c r="AE3" s="160">
        <v>3</v>
      </c>
      <c r="AG3" s="160">
        <v>1</v>
      </c>
      <c r="AH3" s="160">
        <v>2</v>
      </c>
      <c r="AI3" s="160">
        <v>3</v>
      </c>
      <c r="AK3" s="160">
        <v>1</v>
      </c>
      <c r="AL3" s="160">
        <v>2</v>
      </c>
      <c r="AM3" s="160">
        <v>3</v>
      </c>
    </row>
    <row r="4" spans="1:39" s="161" customFormat="1" x14ac:dyDescent="0.3">
      <c r="A4" s="161" t="s">
        <v>0</v>
      </c>
      <c r="B4" s="161" t="s">
        <v>4</v>
      </c>
      <c r="C4" s="161" t="s">
        <v>1119</v>
      </c>
      <c r="E4" s="161" t="s">
        <v>0</v>
      </c>
      <c r="F4" s="161" t="s">
        <v>4</v>
      </c>
      <c r="G4" s="161" t="s">
        <v>1119</v>
      </c>
      <c r="I4" s="161" t="s">
        <v>0</v>
      </c>
      <c r="J4" s="161" t="s">
        <v>4</v>
      </c>
      <c r="K4" s="161" t="s">
        <v>1119</v>
      </c>
      <c r="M4" s="161" t="s">
        <v>0</v>
      </c>
      <c r="N4" s="161" t="s">
        <v>4</v>
      </c>
      <c r="O4" s="161" t="s">
        <v>1119</v>
      </c>
      <c r="Q4" s="161" t="s">
        <v>0</v>
      </c>
      <c r="R4" s="161" t="s">
        <v>4</v>
      </c>
      <c r="S4" s="161" t="s">
        <v>1119</v>
      </c>
      <c r="U4" s="161" t="s">
        <v>0</v>
      </c>
      <c r="V4" s="161" t="s">
        <v>4</v>
      </c>
      <c r="W4" s="161" t="s">
        <v>1119</v>
      </c>
      <c r="Y4" s="161" t="s">
        <v>0</v>
      </c>
      <c r="Z4" s="161" t="s">
        <v>4</v>
      </c>
      <c r="AA4" s="161" t="s">
        <v>1119</v>
      </c>
      <c r="AC4" s="161" t="s">
        <v>0</v>
      </c>
      <c r="AD4" s="161" t="s">
        <v>4</v>
      </c>
      <c r="AE4" s="161" t="s">
        <v>1119</v>
      </c>
      <c r="AG4" s="161" t="s">
        <v>0</v>
      </c>
      <c r="AH4" s="161" t="s">
        <v>4</v>
      </c>
      <c r="AI4" s="161" t="s">
        <v>1119</v>
      </c>
      <c r="AK4" s="161" t="s">
        <v>0</v>
      </c>
      <c r="AL4" s="161" t="s">
        <v>4</v>
      </c>
      <c r="AM4" s="161" t="s">
        <v>1119</v>
      </c>
    </row>
    <row r="5" spans="1:39" x14ac:dyDescent="0.3">
      <c r="A5" s="160">
        <f t="array" ref="A5">IFERROR(INDEX(CupetList!$A:$G,SMALL(IF(CupetList!$G:$G=A$2,ROW(CupetList!$G:$G)),ROW()-4),A$3),"")</f>
        <v>55002</v>
      </c>
      <c r="B5" s="160" t="str">
        <f t="array" ref="B5">IFERROR(INDEX(CupetList!$A:$G,SMALL(IF(CupetList!$G:$G=B$2,ROW(CupetList!$G:$G)),ROW()-4),B$3),"")</f>
        <v>파브르</v>
      </c>
      <c r="C5" s="160">
        <f t="array" ref="C5">IFERROR(INDEX(CupetList!$A:$G,SMALL(IF(CupetList!$G:$G=C$2,ROW(CupetList!$G:$G)),ROW()-4),C$3),"")</f>
        <v>2</v>
      </c>
      <c r="E5" s="160">
        <f t="array" ref="E5">IFERROR(INDEX(CupetList!$A:$G,SMALL(IF(CupetList!$G:$G=E$2,ROW(CupetList!$G:$G)),ROW()-4),E$3),"")</f>
        <v>55001</v>
      </c>
      <c r="F5" s="160" t="str">
        <f t="array" ref="F5">IFERROR(INDEX(CupetList!$A:$G,SMALL(IF(CupetList!$G:$G=F$2,ROW(CupetList!$G:$G)),ROW()-4),F$3),"")</f>
        <v>포링</v>
      </c>
      <c r="G5" s="160">
        <f t="array" ref="G5">IFERROR(INDEX(CupetList!$A:$G,SMALL(IF(CupetList!$G:$G=G$2,ROW(CupetList!$G:$G)),ROW()-4),G$3),"")</f>
        <v>2</v>
      </c>
      <c r="I5" s="160">
        <f t="array" ref="I5">IFERROR(INDEX(CupetList!$A:$G,SMALL(IF(CupetList!$G:$G=I$2,ROW(CupetList!$G:$G)),ROW()-4),I$3),"")</f>
        <v>55006</v>
      </c>
      <c r="J5" s="160" t="str">
        <f t="array" ref="J5">IFERROR(INDEX(CupetList!$A:$G,SMALL(IF(CupetList!$G:$G=J$2,ROW(CupetList!$G:$G)),ROW()-4),J$3),"")</f>
        <v>보컬</v>
      </c>
      <c r="K5" s="160">
        <f t="array" ref="K5">IFERROR(INDEX(CupetList!$A:$G,SMALL(IF(CupetList!$G:$G=K$2,ROW(CupetList!$G:$G)),ROW()-4),K$3),"")</f>
        <v>2</v>
      </c>
      <c r="M5" s="160">
        <f t="array" ref="M5">IFERROR(INDEX(CupetList!$A:$G,SMALL(IF(CupetList!$G:$G=M$2,ROW(CupetList!$G:$G)),ROW()-4),M$3),"")</f>
        <v>55078</v>
      </c>
      <c r="N5" s="160" t="str">
        <f t="array" ref="N5">IFERROR(INDEX(CupetList!$A:$G,SMALL(IF(CupetList!$G:$G=N$2,ROW(CupetList!$G:$G)),ROW()-4),N$3),"")</f>
        <v>세일러 스컬</v>
      </c>
      <c r="O5" s="160">
        <f t="array" ref="O5">IFERROR(INDEX(CupetList!$A:$G,SMALL(IF(CupetList!$G:$G=O$2,ROW(CupetList!$G:$G)),ROW()-4),O$3),"")</f>
        <v>1</v>
      </c>
      <c r="Q5" s="160">
        <f t="array" ref="Q5">IFERROR(INDEX(CupetList!$A:$G,SMALL(IF(CupetList!$G:$G=Q$2,ROW(CupetList!$G:$G)),ROW()-4),Q$3),"")</f>
        <v>55077</v>
      </c>
      <c r="R5" s="160" t="str">
        <f t="array" ref="R5">IFERROR(INDEX(CupetList!$A:$G,SMALL(IF(CupetList!$G:$G=R$2,ROW(CupetList!$G:$G)),ROW()-4),R$3),"")</f>
        <v>고스트링</v>
      </c>
      <c r="S5" s="160">
        <f t="array" ref="S5">IFERROR(INDEX(CupetList!$A:$G,SMALL(IF(CupetList!$G:$G=S$2,ROW(CupetList!$G:$G)),ROW()-4),S$3),"")</f>
        <v>1</v>
      </c>
      <c r="U5" s="160">
        <f t="array" ref="U5">IFERROR(INDEX(CupetList!$A:$G,SMALL(IF(CupetList!$G:$G=U$2,ROW(CupetList!$G:$G)),ROW()-4),U$3),"")</f>
        <v>55041</v>
      </c>
      <c r="V5" s="160" t="str">
        <f t="array" ref="V5">IFERROR(INDEX(CupetList!$A:$G,SMALL(IF(CupetList!$G:$G=V$2,ROW(CupetList!$G:$G)),ROW()-4),V$3),"")</f>
        <v>크램프</v>
      </c>
      <c r="W5" s="160">
        <f t="array" ref="W5">IFERROR(INDEX(CupetList!$A:$G,SMALL(IF(CupetList!$G:$G=W$2,ROW(CupetList!$G:$G)),ROW()-4),W$3),"")</f>
        <v>8</v>
      </c>
      <c r="Y5" s="160">
        <f t="array" ref="Y5">IFERROR(INDEX(CupetList!$A:$G,SMALL(IF(CupetList!$G:$G=Y$2,ROW(CupetList!$G:$G)),ROW()-4),Y$3),"")</f>
        <v>55007</v>
      </c>
      <c r="Z5" s="160" t="str">
        <f t="array" ref="Z5">IFERROR(INDEX(CupetList!$A:$G,SMALL(IF(CupetList!$G:$G=Z$2,ROW(CupetList!$G:$G)),ROW()-4),Z$3),"")</f>
        <v>이클립스</v>
      </c>
      <c r="AA5" s="160">
        <f t="array" ref="AA5">IFERROR(INDEX(CupetList!$A:$G,SMALL(IF(CupetList!$G:$G=AA$2,ROW(CupetList!$G:$G)),ROW()-4),AA$3),"")</f>
        <v>2</v>
      </c>
      <c r="AC5" s="160">
        <f t="array" ref="AC5">IFERROR(INDEX(CupetList!$A:$G,SMALL(IF(CupetList!$G:$G=AC$2,ROW(CupetList!$G:$G)),ROW()-4),AC$3),"")</f>
        <v>55088</v>
      </c>
      <c r="AD5" s="160" t="str">
        <f t="array" ref="AD5">IFERROR(INDEX(CupetList!$A:$G,SMALL(IF(CupetList!$G:$G=AD$2,ROW(CupetList!$G:$G)),ROW()-4),AD$3),"")</f>
        <v>오시리스</v>
      </c>
      <c r="AE5" s="160">
        <f t="array" ref="AE5">IFERROR(INDEX(CupetList!$A:$G,SMALL(IF(CupetList!$G:$G=AE$2,ROW(CupetList!$G:$G)),ROW()-4),AE$3),"")</f>
        <v>7</v>
      </c>
      <c r="AG5" s="160">
        <f t="array" ref="AG5">IFERROR(INDEX(CupetList!$A:$G,SMALL(IF(CupetList!$G:$G=AG$2,ROW(CupetList!$G:$G)),ROW()-4),AG$3),"")</f>
        <v>55080</v>
      </c>
      <c r="AH5" s="160" t="str">
        <f t="array" ref="AH5">IFERROR(INDEX(CupetList!$A:$G,SMALL(IF(CupetList!$G:$G=AH$2,ROW(CupetList!$G:$G)),ROW()-4),AH$3),"")</f>
        <v>드레이크</v>
      </c>
      <c r="AI5" s="160">
        <f t="array" ref="AI5">IFERROR(INDEX(CupetList!$A:$G,SMALL(IF(CupetList!$G:$G=AI$2,ROW(CupetList!$G:$G)),ROW()-4),AI$3),"")</f>
        <v>1</v>
      </c>
      <c r="AK5" s="160">
        <f t="array" ref="AK5">IFERROR(INDEX(CupetList!$A:$G,SMALL(IF(CupetList!$G:$G=AK$2,ROW(CupetList!$G:$G)),ROW()-4),AK$3),"")</f>
        <v>55096</v>
      </c>
      <c r="AL5" s="160" t="str">
        <f t="array" ref="AL5">IFERROR(INDEX(CupetList!$A:$G,SMALL(IF(CupetList!$G:$G=AL$2,ROW(CupetList!$G:$G)),ROW()-4),AL$3),"")</f>
        <v>이프리트</v>
      </c>
      <c r="AM5" s="160">
        <f t="array" ref="AM5">IFERROR(INDEX(CupetList!$A:$G,SMALL(IF(CupetList!$G:$G=AM$2,ROW(CupetList!$G:$G)),ROW()-4),AM$3),"")</f>
        <v>13</v>
      </c>
    </row>
    <row r="6" spans="1:39" x14ac:dyDescent="0.3">
      <c r="A6" s="160">
        <f t="array" ref="A6">IFERROR(INDEX(CupetList!$A:$G,SMALL(IF(CupetList!$G:$G=A$2,ROW(CupetList!$G:$G)),ROW()-4),A$3),"")</f>
        <v>55003</v>
      </c>
      <c r="B6" s="160" t="str">
        <f t="array" ref="B6">IFERROR(INDEX(CupetList!$A:$G,SMALL(IF(CupetList!$G:$G=B$2,ROW(CupetList!$G:$G)),ROW()-4),B$3),"")</f>
        <v>루나틱</v>
      </c>
      <c r="C6" s="160">
        <f t="array" ref="C6">IFERROR(INDEX(CupetList!$A:$G,SMALL(IF(CupetList!$G:$G=C$2,ROW(CupetList!$G:$G)),ROW()-4),C$3),"")</f>
        <v>2</v>
      </c>
      <c r="E6" s="160">
        <f t="array" ref="E6">IFERROR(INDEX(CupetList!$A:$G,SMALL(IF(CupetList!$G:$G=E$2,ROW(CupetList!$G:$G)),ROW()-4),E$3),"")</f>
        <v>55005</v>
      </c>
      <c r="F6" s="160" t="str">
        <f t="array" ref="F6">IFERROR(INDEX(CupetList!$A:$G,SMALL(IF(CupetList!$G:$G=F$2,ROW(CupetList!$G:$G)),ROW()-4),F$3),"")</f>
        <v>로커</v>
      </c>
      <c r="G6" s="160">
        <f t="array" ref="G6">IFERROR(INDEX(CupetList!$A:$G,SMALL(IF(CupetList!$G:$G=G$2,ROW(CupetList!$G:$G)),ROW()-4),G$3),"")</f>
        <v>2</v>
      </c>
      <c r="I6" s="160">
        <f t="array" ref="I6">IFERROR(INDEX(CupetList!$A:$G,SMALL(IF(CupetList!$G:$G=I$2,ROW(CupetList!$G:$G)),ROW()-4),I$3),"")</f>
        <v>55019</v>
      </c>
      <c r="J6" s="160" t="str">
        <f t="array" ref="J6">IFERROR(INDEX(CupetList!$A:$G,SMALL(IF(CupetList!$G:$G=J$2,ROW(CupetList!$G:$G)),ROW()-4),J$3),"")</f>
        <v>윌로우</v>
      </c>
      <c r="K6" s="160">
        <f t="array" ref="K6">IFERROR(INDEX(CupetList!$A:$G,SMALL(IF(CupetList!$G:$G=K$2,ROW(CupetList!$G:$G)),ROW()-4),K$3),"")</f>
        <v>4.5</v>
      </c>
      <c r="M6" s="160">
        <f t="array" ref="M6">IFERROR(INDEX(CupetList!$A:$G,SMALL(IF(CupetList!$G:$G=M$2,ROW(CupetList!$G:$G)),ROW()-4),M$3),"")</f>
        <v>55079</v>
      </c>
      <c r="N6" s="160" t="str">
        <f t="array" ref="N6">IFERROR(INDEX(CupetList!$A:$G,SMALL(IF(CupetList!$G:$G=N$2,ROW(CupetList!$G:$G)),ROW()-4),N$3),"")</f>
        <v>파이어럿 스켈</v>
      </c>
      <c r="O6" s="160">
        <f t="array" ref="O6">IFERROR(INDEX(CupetList!$A:$G,SMALL(IF(CupetList!$G:$G=O$2,ROW(CupetList!$G:$G)),ROW()-4),O$3),"")</f>
        <v>1</v>
      </c>
      <c r="Q6" s="160">
        <f t="array" ref="Q6">IFERROR(INDEX(CupetList!$A:$G,SMALL(IF(CupetList!$G:$G=Q$2,ROW(CupetList!$G:$G)),ROW()-4),Q$3),"")</f>
        <v>55027</v>
      </c>
      <c r="R6" s="160" t="str">
        <f t="array" ref="R6">IFERROR(INDEX(CupetList!$A:$G,SMALL(IF(CupetList!$G:$G=R$2,ROW(CupetList!$G:$G)),ROW()-4),R$3),"")</f>
        <v>페코페코</v>
      </c>
      <c r="S6" s="160">
        <f t="array" ref="S6">IFERROR(INDEX(CupetList!$A:$G,SMALL(IF(CupetList!$G:$G=S$2,ROW(CupetList!$G:$G)),ROW()-4),S$3),"")</f>
        <v>6</v>
      </c>
      <c r="U6" s="160">
        <f t="array" ref="U6">IFERROR(INDEX(CupetList!$A:$G,SMALL(IF(CupetList!$G:$G=U$2,ROW(CupetList!$G:$G)),ROW()-4),U$3),"")</f>
        <v>55075</v>
      </c>
      <c r="V6" s="160" t="str">
        <f t="array" ref="V6">IFERROR(INDEX(CupetList!$A:$G,SMALL(IF(CupetList!$G:$G=V$2,ROW(CupetList!$G:$G)),ROW()-4),V$3),"")</f>
        <v>오크 아처</v>
      </c>
      <c r="W6" s="160">
        <f t="array" ref="W6">IFERROR(INDEX(CupetList!$A:$G,SMALL(IF(CupetList!$G:$G=W$2,ROW(CupetList!$G:$G)),ROW()-4),W$3),"")</f>
        <v>9</v>
      </c>
      <c r="Y6" s="160">
        <f t="array" ref="Y6">IFERROR(INDEX(CupetList!$A:$G,SMALL(IF(CupetList!$G:$G=Y$2,ROW(CupetList!$G:$G)),ROW()-4),Y$3),"")</f>
        <v>55012</v>
      </c>
      <c r="Z6" s="160" t="str">
        <f t="array" ref="Z6">IFERROR(INDEX(CupetList!$A:$G,SMALL(IF(CupetList!$G:$G=Z$2,ROW(CupetList!$G:$G)),ROW()-4),Z$3),"")</f>
        <v>황금 도둑벌레</v>
      </c>
      <c r="AA6" s="160">
        <f t="array" ref="AA6">IFERROR(INDEX(CupetList!$A:$G,SMALL(IF(CupetList!$G:$G=AA$2,ROW(CupetList!$G:$G)),ROW()-4),AA$3),"")</f>
        <v>3</v>
      </c>
      <c r="AC6" s="160">
        <f t="array" ref="AC6">IFERROR(INDEX(CupetList!$A:$G,SMALL(IF(CupetList!$G:$G=AC$2,ROW(CupetList!$G:$G)),ROW()-4),AC$3),"")</f>
        <v>55089</v>
      </c>
      <c r="AD6" s="160" t="str">
        <f t="array" ref="AD6">IFERROR(INDEX(CupetList!$A:$G,SMALL(IF(CupetList!$G:$G=AD$2,ROW(CupetList!$G:$G)),ROW()-4),AD$3),"")</f>
        <v>오크 로드</v>
      </c>
      <c r="AE6" s="160">
        <f t="array" ref="AE6">IFERROR(INDEX(CupetList!$A:$G,SMALL(IF(CupetList!$G:$G=AE$2,ROW(CupetList!$G:$G)),ROW()-4),AE$3),"")</f>
        <v>8</v>
      </c>
      <c r="AG6" s="160">
        <f t="array" ref="AG6">IFERROR(INDEX(CupetList!$A:$G,SMALL(IF(CupetList!$G:$G=AG$2,ROW(CupetList!$G:$G)),ROW()-4),AG$3),"")</f>
        <v>55092</v>
      </c>
      <c r="AH6" s="160" t="str">
        <f t="array" ref="AH6">IFERROR(INDEX(CupetList!$A:$G,SMALL(IF(CupetList!$G:$G=AH$2,ROW(CupetList!$G:$G)),ROW()-4),AH$3),"")</f>
        <v>아트로스</v>
      </c>
      <c r="AI6" s="160">
        <f t="array" ref="AI6">IFERROR(INDEX(CupetList!$A:$G,SMALL(IF(CupetList!$G:$G=AI$2,ROW(CupetList!$G:$G)),ROW()-4),AI$3),"")</f>
        <v>12</v>
      </c>
      <c r="AK6" s="160">
        <f t="array" ref="AK6">IFERROR(INDEX(CupetList!$A:$G,SMALL(IF(CupetList!$G:$G=AK$2,ROW(CupetList!$G:$G)),ROW()-4),AK$3),"")</f>
        <v>55071</v>
      </c>
      <c r="AL6" s="160" t="str">
        <f t="array" ref="AL6">IFERROR(INDEX(CupetList!$A:$G,SMALL(IF(CupetList!$G:$G=AL$2,ROW(CupetList!$G:$G)),ROW()-4),AL$3),"")</f>
        <v>타니 아가씨</v>
      </c>
      <c r="AM6" s="160" t="str">
        <f t="array" ref="AM6">IFERROR(INDEX(CupetList!$A:$G,SMALL(IF(CupetList!$G:$G=AM$2,ROW(CupetList!$G:$G)),ROW()-4),AM$3),"")</f>
        <v>경험치 던전</v>
      </c>
    </row>
    <row r="7" spans="1:39" x14ac:dyDescent="0.3">
      <c r="A7" s="160">
        <f t="array" ref="A7">IFERROR(INDEX(CupetList!$A:$G,SMALL(IF(CupetList!$G:$G=A$2,ROW(CupetList!$G:$G)),ROW()-4),A$3),"")</f>
        <v>55004</v>
      </c>
      <c r="B7" s="160" t="str">
        <f t="array" ref="B7">IFERROR(INDEX(CupetList!$A:$G,SMALL(IF(CupetList!$G:$G=B$2,ROW(CupetList!$G:$G)),ROW()-4),B$3),"")</f>
        <v>로다 프로그</v>
      </c>
      <c r="C7" s="160">
        <f t="array" ref="C7">IFERROR(INDEX(CupetList!$A:$G,SMALL(IF(CupetList!$G:$G=C$2,ROW(CupetList!$G:$G)),ROW()-4),C$3),"")</f>
        <v>2</v>
      </c>
      <c r="E7" s="160">
        <f t="array" ref="E7">IFERROR(INDEX(CupetList!$A:$G,SMALL(IF(CupetList!$G:$G=E$2,ROW(CupetList!$G:$G)),ROW()-4),E$3),"")</f>
        <v>55009</v>
      </c>
      <c r="F7" s="160" t="str">
        <f t="array" ref="F7">IFERROR(INDEX(CupetList!$A:$G,SMALL(IF(CupetList!$G:$G=F$2,ROW(CupetList!$G:$G)),ROW()-4),F$3),"")</f>
        <v>퍼밀리어</v>
      </c>
      <c r="G7" s="160">
        <f t="array" ref="G7">IFERROR(INDEX(CupetList!$A:$G,SMALL(IF(CupetList!$G:$G=G$2,ROW(CupetList!$G:$G)),ROW()-4),G$3),"")</f>
        <v>3</v>
      </c>
      <c r="I7" s="160">
        <f t="array" ref="I7">IFERROR(INDEX(CupetList!$A:$G,SMALL(IF(CupetList!$G:$G=I$2,ROW(CupetList!$G:$G)),ROW()-4),I$3),"")</f>
        <v>55025</v>
      </c>
      <c r="J7" s="160" t="str">
        <f t="array" ref="J7">IFERROR(INDEX(CupetList!$A:$G,SMALL(IF(CupetList!$G:$G=J$2,ROW(CupetList!$G:$G)),ROW()-4),J$3),"")</f>
        <v>드래곤 플라이</v>
      </c>
      <c r="K7" s="160">
        <f t="array" ref="K7">IFERROR(INDEX(CupetList!$A:$G,SMALL(IF(CupetList!$G:$G=K$2,ROW(CupetList!$G:$G)),ROW()-4),K$3),"")</f>
        <v>6</v>
      </c>
      <c r="M7" s="160">
        <f t="array" ref="M7">IFERROR(INDEX(CupetList!$A:$G,SMALL(IF(CupetList!$G:$G=M$2,ROW(CupetList!$G:$G)),ROW()-4),M$3),"")</f>
        <v>55021</v>
      </c>
      <c r="N7" s="160" t="str">
        <f t="array" ref="N7">IFERROR(INDEX(CupetList!$A:$G,SMALL(IF(CupetList!$G:$G=N$2,ROW(CupetList!$G:$G)),ROW()-4),N$3),"")</f>
        <v>빅풋</v>
      </c>
      <c r="O7" s="160">
        <f t="array" ref="O7">IFERROR(INDEX(CupetList!$A:$G,SMALL(IF(CupetList!$G:$G=O$2,ROW(CupetList!$G:$G)),ROW()-4),O$3),"")</f>
        <v>5</v>
      </c>
      <c r="Q7" s="160">
        <f t="array" ref="Q7">IFERROR(INDEX(CupetList!$A:$G,SMALL(IF(CupetList!$G:$G=Q$2,ROW(CupetList!$G:$G)),ROW()-4),Q$3),"")</f>
        <v>55038</v>
      </c>
      <c r="R7" s="160" t="str">
        <f t="array" ref="R7">IFERROR(INDEX(CupetList!$A:$G,SMALL(IF(CupetList!$G:$G=R$2,ROW(CupetList!$G:$G)),ROW()-4),R$3),"")</f>
        <v>타라 프로그</v>
      </c>
      <c r="S7" s="160">
        <f t="array" ref="S7">IFERROR(INDEX(CupetList!$A:$G,SMALL(IF(CupetList!$G:$G=S$2,ROW(CupetList!$G:$G)),ROW()-4),S$3),"")</f>
        <v>8</v>
      </c>
      <c r="U7" s="160">
        <f t="array" ref="U7">IFERROR(INDEX(CupetList!$A:$G,SMALL(IF(CupetList!$G:$G=U$2,ROW(CupetList!$G:$G)),ROW()-4),U$3),"")</f>
        <v>55053</v>
      </c>
      <c r="V7" s="160" t="str">
        <f t="array" ref="V7">IFERROR(INDEX(CupetList!$A:$G,SMALL(IF(CupetList!$G:$G=V$2,ROW(CupetList!$G:$G)),ROW()-4),V$3),"")</f>
        <v>쵸코</v>
      </c>
      <c r="W7" s="160">
        <f t="array" ref="W7">IFERROR(INDEX(CupetList!$A:$G,SMALL(IF(CupetList!$G:$G=W$2,ROW(CupetList!$G:$G)),ROW()-4),W$3),"")</f>
        <v>10</v>
      </c>
      <c r="Y7" s="160">
        <f t="array" ref="Y7">IFERROR(INDEX(CupetList!$A:$G,SMALL(IF(CupetList!$G:$G=Y$2,ROW(CupetList!$G:$G)),ROW()-4),Y$3),"")</f>
        <v>55085</v>
      </c>
      <c r="Z7" s="160" t="str">
        <f t="array" ref="Z7">IFERROR(INDEX(CupetList!$A:$G,SMALL(IF(CupetList!$G:$G=Z$2,ROW(CupetList!$G:$G)),ROW()-4),Z$3),"")</f>
        <v>세비지</v>
      </c>
      <c r="AA7" s="160">
        <f t="array" ref="AA7">IFERROR(INDEX(CupetList!$A:$G,SMALL(IF(CupetList!$G:$G=AA$2,ROW(CupetList!$G:$G)),ROW()-4),AA$3),"")</f>
        <v>4</v>
      </c>
      <c r="AC7" s="160">
        <f t="array" ref="AC7">IFERROR(INDEX(CupetList!$A:$G,SMALL(IF(CupetList!$G:$G=AC$2,ROW(CupetList!$G:$G)),ROW()-4),AC$3),"")</f>
        <v>55076</v>
      </c>
      <c r="AD7" s="160" t="str">
        <f t="array" ref="AD7">IFERROR(INDEX(CupetList!$A:$G,SMALL(IF(CupetList!$G:$G=AD$2,ROW(CupetList!$G:$G)),ROW()-4),AD$3),"")</f>
        <v>오크 히어로</v>
      </c>
      <c r="AE7" s="160">
        <f t="array" ref="AE7">IFERROR(INDEX(CupetList!$A:$G,SMALL(IF(CupetList!$G:$G=AE$2,ROW(CupetList!$G:$G)),ROW()-4),AE$3),"")</f>
        <v>9</v>
      </c>
      <c r="AG7" s="160">
        <f t="array" ref="AG7">IFERROR(INDEX(CupetList!$A:$G,SMALL(IF(CupetList!$G:$G=AG$2,ROW(CupetList!$G:$G)),ROW()-4),AG$3),"")</f>
        <v>55050</v>
      </c>
      <c r="AH7" s="160" t="str">
        <f t="array" ref="AH7">IFERROR(INDEX(CupetList!$A:$G,SMALL(IF(CupetList!$G:$G=AH$2,ROW(CupetList!$G:$G)),ROW()-4),AH$3),"")</f>
        <v>고블린 리더</v>
      </c>
      <c r="AI7" s="160" t="str">
        <f t="array" ref="AI7">IFERROR(INDEX(CupetList!$A:$G,SMALL(IF(CupetList!$G:$G=AI$2,ROW(CupetList!$G:$G)),ROW()-4),AI$3),"")</f>
        <v>장비 던전</v>
      </c>
      <c r="AK7" s="160" t="str">
        <f t="array" ref="AK7">IFERROR(INDEX(CupetList!$A:$G,SMALL(IF(CupetList!$G:$G=AK$2,ROW(CupetList!$G:$G)),ROW()-4),AK$3),"")</f>
        <v/>
      </c>
      <c r="AL7" s="160" t="str">
        <f t="array" ref="AL7">IFERROR(INDEX(CupetList!$A:$G,SMALL(IF(CupetList!$G:$G=AL$2,ROW(CupetList!$G:$G)),ROW()-4),AL$3),"")</f>
        <v/>
      </c>
      <c r="AM7" s="160" t="str">
        <f t="array" ref="AM7">IFERROR(INDEX(CupetList!$A:$G,SMALL(IF(CupetList!$G:$G=AM$2,ROW(CupetList!$G:$G)),ROW()-4),AM$3),"")</f>
        <v/>
      </c>
    </row>
    <row r="8" spans="1:39" x14ac:dyDescent="0.3">
      <c r="A8" s="160">
        <f t="array" ref="A8">IFERROR(INDEX(CupetList!$A:$G,SMALL(IF(CupetList!$G:$G=A$2,ROW(CupetList!$G:$G)),ROW()-4),A$3),"")</f>
        <v>55008</v>
      </c>
      <c r="B8" s="160" t="str">
        <f t="array" ref="B8">IFERROR(INDEX(CupetList!$A:$G,SMALL(IF(CupetList!$G:$G=B$2,ROW(CupetList!$G:$G)),ROW()-4),B$3),"")</f>
        <v>도둑벌레</v>
      </c>
      <c r="C8" s="160">
        <f t="array" ref="C8">IFERROR(INDEX(CupetList!$A:$G,SMALL(IF(CupetList!$G:$G=C$2,ROW(CupetList!$G:$G)),ROW()-4),C$3),"")</f>
        <v>3</v>
      </c>
      <c r="E8" s="160">
        <f t="array" ref="E8">IFERROR(INDEX(CupetList!$A:$G,SMALL(IF(CupetList!$G:$G=E$2,ROW(CupetList!$G:$G)),ROW()-4),E$3),"")</f>
        <v>55010</v>
      </c>
      <c r="F8" s="160" t="str">
        <f t="array" ref="F8">IFERROR(INDEX(CupetList!$A:$G,SMALL(IF(CupetList!$G:$G=F$2,ROW(CupetList!$G:$G)),ROW()-4),F$3),"")</f>
        <v>암컷 도둑벌레</v>
      </c>
      <c r="G8" s="160">
        <f t="array" ref="G8">IFERROR(INDEX(CupetList!$A:$G,SMALL(IF(CupetList!$G:$G=G$2,ROW(CupetList!$G:$G)),ROW()-4),G$3),"")</f>
        <v>3</v>
      </c>
      <c r="I8" s="160">
        <f t="array" ref="I8">IFERROR(INDEX(CupetList!$A:$G,SMALL(IF(CupetList!$G:$G=I$2,ROW(CupetList!$G:$G)),ROW()-4),I$3),"")</f>
        <v>55026</v>
      </c>
      <c r="J8" s="160" t="str">
        <f t="array" ref="J8">IFERROR(INDEX(CupetList!$A:$G,SMALL(IF(CupetList!$G:$G=J$2,ROW(CupetList!$G:$G)),ROW()-4),J$3),"")</f>
        <v>울프</v>
      </c>
      <c r="K8" s="160">
        <f t="array" ref="K8">IFERROR(INDEX(CupetList!$A:$G,SMALL(IF(CupetList!$G:$G=K$2,ROW(CupetList!$G:$G)),ROW()-4),K$3),"")</f>
        <v>6</v>
      </c>
      <c r="M8" s="160">
        <f t="array" ref="M8">IFERROR(INDEX(CupetList!$A:$G,SMALL(IF(CupetList!$G:$G=M$2,ROW(CupetList!$G:$G)),ROW()-4),M$3),"")</f>
        <v>55029</v>
      </c>
      <c r="N8" s="160" t="str">
        <f t="array" ref="N8">IFERROR(INDEX(CupetList!$A:$G,SMALL(IF(CupetList!$G:$G=N$2,ROW(CupetList!$G:$G)),ROW()-4),N$3),"")</f>
        <v>떠돌이 늑대</v>
      </c>
      <c r="O8" s="160">
        <f t="array" ref="O8">IFERROR(INDEX(CupetList!$A:$G,SMALL(IF(CupetList!$G:$G=O$2,ROW(CupetList!$G:$G)),ROW()-4),O$3),"")</f>
        <v>6</v>
      </c>
      <c r="Q8" s="160">
        <f t="array" ref="Q8">IFERROR(INDEX(CupetList!$A:$G,SMALL(IF(CupetList!$G:$G=Q$2,ROW(CupetList!$G:$G)),ROW()-4),Q$3),"")</f>
        <v>55074</v>
      </c>
      <c r="R8" s="160" t="str">
        <f t="array" ref="R8">IFERROR(INDEX(CupetList!$A:$G,SMALL(IF(CupetList!$G:$G=R$2,ROW(CupetList!$G:$G)),ROW()-4),R$3),"")</f>
        <v>오크 레이디</v>
      </c>
      <c r="S8" s="160">
        <f t="array" ref="S8">IFERROR(INDEX(CupetList!$A:$G,SMALL(IF(CupetList!$G:$G=S$2,ROW(CupetList!$G:$G)),ROW()-4),S$3),"")</f>
        <v>9</v>
      </c>
      <c r="U8" s="160">
        <f t="array" ref="U8">IFERROR(INDEX(CupetList!$A:$G,SMALL(IF(CupetList!$G:$G=U$2,ROW(CupetList!$G:$G)),ROW()-4),U$3),"")</f>
        <v>55055</v>
      </c>
      <c r="V8" s="160" t="str">
        <f t="array" ref="V8">IFERROR(INDEX(CupetList!$A:$G,SMALL(IF(CupetList!$G:$G=V$2,ROW(CupetList!$G:$G)),ROW()-4),V$3),"")</f>
        <v>갈라파고</v>
      </c>
      <c r="W8" s="160">
        <f t="array" ref="W8">IFERROR(INDEX(CupetList!$A:$G,SMALL(IF(CupetList!$G:$G=W$2,ROW(CupetList!$G:$G)),ROW()-4),W$3),"")</f>
        <v>11</v>
      </c>
      <c r="Y8" s="160">
        <f t="array" ref="Y8">IFERROR(INDEX(CupetList!$A:$G,SMALL(IF(CupetList!$G:$G=Y$2,ROW(CupetList!$G:$G)),ROW()-4),Y$3),"")</f>
        <v>55086</v>
      </c>
      <c r="Z8" s="160" t="str">
        <f t="array" ref="Z8">IFERROR(INDEX(CupetList!$A:$G,SMALL(IF(CupetList!$G:$G=Z$2,ROW(CupetList!$G:$G)),ROW()-4),Z$3),"")</f>
        <v>에드가</v>
      </c>
      <c r="AA8" s="160">
        <f t="array" ref="AA8">IFERROR(INDEX(CupetList!$A:$G,SMALL(IF(CupetList!$G:$G=AA$2,ROW(CupetList!$G:$G)),ROW()-4),AA$3),"")</f>
        <v>5</v>
      </c>
      <c r="AC8" s="160">
        <f t="array" ref="AC8">IFERROR(INDEX(CupetList!$A:$G,SMALL(IF(CupetList!$G:$G=AC$2,ROW(CupetList!$G:$G)),ROW()-4),AC$3),"")</f>
        <v>55090</v>
      </c>
      <c r="AD8" s="160" t="str">
        <f t="array" ref="AD8">IFERROR(INDEX(CupetList!$A:$G,SMALL(IF(CupetList!$G:$G=AD$2,ROW(CupetList!$G:$G)),ROW()-4),AD$3),"")</f>
        <v>와일드 라이더</v>
      </c>
      <c r="AE8" s="160">
        <f t="array" ref="AE8">IFERROR(INDEX(CupetList!$A:$G,SMALL(IF(CupetList!$G:$G=AE$2,ROW(CupetList!$G:$G)),ROW()-4),AE$3),"")</f>
        <v>10</v>
      </c>
      <c r="AG8" s="160">
        <f t="array" ref="AG8">IFERROR(INDEX(CupetList!$A:$G,SMALL(IF(CupetList!$G:$G=AG$2,ROW(CupetList!$G:$G)),ROW()-4),AG$3),"")</f>
        <v>55084</v>
      </c>
      <c r="AH8" s="160" t="str">
        <f t="array" ref="AH8">IFERROR(INDEX(CupetList!$A:$G,SMALL(IF(CupetList!$G:$G=AH$2,ROW(CupetList!$G:$G)),ROW()-4),AH$3),"")</f>
        <v>하티</v>
      </c>
      <c r="AI8" s="160" t="str">
        <f t="array" ref="AI8">IFERROR(INDEX(CupetList!$A:$G,SMALL(IF(CupetList!$G:$G=AI$2,ROW(CupetList!$G:$G)),ROW()-4),AI$3),"")</f>
        <v>재료 던전</v>
      </c>
      <c r="AK8" s="160" t="str">
        <f t="array" ref="AK8">IFERROR(INDEX(CupetList!$A:$G,SMALL(IF(CupetList!$G:$G=AK$2,ROW(CupetList!$G:$G)),ROW()-4),AK$3),"")</f>
        <v/>
      </c>
      <c r="AL8" s="160" t="str">
        <f t="array" ref="AL8">IFERROR(INDEX(CupetList!$A:$G,SMALL(IF(CupetList!$G:$G=AL$2,ROW(CupetList!$G:$G)),ROW()-4),AL$3),"")</f>
        <v/>
      </c>
      <c r="AM8" s="160" t="str">
        <f t="array" ref="AM8">IFERROR(INDEX(CupetList!$A:$G,SMALL(IF(CupetList!$G:$G=AM$2,ROW(CupetList!$G:$G)),ROW()-4),AM$3),"")</f>
        <v/>
      </c>
    </row>
    <row r="9" spans="1:39" x14ac:dyDescent="0.3">
      <c r="A9" s="160">
        <f t="array" ref="A9">IFERROR(INDEX(CupetList!$A:$G,SMALL(IF(CupetList!$G:$G=A$2,ROW(CupetList!$G:$G)),ROW()-4),A$3),"")</f>
        <v>55014</v>
      </c>
      <c r="B9" s="160" t="str">
        <f t="array" ref="B9">IFERROR(INDEX(CupetList!$A:$G,SMALL(IF(CupetList!$G:$G=B$2,ROW(CupetList!$G:$G)),ROW()-4),B$3),"")</f>
        <v>코코</v>
      </c>
      <c r="C9" s="160">
        <f t="array" ref="C9">IFERROR(INDEX(CupetList!$A:$G,SMALL(IF(CupetList!$G:$G=C$2,ROW(CupetList!$G:$G)),ROW()-4),C$3),"")</f>
        <v>4</v>
      </c>
      <c r="E9" s="160">
        <f t="array" ref="E9">IFERROR(INDEX(CupetList!$A:$G,SMALL(IF(CupetList!$G:$G=E$2,ROW(CupetList!$G:$G)),ROW()-4),E$3),"")</f>
        <v>55011</v>
      </c>
      <c r="F9" s="160" t="str">
        <f t="array" ref="F9">IFERROR(INDEX(CupetList!$A:$G,SMALL(IF(CupetList!$G:$G=F$2,ROW(CupetList!$G:$G)),ROW()-4),F$3),"")</f>
        <v>수컷 도둑벌레</v>
      </c>
      <c r="G9" s="160">
        <f t="array" ref="G9">IFERROR(INDEX(CupetList!$A:$G,SMALL(IF(CupetList!$G:$G=G$2,ROW(CupetList!$G:$G)),ROW()-4),G$3),"")</f>
        <v>3</v>
      </c>
      <c r="I9" s="160">
        <f t="array" ref="I9">IFERROR(INDEX(CupetList!$A:$G,SMALL(IF(CupetList!$G:$G=I$2,ROW(CupetList!$G:$G)),ROW()-4),I$3),"")</f>
        <v>55028</v>
      </c>
      <c r="J9" s="160" t="str">
        <f t="array" ref="J9">IFERROR(INDEX(CupetList!$A:$G,SMALL(IF(CupetList!$G:$G=J$2,ROW(CupetList!$G:$G)),ROW()-4),J$3),"")</f>
        <v>스콜피온</v>
      </c>
      <c r="K9" s="160">
        <f t="array" ref="K9">IFERROR(INDEX(CupetList!$A:$G,SMALL(IF(CupetList!$G:$G=K$2,ROW(CupetList!$G:$G)),ROW()-4),K$3),"")</f>
        <v>6</v>
      </c>
      <c r="M9" s="160">
        <f t="array" ref="M9">IFERROR(INDEX(CupetList!$A:$G,SMALL(IF(CupetList!$G:$G=M$2,ROW(CupetList!$G:$G)),ROW()-4),M$3),"")</f>
        <v>55033</v>
      </c>
      <c r="N9" s="160" t="str">
        <f t="array" ref="N9">IFERROR(INDEX(CupetList!$A:$G,SMALL(IF(CupetList!$G:$G=N$2,ROW(CupetList!$G:$G)),ROW()-4),N$3),"")</f>
        <v>미이라</v>
      </c>
      <c r="O9" s="160">
        <f t="array" ref="O9">IFERROR(INDEX(CupetList!$A:$G,SMALL(IF(CupetList!$G:$G=O$2,ROW(CupetList!$G:$G)),ROW()-4),O$3),"")</f>
        <v>7</v>
      </c>
      <c r="Q9" s="160">
        <f t="array" ref="Q9">IFERROR(INDEX(CupetList!$A:$G,SMALL(IF(CupetList!$G:$G=Q$2,ROW(CupetList!$G:$G)),ROW()-4),Q$3),"")</f>
        <v>55052</v>
      </c>
      <c r="R9" s="160" t="str">
        <f t="array" ref="R9">IFERROR(INDEX(CupetList!$A:$G,SMALL(IF(CupetList!$G:$G=R$2,ROW(CupetList!$G:$G)),ROW()-4),R$3),"")</f>
        <v>요요</v>
      </c>
      <c r="S9" s="160">
        <f t="array" ref="S9">IFERROR(INDEX(CupetList!$A:$G,SMALL(IF(CupetList!$G:$G=S$2,ROW(CupetList!$G:$G)),ROW()-4),S$3),"")</f>
        <v>10</v>
      </c>
      <c r="U9" s="160">
        <f t="array" ref="U9">IFERROR(INDEX(CupetList!$A:$G,SMALL(IF(CupetList!$G:$G=U$2,ROW(CupetList!$G:$G)),ROW()-4),U$3),"")</f>
        <v>55061</v>
      </c>
      <c r="V9" s="160" t="str">
        <f t="array" ref="V9">IFERROR(INDEX(CupetList!$A:$G,SMALL(IF(CupetList!$G:$G=V$2,ROW(CupetList!$G:$G)),ROW()-4),V$3),"")</f>
        <v>에스터</v>
      </c>
      <c r="W9" s="160">
        <f t="array" ref="W9">IFERROR(INDEX(CupetList!$A:$G,SMALL(IF(CupetList!$G:$G=W$2,ROW(CupetList!$G:$G)),ROW()-4),W$3),"")</f>
        <v>12</v>
      </c>
      <c r="Y9" s="160">
        <f t="array" ref="Y9">IFERROR(INDEX(CupetList!$A:$G,SMALL(IF(CupetList!$G:$G=Y$2,ROW(CupetList!$G:$G)),ROW()-4),Y$3),"")</f>
        <v>55087</v>
      </c>
      <c r="Z9" s="160" t="str">
        <f t="array" ref="Z9">IFERROR(INDEX(CupetList!$A:$G,SMALL(IF(CupetList!$G:$G=Z$2,ROW(CupetList!$G:$G)),ROW()-4),Z$3),"")</f>
        <v>프리오니</v>
      </c>
      <c r="AA9" s="160">
        <f t="array" ref="AA9">IFERROR(INDEX(CupetList!$A:$G,SMALL(IF(CupetList!$G:$G=AA$2,ROW(CupetList!$G:$G)),ROW()-4),AA$3),"")</f>
        <v>6</v>
      </c>
      <c r="AC9" s="160">
        <f t="array" ref="AC9">IFERROR(INDEX(CupetList!$A:$G,SMALL(IF(CupetList!$G:$G=AC$2,ROW(CupetList!$G:$G)),ROW()-4),AC$3),"")</f>
        <v>55091</v>
      </c>
      <c r="AD9" s="160" t="str">
        <f t="array" ref="AD9">IFERROR(INDEX(CupetList!$A:$G,SMALL(IF(CupetList!$G:$G=AD$2,ROW(CupetList!$G:$G)),ROW()-4),AD$3),"")</f>
        <v>타오군 카</v>
      </c>
      <c r="AE9" s="160">
        <f t="array" ref="AE9">IFERROR(INDEX(CupetList!$A:$G,SMALL(IF(CupetList!$G:$G=AE$2,ROW(CupetList!$G:$G)),ROW()-4),AE$3),"")</f>
        <v>11</v>
      </c>
      <c r="AG9" s="160" t="str">
        <f t="array" ref="AG9">IFERROR(INDEX(CupetList!$A:$G,SMALL(IF(CupetList!$G:$G=AG$2,ROW(CupetList!$G:$G)),ROW()-4),AG$3),"")</f>
        <v/>
      </c>
      <c r="AH9" s="160" t="str">
        <f t="array" ref="AH9">IFERROR(INDEX(CupetList!$A:$G,SMALL(IF(CupetList!$G:$G=AH$2,ROW(CupetList!$G:$G)),ROW()-4),AH$3),"")</f>
        <v/>
      </c>
      <c r="AI9" s="160" t="str">
        <f t="array" ref="AI9">IFERROR(INDEX(CupetList!$A:$G,SMALL(IF(CupetList!$G:$G=AI$2,ROW(CupetList!$G:$G)),ROW()-4),AI$3),"")</f>
        <v/>
      </c>
      <c r="AK9" s="160" t="str">
        <f t="array" ref="AK9">IFERROR(INDEX(CupetList!$A:$G,SMALL(IF(CupetList!$G:$G=AK$2,ROW(CupetList!$G:$G)),ROW()-4),AK$3),"")</f>
        <v/>
      </c>
      <c r="AL9" s="160" t="str">
        <f t="array" ref="AL9">IFERROR(INDEX(CupetList!$A:$G,SMALL(IF(CupetList!$G:$G=AL$2,ROW(CupetList!$G:$G)),ROW()-4),AL$3),"")</f>
        <v/>
      </c>
      <c r="AM9" s="160" t="str">
        <f t="array" ref="AM9">IFERROR(INDEX(CupetList!$A:$G,SMALL(IF(CupetList!$G:$G=AM$2,ROW(CupetList!$G:$G)),ROW()-4),AM$3),"")</f>
        <v/>
      </c>
    </row>
    <row r="10" spans="1:39" x14ac:dyDescent="0.3">
      <c r="A10" s="160">
        <f t="array" ref="A10">IFERROR(INDEX(CupetList!$A:$G,SMALL(IF(CupetList!$G:$G=A$2,ROW(CupetList!$G:$G)),ROW()-4),A$3),"")</f>
        <v>55017</v>
      </c>
      <c r="B10" s="160" t="str">
        <f t="array" ref="B10">IFERROR(INDEX(CupetList!$A:$G,SMALL(IF(CupetList!$G:$G=B$2,ROW(CupetList!$G:$G)),ROW()-4),B$3),"")</f>
        <v>호넷</v>
      </c>
      <c r="C10" s="160">
        <f t="array" ref="C10">IFERROR(INDEX(CupetList!$A:$G,SMALL(IF(CupetList!$G:$G=C$2,ROW(CupetList!$G:$G)),ROW()-4),C$3),"")</f>
        <v>4</v>
      </c>
      <c r="E10" s="160">
        <f t="array" ref="E10">IFERROR(INDEX(CupetList!$A:$G,SMALL(IF(CupetList!$G:$G=E$2,ROW(CupetList!$G:$G)),ROW()-4),E$3),"")</f>
        <v>55013</v>
      </c>
      <c r="F10" s="160" t="str">
        <f t="array" ref="F10">IFERROR(INDEX(CupetList!$A:$G,SMALL(IF(CupetList!$G:$G=F$2,ROW(CupetList!$G:$G)),ROW()-4),F$3),"")</f>
        <v>세비지 베베</v>
      </c>
      <c r="G10" s="160">
        <f t="array" ref="G10">IFERROR(INDEX(CupetList!$A:$G,SMALL(IF(CupetList!$G:$G=G$2,ROW(CupetList!$G:$G)),ROW()-4),G$3),"")</f>
        <v>4</v>
      </c>
      <c r="I10" s="160">
        <f t="array" ref="I10">IFERROR(INDEX(CupetList!$A:$G,SMALL(IF(CupetList!$G:$G=I$2,ROW(CupetList!$G:$G)),ROW()-4),I$3),"")</f>
        <v>55030</v>
      </c>
      <c r="J10" s="160" t="str">
        <f t="array" ref="J10">IFERROR(INDEX(CupetList!$A:$G,SMALL(IF(CupetList!$G:$G=J$2,ROW(CupetList!$G:$G)),ROW()-4),J$3),"")</f>
        <v>스켈레톤</v>
      </c>
      <c r="K10" s="160">
        <f t="array" ref="K10">IFERROR(INDEX(CupetList!$A:$G,SMALL(IF(CupetList!$G:$G=K$2,ROW(CupetList!$G:$G)),ROW()-4),K$3),"")</f>
        <v>7</v>
      </c>
      <c r="M10" s="160">
        <f t="array" ref="M10">IFERROR(INDEX(CupetList!$A:$G,SMALL(IF(CupetList!$G:$G=M$2,ROW(CupetList!$G:$G)),ROW()-4),M$3),"")</f>
        <v>55036</v>
      </c>
      <c r="N10" s="160" t="str">
        <f t="array" ref="N10">IFERROR(INDEX(CupetList!$A:$G,SMALL(IF(CupetList!$G:$G=N$2,ROW(CupetList!$G:$G)),ROW()-4),N$3),"")</f>
        <v>포포링</v>
      </c>
      <c r="O10" s="160">
        <f t="array" ref="O10">IFERROR(INDEX(CupetList!$A:$G,SMALL(IF(CupetList!$G:$G=O$2,ROW(CupetList!$G:$G)),ROW()-4),O$3),"")</f>
        <v>8</v>
      </c>
      <c r="Q10" s="160">
        <f t="array" ref="Q10">IFERROR(INDEX(CupetList!$A:$G,SMALL(IF(CupetList!$G:$G=Q$2,ROW(CupetList!$G:$G)),ROW()-4),Q$3),"")</f>
        <v>55059</v>
      </c>
      <c r="R10" s="160" t="str">
        <f t="array" ref="R10">IFERROR(INDEX(CupetList!$A:$G,SMALL(IF(CupetList!$G:$G=R$2,ROW(CupetList!$G:$G)),ROW()-4),R$3),"")</f>
        <v>폭력배</v>
      </c>
      <c r="S10" s="160">
        <f t="array" ref="S10">IFERROR(INDEX(CupetList!$A:$G,SMALL(IF(CupetList!$G:$G=S$2,ROW(CupetList!$G:$G)),ROW()-4),S$3),"")</f>
        <v>10</v>
      </c>
      <c r="U10" s="160">
        <f t="array" ref="U10">IFERROR(INDEX(CupetList!$A:$G,SMALL(IF(CupetList!$G:$G=U$2,ROW(CupetList!$G:$G)),ROW()-4),U$3),"")</f>
        <v>55067</v>
      </c>
      <c r="V10" s="160" t="str">
        <f t="array" ref="V10">IFERROR(INDEX(CupetList!$A:$G,SMALL(IF(CupetList!$G:$G=V$2,ROW(CupetList!$G:$G)),ROW()-4),V$3),"")</f>
        <v>데저트 울프</v>
      </c>
      <c r="W10" s="160">
        <f t="array" ref="W10">IFERROR(INDEX(CupetList!$A:$G,SMALL(IF(CupetList!$G:$G=W$2,ROW(CupetList!$G:$G)),ROW()-4),W$3),"")</f>
        <v>12</v>
      </c>
      <c r="Y10" s="160" t="str">
        <f t="array" ref="Y10">IFERROR(INDEX(CupetList!$A:$G,SMALL(IF(CupetList!$G:$G=Y$2,ROW(CupetList!$G:$G)),ROW()-4),Y$3),"")</f>
        <v/>
      </c>
      <c r="Z10" s="160" t="str">
        <f t="array" ref="Z10">IFERROR(INDEX(CupetList!$A:$G,SMALL(IF(CupetList!$G:$G=Z$2,ROW(CupetList!$G:$G)),ROW()-4),Z$3),"")</f>
        <v/>
      </c>
      <c r="AA10" s="160" t="str">
        <f t="array" ref="AA10">IFERROR(INDEX(CupetList!$A:$G,SMALL(IF(CupetList!$G:$G=AA$2,ROW(CupetList!$G:$G)),ROW()-4),AA$3),"")</f>
        <v/>
      </c>
      <c r="AC10" s="160" t="str">
        <f t="array" ref="AC10">IFERROR(INDEX(CupetList!$A:$G,SMALL(IF(CupetList!$G:$G=AC$2,ROW(CupetList!$G:$G)),ROW()-4),AC$3),"")</f>
        <v/>
      </c>
      <c r="AD10" s="160" t="str">
        <f t="array" ref="AD10">IFERROR(INDEX(CupetList!$A:$G,SMALL(IF(CupetList!$G:$G=AD$2,ROW(CupetList!$G:$G)),ROW()-4),AD$3),"")</f>
        <v/>
      </c>
      <c r="AE10" s="160" t="str">
        <f t="array" ref="AE10">IFERROR(INDEX(CupetList!$A:$G,SMALL(IF(CupetList!$G:$G=AE$2,ROW(CupetList!$G:$G)),ROW()-4),AE$3),"")</f>
        <v/>
      </c>
      <c r="AG10" s="160" t="str">
        <f t="array" ref="AG10">IFERROR(INDEX(CupetList!$A:$G,SMALL(IF(CupetList!$G:$G=AG$2,ROW(CupetList!$G:$G)),ROW()-4),AG$3),"")</f>
        <v/>
      </c>
      <c r="AH10" s="160" t="str">
        <f t="array" ref="AH10">IFERROR(INDEX(CupetList!$A:$G,SMALL(IF(CupetList!$G:$G=AH$2,ROW(CupetList!$G:$G)),ROW()-4),AH$3),"")</f>
        <v/>
      </c>
      <c r="AI10" s="160" t="str">
        <f t="array" ref="AI10">IFERROR(INDEX(CupetList!$A:$G,SMALL(IF(CupetList!$G:$G=AI$2,ROW(CupetList!$G:$G)),ROW()-4),AI$3),"")</f>
        <v/>
      </c>
      <c r="AK10" s="160" t="str">
        <f t="array" ref="AK10">IFERROR(INDEX(CupetList!$A:$G,SMALL(IF(CupetList!$G:$G=AK$2,ROW(CupetList!$G:$G)),ROW()-4),AK$3),"")</f>
        <v/>
      </c>
      <c r="AL10" s="160" t="str">
        <f t="array" ref="AL10">IFERROR(INDEX(CupetList!$A:$G,SMALL(IF(CupetList!$G:$G=AL$2,ROW(CupetList!$G:$G)),ROW()-4),AL$3),"")</f>
        <v/>
      </c>
      <c r="AM10" s="160" t="str">
        <f t="array" ref="AM10">IFERROR(INDEX(CupetList!$A:$G,SMALL(IF(CupetList!$G:$G=AM$2,ROW(CupetList!$G:$G)),ROW()-4),AM$3),"")</f>
        <v/>
      </c>
    </row>
    <row r="11" spans="1:39" x14ac:dyDescent="0.3">
      <c r="A11" s="160">
        <f t="array" ref="A11">IFERROR(INDEX(CupetList!$A:$G,SMALL(IF(CupetList!$G:$G=A$2,ROW(CupetList!$G:$G)),ROW()-4),A$3),"")</f>
        <v>55020</v>
      </c>
      <c r="B11" s="160" t="str">
        <f t="array" ref="B11">IFERROR(INDEX(CupetList!$A:$G,SMALL(IF(CupetList!$G:$G=B$2,ROW(CupetList!$G:$G)),ROW()-4),B$3),"")</f>
        <v>스포아</v>
      </c>
      <c r="C11" s="160">
        <f t="array" ref="C11">IFERROR(INDEX(CupetList!$A:$G,SMALL(IF(CupetList!$G:$G=C$2,ROW(CupetList!$G:$G)),ROW()-4),C$3),"")</f>
        <v>4.5</v>
      </c>
      <c r="E11" s="160">
        <f t="array" ref="E11">IFERROR(INDEX(CupetList!$A:$G,SMALL(IF(CupetList!$G:$G=E$2,ROW(CupetList!$G:$G)),ROW()-4),E$3),"")</f>
        <v>55015</v>
      </c>
      <c r="F11" s="160" t="str">
        <f t="array" ref="F11">IFERROR(INDEX(CupetList!$A:$G,SMALL(IF(CupetList!$G:$G=F$2,ROW(CupetList!$G:$G)),ROW()-4),F$3),"")</f>
        <v>크리미</v>
      </c>
      <c r="G11" s="160">
        <f t="array" ref="G11">IFERROR(INDEX(CupetList!$A:$G,SMALL(IF(CupetList!$G:$G=G$2,ROW(CupetList!$G:$G)),ROW()-4),G$3),"")</f>
        <v>4</v>
      </c>
      <c r="I11" s="160">
        <f t="array" ref="I11">IFERROR(INDEX(CupetList!$A:$G,SMALL(IF(CupetList!$G:$G=I$2,ROW(CupetList!$G:$G)),ROW()-4),I$3),"")</f>
        <v>55031</v>
      </c>
      <c r="J11" s="160" t="str">
        <f t="array" ref="J11">IFERROR(INDEX(CupetList!$A:$G,SMALL(IF(CupetList!$G:$G=J$2,ROW(CupetList!$G:$G)),ROW()-4),J$3),"")</f>
        <v>솔저 스켈레톤</v>
      </c>
      <c r="K11" s="160">
        <f t="array" ref="K11">IFERROR(INDEX(CupetList!$A:$G,SMALL(IF(CupetList!$G:$G=K$2,ROW(CupetList!$G:$G)),ROW()-4),K$3),"")</f>
        <v>7</v>
      </c>
      <c r="M11" s="160">
        <f t="array" ref="M11">IFERROR(INDEX(CupetList!$A:$G,SMALL(IF(CupetList!$G:$G=M$2,ROW(CupetList!$G:$G)),ROW()-4),M$3),"")</f>
        <v>55040</v>
      </c>
      <c r="N11" s="160" t="str">
        <f t="array" ref="N11">IFERROR(INDEX(CupetList!$A:$G,SMALL(IF(CupetList!$G:$G=N$2,ROW(CupetList!$G:$G)),ROW()-4),N$3),"")</f>
        <v>포이즌 스포아</v>
      </c>
      <c r="O11" s="160">
        <f t="array" ref="O11">IFERROR(INDEX(CupetList!$A:$G,SMALL(IF(CupetList!$G:$G=O$2,ROW(CupetList!$G:$G)),ROW()-4),O$3),"")</f>
        <v>8</v>
      </c>
      <c r="Q11" s="160">
        <f t="array" ref="Q11">IFERROR(INDEX(CupetList!$A:$G,SMALL(IF(CupetList!$G:$G=Q$2,ROW(CupetList!$G:$G)),ROW()-4),Q$3),"")</f>
        <v>55056</v>
      </c>
      <c r="R11" s="160" t="str">
        <f t="array" ref="R11">IFERROR(INDEX(CupetList!$A:$G,SMALL(IF(CupetList!$G:$G=R$2,ROW(CupetList!$G:$G)),ROW()-4),R$3),"")</f>
        <v>해달</v>
      </c>
      <c r="S11" s="160">
        <f t="array" ref="S11">IFERROR(INDEX(CupetList!$A:$G,SMALL(IF(CupetList!$G:$G=S$2,ROW(CupetList!$G:$G)),ROW()-4),S$3),"")</f>
        <v>10.5</v>
      </c>
      <c r="U11" s="160">
        <f t="array" ref="U11">IFERROR(INDEX(CupetList!$A:$G,SMALL(IF(CupetList!$G:$G=U$2,ROW(CupetList!$G:$G)),ROW()-4),U$3),"")</f>
        <v>55094</v>
      </c>
      <c r="V11" s="160" t="str">
        <f t="array" ref="V11">IFERROR(INDEX(CupetList!$A:$G,SMALL(IF(CupetList!$G:$G=V$2,ROW(CupetList!$G:$G)),ROW()-4),V$3),"")</f>
        <v>카사</v>
      </c>
      <c r="W11" s="160">
        <f t="array" ref="W11">IFERROR(INDEX(CupetList!$A:$G,SMALL(IF(CupetList!$G:$G=W$2,ROW(CupetList!$G:$G)),ROW()-4),W$3),"")</f>
        <v>13</v>
      </c>
      <c r="Y11" s="160" t="str">
        <f t="array" ref="Y11">IFERROR(INDEX(CupetList!$A:$G,SMALL(IF(CupetList!$G:$G=Y$2,ROW(CupetList!$G:$G)),ROW()-4),Y$3),"")</f>
        <v/>
      </c>
      <c r="Z11" s="160" t="str">
        <f t="array" ref="Z11">IFERROR(INDEX(CupetList!$A:$G,SMALL(IF(CupetList!$G:$G=Z$2,ROW(CupetList!$G:$G)),ROW()-4),Z$3),"")</f>
        <v/>
      </c>
      <c r="AA11" s="160" t="str">
        <f t="array" ref="AA11">IFERROR(INDEX(CupetList!$A:$G,SMALL(IF(CupetList!$G:$G=AA$2,ROW(CupetList!$G:$G)),ROW()-4),AA$3),"")</f>
        <v/>
      </c>
      <c r="AC11" s="160" t="str">
        <f t="array" ref="AC11">IFERROR(INDEX(CupetList!$A:$G,SMALL(IF(CupetList!$G:$G=AC$2,ROW(CupetList!$G:$G)),ROW()-4),AC$3),"")</f>
        <v/>
      </c>
      <c r="AD11" s="160" t="str">
        <f t="array" ref="AD11">IFERROR(INDEX(CupetList!$A:$G,SMALL(IF(CupetList!$G:$G=AD$2,ROW(CupetList!$G:$G)),ROW()-4),AD$3),"")</f>
        <v/>
      </c>
      <c r="AE11" s="160" t="str">
        <f t="array" ref="AE11">IFERROR(INDEX(CupetList!$A:$G,SMALL(IF(CupetList!$G:$G=AE$2,ROW(CupetList!$G:$G)),ROW()-4),AE$3),"")</f>
        <v/>
      </c>
      <c r="AG11" s="160" t="str">
        <f t="array" ref="AG11">IFERROR(INDEX(CupetList!$A:$G,SMALL(IF(CupetList!$G:$G=AG$2,ROW(CupetList!$G:$G)),ROW()-4),AG$3),"")</f>
        <v/>
      </c>
      <c r="AH11" s="160" t="str">
        <f t="array" ref="AH11">IFERROR(INDEX(CupetList!$A:$G,SMALL(IF(CupetList!$G:$G=AH$2,ROW(CupetList!$G:$G)),ROW()-4),AH$3),"")</f>
        <v/>
      </c>
      <c r="AI11" s="160" t="str">
        <f t="array" ref="AI11">IFERROR(INDEX(CupetList!$A:$G,SMALL(IF(CupetList!$G:$G=AI$2,ROW(CupetList!$G:$G)),ROW()-4),AI$3),"")</f>
        <v/>
      </c>
      <c r="AK11" s="160" t="str">
        <f t="array" ref="AK11">IFERROR(INDEX(CupetList!$A:$G,SMALL(IF(CupetList!$G:$G=AK$2,ROW(CupetList!$G:$G)),ROW()-4),AK$3),"")</f>
        <v/>
      </c>
      <c r="AL11" s="160" t="str">
        <f t="array" ref="AL11">IFERROR(INDEX(CupetList!$A:$G,SMALL(IF(CupetList!$G:$G=AL$2,ROW(CupetList!$G:$G)),ROW()-4),AL$3),"")</f>
        <v/>
      </c>
      <c r="AM11" s="160" t="str">
        <f t="array" ref="AM11">IFERROR(INDEX(CupetList!$A:$G,SMALL(IF(CupetList!$G:$G=AM$2,ROW(CupetList!$G:$G)),ROW()-4),AM$3),"")</f>
        <v/>
      </c>
    </row>
    <row r="12" spans="1:39" x14ac:dyDescent="0.3">
      <c r="A12" s="160">
        <f t="array" ref="A12">IFERROR(INDEX(CupetList!$A:$G,SMALL(IF(CupetList!$G:$G=A$2,ROW(CupetList!$G:$G)),ROW()-4),A$3),"")</f>
        <v>55024</v>
      </c>
      <c r="B12" s="160" t="str">
        <f t="array" ref="B12">IFERROR(INDEX(CupetList!$A:$G,SMALL(IF(CupetList!$G:$G=B$2,ROW(CupetList!$G:$G)),ROW()-4),B$3),"")</f>
        <v>촌촌</v>
      </c>
      <c r="C12" s="160">
        <f t="array" ref="C12">IFERROR(INDEX(CupetList!$A:$G,SMALL(IF(CupetList!$G:$G=C$2,ROW(CupetList!$G:$G)),ROW()-4),C$3),"")</f>
        <v>6</v>
      </c>
      <c r="E12" s="160">
        <f t="array" ref="E12">IFERROR(INDEX(CupetList!$A:$G,SMALL(IF(CupetList!$G:$G=E$2,ROW(CupetList!$G:$G)),ROW()-4),E$3),"")</f>
        <v>55018</v>
      </c>
      <c r="F12" s="160" t="str">
        <f t="array" ref="F12">IFERROR(INDEX(CupetList!$A:$G,SMALL(IF(CupetList!$G:$G=F$2,ROW(CupetList!$G:$G)),ROW()-4),F$3),"")</f>
        <v>타로우</v>
      </c>
      <c r="G12" s="160">
        <f t="array" ref="G12">IFERROR(INDEX(CupetList!$A:$G,SMALL(IF(CupetList!$G:$G=G$2,ROW(CupetList!$G:$G)),ROW()-4),G$3),"")</f>
        <v>4</v>
      </c>
      <c r="I12" s="160">
        <f t="array" ref="I12">IFERROR(INDEX(CupetList!$A:$G,SMALL(IF(CupetList!$G:$G=I$2,ROW(CupetList!$G:$G)),ROW()-4),I$3),"")</f>
        <v>55034</v>
      </c>
      <c r="J12" s="160" t="str">
        <f t="array" ref="J12">IFERROR(INDEX(CupetList!$A:$G,SMALL(IF(CupetList!$G:$G=J$2,ROW(CupetList!$G:$G)),ROW()-4),J$3),"")</f>
        <v>스틸 촌촌</v>
      </c>
      <c r="K12" s="160">
        <f t="array" ref="K12">IFERROR(INDEX(CupetList!$A:$G,SMALL(IF(CupetList!$G:$G=K$2,ROW(CupetList!$G:$G)),ROW()-4),K$3),"")</f>
        <v>8</v>
      </c>
      <c r="M12" s="160">
        <f t="array" ref="M12">IFERROR(INDEX(CupetList!$A:$G,SMALL(IF(CupetList!$G:$G=M$2,ROW(CupetList!$G:$G)),ROW()-4),M$3),"")</f>
        <v>55073</v>
      </c>
      <c r="N12" s="160" t="str">
        <f t="array" ref="N12">IFERROR(INDEX(CupetList!$A:$G,SMALL(IF(CupetList!$G:$G=N$2,ROW(CupetList!$G:$G)),ROW()-4),N$3),"")</f>
        <v>오크 워리어</v>
      </c>
      <c r="O12" s="160">
        <f t="array" ref="O12">IFERROR(INDEX(CupetList!$A:$G,SMALL(IF(CupetList!$G:$G=O$2,ROW(CupetList!$G:$G)),ROW()-4),O$3),"")</f>
        <v>9</v>
      </c>
      <c r="Q12" s="160">
        <f t="array" ref="Q12">IFERROR(INDEX(CupetList!$A:$G,SMALL(IF(CupetList!$G:$G=Q$2,ROW(CupetList!$G:$G)),ROW()-4),Q$3),"")</f>
        <v>55057</v>
      </c>
      <c r="R12" s="160" t="str">
        <f t="array" ref="R12">IFERROR(INDEX(CupetList!$A:$G,SMALL(IF(CupetList!$G:$G=R$2,ROW(CupetList!$G:$G)),ROW()-4),R$3),"")</f>
        <v>퍼씰</v>
      </c>
      <c r="S12" s="160">
        <f t="array" ref="S12">IFERROR(INDEX(CupetList!$A:$G,SMALL(IF(CupetList!$G:$G=S$2,ROW(CupetList!$G:$G)),ROW()-4),S$3),"")</f>
        <v>10.5</v>
      </c>
      <c r="U12" s="160">
        <f t="array" ref="U12">IFERROR(INDEX(CupetList!$A:$G,SMALL(IF(CupetList!$G:$G=U$2,ROW(CupetList!$G:$G)),ROW()-4),U$3),"")</f>
        <v>55095</v>
      </c>
      <c r="V12" s="160" t="str">
        <f t="array" ref="V12">IFERROR(INDEX(CupetList!$A:$G,SMALL(IF(CupetList!$G:$G=V$2,ROW(CupetList!$G:$G)),ROW()-4),V$3),"")</f>
        <v>살라만다</v>
      </c>
      <c r="W12" s="160">
        <f t="array" ref="W12">IFERROR(INDEX(CupetList!$A:$G,SMALL(IF(CupetList!$G:$G=W$2,ROW(CupetList!$G:$G)),ROW()-4),W$3),"")</f>
        <v>13</v>
      </c>
      <c r="Y12" s="160" t="str">
        <f t="array" ref="Y12">IFERROR(INDEX(CupetList!$A:$G,SMALL(IF(CupetList!$G:$G=Y$2,ROW(CupetList!$G:$G)),ROW()-4),Y$3),"")</f>
        <v/>
      </c>
      <c r="Z12" s="160" t="str">
        <f t="array" ref="Z12">IFERROR(INDEX(CupetList!$A:$G,SMALL(IF(CupetList!$G:$G=Z$2,ROW(CupetList!$G:$G)),ROW()-4),Z$3),"")</f>
        <v/>
      </c>
      <c r="AA12" s="160" t="str">
        <f t="array" ref="AA12">IFERROR(INDEX(CupetList!$A:$G,SMALL(IF(CupetList!$G:$G=AA$2,ROW(CupetList!$G:$G)),ROW()-4),AA$3),"")</f>
        <v/>
      </c>
      <c r="AC12" s="160" t="str">
        <f t="array" ref="AC12">IFERROR(INDEX(CupetList!$A:$G,SMALL(IF(CupetList!$G:$G=AC$2,ROW(CupetList!$G:$G)),ROW()-4),AC$3),"")</f>
        <v/>
      </c>
      <c r="AD12" s="160" t="str">
        <f t="array" ref="AD12">IFERROR(INDEX(CupetList!$A:$G,SMALL(IF(CupetList!$G:$G=AD$2,ROW(CupetList!$G:$G)),ROW()-4),AD$3),"")</f>
        <v/>
      </c>
      <c r="AE12" s="160" t="str">
        <f t="array" ref="AE12">IFERROR(INDEX(CupetList!$A:$G,SMALL(IF(CupetList!$G:$G=AE$2,ROW(CupetList!$G:$G)),ROW()-4),AE$3),"")</f>
        <v/>
      </c>
      <c r="AG12" s="160" t="str">
        <f t="array" ref="AG12">IFERROR(INDEX(CupetList!$A:$G,SMALL(IF(CupetList!$G:$G=AG$2,ROW(CupetList!$G:$G)),ROW()-4),AG$3),"")</f>
        <v/>
      </c>
      <c r="AH12" s="160" t="str">
        <f t="array" ref="AH12">IFERROR(INDEX(CupetList!$A:$G,SMALL(IF(CupetList!$G:$G=AH$2,ROW(CupetList!$G:$G)),ROW()-4),AH$3),"")</f>
        <v/>
      </c>
      <c r="AI12" s="160" t="str">
        <f t="array" ref="AI12">IFERROR(INDEX(CupetList!$A:$G,SMALL(IF(CupetList!$G:$G=AI$2,ROW(CupetList!$G:$G)),ROW()-4),AI$3),"")</f>
        <v/>
      </c>
      <c r="AK12" s="160" t="str">
        <f t="array" ref="AK12">IFERROR(INDEX(CupetList!$A:$G,SMALL(IF(CupetList!$G:$G=AK$2,ROW(CupetList!$G:$G)),ROW()-4),AK$3),"")</f>
        <v/>
      </c>
      <c r="AL12" s="160" t="str">
        <f t="array" ref="AL12">IFERROR(INDEX(CupetList!$A:$G,SMALL(IF(CupetList!$G:$G=AL$2,ROW(CupetList!$G:$G)),ROW()-4),AL$3),"")</f>
        <v/>
      </c>
      <c r="AM12" s="160" t="str">
        <f t="array" ref="AM12">IFERROR(INDEX(CupetList!$A:$G,SMALL(IF(CupetList!$G:$G=AM$2,ROW(CupetList!$G:$G)),ROW()-4),AM$3),"")</f>
        <v/>
      </c>
    </row>
    <row r="13" spans="1:39" x14ac:dyDescent="0.3">
      <c r="A13" s="160" t="str">
        <f t="array" ref="A13">IFERROR(INDEX(CupetList!$A:$G,SMALL(IF(CupetList!$G:$G=A$2,ROW(CupetList!$G:$G)),ROW()-4),A$3),"")</f>
        <v/>
      </c>
      <c r="B13" s="160" t="str">
        <f t="array" ref="B13">IFERROR(INDEX(CupetList!$A:$G,SMALL(IF(CupetList!$G:$G=B$2,ROW(CupetList!$G:$G)),ROW()-4),B$3),"")</f>
        <v/>
      </c>
      <c r="C13" s="160" t="str">
        <f t="array" ref="C13">IFERROR(INDEX(CupetList!$A:$G,SMALL(IF(CupetList!$G:$G=C$2,ROW(CupetList!$G:$G)),ROW()-4),C$3),"")</f>
        <v/>
      </c>
      <c r="E13" s="160">
        <f t="array" ref="E13">IFERROR(INDEX(CupetList!$A:$G,SMALL(IF(CupetList!$G:$G=E$2,ROW(CupetList!$G:$G)),ROW()-4),E$3),"")</f>
        <v>55016</v>
      </c>
      <c r="F13" s="160" t="str">
        <f t="array" ref="F13">IFERROR(INDEX(CupetList!$A:$G,SMALL(IF(CupetList!$G:$G=F$2,ROW(CupetList!$G:$G)),ROW()-4),F$3),"")</f>
        <v>호른</v>
      </c>
      <c r="G13" s="160">
        <f t="array" ref="G13">IFERROR(INDEX(CupetList!$A:$G,SMALL(IF(CupetList!$G:$G=G$2,ROW(CupetList!$G:$G)),ROW()-4),G$3),"")</f>
        <v>4.5</v>
      </c>
      <c r="I13" s="160">
        <f t="array" ref="I13">IFERROR(INDEX(CupetList!$A:$G,SMALL(IF(CupetList!$G:$G=I$2,ROW(CupetList!$G:$G)),ROW()-4),I$3),"")</f>
        <v>55037</v>
      </c>
      <c r="J13" s="160" t="str">
        <f t="array" ref="J13">IFERROR(INDEX(CupetList!$A:$G,SMALL(IF(CupetList!$G:$G=J$2,ROW(CupetList!$G:$G)),ROW()-4),J$3),"")</f>
        <v>토드</v>
      </c>
      <c r="K13" s="160">
        <f t="array" ref="K13">IFERROR(INDEX(CupetList!$A:$G,SMALL(IF(CupetList!$G:$G=K$2,ROW(CupetList!$G:$G)),ROW()-4),K$3),"")</f>
        <v>8</v>
      </c>
      <c r="M13" s="160">
        <f t="array" ref="M13">IFERROR(INDEX(CupetList!$A:$G,SMALL(IF(CupetList!$G:$G=M$2,ROW(CupetList!$G:$G)),ROW()-4),M$3),"")</f>
        <v>55051</v>
      </c>
      <c r="N13" s="160" t="str">
        <f t="array" ref="N13">IFERROR(INDEX(CupetList!$A:$G,SMALL(IF(CupetList!$G:$G=N$2,ROW(CupetList!$G:$G)),ROW()-4),N$3),"")</f>
        <v>게</v>
      </c>
      <c r="O13" s="160">
        <f t="array" ref="O13">IFERROR(INDEX(CupetList!$A:$G,SMALL(IF(CupetList!$G:$G=O$2,ROW(CupetList!$G:$G)),ROW()-4),O$3),"")</f>
        <v>10</v>
      </c>
      <c r="Q13" s="160">
        <f t="array" ref="Q13">IFERROR(INDEX(CupetList!$A:$G,SMALL(IF(CupetList!$G:$G=Q$2,ROW(CupetList!$G:$G)),ROW()-4),Q$3),"")</f>
        <v>55063</v>
      </c>
      <c r="R13" s="160" t="str">
        <f t="array" ref="R13">IFERROR(INDEX(CupetList!$A:$G,SMALL(IF(CupetList!$G:$G=R$2,ROW(CupetList!$G:$G)),ROW()-4),R$3),"")</f>
        <v>데저트 울프 새끼</v>
      </c>
      <c r="S13" s="160">
        <f t="array" ref="S13">IFERROR(INDEX(CupetList!$A:$G,SMALL(IF(CupetList!$G:$G=S$2,ROW(CupetList!$G:$G)),ROW()-4),S$3),"")</f>
        <v>12</v>
      </c>
      <c r="U13" s="160" t="str">
        <f t="array" ref="U13">IFERROR(INDEX(CupetList!$A:$G,SMALL(IF(CupetList!$G:$G=U$2,ROW(CupetList!$G:$G)),ROW()-4),U$3),"")</f>
        <v/>
      </c>
      <c r="V13" s="160" t="str">
        <f t="array" ref="V13">IFERROR(INDEX(CupetList!$A:$G,SMALL(IF(CupetList!$G:$G=V$2,ROW(CupetList!$G:$G)),ROW()-4),V$3),"")</f>
        <v/>
      </c>
      <c r="W13" s="160" t="str">
        <f t="array" ref="W13">IFERROR(INDEX(CupetList!$A:$G,SMALL(IF(CupetList!$G:$G=W$2,ROW(CupetList!$G:$G)),ROW()-4),W$3),"")</f>
        <v/>
      </c>
      <c r="Y13" s="160" t="str">
        <f t="array" ref="Y13">IFERROR(INDEX(CupetList!$A:$G,SMALL(IF(CupetList!$G:$G=Y$2,ROW(CupetList!$G:$G)),ROW()-4),Y$3),"")</f>
        <v/>
      </c>
      <c r="Z13" s="160" t="str">
        <f t="array" ref="Z13">IFERROR(INDEX(CupetList!$A:$G,SMALL(IF(CupetList!$G:$G=Z$2,ROW(CupetList!$G:$G)),ROW()-4),Z$3),"")</f>
        <v/>
      </c>
      <c r="AA13" s="160" t="str">
        <f t="array" ref="AA13">IFERROR(INDEX(CupetList!$A:$G,SMALL(IF(CupetList!$G:$G=AA$2,ROW(CupetList!$G:$G)),ROW()-4),AA$3),"")</f>
        <v/>
      </c>
      <c r="AC13" s="160" t="str">
        <f t="array" ref="AC13">IFERROR(INDEX(CupetList!$A:$G,SMALL(IF(CupetList!$G:$G=AC$2,ROW(CupetList!$G:$G)),ROW()-4),AC$3),"")</f>
        <v/>
      </c>
      <c r="AD13" s="160" t="str">
        <f t="array" ref="AD13">IFERROR(INDEX(CupetList!$A:$G,SMALL(IF(CupetList!$G:$G=AD$2,ROW(CupetList!$G:$G)),ROW()-4),AD$3),"")</f>
        <v/>
      </c>
      <c r="AE13" s="160" t="str">
        <f t="array" ref="AE13">IFERROR(INDEX(CupetList!$A:$G,SMALL(IF(CupetList!$G:$G=AE$2,ROW(CupetList!$G:$G)),ROW()-4),AE$3),"")</f>
        <v/>
      </c>
      <c r="AG13" s="160" t="str">
        <f t="array" ref="AG13">IFERROR(INDEX(CupetList!$A:$G,SMALL(IF(CupetList!$G:$G=AG$2,ROW(CupetList!$G:$G)),ROW()-4),AG$3),"")</f>
        <v/>
      </c>
      <c r="AH13" s="160" t="str">
        <f t="array" ref="AH13">IFERROR(INDEX(CupetList!$A:$G,SMALL(IF(CupetList!$G:$G=AH$2,ROW(CupetList!$G:$G)),ROW()-4),AH$3),"")</f>
        <v/>
      </c>
      <c r="AI13" s="160" t="str">
        <f t="array" ref="AI13">IFERROR(INDEX(CupetList!$A:$G,SMALL(IF(CupetList!$G:$G=AI$2,ROW(CupetList!$G:$G)),ROW()-4),AI$3),"")</f>
        <v/>
      </c>
      <c r="AK13" s="160" t="str">
        <f t="array" ref="AK13">IFERROR(INDEX(CupetList!$A:$G,SMALL(IF(CupetList!$G:$G=AK$2,ROW(CupetList!$G:$G)),ROW()-4),AK$3),"")</f>
        <v/>
      </c>
      <c r="AL13" s="160" t="str">
        <f t="array" ref="AL13">IFERROR(INDEX(CupetList!$A:$G,SMALL(IF(CupetList!$G:$G=AL$2,ROW(CupetList!$G:$G)),ROW()-4),AL$3),"")</f>
        <v/>
      </c>
      <c r="AM13" s="160" t="str">
        <f t="array" ref="AM13">IFERROR(INDEX(CupetList!$A:$G,SMALL(IF(CupetList!$G:$G=AM$2,ROW(CupetList!$G:$G)),ROW()-4),AM$3),"")</f>
        <v/>
      </c>
    </row>
    <row r="14" spans="1:39" x14ac:dyDescent="0.3">
      <c r="A14" s="160" t="str">
        <f t="array" ref="A14">IFERROR(INDEX(CupetList!$A:$G,SMALL(IF(CupetList!$G:$G=A$2,ROW(CupetList!$G:$G)),ROW()-4),A$3),"")</f>
        <v/>
      </c>
      <c r="B14" s="160" t="str">
        <f t="array" ref="B14">IFERROR(INDEX(CupetList!$A:$G,SMALL(IF(CupetList!$G:$G=B$2,ROW(CupetList!$G:$G)),ROW()-4),B$3),"")</f>
        <v/>
      </c>
      <c r="C14" s="160" t="str">
        <f t="array" ref="C14">IFERROR(INDEX(CupetList!$A:$G,SMALL(IF(CupetList!$G:$G=C$2,ROW(CupetList!$G:$G)),ROW()-4),C$3),"")</f>
        <v/>
      </c>
      <c r="E14" s="160">
        <f t="array" ref="E14">IFERROR(INDEX(CupetList!$A:$G,SMALL(IF(CupetList!$G:$G=E$2,ROW(CupetList!$G:$G)),ROW()-4),E$3),"")</f>
        <v>55022</v>
      </c>
      <c r="F14" s="160" t="str">
        <f t="array" ref="F14">IFERROR(INDEX(CupetList!$A:$G,SMALL(IF(CupetList!$G:$G=F$2,ROW(CupetList!$G:$G)),ROW()-4),F$3),"")</f>
        <v>픽키</v>
      </c>
      <c r="G14" s="160">
        <f t="array" ref="G14">IFERROR(INDEX(CupetList!$A:$G,SMALL(IF(CupetList!$G:$G=G$2,ROW(CupetList!$G:$G)),ROW()-4),G$3),"")</f>
        <v>6</v>
      </c>
      <c r="I14" s="160">
        <f t="array" ref="I14">IFERROR(INDEX(CupetList!$A:$G,SMALL(IF(CupetList!$G:$G=I$2,ROW(CupetList!$G:$G)),ROW()-4),I$3),"")</f>
        <v>55039</v>
      </c>
      <c r="J14" s="160" t="str">
        <f t="array" ref="J14">IFERROR(INDEX(CupetList!$A:$G,SMALL(IF(CupetList!$G:$G=J$2,ROW(CupetList!$G:$G)),ROW()-4),J$3),"")</f>
        <v>엘더 윌로우</v>
      </c>
      <c r="K14" s="160">
        <f t="array" ref="K14">IFERROR(INDEX(CupetList!$A:$G,SMALL(IF(CupetList!$G:$G=K$2,ROW(CupetList!$G:$G)),ROW()-4),K$3),"")</f>
        <v>8</v>
      </c>
      <c r="M14" s="160">
        <f t="array" ref="M14">IFERROR(INDEX(CupetList!$A:$G,SMALL(IF(CupetList!$G:$G=M$2,ROW(CupetList!$G:$G)),ROW()-4),M$3),"")</f>
        <v>55054</v>
      </c>
      <c r="N14" s="160" t="str">
        <f t="array" ref="N14">IFERROR(INDEX(CupetList!$A:$G,SMALL(IF(CupetList!$G:$G=N$2,ROW(CupetList!$G:$G)),ROW()-4),N$3),"")</f>
        <v>마스터링</v>
      </c>
      <c r="O14" s="160">
        <f t="array" ref="O14">IFERROR(INDEX(CupetList!$A:$G,SMALL(IF(CupetList!$G:$G=O$2,ROW(CupetList!$G:$G)),ROW()-4),O$3),"")</f>
        <v>10.5</v>
      </c>
      <c r="Q14" s="160">
        <f t="array" ref="Q14">IFERROR(INDEX(CupetList!$A:$G,SMALL(IF(CupetList!$G:$G=Q$2,ROW(CupetList!$G:$G)),ROW()-4),Q$3),"")</f>
        <v>55065</v>
      </c>
      <c r="R14" s="160" t="str">
        <f t="array" ref="R14">IFERROR(INDEX(CupetList!$A:$G,SMALL(IF(CupetList!$G:$G=R$2,ROW(CupetList!$G:$G)),ROW()-4),R$3),"")</f>
        <v>플로라</v>
      </c>
      <c r="S14" s="160">
        <f t="array" ref="S14">IFERROR(INDEX(CupetList!$A:$G,SMALL(IF(CupetList!$G:$G=S$2,ROW(CupetList!$G:$G)),ROW()-4),S$3),"")</f>
        <v>12</v>
      </c>
      <c r="U14" s="160" t="str">
        <f t="array" ref="U14">IFERROR(INDEX(CupetList!$A:$G,SMALL(IF(CupetList!$G:$G=U$2,ROW(CupetList!$G:$G)),ROW()-4),U$3),"")</f>
        <v/>
      </c>
      <c r="V14" s="160" t="str">
        <f t="array" ref="V14">IFERROR(INDEX(CupetList!$A:$G,SMALL(IF(CupetList!$G:$G=V$2,ROW(CupetList!$G:$G)),ROW()-4),V$3),"")</f>
        <v/>
      </c>
      <c r="W14" s="160" t="str">
        <f t="array" ref="W14">IFERROR(INDEX(CupetList!$A:$G,SMALL(IF(CupetList!$G:$G=W$2,ROW(CupetList!$G:$G)),ROW()-4),W$3),"")</f>
        <v/>
      </c>
      <c r="Y14" s="160" t="str">
        <f t="array" ref="Y14">IFERROR(INDEX(CupetList!$A:$G,SMALL(IF(CupetList!$G:$G=Y$2,ROW(CupetList!$G:$G)),ROW()-4),Y$3),"")</f>
        <v/>
      </c>
      <c r="Z14" s="160" t="str">
        <f t="array" ref="Z14">IFERROR(INDEX(CupetList!$A:$G,SMALL(IF(CupetList!$G:$G=Z$2,ROW(CupetList!$G:$G)),ROW()-4),Z$3),"")</f>
        <v/>
      </c>
      <c r="AA14" s="160" t="str">
        <f t="array" ref="AA14">IFERROR(INDEX(CupetList!$A:$G,SMALL(IF(CupetList!$G:$G=AA$2,ROW(CupetList!$G:$G)),ROW()-4),AA$3),"")</f>
        <v/>
      </c>
      <c r="AC14" s="160" t="str">
        <f t="array" ref="AC14">IFERROR(INDEX(CupetList!$A:$G,SMALL(IF(CupetList!$G:$G=AC$2,ROW(CupetList!$G:$G)),ROW()-4),AC$3),"")</f>
        <v/>
      </c>
      <c r="AD14" s="160" t="str">
        <f t="array" ref="AD14">IFERROR(INDEX(CupetList!$A:$G,SMALL(IF(CupetList!$G:$G=AD$2,ROW(CupetList!$G:$G)),ROW()-4),AD$3),"")</f>
        <v/>
      </c>
      <c r="AE14" s="160" t="str">
        <f t="array" ref="AE14">IFERROR(INDEX(CupetList!$A:$G,SMALL(IF(CupetList!$G:$G=AE$2,ROW(CupetList!$G:$G)),ROW()-4),AE$3),"")</f>
        <v/>
      </c>
      <c r="AG14" s="160" t="str">
        <f t="array" ref="AG14">IFERROR(INDEX(CupetList!$A:$G,SMALL(IF(CupetList!$G:$G=AG$2,ROW(CupetList!$G:$G)),ROW()-4),AG$3),"")</f>
        <v/>
      </c>
      <c r="AH14" s="160" t="str">
        <f t="array" ref="AH14">IFERROR(INDEX(CupetList!$A:$G,SMALL(IF(CupetList!$G:$G=AH$2,ROW(CupetList!$G:$G)),ROW()-4),AH$3),"")</f>
        <v/>
      </c>
      <c r="AI14" s="160" t="str">
        <f t="array" ref="AI14">IFERROR(INDEX(CupetList!$A:$G,SMALL(IF(CupetList!$G:$G=AI$2,ROW(CupetList!$G:$G)),ROW()-4),AI$3),"")</f>
        <v/>
      </c>
      <c r="AK14" s="160" t="str">
        <f t="array" ref="AK14">IFERROR(INDEX(CupetList!$A:$G,SMALL(IF(CupetList!$G:$G=AK$2,ROW(CupetList!$G:$G)),ROW()-4),AK$3),"")</f>
        <v/>
      </c>
      <c r="AL14" s="160" t="str">
        <f t="array" ref="AL14">IFERROR(INDEX(CupetList!$A:$G,SMALL(IF(CupetList!$G:$G=AL$2,ROW(CupetList!$G:$G)),ROW()-4),AL$3),"")</f>
        <v/>
      </c>
      <c r="AM14" s="160" t="str">
        <f t="array" ref="AM14">IFERROR(INDEX(CupetList!$A:$G,SMALL(IF(CupetList!$G:$G=AM$2,ROW(CupetList!$G:$G)),ROW()-4),AM$3),"")</f>
        <v/>
      </c>
    </row>
    <row r="15" spans="1:39" x14ac:dyDescent="0.3">
      <c r="A15" s="160" t="str">
        <f t="array" ref="A15">IFERROR(INDEX(CupetList!$A:$G,SMALL(IF(CupetList!$G:$G=A$2,ROW(CupetList!$G:$G)),ROW()-4),A$3),"")</f>
        <v/>
      </c>
      <c r="B15" s="160" t="str">
        <f t="array" ref="B15">IFERROR(INDEX(CupetList!$A:$G,SMALL(IF(CupetList!$G:$G=B$2,ROW(CupetList!$G:$G)),ROW()-4),B$3),"")</f>
        <v/>
      </c>
      <c r="C15" s="160" t="str">
        <f t="array" ref="C15">IFERROR(INDEX(CupetList!$A:$G,SMALL(IF(CupetList!$G:$G=C$2,ROW(CupetList!$G:$G)),ROW()-4),C$3),"")</f>
        <v/>
      </c>
      <c r="E15" s="160">
        <f t="array" ref="E15">IFERROR(INDEX(CupetList!$A:$G,SMALL(IF(CupetList!$G:$G=E$2,ROW(CupetList!$G:$G)),ROW()-4),E$3),"")</f>
        <v>55023</v>
      </c>
      <c r="F15" s="160" t="str">
        <f t="array" ref="F15">IFERROR(INDEX(CupetList!$A:$G,SMALL(IF(CupetList!$G:$G=F$2,ROW(CupetList!$G:$G)),ROW()-4),F$3),"")</f>
        <v>콘도르</v>
      </c>
      <c r="G15" s="160">
        <f t="array" ref="G15">IFERROR(INDEX(CupetList!$A:$G,SMALL(IF(CupetList!$G:$G=G$2,ROW(CupetList!$G:$G)),ROW()-4),G$3),"")</f>
        <v>6</v>
      </c>
      <c r="I15" s="160">
        <f t="array" ref="I15">IFERROR(INDEX(CupetList!$A:$G,SMALL(IF(CupetList!$G:$G=I$2,ROW(CupetList!$G:$G)),ROW()-4),I$3),"")</f>
        <v>55072</v>
      </c>
      <c r="J15" s="160" t="str">
        <f t="array" ref="J15">IFERROR(INDEX(CupetList!$A:$G,SMALL(IF(CupetList!$G:$G=J$2,ROW(CupetList!$G:$G)),ROW()-4),J$3),"")</f>
        <v>오크 베이비</v>
      </c>
      <c r="K15" s="160">
        <f t="array" ref="K15">IFERROR(INDEX(CupetList!$A:$G,SMALL(IF(CupetList!$G:$G=K$2,ROW(CupetList!$G:$G)),ROW()-4),K$3),"")</f>
        <v>9</v>
      </c>
      <c r="M15" s="160">
        <f t="array" ref="M15">IFERROR(INDEX(CupetList!$A:$G,SMALL(IF(CupetList!$G:$G=M$2,ROW(CupetList!$G:$G)),ROW()-4),M$3),"")</f>
        <v>55060</v>
      </c>
      <c r="N15" s="160" t="str">
        <f t="array" ref="N15">IFERROR(INDEX(CupetList!$A:$G,SMALL(IF(CupetList!$G:$G=N$2,ROW(CupetList!$G:$G)),ROW()-4),N$3),"")</f>
        <v>드롭프스</v>
      </c>
      <c r="O15" s="160">
        <f t="array" ref="O15">IFERROR(INDEX(CupetList!$A:$G,SMALL(IF(CupetList!$G:$G=O$2,ROW(CupetList!$G:$G)),ROW()-4),O$3),"")</f>
        <v>12</v>
      </c>
      <c r="Q15" s="160">
        <f t="array" ref="Q15">IFERROR(INDEX(CupetList!$A:$G,SMALL(IF(CupetList!$G:$G=Q$2,ROW(CupetList!$G:$G)),ROW()-4),Q$3),"")</f>
        <v>55066</v>
      </c>
      <c r="R15" s="160" t="str">
        <f t="array" ref="R15">IFERROR(INDEX(CupetList!$A:$G,SMALL(IF(CupetList!$G:$G=R$2,ROW(CupetList!$G:$G)),ROW()-4),R$3),"")</f>
        <v>와일드 로즈</v>
      </c>
      <c r="S15" s="160">
        <f t="array" ref="S15">IFERROR(INDEX(CupetList!$A:$G,SMALL(IF(CupetList!$G:$G=S$2,ROW(CupetList!$G:$G)),ROW()-4),S$3),"")</f>
        <v>12</v>
      </c>
      <c r="U15" s="160" t="str">
        <f t="array" ref="U15">IFERROR(INDEX(CupetList!$A:$G,SMALL(IF(CupetList!$G:$G=U$2,ROW(CupetList!$G:$G)),ROW()-4),U$3),"")</f>
        <v/>
      </c>
      <c r="V15" s="160" t="str">
        <f t="array" ref="V15">IFERROR(INDEX(CupetList!$A:$G,SMALL(IF(CupetList!$G:$G=V$2,ROW(CupetList!$G:$G)),ROW()-4),V$3),"")</f>
        <v/>
      </c>
      <c r="W15" s="160" t="str">
        <f t="array" ref="W15">IFERROR(INDEX(CupetList!$A:$G,SMALL(IF(CupetList!$G:$G=W$2,ROW(CupetList!$G:$G)),ROW()-4),W$3),"")</f>
        <v/>
      </c>
      <c r="Y15" s="160" t="str">
        <f t="array" ref="Y15">IFERROR(INDEX(CupetList!$A:$G,SMALL(IF(CupetList!$G:$G=Y$2,ROW(CupetList!$G:$G)),ROW()-4),Y$3),"")</f>
        <v/>
      </c>
      <c r="Z15" s="160" t="str">
        <f t="array" ref="Z15">IFERROR(INDEX(CupetList!$A:$G,SMALL(IF(CupetList!$G:$G=Z$2,ROW(CupetList!$G:$G)),ROW()-4),Z$3),"")</f>
        <v/>
      </c>
      <c r="AA15" s="160" t="str">
        <f t="array" ref="AA15">IFERROR(INDEX(CupetList!$A:$G,SMALL(IF(CupetList!$G:$G=AA$2,ROW(CupetList!$G:$G)),ROW()-4),AA$3),"")</f>
        <v/>
      </c>
      <c r="AC15" s="160" t="str">
        <f t="array" ref="AC15">IFERROR(INDEX(CupetList!$A:$G,SMALL(IF(CupetList!$G:$G=AC$2,ROW(CupetList!$G:$G)),ROW()-4),AC$3),"")</f>
        <v/>
      </c>
      <c r="AD15" s="160" t="str">
        <f t="array" ref="AD15">IFERROR(INDEX(CupetList!$A:$G,SMALL(IF(CupetList!$G:$G=AD$2,ROW(CupetList!$G:$G)),ROW()-4),AD$3),"")</f>
        <v/>
      </c>
      <c r="AE15" s="160" t="str">
        <f t="array" ref="AE15">IFERROR(INDEX(CupetList!$A:$G,SMALL(IF(CupetList!$G:$G=AE$2,ROW(CupetList!$G:$G)),ROW()-4),AE$3),"")</f>
        <v/>
      </c>
      <c r="AG15" s="160" t="str">
        <f t="array" ref="AG15">IFERROR(INDEX(CupetList!$A:$G,SMALL(IF(CupetList!$G:$G=AG$2,ROW(CupetList!$G:$G)),ROW()-4),AG$3),"")</f>
        <v/>
      </c>
      <c r="AH15" s="160" t="str">
        <f t="array" ref="AH15">IFERROR(INDEX(CupetList!$A:$G,SMALL(IF(CupetList!$G:$G=AH$2,ROW(CupetList!$G:$G)),ROW()-4),AH$3),"")</f>
        <v/>
      </c>
      <c r="AI15" s="160" t="str">
        <f t="array" ref="AI15">IFERROR(INDEX(CupetList!$A:$G,SMALL(IF(CupetList!$G:$G=AI$2,ROW(CupetList!$G:$G)),ROW()-4),AI$3),"")</f>
        <v/>
      </c>
      <c r="AK15" s="160" t="str">
        <f t="array" ref="AK15">IFERROR(INDEX(CupetList!$A:$G,SMALL(IF(CupetList!$G:$G=AK$2,ROW(CupetList!$G:$G)),ROW()-4),AK$3),"")</f>
        <v/>
      </c>
      <c r="AL15" s="160" t="str">
        <f t="array" ref="AL15">IFERROR(INDEX(CupetList!$A:$G,SMALL(IF(CupetList!$G:$G=AL$2,ROW(CupetList!$G:$G)),ROW()-4),AL$3),"")</f>
        <v/>
      </c>
      <c r="AM15" s="160" t="str">
        <f t="array" ref="AM15">IFERROR(INDEX(CupetList!$A:$G,SMALL(IF(CupetList!$G:$G=AM$2,ROW(CupetList!$G:$G)),ROW()-4),AM$3),"")</f>
        <v/>
      </c>
    </row>
    <row r="16" spans="1:39" x14ac:dyDescent="0.3">
      <c r="A16" s="160" t="str">
        <f t="array" ref="A16">IFERROR(INDEX(CupetList!$A:$G,SMALL(IF(CupetList!$G:$G=A$2,ROW(CupetList!$G:$G)),ROW()-4),A$3),"")</f>
        <v/>
      </c>
      <c r="B16" s="160" t="str">
        <f t="array" ref="B16">IFERROR(INDEX(CupetList!$A:$G,SMALL(IF(CupetList!$G:$G=B$2,ROW(CupetList!$G:$G)),ROW()-4),B$3),"")</f>
        <v/>
      </c>
      <c r="C16" s="160" t="str">
        <f t="array" ref="C16">IFERROR(INDEX(CupetList!$A:$G,SMALL(IF(CupetList!$G:$G=C$2,ROW(CupetList!$G:$G)),ROW()-4),C$3),"")</f>
        <v/>
      </c>
      <c r="E16" s="160">
        <f t="array" ref="E16">IFERROR(INDEX(CupetList!$A:$G,SMALL(IF(CupetList!$G:$G=E$2,ROW(CupetList!$G:$G)),ROW()-4),E$3),"")</f>
        <v>55032</v>
      </c>
      <c r="F16" s="160" t="str">
        <f t="array" ref="F16">IFERROR(INDEX(CupetList!$A:$G,SMALL(IF(CupetList!$G:$G=F$2,ROW(CupetList!$G:$G)),ROW()-4),F$3),"")</f>
        <v>아처 스켈레톤</v>
      </c>
      <c r="G16" s="160">
        <f t="array" ref="G16">IFERROR(INDEX(CupetList!$A:$G,SMALL(IF(CupetList!$G:$G=G$2,ROW(CupetList!$G:$G)),ROW()-4),G$3),"")</f>
        <v>7</v>
      </c>
      <c r="I16" s="160">
        <f t="array" ref="I16">IFERROR(INDEX(CupetList!$A:$G,SMALL(IF(CupetList!$G:$G=I$2,ROW(CupetList!$G:$G)),ROW()-4),I$3),"")</f>
        <v>55058</v>
      </c>
      <c r="J16" s="160" t="str">
        <f t="array" ref="J16">IFERROR(INDEX(CupetList!$A:$G,SMALL(IF(CupetList!$G:$G=J$2,ROW(CupetList!$G:$G)),ROW()-4),J$3),"")</f>
        <v>로터 자이로</v>
      </c>
      <c r="K16" s="160">
        <f t="array" ref="K16">IFERROR(INDEX(CupetList!$A:$G,SMALL(IF(CupetList!$G:$G=K$2,ROW(CupetList!$G:$G)),ROW()-4),K$3),"")</f>
        <v>10</v>
      </c>
      <c r="M16" s="160">
        <f t="array" ref="M16">IFERROR(INDEX(CupetList!$A:$G,SMALL(IF(CupetList!$G:$G=M$2,ROW(CupetList!$G:$G)),ROW()-4),M$3),"")</f>
        <v>55062</v>
      </c>
      <c r="N16" s="160" t="str">
        <f t="array" ref="N16">IFERROR(INDEX(CupetList!$A:$G,SMALL(IF(CupetList!$G:$G=N$2,ROW(CupetList!$G:$G)),ROW()-4),N$3),"")</f>
        <v>드레인리어</v>
      </c>
      <c r="O16" s="160">
        <f t="array" ref="O16">IFERROR(INDEX(CupetList!$A:$G,SMALL(IF(CupetList!$G:$G=O$2,ROW(CupetList!$G:$G)),ROW()-4),O$3),"")</f>
        <v>12</v>
      </c>
      <c r="Q16" s="160">
        <f t="array" ref="Q16">IFERROR(INDEX(CupetList!$A:$G,SMALL(IF(CupetList!$G:$G=Q$2,ROW(CupetList!$G:$G)),ROW()-4),Q$3),"")</f>
        <v>55064</v>
      </c>
      <c r="R16" s="160" t="str">
        <f t="array" ref="R16">IFERROR(INDEX(CupetList!$A:$G,SMALL(IF(CupetList!$G:$G=R$2,ROW(CupetList!$G:$G)),ROW()-4),R$3),"")</f>
        <v>마그마링</v>
      </c>
      <c r="S16" s="160">
        <f t="array" ref="S16">IFERROR(INDEX(CupetList!$A:$G,SMALL(IF(CupetList!$G:$G=S$2,ROW(CupetList!$G:$G)),ROW()-4),S$3),"")</f>
        <v>12.5</v>
      </c>
      <c r="U16" s="160" t="str">
        <f t="array" ref="U16">IFERROR(INDEX(CupetList!$A:$G,SMALL(IF(CupetList!$G:$G=U$2,ROW(CupetList!$G:$G)),ROW()-4),U$3),"")</f>
        <v/>
      </c>
      <c r="V16" s="160" t="str">
        <f t="array" ref="V16">IFERROR(INDEX(CupetList!$A:$G,SMALL(IF(CupetList!$G:$G=V$2,ROW(CupetList!$G:$G)),ROW()-4),V$3),"")</f>
        <v/>
      </c>
      <c r="W16" s="160" t="str">
        <f t="array" ref="W16">IFERROR(INDEX(CupetList!$A:$G,SMALL(IF(CupetList!$G:$G=W$2,ROW(CupetList!$G:$G)),ROW()-4),W$3),"")</f>
        <v/>
      </c>
      <c r="Y16" s="160" t="str">
        <f t="array" ref="Y16">IFERROR(INDEX(CupetList!$A:$G,SMALL(IF(CupetList!$G:$G=Y$2,ROW(CupetList!$G:$G)),ROW()-4),Y$3),"")</f>
        <v/>
      </c>
      <c r="Z16" s="160" t="str">
        <f t="array" ref="Z16">IFERROR(INDEX(CupetList!$A:$G,SMALL(IF(CupetList!$G:$G=Z$2,ROW(CupetList!$G:$G)),ROW()-4),Z$3),"")</f>
        <v/>
      </c>
      <c r="AA16" s="160" t="str">
        <f t="array" ref="AA16">IFERROR(INDEX(CupetList!$A:$G,SMALL(IF(CupetList!$G:$G=AA$2,ROW(CupetList!$G:$G)),ROW()-4),AA$3),"")</f>
        <v/>
      </c>
      <c r="AC16" s="160" t="str">
        <f t="array" ref="AC16">IFERROR(INDEX(CupetList!$A:$G,SMALL(IF(CupetList!$G:$G=AC$2,ROW(CupetList!$G:$G)),ROW()-4),AC$3),"")</f>
        <v/>
      </c>
      <c r="AD16" s="160" t="str">
        <f t="array" ref="AD16">IFERROR(INDEX(CupetList!$A:$G,SMALL(IF(CupetList!$G:$G=AD$2,ROW(CupetList!$G:$G)),ROW()-4),AD$3),"")</f>
        <v/>
      </c>
      <c r="AE16" s="160" t="str">
        <f t="array" ref="AE16">IFERROR(INDEX(CupetList!$A:$G,SMALL(IF(CupetList!$G:$G=AE$2,ROW(CupetList!$G:$G)),ROW()-4),AE$3),"")</f>
        <v/>
      </c>
      <c r="AG16" s="160" t="str">
        <f t="array" ref="AG16">IFERROR(INDEX(CupetList!$A:$G,SMALL(IF(CupetList!$G:$G=AG$2,ROW(CupetList!$G:$G)),ROW()-4),AG$3),"")</f>
        <v/>
      </c>
      <c r="AH16" s="160" t="str">
        <f t="array" ref="AH16">IFERROR(INDEX(CupetList!$A:$G,SMALL(IF(CupetList!$G:$G=AH$2,ROW(CupetList!$G:$G)),ROW()-4),AH$3),"")</f>
        <v/>
      </c>
      <c r="AI16" s="160" t="str">
        <f t="array" ref="AI16">IFERROR(INDEX(CupetList!$A:$G,SMALL(IF(CupetList!$G:$G=AI$2,ROW(CupetList!$G:$G)),ROW()-4),AI$3),"")</f>
        <v/>
      </c>
      <c r="AK16" s="160" t="str">
        <f t="array" ref="AK16">IFERROR(INDEX(CupetList!$A:$G,SMALL(IF(CupetList!$G:$G=AK$2,ROW(CupetList!$G:$G)),ROW()-4),AK$3),"")</f>
        <v/>
      </c>
      <c r="AL16" s="160" t="str">
        <f t="array" ref="AL16">IFERROR(INDEX(CupetList!$A:$G,SMALL(IF(CupetList!$G:$G=AL$2,ROW(CupetList!$G:$G)),ROW()-4),AL$3),"")</f>
        <v/>
      </c>
      <c r="AM16" s="160" t="str">
        <f t="array" ref="AM16">IFERROR(INDEX(CupetList!$A:$G,SMALL(IF(CupetList!$G:$G=AM$2,ROW(CupetList!$G:$G)),ROW()-4),AM$3),"")</f>
        <v/>
      </c>
    </row>
    <row r="17" spans="1:39" x14ac:dyDescent="0.3">
      <c r="A17" s="160" t="str">
        <f t="array" ref="A17">IFERROR(INDEX(CupetList!$A:$G,SMALL(IF(CupetList!$G:$G=A$2,ROW(CupetList!$G:$G)),ROW()-4),A$3),"")</f>
        <v/>
      </c>
      <c r="B17" s="160" t="str">
        <f t="array" ref="B17">IFERROR(INDEX(CupetList!$A:$G,SMALL(IF(CupetList!$G:$G=B$2,ROW(CupetList!$G:$G)),ROW()-4),B$3),"")</f>
        <v/>
      </c>
      <c r="C17" s="160" t="str">
        <f t="array" ref="C17">IFERROR(INDEX(CupetList!$A:$G,SMALL(IF(CupetList!$G:$G=C$2,ROW(CupetList!$G:$G)),ROW()-4),C$3),"")</f>
        <v/>
      </c>
      <c r="E17" s="160">
        <f t="array" ref="E17">IFERROR(INDEX(CupetList!$A:$G,SMALL(IF(CupetList!$G:$G=E$2,ROW(CupetList!$G:$G)),ROW()-4),E$3),"")</f>
        <v>55035</v>
      </c>
      <c r="F17" s="160" t="str">
        <f t="array" ref="F17">IFERROR(INDEX(CupetList!$A:$G,SMALL(IF(CupetList!$G:$G=F$2,ROW(CupetList!$G:$G)),ROW()-4),F$3),"")</f>
        <v>플랑크톤</v>
      </c>
      <c r="G17" s="160">
        <f t="array" ref="G17">IFERROR(INDEX(CupetList!$A:$G,SMALL(IF(CupetList!$G:$G=G$2,ROW(CupetList!$G:$G)),ROW()-4),G$3),"")</f>
        <v>8</v>
      </c>
      <c r="I17" s="160">
        <f t="array" ref="I17">IFERROR(INDEX(CupetList!$A:$G,SMALL(IF(CupetList!$G:$G=I$2,ROW(CupetList!$G:$G)),ROW()-4),I$3),"")</f>
        <v>55069</v>
      </c>
      <c r="J17" s="160" t="str">
        <f t="array" ref="J17">IFERROR(INDEX(CupetList!$A:$G,SMALL(IF(CupetList!$G:$G=J$2,ROW(CupetList!$G:$G)),ROW()-4),J$3),"")</f>
        <v>크라벤</v>
      </c>
      <c r="K17" s="160" t="str">
        <f t="array" ref="K17">IFERROR(INDEX(CupetList!$A:$G,SMALL(IF(CupetList!$G:$G=K$2,ROW(CupetList!$G:$G)),ROW()-4),K$3),"")</f>
        <v>경험치 던전</v>
      </c>
      <c r="M17" s="160">
        <f t="array" ref="M17">IFERROR(INDEX(CupetList!$A:$G,SMALL(IF(CupetList!$G:$G=M$2,ROW(CupetList!$G:$G)),ROW()-4),M$3),"")</f>
        <v>55093</v>
      </c>
      <c r="N17" s="160" t="str">
        <f t="array" ref="N17">IFERROR(INDEX(CupetList!$A:$G,SMALL(IF(CupetList!$G:$G=N$2,ROW(CupetList!$G:$G)),ROW()-4),N$3),"")</f>
        <v>임프</v>
      </c>
      <c r="O17" s="160">
        <f t="array" ref="O17">IFERROR(INDEX(CupetList!$A:$G,SMALL(IF(CupetList!$G:$G=O$2,ROW(CupetList!$G:$G)),ROW()-4),O$3),"")</f>
        <v>13</v>
      </c>
      <c r="Q17" s="160">
        <f t="array" ref="Q17">IFERROR(INDEX(CupetList!$A:$G,SMALL(IF(CupetList!$G:$G=Q$2,ROW(CupetList!$G:$G)),ROW()-4),Q$3),"")</f>
        <v>55070</v>
      </c>
      <c r="R17" s="160" t="str">
        <f t="array" ref="R17">IFERROR(INDEX(CupetList!$A:$G,SMALL(IF(CupetList!$G:$G=R$2,ROW(CupetList!$G:$G)),ROW()-4),R$3),"")</f>
        <v>탐루안</v>
      </c>
      <c r="S17" s="160" t="str">
        <f t="array" ref="S17">IFERROR(INDEX(CupetList!$A:$G,SMALL(IF(CupetList!$G:$G=S$2,ROW(CupetList!$G:$G)),ROW()-4),S$3),"")</f>
        <v>경험치 던전</v>
      </c>
      <c r="U17" s="160" t="str">
        <f t="array" ref="U17">IFERROR(INDEX(CupetList!$A:$G,SMALL(IF(CupetList!$G:$G=U$2,ROW(CupetList!$G:$G)),ROW()-4),U$3),"")</f>
        <v/>
      </c>
      <c r="V17" s="160" t="str">
        <f t="array" ref="V17">IFERROR(INDEX(CupetList!$A:$G,SMALL(IF(CupetList!$G:$G=V$2,ROW(CupetList!$G:$G)),ROW()-4),V$3),"")</f>
        <v/>
      </c>
      <c r="W17" s="160" t="str">
        <f t="array" ref="W17">IFERROR(INDEX(CupetList!$A:$G,SMALL(IF(CupetList!$G:$G=W$2,ROW(CupetList!$G:$G)),ROW()-4),W$3),"")</f>
        <v/>
      </c>
      <c r="Y17" s="160" t="str">
        <f t="array" ref="Y17">IFERROR(INDEX(CupetList!$A:$G,SMALL(IF(CupetList!$G:$G=Y$2,ROW(CupetList!$G:$G)),ROW()-4),Y$3),"")</f>
        <v/>
      </c>
      <c r="Z17" s="160" t="str">
        <f t="array" ref="Z17">IFERROR(INDEX(CupetList!$A:$G,SMALL(IF(CupetList!$G:$G=Z$2,ROW(CupetList!$G:$G)),ROW()-4),Z$3),"")</f>
        <v/>
      </c>
      <c r="AA17" s="160" t="str">
        <f t="array" ref="AA17">IFERROR(INDEX(CupetList!$A:$G,SMALL(IF(CupetList!$G:$G=AA$2,ROW(CupetList!$G:$G)),ROW()-4),AA$3),"")</f>
        <v/>
      </c>
      <c r="AC17" s="160" t="str">
        <f t="array" ref="AC17">IFERROR(INDEX(CupetList!$A:$G,SMALL(IF(CupetList!$G:$G=AC$2,ROW(CupetList!$G:$G)),ROW()-4),AC$3),"")</f>
        <v/>
      </c>
      <c r="AD17" s="160" t="str">
        <f t="array" ref="AD17">IFERROR(INDEX(CupetList!$A:$G,SMALL(IF(CupetList!$G:$G=AD$2,ROW(CupetList!$G:$G)),ROW()-4),AD$3),"")</f>
        <v/>
      </c>
      <c r="AE17" s="160" t="str">
        <f t="array" ref="AE17">IFERROR(INDEX(CupetList!$A:$G,SMALL(IF(CupetList!$G:$G=AE$2,ROW(CupetList!$G:$G)),ROW()-4),AE$3),"")</f>
        <v/>
      </c>
      <c r="AG17" s="160" t="str">
        <f t="array" ref="AG17">IFERROR(INDEX(CupetList!$A:$G,SMALL(IF(CupetList!$G:$G=AG$2,ROW(CupetList!$G:$G)),ROW()-4),AG$3),"")</f>
        <v/>
      </c>
      <c r="AH17" s="160" t="str">
        <f t="array" ref="AH17">IFERROR(INDEX(CupetList!$A:$G,SMALL(IF(CupetList!$G:$G=AH$2,ROW(CupetList!$G:$G)),ROW()-4),AH$3),"")</f>
        <v/>
      </c>
      <c r="AI17" s="160" t="str">
        <f t="array" ref="AI17">IFERROR(INDEX(CupetList!$A:$G,SMALL(IF(CupetList!$G:$G=AI$2,ROW(CupetList!$G:$G)),ROW()-4),AI$3),"")</f>
        <v/>
      </c>
      <c r="AK17" s="160" t="str">
        <f t="array" ref="AK17">IFERROR(INDEX(CupetList!$A:$G,SMALL(IF(CupetList!$G:$G=AK$2,ROW(CupetList!$G:$G)),ROW()-4),AK$3),"")</f>
        <v/>
      </c>
      <c r="AL17" s="160" t="str">
        <f t="array" ref="AL17">IFERROR(INDEX(CupetList!$A:$G,SMALL(IF(CupetList!$G:$G=AL$2,ROW(CupetList!$G:$G)),ROW()-4),AL$3),"")</f>
        <v/>
      </c>
      <c r="AM17" s="160" t="str">
        <f t="array" ref="AM17">IFERROR(INDEX(CupetList!$A:$G,SMALL(IF(CupetList!$G:$G=AM$2,ROW(CupetList!$G:$G)),ROW()-4),AM$3),"")</f>
        <v/>
      </c>
    </row>
    <row r="18" spans="1:39" x14ac:dyDescent="0.3">
      <c r="A18" s="160" t="str">
        <f t="array" ref="A18">IFERROR(INDEX(CupetList!$A:$G,SMALL(IF(CupetList!$G:$G=A$2,ROW(CupetList!$G:$G)),ROW()-4),A$3),"")</f>
        <v/>
      </c>
      <c r="B18" s="160" t="str">
        <f t="array" ref="B18">IFERROR(INDEX(CupetList!$A:$G,SMALL(IF(CupetList!$G:$G=B$2,ROW(CupetList!$G:$G)),ROW()-4),B$3),"")</f>
        <v/>
      </c>
      <c r="C18" s="160" t="str">
        <f t="array" ref="C18">IFERROR(INDEX(CupetList!$A:$G,SMALL(IF(CupetList!$G:$G=C$2,ROW(CupetList!$G:$G)),ROW()-4),C$3),"")</f>
        <v/>
      </c>
      <c r="E18" s="160">
        <f t="array" ref="E18">IFERROR(INDEX(CupetList!$A:$G,SMALL(IF(CupetList!$G:$G=E$2,ROW(CupetList!$G:$G)),ROW()-4),E$3),"")</f>
        <v>55044</v>
      </c>
      <c r="F18" s="160" t="str">
        <f t="array" ref="F18">IFERROR(INDEX(CupetList!$A:$G,SMALL(IF(CupetList!$G:$G=F$2,ROW(CupetList!$G:$G)),ROW()-4),F$3),"")</f>
        <v>고블린(플레일)</v>
      </c>
      <c r="G18" s="160" t="str">
        <f t="array" ref="G18">IFERROR(INDEX(CupetList!$A:$G,SMALL(IF(CupetList!$G:$G=G$2,ROW(CupetList!$G:$G)),ROW()-4),G$3),"")</f>
        <v>장비 던전</v>
      </c>
      <c r="I18" s="160">
        <f t="array" ref="I18">IFERROR(INDEX(CupetList!$A:$G,SMALL(IF(CupetList!$G:$G=I$2,ROW(CupetList!$G:$G)),ROW()-4),I$3),"")</f>
        <v>55042</v>
      </c>
      <c r="J18" s="160" t="str">
        <f t="array" ref="J18">IFERROR(INDEX(CupetList!$A:$G,SMALL(IF(CupetList!$G:$G=J$2,ROW(CupetList!$G:$G)),ROW()-4),J$3),"")</f>
        <v>고블린(모닝스타)</v>
      </c>
      <c r="K18" s="160" t="str">
        <f t="array" ref="K18">IFERROR(INDEX(CupetList!$A:$G,SMALL(IF(CupetList!$G:$G=K$2,ROW(CupetList!$G:$G)),ROW()-4),K$3),"")</f>
        <v>장비 던전</v>
      </c>
      <c r="M18" s="160">
        <f t="array" ref="M18">IFERROR(INDEX(CupetList!$A:$G,SMALL(IF(CupetList!$G:$G=M$2,ROW(CupetList!$G:$G)),ROW()-4),M$3),"")</f>
        <v>55068</v>
      </c>
      <c r="N18" s="160" t="str">
        <f t="array" ref="N18">IFERROR(INDEX(CupetList!$A:$G,SMALL(IF(CupetList!$G:$G=N$2,ROW(CupetList!$G:$G)),ROW()-4),N$3),"")</f>
        <v>위스퍼</v>
      </c>
      <c r="O18" s="160" t="str">
        <f t="array" ref="O18">IFERROR(INDEX(CupetList!$A:$G,SMALL(IF(CupetList!$G:$G=O$2,ROW(CupetList!$G:$G)),ROW()-4),O$3),"")</f>
        <v>경험치 던전</v>
      </c>
      <c r="Q18" s="160">
        <f t="array" ref="Q18">IFERROR(INDEX(CupetList!$A:$G,SMALL(IF(CupetList!$G:$G=Q$2,ROW(CupetList!$G:$G)),ROW()-4),Q$3),"")</f>
        <v>55048</v>
      </c>
      <c r="R18" s="160" t="str">
        <f t="array" ref="R18">IFERROR(INDEX(CupetList!$A:$G,SMALL(IF(CupetList!$G:$G=R$2,ROW(CupetList!$G:$G)),ROW()-4),R$3),"")</f>
        <v>고블린 스팀라이더</v>
      </c>
      <c r="S18" s="160" t="str">
        <f t="array" ref="S18">IFERROR(INDEX(CupetList!$A:$G,SMALL(IF(CupetList!$G:$G=S$2,ROW(CupetList!$G:$G)),ROW()-4),S$3),"")</f>
        <v>장비 던전</v>
      </c>
      <c r="U18" s="160" t="str">
        <f t="array" ref="U18">IFERROR(INDEX(CupetList!$A:$G,SMALL(IF(CupetList!$G:$G=U$2,ROW(CupetList!$G:$G)),ROW()-4),U$3),"")</f>
        <v/>
      </c>
      <c r="V18" s="160" t="str">
        <f t="array" ref="V18">IFERROR(INDEX(CupetList!$A:$G,SMALL(IF(CupetList!$G:$G=V$2,ROW(CupetList!$G:$G)),ROW()-4),V$3),"")</f>
        <v/>
      </c>
      <c r="W18" s="160" t="str">
        <f t="array" ref="W18">IFERROR(INDEX(CupetList!$A:$G,SMALL(IF(CupetList!$G:$G=W$2,ROW(CupetList!$G:$G)),ROW()-4),W$3),"")</f>
        <v/>
      </c>
      <c r="Y18" s="160" t="str">
        <f t="array" ref="Y18">IFERROR(INDEX(CupetList!$A:$G,SMALL(IF(CupetList!$G:$G=Y$2,ROW(CupetList!$G:$G)),ROW()-4),Y$3),"")</f>
        <v/>
      </c>
      <c r="Z18" s="160" t="str">
        <f t="array" ref="Z18">IFERROR(INDEX(CupetList!$A:$G,SMALL(IF(CupetList!$G:$G=Z$2,ROW(CupetList!$G:$G)),ROW()-4),Z$3),"")</f>
        <v/>
      </c>
      <c r="AA18" s="160" t="str">
        <f t="array" ref="AA18">IFERROR(INDEX(CupetList!$A:$G,SMALL(IF(CupetList!$G:$G=AA$2,ROW(CupetList!$G:$G)),ROW()-4),AA$3),"")</f>
        <v/>
      </c>
      <c r="AC18" s="160" t="str">
        <f t="array" ref="AC18">IFERROR(INDEX(CupetList!$A:$G,SMALL(IF(CupetList!$G:$G=AC$2,ROW(CupetList!$G:$G)),ROW()-4),AC$3),"")</f>
        <v/>
      </c>
      <c r="AD18" s="160" t="str">
        <f t="array" ref="AD18">IFERROR(INDEX(CupetList!$A:$G,SMALL(IF(CupetList!$G:$G=AD$2,ROW(CupetList!$G:$G)),ROW()-4),AD$3),"")</f>
        <v/>
      </c>
      <c r="AE18" s="160" t="str">
        <f t="array" ref="AE18">IFERROR(INDEX(CupetList!$A:$G,SMALL(IF(CupetList!$G:$G=AE$2,ROW(CupetList!$G:$G)),ROW()-4),AE$3),"")</f>
        <v/>
      </c>
      <c r="AG18" s="160" t="str">
        <f t="array" ref="AG18">IFERROR(INDEX(CupetList!$A:$G,SMALL(IF(CupetList!$G:$G=AG$2,ROW(CupetList!$G:$G)),ROW()-4),AG$3),"")</f>
        <v/>
      </c>
      <c r="AH18" s="160" t="str">
        <f t="array" ref="AH18">IFERROR(INDEX(CupetList!$A:$G,SMALL(IF(CupetList!$G:$G=AH$2,ROW(CupetList!$G:$G)),ROW()-4),AH$3),"")</f>
        <v/>
      </c>
      <c r="AI18" s="160" t="str">
        <f t="array" ref="AI18">IFERROR(INDEX(CupetList!$A:$G,SMALL(IF(CupetList!$G:$G=AI$2,ROW(CupetList!$G:$G)),ROW()-4),AI$3),"")</f>
        <v/>
      </c>
      <c r="AK18" s="160" t="str">
        <f t="array" ref="AK18">IFERROR(INDEX(CupetList!$A:$G,SMALL(IF(CupetList!$G:$G=AK$2,ROW(CupetList!$G:$G)),ROW()-4),AK$3),"")</f>
        <v/>
      </c>
      <c r="AL18" s="160" t="str">
        <f t="array" ref="AL18">IFERROR(INDEX(CupetList!$A:$G,SMALL(IF(CupetList!$G:$G=AL$2,ROW(CupetList!$G:$G)),ROW()-4),AL$3),"")</f>
        <v/>
      </c>
      <c r="AM18" s="160" t="str">
        <f t="array" ref="AM18">IFERROR(INDEX(CupetList!$A:$G,SMALL(IF(CupetList!$G:$G=AM$2,ROW(CupetList!$G:$G)),ROW()-4),AM$3),"")</f>
        <v/>
      </c>
    </row>
    <row r="19" spans="1:39" x14ac:dyDescent="0.3">
      <c r="A19" s="160" t="str">
        <f t="array" ref="A19">IFERROR(INDEX(CupetList!$A:$G,SMALL(IF(CupetList!$G:$G=A$2,ROW(CupetList!$G:$G)),ROW()-4),A$3),"")</f>
        <v/>
      </c>
      <c r="B19" s="160" t="str">
        <f t="array" ref="B19">IFERROR(INDEX(CupetList!$A:$G,SMALL(IF(CupetList!$G:$G=B$2,ROW(CupetList!$G:$G)),ROW()-4),B$3),"")</f>
        <v/>
      </c>
      <c r="C19" s="160" t="str">
        <f t="array" ref="C19">IFERROR(INDEX(CupetList!$A:$G,SMALL(IF(CupetList!$G:$G=C$2,ROW(CupetList!$G:$G)),ROW()-4),C$3),"")</f>
        <v/>
      </c>
      <c r="E19" s="160">
        <f t="array" ref="E19">IFERROR(INDEX(CupetList!$A:$G,SMALL(IF(CupetList!$G:$G=E$2,ROW(CupetList!$G:$G)),ROW()-4),E$3),"")</f>
        <v>55046</v>
      </c>
      <c r="F19" s="160" t="str">
        <f t="array" ref="F19">IFERROR(INDEX(CupetList!$A:$G,SMALL(IF(CupetList!$G:$G=F$2,ROW(CupetList!$G:$G)),ROW()-4),F$3),"")</f>
        <v>고블린(도끼)</v>
      </c>
      <c r="G19" s="160" t="str">
        <f t="array" ref="G19">IFERROR(INDEX(CupetList!$A:$G,SMALL(IF(CupetList!$G:$G=G$2,ROW(CupetList!$G:$G)),ROW()-4),G$3),"")</f>
        <v>장비 던전</v>
      </c>
      <c r="I19" s="160">
        <f t="array" ref="I19">IFERROR(INDEX(CupetList!$A:$G,SMALL(IF(CupetList!$G:$G=I$2,ROW(CupetList!$G:$G)),ROW()-4),I$3),"")</f>
        <v>55043</v>
      </c>
      <c r="J19" s="160" t="str">
        <f t="array" ref="J19">IFERROR(INDEX(CupetList!$A:$G,SMALL(IF(CupetList!$G:$G=J$2,ROW(CupetList!$G:$G)),ROW()-4),J$3),"")</f>
        <v>고블린(해머)</v>
      </c>
      <c r="K19" s="160" t="str">
        <f t="array" ref="K19">IFERROR(INDEX(CupetList!$A:$G,SMALL(IF(CupetList!$G:$G=K$2,ROW(CupetList!$G:$G)),ROW()-4),K$3),"")</f>
        <v>장비 던전</v>
      </c>
      <c r="M19" s="160">
        <f t="array" ref="M19">IFERROR(INDEX(CupetList!$A:$G,SMALL(IF(CupetList!$G:$G=M$2,ROW(CupetList!$G:$G)),ROW()-4),M$3),"")</f>
        <v>55045</v>
      </c>
      <c r="N19" s="160" t="str">
        <f t="array" ref="N19">IFERROR(INDEX(CupetList!$A:$G,SMALL(IF(CupetList!$G:$G=N$2,ROW(CupetList!$G:$G)),ROW()-4),N$3),"")</f>
        <v>고블린(단검)</v>
      </c>
      <c r="O19" s="160" t="str">
        <f t="array" ref="O19">IFERROR(INDEX(CupetList!$A:$G,SMALL(IF(CupetList!$G:$G=O$2,ROW(CupetList!$G:$G)),ROW()-4),O$3),"")</f>
        <v>장비 던전</v>
      </c>
      <c r="Q19" s="160">
        <f t="array" ref="Q19">IFERROR(INDEX(CupetList!$A:$G,SMALL(IF(CupetList!$G:$G=Q$2,ROW(CupetList!$G:$G)),ROW()-4),Q$3),"")</f>
        <v>55049</v>
      </c>
      <c r="R19" s="160" t="str">
        <f t="array" ref="R19">IFERROR(INDEX(CupetList!$A:$G,SMALL(IF(CupetList!$G:$G=R$2,ROW(CupetList!$G:$G)),ROW()-4),R$3),"")</f>
        <v>팬저 고블린</v>
      </c>
      <c r="S19" s="160" t="str">
        <f t="array" ref="S19">IFERROR(INDEX(CupetList!$A:$G,SMALL(IF(CupetList!$G:$G=S$2,ROW(CupetList!$G:$G)),ROW()-4),S$3),"")</f>
        <v>장비 던전</v>
      </c>
      <c r="U19" s="160" t="str">
        <f t="array" ref="U19">IFERROR(INDEX(CupetList!$A:$G,SMALL(IF(CupetList!$G:$G=U$2,ROW(CupetList!$G:$G)),ROW()-4),U$3),"")</f>
        <v/>
      </c>
      <c r="V19" s="160" t="str">
        <f t="array" ref="V19">IFERROR(INDEX(CupetList!$A:$G,SMALL(IF(CupetList!$G:$G=V$2,ROW(CupetList!$G:$G)),ROW()-4),V$3),"")</f>
        <v/>
      </c>
      <c r="W19" s="160" t="str">
        <f t="array" ref="W19">IFERROR(INDEX(CupetList!$A:$G,SMALL(IF(CupetList!$G:$G=W$2,ROW(CupetList!$G:$G)),ROW()-4),W$3),"")</f>
        <v/>
      </c>
      <c r="Y19" s="160" t="str">
        <f t="array" ref="Y19">IFERROR(INDEX(CupetList!$A:$G,SMALL(IF(CupetList!$G:$G=Y$2,ROW(CupetList!$G:$G)),ROW()-4),Y$3),"")</f>
        <v/>
      </c>
      <c r="Z19" s="160" t="str">
        <f t="array" ref="Z19">IFERROR(INDEX(CupetList!$A:$G,SMALL(IF(CupetList!$G:$G=Z$2,ROW(CupetList!$G:$G)),ROW()-4),Z$3),"")</f>
        <v/>
      </c>
      <c r="AA19" s="160" t="str">
        <f t="array" ref="AA19">IFERROR(INDEX(CupetList!$A:$G,SMALL(IF(CupetList!$G:$G=AA$2,ROW(CupetList!$G:$G)),ROW()-4),AA$3),"")</f>
        <v/>
      </c>
      <c r="AC19" s="160" t="str">
        <f t="array" ref="AC19">IFERROR(INDEX(CupetList!$A:$G,SMALL(IF(CupetList!$G:$G=AC$2,ROW(CupetList!$G:$G)),ROW()-4),AC$3),"")</f>
        <v/>
      </c>
      <c r="AD19" s="160" t="str">
        <f t="array" ref="AD19">IFERROR(INDEX(CupetList!$A:$G,SMALL(IF(CupetList!$G:$G=AD$2,ROW(CupetList!$G:$G)),ROW()-4),AD$3),"")</f>
        <v/>
      </c>
      <c r="AE19" s="160" t="str">
        <f t="array" ref="AE19">IFERROR(INDEX(CupetList!$A:$G,SMALL(IF(CupetList!$G:$G=AE$2,ROW(CupetList!$G:$G)),ROW()-4),AE$3),"")</f>
        <v/>
      </c>
      <c r="AG19" s="160" t="str">
        <f t="array" ref="AG19">IFERROR(INDEX(CupetList!$A:$G,SMALL(IF(CupetList!$G:$G=AG$2,ROW(CupetList!$G:$G)),ROW()-4),AG$3),"")</f>
        <v/>
      </c>
      <c r="AH19" s="160" t="str">
        <f t="array" ref="AH19">IFERROR(INDEX(CupetList!$A:$G,SMALL(IF(CupetList!$G:$G=AH$2,ROW(CupetList!$G:$G)),ROW()-4),AH$3),"")</f>
        <v/>
      </c>
      <c r="AI19" s="160" t="str">
        <f t="array" ref="AI19">IFERROR(INDEX(CupetList!$A:$G,SMALL(IF(CupetList!$G:$G=AI$2,ROW(CupetList!$G:$G)),ROW()-4),AI$3),"")</f>
        <v/>
      </c>
      <c r="AK19" s="160" t="str">
        <f t="array" ref="AK19">IFERROR(INDEX(CupetList!$A:$G,SMALL(IF(CupetList!$G:$G=AK$2,ROW(CupetList!$G:$G)),ROW()-4),AK$3),"")</f>
        <v/>
      </c>
      <c r="AL19" s="160" t="str">
        <f t="array" ref="AL19">IFERROR(INDEX(CupetList!$A:$G,SMALL(IF(CupetList!$G:$G=AL$2,ROW(CupetList!$G:$G)),ROW()-4),AL$3),"")</f>
        <v/>
      </c>
      <c r="AM19" s="160" t="str">
        <f t="array" ref="AM19">IFERROR(INDEX(CupetList!$A:$G,SMALL(IF(CupetList!$G:$G=AM$2,ROW(CupetList!$G:$G)),ROW()-4),AM$3),"")</f>
        <v/>
      </c>
    </row>
    <row r="20" spans="1:39" x14ac:dyDescent="0.3">
      <c r="A20" s="160" t="str">
        <f t="array" ref="A20">IFERROR(INDEX(CupetList!$A:$G,SMALL(IF(CupetList!$G:$G=A$2,ROW(CupetList!$G:$G)),ROW()-4),A$3),"")</f>
        <v/>
      </c>
      <c r="B20" s="160" t="str">
        <f t="array" ref="B20">IFERROR(INDEX(CupetList!$A:$G,SMALL(IF(CupetList!$G:$G=B$2,ROW(CupetList!$G:$G)),ROW()-4),B$3),"")</f>
        <v/>
      </c>
      <c r="C20" s="160" t="str">
        <f t="array" ref="C20">IFERROR(INDEX(CupetList!$A:$G,SMALL(IF(CupetList!$G:$G=C$2,ROW(CupetList!$G:$G)),ROW()-4),C$3),"")</f>
        <v/>
      </c>
      <c r="E20" s="160" t="str">
        <f t="array" ref="E20">IFERROR(INDEX(CupetList!$A:$G,SMALL(IF(CupetList!$G:$G=E$2,ROW(CupetList!$G:$G)),ROW()-4),E$3),"")</f>
        <v/>
      </c>
      <c r="F20" s="160" t="str">
        <f t="array" ref="F20">IFERROR(INDEX(CupetList!$A:$G,SMALL(IF(CupetList!$G:$G=F$2,ROW(CupetList!$G:$G)),ROW()-4),F$3),"")</f>
        <v/>
      </c>
      <c r="G20" s="160" t="str">
        <f t="array" ref="G20">IFERROR(INDEX(CupetList!$A:$G,SMALL(IF(CupetList!$G:$G=G$2,ROW(CupetList!$G:$G)),ROW()-4),G$3),"")</f>
        <v/>
      </c>
      <c r="I20" s="160" t="str">
        <f t="array" ref="I20">IFERROR(INDEX(CupetList!$A:$G,SMALL(IF(CupetList!$G:$G=I$2,ROW(CupetList!$G:$G)),ROW()-4),I$3),"")</f>
        <v/>
      </c>
      <c r="J20" s="160" t="str">
        <f t="array" ref="J20">IFERROR(INDEX(CupetList!$A:$G,SMALL(IF(CupetList!$G:$G=J$2,ROW(CupetList!$G:$G)),ROW()-4),J$3),"")</f>
        <v/>
      </c>
      <c r="K20" s="160" t="str">
        <f t="array" ref="K20">IFERROR(INDEX(CupetList!$A:$G,SMALL(IF(CupetList!$G:$G=K$2,ROW(CupetList!$G:$G)),ROW()-4),K$3),"")</f>
        <v/>
      </c>
      <c r="M20" s="160" t="str">
        <f t="array" ref="M20">IFERROR(INDEX(CupetList!$A:$G,SMALL(IF(CupetList!$G:$G=M$2,ROW(CupetList!$G:$G)),ROW()-4),M$3),"")</f>
        <v/>
      </c>
      <c r="N20" s="160" t="str">
        <f t="array" ref="N20">IFERROR(INDEX(CupetList!$A:$G,SMALL(IF(CupetList!$G:$G=N$2,ROW(CupetList!$G:$G)),ROW()-4),N$3),"")</f>
        <v>고블린 아처</v>
      </c>
      <c r="O20" s="160" t="str">
        <f t="array" ref="O20">IFERROR(INDEX(CupetList!$A:$G,SMALL(IF(CupetList!$G:$G=O$2,ROW(CupetList!$G:$G)),ROW()-4),O$3),"")</f>
        <v>장비 던전</v>
      </c>
      <c r="Q20" s="160">
        <f t="array" ref="Q20">IFERROR(INDEX(CupetList!$A:$G,SMALL(IF(CupetList!$G:$G=Q$2,ROW(CupetList!$G:$G)),ROW()-4),Q$3),"")</f>
        <v>55083</v>
      </c>
      <c r="R20" s="160" t="str">
        <f t="array" ref="R20">IFERROR(INDEX(CupetList!$A:$G,SMALL(IF(CupetList!$G:$G=R$2,ROW(CupetList!$G:$G)),ROW()-4),R$3),"")</f>
        <v>하티 베베</v>
      </c>
      <c r="S20" s="160" t="str">
        <f t="array" ref="S20">IFERROR(INDEX(CupetList!$A:$G,SMALL(IF(CupetList!$G:$G=S$2,ROW(CupetList!$G:$G)),ROW()-4),S$3),"")</f>
        <v>재료 던전</v>
      </c>
      <c r="U20" s="160" t="str">
        <f t="array" ref="U20">IFERROR(INDEX(CupetList!$A:$G,SMALL(IF(CupetList!$G:$G=U$2,ROW(CupetList!$G:$G)),ROW()-4),U$3),"")</f>
        <v/>
      </c>
      <c r="V20" s="160" t="str">
        <f t="array" ref="V20">IFERROR(INDEX(CupetList!$A:$G,SMALL(IF(CupetList!$G:$G=V$2,ROW(CupetList!$G:$G)),ROW()-4),V$3),"")</f>
        <v/>
      </c>
      <c r="W20" s="160" t="str">
        <f t="array" ref="W20">IFERROR(INDEX(CupetList!$A:$G,SMALL(IF(CupetList!$G:$G=W$2,ROW(CupetList!$G:$G)),ROW()-4),W$3),"")</f>
        <v/>
      </c>
      <c r="Y20" s="160" t="str">
        <f t="array" ref="Y20">IFERROR(INDEX(CupetList!$A:$G,SMALL(IF(CupetList!$G:$G=Y$2,ROW(CupetList!$G:$G)),ROW()-4),Y$3),"")</f>
        <v/>
      </c>
      <c r="Z20" s="160" t="str">
        <f t="array" ref="Z20">IFERROR(INDEX(CupetList!$A:$G,SMALL(IF(CupetList!$G:$G=Z$2,ROW(CupetList!$G:$G)),ROW()-4),Z$3),"")</f>
        <v/>
      </c>
      <c r="AA20" s="160" t="str">
        <f t="array" ref="AA20">IFERROR(INDEX(CupetList!$A:$G,SMALL(IF(CupetList!$G:$G=AA$2,ROW(CupetList!$G:$G)),ROW()-4),AA$3),"")</f>
        <v/>
      </c>
      <c r="AC20" s="160" t="str">
        <f t="array" ref="AC20">IFERROR(INDEX(CupetList!$A:$G,SMALL(IF(CupetList!$G:$G=AC$2,ROW(CupetList!$G:$G)),ROW()-4),AC$3),"")</f>
        <v/>
      </c>
      <c r="AD20" s="160" t="str">
        <f t="array" ref="AD20">IFERROR(INDEX(CupetList!$A:$G,SMALL(IF(CupetList!$G:$G=AD$2,ROW(CupetList!$G:$G)),ROW()-4),AD$3),"")</f>
        <v/>
      </c>
      <c r="AE20" s="160" t="str">
        <f t="array" ref="AE20">IFERROR(INDEX(CupetList!$A:$G,SMALL(IF(CupetList!$G:$G=AE$2,ROW(CupetList!$G:$G)),ROW()-4),AE$3),"")</f>
        <v/>
      </c>
      <c r="AG20" s="160" t="str">
        <f t="array" ref="AG20">IFERROR(INDEX(CupetList!$A:$G,SMALL(IF(CupetList!$G:$G=AG$2,ROW(CupetList!$G:$G)),ROW()-4),AG$3),"")</f>
        <v/>
      </c>
      <c r="AH20" s="160" t="str">
        <f t="array" ref="AH20">IFERROR(INDEX(CupetList!$A:$G,SMALL(IF(CupetList!$G:$G=AH$2,ROW(CupetList!$G:$G)),ROW()-4),AH$3),"")</f>
        <v/>
      </c>
      <c r="AI20" s="160" t="str">
        <f t="array" ref="AI20">IFERROR(INDEX(CupetList!$A:$G,SMALL(IF(CupetList!$G:$G=AI$2,ROW(CupetList!$G:$G)),ROW()-4),AI$3),"")</f>
        <v/>
      </c>
      <c r="AK20" s="160" t="str">
        <f t="array" ref="AK20">IFERROR(INDEX(CupetList!$A:$G,SMALL(IF(CupetList!$G:$G=AK$2,ROW(CupetList!$G:$G)),ROW()-4),AK$3),"")</f>
        <v/>
      </c>
      <c r="AL20" s="160" t="str">
        <f t="array" ref="AL20">IFERROR(INDEX(CupetList!$A:$G,SMALL(IF(CupetList!$G:$G=AL$2,ROW(CupetList!$G:$G)),ROW()-4),AL$3),"")</f>
        <v/>
      </c>
      <c r="AM20" s="160" t="str">
        <f t="array" ref="AM20">IFERROR(INDEX(CupetList!$A:$G,SMALL(IF(CupetList!$G:$G=AM$2,ROW(CupetList!$G:$G)),ROW()-4),AM$3),"")</f>
        <v/>
      </c>
    </row>
    <row r="21" spans="1:39" x14ac:dyDescent="0.3">
      <c r="A21" s="160" t="str">
        <f t="array" ref="A21">IFERROR(INDEX(CupetList!$A:$G,SMALL(IF(CupetList!$G:$G=A$2,ROW(CupetList!$G:$G)),ROW()-4),A$3),"")</f>
        <v/>
      </c>
      <c r="B21" s="160" t="str">
        <f t="array" ref="B21">IFERROR(INDEX(CupetList!$A:$G,SMALL(IF(CupetList!$G:$G=B$2,ROW(CupetList!$G:$G)),ROW()-4),B$3),"")</f>
        <v/>
      </c>
      <c r="C21" s="160" t="str">
        <f t="array" ref="C21">IFERROR(INDEX(CupetList!$A:$G,SMALL(IF(CupetList!$G:$G=C$2,ROW(CupetList!$G:$G)),ROW()-4),C$3),"")</f>
        <v/>
      </c>
      <c r="E21" s="160" t="str">
        <f t="array" ref="E21">IFERROR(INDEX(CupetList!$A:$G,SMALL(IF(CupetList!$G:$G=E$2,ROW(CupetList!$G:$G)),ROW()-4),E$3),"")</f>
        <v/>
      </c>
      <c r="F21" s="160" t="str">
        <f t="array" ref="F21">IFERROR(INDEX(CupetList!$A:$G,SMALL(IF(CupetList!$G:$G=F$2,ROW(CupetList!$G:$G)),ROW()-4),F$3),"")</f>
        <v/>
      </c>
      <c r="G21" s="160" t="str">
        <f t="array" ref="G21">IFERROR(INDEX(CupetList!$A:$G,SMALL(IF(CupetList!$G:$G=G$2,ROW(CupetList!$G:$G)),ROW()-4),G$3),"")</f>
        <v/>
      </c>
      <c r="I21" s="160" t="str">
        <f t="array" ref="I21">IFERROR(INDEX(CupetList!$A:$G,SMALL(IF(CupetList!$G:$G=I$2,ROW(CupetList!$G:$G)),ROW()-4),I$3),"")</f>
        <v/>
      </c>
      <c r="J21" s="160" t="str">
        <f t="array" ref="J21">IFERROR(INDEX(CupetList!$A:$G,SMALL(IF(CupetList!$G:$G=J$2,ROW(CupetList!$G:$G)),ROW()-4),J$3),"")</f>
        <v/>
      </c>
      <c r="K21" s="160" t="str">
        <f t="array" ref="K21">IFERROR(INDEX(CupetList!$A:$G,SMALL(IF(CupetList!$G:$G=K$2,ROW(CupetList!$G:$G)),ROW()-4),K$3),"")</f>
        <v/>
      </c>
      <c r="M21" s="160">
        <f t="array" ref="M21">IFERROR(INDEX(CupetList!$A:$G,SMALL(IF(CupetList!$G:$G=M$2,ROW(CupetList!$G:$G)),ROW()-4),M$3),"")</f>
        <v>55081</v>
      </c>
      <c r="N21" s="160" t="str">
        <f t="array" ref="N21">IFERROR(INDEX(CupetList!$A:$G,SMALL(IF(CupetList!$G:$G=N$2,ROW(CupetList!$G:$G)),ROW()-4),N$3),"")</f>
        <v>마린</v>
      </c>
      <c r="O21" s="160" t="str">
        <f t="array" ref="O21">IFERROR(INDEX(CupetList!$A:$G,SMALL(IF(CupetList!$G:$G=O$2,ROW(CupetList!$G:$G)),ROW()-4),O$3),"")</f>
        <v>재료 던전</v>
      </c>
      <c r="Q21" s="160" t="str">
        <f t="array" ref="Q21">IFERROR(INDEX(CupetList!$A:$G,SMALL(IF(CupetList!$G:$G=Q$2,ROW(CupetList!$G:$G)),ROW()-4),Q$3),"")</f>
        <v/>
      </c>
      <c r="R21" s="160" t="str">
        <f t="array" ref="R21">IFERROR(INDEX(CupetList!$A:$G,SMALL(IF(CupetList!$G:$G=R$2,ROW(CupetList!$G:$G)),ROW()-4),R$3),"")</f>
        <v/>
      </c>
      <c r="S21" s="160" t="str">
        <f t="array" ref="S21">IFERROR(INDEX(CupetList!$A:$G,SMALL(IF(CupetList!$G:$G=S$2,ROW(CupetList!$G:$G)),ROW()-4),S$3),"")</f>
        <v/>
      </c>
      <c r="U21" s="160" t="str">
        <f t="array" ref="U21">IFERROR(INDEX(CupetList!$A:$G,SMALL(IF(CupetList!$G:$G=U$2,ROW(CupetList!$G:$G)),ROW()-4),U$3),"")</f>
        <v/>
      </c>
      <c r="V21" s="160" t="str">
        <f t="array" ref="V21">IFERROR(INDEX(CupetList!$A:$G,SMALL(IF(CupetList!$G:$G=V$2,ROW(CupetList!$G:$G)),ROW()-4),V$3),"")</f>
        <v/>
      </c>
      <c r="W21" s="160" t="str">
        <f t="array" ref="W21">IFERROR(INDEX(CupetList!$A:$G,SMALL(IF(CupetList!$G:$G=W$2,ROW(CupetList!$G:$G)),ROW()-4),W$3),"")</f>
        <v/>
      </c>
      <c r="Y21" s="160" t="str">
        <f t="array" ref="Y21">IFERROR(INDEX(CupetList!$A:$G,SMALL(IF(CupetList!$G:$G=Y$2,ROW(CupetList!$G:$G)),ROW()-4),Y$3),"")</f>
        <v/>
      </c>
      <c r="Z21" s="160" t="str">
        <f t="array" ref="Z21">IFERROR(INDEX(CupetList!$A:$G,SMALL(IF(CupetList!$G:$G=Z$2,ROW(CupetList!$G:$G)),ROW()-4),Z$3),"")</f>
        <v/>
      </c>
      <c r="AA21" s="160" t="str">
        <f t="array" ref="AA21">IFERROR(INDEX(CupetList!$A:$G,SMALL(IF(CupetList!$G:$G=AA$2,ROW(CupetList!$G:$G)),ROW()-4),AA$3),"")</f>
        <v/>
      </c>
      <c r="AC21" s="160" t="str">
        <f t="array" ref="AC21">IFERROR(INDEX(CupetList!$A:$G,SMALL(IF(CupetList!$G:$G=AC$2,ROW(CupetList!$G:$G)),ROW()-4),AC$3),"")</f>
        <v/>
      </c>
      <c r="AD21" s="160" t="str">
        <f t="array" ref="AD21">IFERROR(INDEX(CupetList!$A:$G,SMALL(IF(CupetList!$G:$G=AD$2,ROW(CupetList!$G:$G)),ROW()-4),AD$3),"")</f>
        <v/>
      </c>
      <c r="AE21" s="160" t="str">
        <f t="array" ref="AE21">IFERROR(INDEX(CupetList!$A:$G,SMALL(IF(CupetList!$G:$G=AE$2,ROW(CupetList!$G:$G)),ROW()-4),AE$3),"")</f>
        <v/>
      </c>
      <c r="AG21" s="160" t="str">
        <f t="array" ref="AG21">IFERROR(INDEX(CupetList!$A:$G,SMALL(IF(CupetList!$G:$G=AG$2,ROW(CupetList!$G:$G)),ROW()-4),AG$3),"")</f>
        <v/>
      </c>
      <c r="AH21" s="160" t="str">
        <f t="array" ref="AH21">IFERROR(INDEX(CupetList!$A:$G,SMALL(IF(CupetList!$G:$G=AH$2,ROW(CupetList!$G:$G)),ROW()-4),AH$3),"")</f>
        <v/>
      </c>
      <c r="AI21" s="160" t="str">
        <f t="array" ref="AI21">IFERROR(INDEX(CupetList!$A:$G,SMALL(IF(CupetList!$G:$G=AI$2,ROW(CupetList!$G:$G)),ROW()-4),AI$3),"")</f>
        <v/>
      </c>
      <c r="AK21" s="160" t="str">
        <f t="array" ref="AK21">IFERROR(INDEX(CupetList!$A:$G,SMALL(IF(CupetList!$G:$G=AK$2,ROW(CupetList!$G:$G)),ROW()-4),AK$3),"")</f>
        <v/>
      </c>
      <c r="AL21" s="160" t="str">
        <f t="array" ref="AL21">IFERROR(INDEX(CupetList!$A:$G,SMALL(IF(CupetList!$G:$G=AL$2,ROW(CupetList!$G:$G)),ROW()-4),AL$3),"")</f>
        <v/>
      </c>
      <c r="AM21" s="160" t="str">
        <f t="array" ref="AM21">IFERROR(INDEX(CupetList!$A:$G,SMALL(IF(CupetList!$G:$G=AM$2,ROW(CupetList!$G:$G)),ROW()-4),AM$3),"")</f>
        <v/>
      </c>
    </row>
    <row r="22" spans="1:39" x14ac:dyDescent="0.3">
      <c r="A22" s="160" t="str">
        <f t="array" ref="A22">IFERROR(INDEX(CupetList!$A:$G,SMALL(IF(CupetList!$G:$G=A$2,ROW(CupetList!$G:$G)),ROW()-4),A$3),"")</f>
        <v/>
      </c>
      <c r="B22" s="160" t="str">
        <f t="array" ref="B22">IFERROR(INDEX(CupetList!$A:$G,SMALL(IF(CupetList!$G:$G=B$2,ROW(CupetList!$G:$G)),ROW()-4),B$3),"")</f>
        <v/>
      </c>
      <c r="C22" s="160" t="str">
        <f t="array" ref="C22">IFERROR(INDEX(CupetList!$A:$G,SMALL(IF(CupetList!$G:$G=C$2,ROW(CupetList!$G:$G)),ROW()-4),C$3),"")</f>
        <v/>
      </c>
      <c r="E22" s="160" t="str">
        <f t="array" ref="E22">IFERROR(INDEX(CupetList!$A:$G,SMALL(IF(CupetList!$G:$G=E$2,ROW(CupetList!$G:$G)),ROW()-4),E$3),"")</f>
        <v/>
      </c>
      <c r="F22" s="160" t="str">
        <f t="array" ref="F22">IFERROR(INDEX(CupetList!$A:$G,SMALL(IF(CupetList!$G:$G=F$2,ROW(CupetList!$G:$G)),ROW()-4),F$3),"")</f>
        <v/>
      </c>
      <c r="G22" s="160" t="str">
        <f t="array" ref="G22">IFERROR(INDEX(CupetList!$A:$G,SMALL(IF(CupetList!$G:$G=G$2,ROW(CupetList!$G:$G)),ROW()-4),G$3),"")</f>
        <v/>
      </c>
      <c r="I22" s="160" t="str">
        <f t="array" ref="I22">IFERROR(INDEX(CupetList!$A:$G,SMALL(IF(CupetList!$G:$G=I$2,ROW(CupetList!$G:$G)),ROW()-4),I$3),"")</f>
        <v/>
      </c>
      <c r="J22" s="160" t="str">
        <f t="array" ref="J22">IFERROR(INDEX(CupetList!$A:$G,SMALL(IF(CupetList!$G:$G=J$2,ROW(CupetList!$G:$G)),ROW()-4),J$3),"")</f>
        <v/>
      </c>
      <c r="K22" s="160" t="str">
        <f t="array" ref="K22">IFERROR(INDEX(CupetList!$A:$G,SMALL(IF(CupetList!$G:$G=K$2,ROW(CupetList!$G:$G)),ROW()-4),K$3),"")</f>
        <v/>
      </c>
      <c r="M22" s="160">
        <f t="array" ref="M22">IFERROR(INDEX(CupetList!$A:$G,SMALL(IF(CupetList!$G:$G=M$2,ROW(CupetList!$G:$G)),ROW()-4),M$3),"")</f>
        <v>55082</v>
      </c>
      <c r="N22" s="160" t="str">
        <f t="array" ref="N22">IFERROR(INDEX(CupetList!$A:$G,SMALL(IF(CupetList!$G:$G=N$2,ROW(CupetList!$G:$G)),ROW()-4),N$3),"")</f>
        <v>사스콰치</v>
      </c>
      <c r="O22" s="160" t="str">
        <f t="array" ref="O22">IFERROR(INDEX(CupetList!$A:$G,SMALL(IF(CupetList!$G:$G=O$2,ROW(CupetList!$G:$G)),ROW()-4),O$3),"")</f>
        <v>재료 던전</v>
      </c>
      <c r="Q22" s="160" t="str">
        <f t="array" ref="Q22">IFERROR(INDEX(CupetList!$A:$G,SMALL(IF(CupetList!$G:$G=Q$2,ROW(CupetList!$G:$G)),ROW()-4),Q$3),"")</f>
        <v/>
      </c>
      <c r="R22" s="160" t="str">
        <f t="array" ref="R22">IFERROR(INDEX(CupetList!$A:$G,SMALL(IF(CupetList!$G:$G=R$2,ROW(CupetList!$G:$G)),ROW()-4),R$3),"")</f>
        <v/>
      </c>
      <c r="S22" s="160" t="str">
        <f t="array" ref="S22">IFERROR(INDEX(CupetList!$A:$G,SMALL(IF(CupetList!$G:$G=S$2,ROW(CupetList!$G:$G)),ROW()-4),S$3),"")</f>
        <v/>
      </c>
      <c r="U22" s="160" t="str">
        <f t="array" ref="U22">IFERROR(INDEX(CupetList!$A:$G,SMALL(IF(CupetList!$G:$G=U$2,ROW(CupetList!$G:$G)),ROW()-4),U$3),"")</f>
        <v/>
      </c>
      <c r="V22" s="160" t="str">
        <f t="array" ref="V22">IFERROR(INDEX(CupetList!$A:$G,SMALL(IF(CupetList!$G:$G=V$2,ROW(CupetList!$G:$G)),ROW()-4),V$3),"")</f>
        <v/>
      </c>
      <c r="W22" s="160" t="str">
        <f t="array" ref="W22">IFERROR(INDEX(CupetList!$A:$G,SMALL(IF(CupetList!$G:$G=W$2,ROW(CupetList!$G:$G)),ROW()-4),W$3),"")</f>
        <v/>
      </c>
      <c r="Y22" s="160" t="str">
        <f t="array" ref="Y22">IFERROR(INDEX(CupetList!$A:$G,SMALL(IF(CupetList!$G:$G=Y$2,ROW(CupetList!$G:$G)),ROW()-4),Y$3),"")</f>
        <v/>
      </c>
      <c r="Z22" s="160" t="str">
        <f t="array" ref="Z22">IFERROR(INDEX(CupetList!$A:$G,SMALL(IF(CupetList!$G:$G=Z$2,ROW(CupetList!$G:$G)),ROW()-4),Z$3),"")</f>
        <v/>
      </c>
      <c r="AA22" s="160" t="str">
        <f t="array" ref="AA22">IFERROR(INDEX(CupetList!$A:$G,SMALL(IF(CupetList!$G:$G=AA$2,ROW(CupetList!$G:$G)),ROW()-4),AA$3),"")</f>
        <v/>
      </c>
      <c r="AC22" s="160" t="str">
        <f t="array" ref="AC22">IFERROR(INDEX(CupetList!$A:$G,SMALL(IF(CupetList!$G:$G=AC$2,ROW(CupetList!$G:$G)),ROW()-4),AC$3),"")</f>
        <v/>
      </c>
      <c r="AD22" s="160" t="str">
        <f t="array" ref="AD22">IFERROR(INDEX(CupetList!$A:$G,SMALL(IF(CupetList!$G:$G=AD$2,ROW(CupetList!$G:$G)),ROW()-4),AD$3),"")</f>
        <v/>
      </c>
      <c r="AE22" s="160" t="str">
        <f t="array" ref="AE22">IFERROR(INDEX(CupetList!$A:$G,SMALL(IF(CupetList!$G:$G=AE$2,ROW(CupetList!$G:$G)),ROW()-4),AE$3),"")</f>
        <v/>
      </c>
      <c r="AG22" s="160" t="str">
        <f t="array" ref="AG22">IFERROR(INDEX(CupetList!$A:$G,SMALL(IF(CupetList!$G:$G=AG$2,ROW(CupetList!$G:$G)),ROW()-4),AG$3),"")</f>
        <v/>
      </c>
      <c r="AH22" s="160" t="str">
        <f t="array" ref="AH22">IFERROR(INDEX(CupetList!$A:$G,SMALL(IF(CupetList!$G:$G=AH$2,ROW(CupetList!$G:$G)),ROW()-4),AH$3),"")</f>
        <v/>
      </c>
      <c r="AI22" s="160" t="str">
        <f t="array" ref="AI22">IFERROR(INDEX(CupetList!$A:$G,SMALL(IF(CupetList!$G:$G=AI$2,ROW(CupetList!$G:$G)),ROW()-4),AI$3),"")</f>
        <v/>
      </c>
      <c r="AK22" s="160" t="str">
        <f t="array" ref="AK22">IFERROR(INDEX(CupetList!$A:$G,SMALL(IF(CupetList!$G:$G=AK$2,ROW(CupetList!$G:$G)),ROW()-4),AK$3),"")</f>
        <v/>
      </c>
      <c r="AL22" s="160" t="str">
        <f t="array" ref="AL22">IFERROR(INDEX(CupetList!$A:$G,SMALL(IF(CupetList!$G:$G=AL$2,ROW(CupetList!$G:$G)),ROW()-4),AL$3),"")</f>
        <v/>
      </c>
      <c r="AM22" s="160" t="str">
        <f t="array" ref="AM22">IFERROR(INDEX(CupetList!$A:$G,SMALL(IF(CupetList!$G:$G=AM$2,ROW(CupetList!$G:$G)),ROW()-4),AM$3),"")</f>
        <v/>
      </c>
    </row>
    <row r="23" spans="1:39" x14ac:dyDescent="0.3">
      <c r="A23" s="160" t="str">
        <f t="array" ref="A23">IFERROR(INDEX(CupetList!$A:$G,SMALL(IF(CupetList!$G:$G=A$2,ROW(CupetList!$G:$G)),ROW()-4),A$3),"")</f>
        <v/>
      </c>
      <c r="B23" s="160" t="str">
        <f t="array" ref="B23">IFERROR(INDEX(CupetList!$A:$G,SMALL(IF(CupetList!$G:$G=B$2,ROW(CupetList!$G:$G)),ROW()-4),B$3),"")</f>
        <v/>
      </c>
      <c r="C23" s="160" t="str">
        <f t="array" ref="C23">IFERROR(INDEX(CupetList!$A:$G,SMALL(IF(CupetList!$G:$G=C$2,ROW(CupetList!$G:$G)),ROW()-4),C$3),"")</f>
        <v/>
      </c>
      <c r="E23" s="160" t="str">
        <f t="array" ref="E23">IFERROR(INDEX(CupetList!$A:$G,SMALL(IF(CupetList!$G:$G=E$2,ROW(CupetList!$G:$G)),ROW()-4),E$3),"")</f>
        <v/>
      </c>
      <c r="F23" s="160" t="str">
        <f t="array" ref="F23">IFERROR(INDEX(CupetList!$A:$G,SMALL(IF(CupetList!$G:$G=F$2,ROW(CupetList!$G:$G)),ROW()-4),F$3),"")</f>
        <v/>
      </c>
      <c r="G23" s="160" t="str">
        <f t="array" ref="G23">IFERROR(INDEX(CupetList!$A:$G,SMALL(IF(CupetList!$G:$G=G$2,ROW(CupetList!$G:$G)),ROW()-4),G$3),"")</f>
        <v/>
      </c>
      <c r="I23" s="160" t="str">
        <f t="array" ref="I23">IFERROR(INDEX(CupetList!$A:$G,SMALL(IF(CupetList!$G:$G=I$2,ROW(CupetList!$G:$G)),ROW()-4),I$3),"")</f>
        <v/>
      </c>
      <c r="J23" s="160" t="str">
        <f t="array" ref="J23">IFERROR(INDEX(CupetList!$A:$G,SMALL(IF(CupetList!$G:$G=J$2,ROW(CupetList!$G:$G)),ROW()-4),J$3),"")</f>
        <v/>
      </c>
      <c r="K23" s="160" t="str">
        <f t="array" ref="K23">IFERROR(INDEX(CupetList!$A:$G,SMALL(IF(CupetList!$G:$G=K$2,ROW(CupetList!$G:$G)),ROW()-4),K$3),"")</f>
        <v/>
      </c>
      <c r="M23" s="160" t="str">
        <f t="array" ref="M23">IFERROR(INDEX(CupetList!$A:$G,SMALL(IF(CupetList!$G:$G=M$2,ROW(CupetList!$G:$G)),ROW()-4),M$3),"")</f>
        <v/>
      </c>
      <c r="N23" s="160" t="str">
        <f t="array" ref="N23">IFERROR(INDEX(CupetList!$A:$G,SMALL(IF(CupetList!$G:$G=N$2,ROW(CupetList!$G:$G)),ROW()-4),N$3),"")</f>
        <v/>
      </c>
      <c r="O23" s="160" t="str">
        <f t="array" ref="O23">IFERROR(INDEX(CupetList!$A:$G,SMALL(IF(CupetList!$G:$G=O$2,ROW(CupetList!$G:$G)),ROW()-4),O$3),"")</f>
        <v/>
      </c>
      <c r="Q23" s="160" t="str">
        <f t="array" ref="Q23">IFERROR(INDEX(CupetList!$A:$G,SMALL(IF(CupetList!$G:$G=Q$2,ROW(CupetList!$G:$G)),ROW()-4),Q$3),"")</f>
        <v/>
      </c>
      <c r="R23" s="160" t="str">
        <f t="array" ref="R23">IFERROR(INDEX(CupetList!$A:$G,SMALL(IF(CupetList!$G:$G=R$2,ROW(CupetList!$G:$G)),ROW()-4),R$3),"")</f>
        <v/>
      </c>
      <c r="S23" s="160" t="str">
        <f t="array" ref="S23">IFERROR(INDEX(CupetList!$A:$G,SMALL(IF(CupetList!$G:$G=S$2,ROW(CupetList!$G:$G)),ROW()-4),S$3),"")</f>
        <v/>
      </c>
      <c r="U23" s="160" t="str">
        <f t="array" ref="U23">IFERROR(INDEX(CupetList!$A:$G,SMALL(IF(CupetList!$G:$G=U$2,ROW(CupetList!$G:$G)),ROW()-4),U$3),"")</f>
        <v/>
      </c>
      <c r="V23" s="160" t="str">
        <f t="array" ref="V23">IFERROR(INDEX(CupetList!$A:$G,SMALL(IF(CupetList!$G:$G=V$2,ROW(CupetList!$G:$G)),ROW()-4),V$3),"")</f>
        <v/>
      </c>
      <c r="W23" s="160" t="str">
        <f t="array" ref="W23">IFERROR(INDEX(CupetList!$A:$G,SMALL(IF(CupetList!$G:$G=W$2,ROW(CupetList!$G:$G)),ROW()-4),W$3),"")</f>
        <v/>
      </c>
      <c r="Y23" s="160" t="str">
        <f t="array" ref="Y23">IFERROR(INDEX(CupetList!$A:$G,SMALL(IF(CupetList!$G:$G=Y$2,ROW(CupetList!$G:$G)),ROW()-4),Y$3),"")</f>
        <v/>
      </c>
      <c r="Z23" s="160" t="str">
        <f t="array" ref="Z23">IFERROR(INDEX(CupetList!$A:$G,SMALL(IF(CupetList!$G:$G=Z$2,ROW(CupetList!$G:$G)),ROW()-4),Z$3),"")</f>
        <v/>
      </c>
      <c r="AA23" s="160" t="str">
        <f t="array" ref="AA23">IFERROR(INDEX(CupetList!$A:$G,SMALL(IF(CupetList!$G:$G=AA$2,ROW(CupetList!$G:$G)),ROW()-4),AA$3),"")</f>
        <v/>
      </c>
      <c r="AC23" s="160" t="str">
        <f t="array" ref="AC23">IFERROR(INDEX(CupetList!$A:$G,SMALL(IF(CupetList!$G:$G=AC$2,ROW(CupetList!$G:$G)),ROW()-4),AC$3),"")</f>
        <v/>
      </c>
      <c r="AD23" s="160" t="str">
        <f t="array" ref="AD23">IFERROR(INDEX(CupetList!$A:$G,SMALL(IF(CupetList!$G:$G=AD$2,ROW(CupetList!$G:$G)),ROW()-4),AD$3),"")</f>
        <v/>
      </c>
      <c r="AE23" s="160" t="str">
        <f t="array" ref="AE23">IFERROR(INDEX(CupetList!$A:$G,SMALL(IF(CupetList!$G:$G=AE$2,ROW(CupetList!$G:$G)),ROW()-4),AE$3),"")</f>
        <v/>
      </c>
      <c r="AG23" s="160" t="str">
        <f t="array" ref="AG23">IFERROR(INDEX(CupetList!$A:$G,SMALL(IF(CupetList!$G:$G=AG$2,ROW(CupetList!$G:$G)),ROW()-4),AG$3),"")</f>
        <v/>
      </c>
      <c r="AH23" s="160" t="str">
        <f t="array" ref="AH23">IFERROR(INDEX(CupetList!$A:$G,SMALL(IF(CupetList!$G:$G=AH$2,ROW(CupetList!$G:$G)),ROW()-4),AH$3),"")</f>
        <v/>
      </c>
      <c r="AI23" s="160" t="str">
        <f t="array" ref="AI23">IFERROR(INDEX(CupetList!$A:$G,SMALL(IF(CupetList!$G:$G=AI$2,ROW(CupetList!$G:$G)),ROW()-4),AI$3),"")</f>
        <v/>
      </c>
      <c r="AK23" s="160" t="str">
        <f t="array" ref="AK23">IFERROR(INDEX(CupetList!$A:$G,SMALL(IF(CupetList!$G:$G=AK$2,ROW(CupetList!$G:$G)),ROW()-4),AK$3),"")</f>
        <v/>
      </c>
      <c r="AL23" s="160" t="str">
        <f t="array" ref="AL23">IFERROR(INDEX(CupetList!$A:$G,SMALL(IF(CupetList!$G:$G=AL$2,ROW(CupetList!$G:$G)),ROW()-4),AL$3),"")</f>
        <v/>
      </c>
      <c r="AM23" s="160" t="str">
        <f t="array" ref="AM23">IFERROR(INDEX(CupetList!$A:$G,SMALL(IF(CupetList!$G:$G=AM$2,ROW(CupetList!$G:$G)),ROW()-4),AM$3),"")</f>
        <v/>
      </c>
    </row>
    <row r="24" spans="1:39" x14ac:dyDescent="0.3">
      <c r="A24" s="160" t="str">
        <f t="array" ref="A24">IFERROR(INDEX(CupetList!$A:$G,SMALL(IF(CupetList!$G:$G=A$2,ROW(CupetList!$G:$G)),ROW()-4),A$3),"")</f>
        <v/>
      </c>
      <c r="B24" s="160" t="str">
        <f t="array" ref="B24">IFERROR(INDEX(CupetList!$A:$G,SMALL(IF(CupetList!$G:$G=B$2,ROW(CupetList!$G:$G)),ROW()-4),B$3),"")</f>
        <v/>
      </c>
      <c r="C24" s="160" t="str">
        <f t="array" ref="C24">IFERROR(INDEX(CupetList!$A:$G,SMALL(IF(CupetList!$G:$G=C$2,ROW(CupetList!$G:$G)),ROW()-4),C$3),"")</f>
        <v/>
      </c>
      <c r="E24" s="160" t="str">
        <f t="array" ref="E24">IFERROR(INDEX(CupetList!$A:$G,SMALL(IF(CupetList!$G:$G=E$2,ROW(CupetList!$G:$G)),ROW()-4),E$3),"")</f>
        <v/>
      </c>
      <c r="F24" s="160" t="str">
        <f t="array" ref="F24">IFERROR(INDEX(CupetList!$A:$G,SMALL(IF(CupetList!$G:$G=F$2,ROW(CupetList!$G:$G)),ROW()-4),F$3),"")</f>
        <v/>
      </c>
      <c r="G24" s="160" t="str">
        <f t="array" ref="G24">IFERROR(INDEX(CupetList!$A:$G,SMALL(IF(CupetList!$G:$G=G$2,ROW(CupetList!$G:$G)),ROW()-4),G$3),"")</f>
        <v/>
      </c>
      <c r="I24" s="160" t="str">
        <f t="array" ref="I24">IFERROR(INDEX(CupetList!$A:$G,SMALL(IF(CupetList!$G:$G=I$2,ROW(CupetList!$G:$G)),ROW()-4),I$3),"")</f>
        <v/>
      </c>
      <c r="J24" s="160" t="str">
        <f t="array" ref="J24">IFERROR(INDEX(CupetList!$A:$G,SMALL(IF(CupetList!$G:$G=J$2,ROW(CupetList!$G:$G)),ROW()-4),J$3),"")</f>
        <v/>
      </c>
      <c r="K24" s="160" t="str">
        <f t="array" ref="K24">IFERROR(INDEX(CupetList!$A:$G,SMALL(IF(CupetList!$G:$G=K$2,ROW(CupetList!$G:$G)),ROW()-4),K$3),"")</f>
        <v/>
      </c>
      <c r="M24" s="160" t="str">
        <f t="array" ref="M24">IFERROR(INDEX(CupetList!$A:$G,SMALL(IF(CupetList!$G:$G=M$2,ROW(CupetList!$G:$G)),ROW()-4),M$3),"")</f>
        <v/>
      </c>
      <c r="N24" s="160" t="str">
        <f t="array" ref="N24">IFERROR(INDEX(CupetList!$A:$G,SMALL(IF(CupetList!$G:$G=N$2,ROW(CupetList!$G:$G)),ROW()-4),N$3),"")</f>
        <v/>
      </c>
      <c r="O24" s="160" t="str">
        <f t="array" ref="O24">IFERROR(INDEX(CupetList!$A:$G,SMALL(IF(CupetList!$G:$G=O$2,ROW(CupetList!$G:$G)),ROW()-4),O$3),"")</f>
        <v/>
      </c>
      <c r="Q24" s="160" t="str">
        <f t="array" ref="Q24">IFERROR(INDEX(CupetList!$A:$G,SMALL(IF(CupetList!$G:$G=Q$2,ROW(CupetList!$G:$G)),ROW()-4),Q$3),"")</f>
        <v/>
      </c>
      <c r="R24" s="160" t="str">
        <f t="array" ref="R24">IFERROR(INDEX(CupetList!$A:$G,SMALL(IF(CupetList!$G:$G=R$2,ROW(CupetList!$G:$G)),ROW()-4),R$3),"")</f>
        <v/>
      </c>
      <c r="S24" s="160" t="str">
        <f t="array" ref="S24">IFERROR(INDEX(CupetList!$A:$G,SMALL(IF(CupetList!$G:$G=S$2,ROW(CupetList!$G:$G)),ROW()-4),S$3),"")</f>
        <v/>
      </c>
      <c r="U24" s="160" t="str">
        <f t="array" ref="U24">IFERROR(INDEX(CupetList!$A:$G,SMALL(IF(CupetList!$G:$G=U$2,ROW(CupetList!$G:$G)),ROW()-4),U$3),"")</f>
        <v/>
      </c>
      <c r="V24" s="160" t="str">
        <f t="array" ref="V24">IFERROR(INDEX(CupetList!$A:$G,SMALL(IF(CupetList!$G:$G=V$2,ROW(CupetList!$G:$G)),ROW()-4),V$3),"")</f>
        <v/>
      </c>
      <c r="W24" s="160" t="str">
        <f t="array" ref="W24">IFERROR(INDEX(CupetList!$A:$G,SMALL(IF(CupetList!$G:$G=W$2,ROW(CupetList!$G:$G)),ROW()-4),W$3),"")</f>
        <v/>
      </c>
      <c r="Y24" s="160" t="str">
        <f t="array" ref="Y24">IFERROR(INDEX(CupetList!$A:$G,SMALL(IF(CupetList!$G:$G=Y$2,ROW(CupetList!$G:$G)),ROW()-4),Y$3),"")</f>
        <v/>
      </c>
      <c r="Z24" s="160" t="str">
        <f t="array" ref="Z24">IFERROR(INDEX(CupetList!$A:$G,SMALL(IF(CupetList!$G:$G=Z$2,ROW(CupetList!$G:$G)),ROW()-4),Z$3),"")</f>
        <v/>
      </c>
      <c r="AA24" s="160" t="str">
        <f t="array" ref="AA24">IFERROR(INDEX(CupetList!$A:$G,SMALL(IF(CupetList!$G:$G=AA$2,ROW(CupetList!$G:$G)),ROW()-4),AA$3),"")</f>
        <v/>
      </c>
      <c r="AC24" s="160" t="str">
        <f t="array" ref="AC24">IFERROR(INDEX(CupetList!$A:$G,SMALL(IF(CupetList!$G:$G=AC$2,ROW(CupetList!$G:$G)),ROW()-4),AC$3),"")</f>
        <v/>
      </c>
      <c r="AD24" s="160" t="str">
        <f t="array" ref="AD24">IFERROR(INDEX(CupetList!$A:$G,SMALL(IF(CupetList!$G:$G=AD$2,ROW(CupetList!$G:$G)),ROW()-4),AD$3),"")</f>
        <v/>
      </c>
      <c r="AE24" s="160" t="str">
        <f t="array" ref="AE24">IFERROR(INDEX(CupetList!$A:$G,SMALL(IF(CupetList!$G:$G=AE$2,ROW(CupetList!$G:$G)),ROW()-4),AE$3),"")</f>
        <v/>
      </c>
      <c r="AG24" s="160" t="str">
        <f t="array" ref="AG24">IFERROR(INDEX(CupetList!$A:$G,SMALL(IF(CupetList!$G:$G=AG$2,ROW(CupetList!$G:$G)),ROW()-4),AG$3),"")</f>
        <v/>
      </c>
      <c r="AH24" s="160" t="str">
        <f t="array" ref="AH24">IFERROR(INDEX(CupetList!$A:$G,SMALL(IF(CupetList!$G:$G=AH$2,ROW(CupetList!$G:$G)),ROW()-4),AH$3),"")</f>
        <v/>
      </c>
      <c r="AI24" s="160" t="str">
        <f t="array" ref="AI24">IFERROR(INDEX(CupetList!$A:$G,SMALL(IF(CupetList!$G:$G=AI$2,ROW(CupetList!$G:$G)),ROW()-4),AI$3),"")</f>
        <v/>
      </c>
      <c r="AK24" s="160" t="str">
        <f t="array" ref="AK24">IFERROR(INDEX(CupetList!$A:$G,SMALL(IF(CupetList!$G:$G=AK$2,ROW(CupetList!$G:$G)),ROW()-4),AK$3),"")</f>
        <v/>
      </c>
      <c r="AL24" s="160" t="str">
        <f t="array" ref="AL24">IFERROR(INDEX(CupetList!$A:$G,SMALL(IF(CupetList!$G:$G=AL$2,ROW(CupetList!$G:$G)),ROW()-4),AL$3),"")</f>
        <v/>
      </c>
      <c r="AM24" s="160" t="str">
        <f t="array" ref="AM24">IFERROR(INDEX(CupetList!$A:$G,SMALL(IF(CupetList!$G:$G=AM$2,ROW(CupetList!$G:$G)),ROW()-4),AM$3),"")</f>
        <v/>
      </c>
    </row>
    <row r="25" spans="1:39" x14ac:dyDescent="0.3">
      <c r="A25" s="160" t="str">
        <f t="array" ref="A25">IFERROR(INDEX(CupetList!$A:$G,SMALL(IF(CupetList!$G:$G=A$2,ROW(CupetList!$G:$G)),ROW()-4),A$3),"")</f>
        <v/>
      </c>
      <c r="B25" s="160" t="str">
        <f t="array" ref="B25">IFERROR(INDEX(CupetList!$A:$G,SMALL(IF(CupetList!$G:$G=B$2,ROW(CupetList!$G:$G)),ROW()-4),B$3),"")</f>
        <v/>
      </c>
      <c r="C25" s="160" t="str">
        <f t="array" ref="C25">IFERROR(INDEX(CupetList!$A:$G,SMALL(IF(CupetList!$G:$G=C$2,ROW(CupetList!$G:$G)),ROW()-4),C$3),"")</f>
        <v/>
      </c>
      <c r="E25" s="160" t="str">
        <f t="array" ref="E25">IFERROR(INDEX(CupetList!$A:$G,SMALL(IF(CupetList!$G:$G=E$2,ROW(CupetList!$G:$G)),ROW()-4),E$3),"")</f>
        <v/>
      </c>
      <c r="F25" s="160" t="str">
        <f t="array" ref="F25">IFERROR(INDEX(CupetList!$A:$G,SMALL(IF(CupetList!$G:$G=F$2,ROW(CupetList!$G:$G)),ROW()-4),F$3),"")</f>
        <v/>
      </c>
      <c r="G25" s="160" t="str">
        <f t="array" ref="G25">IFERROR(INDEX(CupetList!$A:$G,SMALL(IF(CupetList!$G:$G=G$2,ROW(CupetList!$G:$G)),ROW()-4),G$3),"")</f>
        <v/>
      </c>
      <c r="I25" s="160" t="str">
        <f t="array" ref="I25">IFERROR(INDEX(CupetList!$A:$G,SMALL(IF(CupetList!$G:$G=I$2,ROW(CupetList!$G:$G)),ROW()-4),I$3),"")</f>
        <v/>
      </c>
      <c r="J25" s="160" t="str">
        <f t="array" ref="J25">IFERROR(INDEX(CupetList!$A:$G,SMALL(IF(CupetList!$G:$G=J$2,ROW(CupetList!$G:$G)),ROW()-4),J$3),"")</f>
        <v/>
      </c>
      <c r="K25" s="160" t="str">
        <f t="array" ref="K25">IFERROR(INDEX(CupetList!$A:$G,SMALL(IF(CupetList!$G:$G=K$2,ROW(CupetList!$G:$G)),ROW()-4),K$3),"")</f>
        <v/>
      </c>
      <c r="M25" s="160" t="str">
        <f t="array" ref="M25">IFERROR(INDEX(CupetList!$A:$G,SMALL(IF(CupetList!$G:$G=M$2,ROW(CupetList!$G:$G)),ROW()-4),M$3),"")</f>
        <v/>
      </c>
      <c r="N25" s="160" t="str">
        <f t="array" ref="N25">IFERROR(INDEX(CupetList!$A:$G,SMALL(IF(CupetList!$G:$G=N$2,ROW(CupetList!$G:$G)),ROW()-4),N$3),"")</f>
        <v/>
      </c>
      <c r="O25" s="160" t="str">
        <f t="array" ref="O25">IFERROR(INDEX(CupetList!$A:$G,SMALL(IF(CupetList!$G:$G=O$2,ROW(CupetList!$G:$G)),ROW()-4),O$3),"")</f>
        <v/>
      </c>
      <c r="Q25" s="160" t="str">
        <f t="array" ref="Q25">IFERROR(INDEX(CupetList!$A:$G,SMALL(IF(CupetList!$G:$G=Q$2,ROW(CupetList!$G:$G)),ROW()-4),Q$3),"")</f>
        <v/>
      </c>
      <c r="R25" s="160" t="str">
        <f t="array" ref="R25">IFERROR(INDEX(CupetList!$A:$G,SMALL(IF(CupetList!$G:$G=R$2,ROW(CupetList!$G:$G)),ROW()-4),R$3),"")</f>
        <v/>
      </c>
      <c r="S25" s="160" t="str">
        <f t="array" ref="S25">IFERROR(INDEX(CupetList!$A:$G,SMALL(IF(CupetList!$G:$G=S$2,ROW(CupetList!$G:$G)),ROW()-4),S$3),"")</f>
        <v/>
      </c>
      <c r="U25" s="160" t="str">
        <f t="array" ref="U25">IFERROR(INDEX(CupetList!$A:$G,SMALL(IF(CupetList!$G:$G=U$2,ROW(CupetList!$G:$G)),ROW()-4),U$3),"")</f>
        <v/>
      </c>
      <c r="V25" s="160" t="str">
        <f t="array" ref="V25">IFERROR(INDEX(CupetList!$A:$G,SMALL(IF(CupetList!$G:$G=V$2,ROW(CupetList!$G:$G)),ROW()-4),V$3),"")</f>
        <v/>
      </c>
      <c r="W25" s="160" t="str">
        <f t="array" ref="W25">IFERROR(INDEX(CupetList!$A:$G,SMALL(IF(CupetList!$G:$G=W$2,ROW(CupetList!$G:$G)),ROW()-4),W$3),"")</f>
        <v/>
      </c>
      <c r="Y25" s="160" t="str">
        <f t="array" ref="Y25">IFERROR(INDEX(CupetList!$A:$G,SMALL(IF(CupetList!$G:$G=Y$2,ROW(CupetList!$G:$G)),ROW()-4),Y$3),"")</f>
        <v/>
      </c>
      <c r="Z25" s="160" t="str">
        <f t="array" ref="Z25">IFERROR(INDEX(CupetList!$A:$G,SMALL(IF(CupetList!$G:$G=Z$2,ROW(CupetList!$G:$G)),ROW()-4),Z$3),"")</f>
        <v/>
      </c>
      <c r="AA25" s="160" t="str">
        <f t="array" ref="AA25">IFERROR(INDEX(CupetList!$A:$G,SMALL(IF(CupetList!$G:$G=AA$2,ROW(CupetList!$G:$G)),ROW()-4),AA$3),"")</f>
        <v/>
      </c>
      <c r="AC25" s="160" t="str">
        <f t="array" ref="AC25">IFERROR(INDEX(CupetList!$A:$G,SMALL(IF(CupetList!$G:$G=AC$2,ROW(CupetList!$G:$G)),ROW()-4),AC$3),"")</f>
        <v/>
      </c>
      <c r="AD25" s="160" t="str">
        <f t="array" ref="AD25">IFERROR(INDEX(CupetList!$A:$G,SMALL(IF(CupetList!$G:$G=AD$2,ROW(CupetList!$G:$G)),ROW()-4),AD$3),"")</f>
        <v/>
      </c>
      <c r="AE25" s="160" t="str">
        <f t="array" ref="AE25">IFERROR(INDEX(CupetList!$A:$G,SMALL(IF(CupetList!$G:$G=AE$2,ROW(CupetList!$G:$G)),ROW()-4),AE$3),"")</f>
        <v/>
      </c>
      <c r="AG25" s="160" t="str">
        <f t="array" ref="AG25">IFERROR(INDEX(CupetList!$A:$G,SMALL(IF(CupetList!$G:$G=AG$2,ROW(CupetList!$G:$G)),ROW()-4),AG$3),"")</f>
        <v/>
      </c>
      <c r="AH25" s="160" t="str">
        <f t="array" ref="AH25">IFERROR(INDEX(CupetList!$A:$G,SMALL(IF(CupetList!$G:$G=AH$2,ROW(CupetList!$G:$G)),ROW()-4),AH$3),"")</f>
        <v/>
      </c>
      <c r="AI25" s="160" t="str">
        <f t="array" ref="AI25">IFERROR(INDEX(CupetList!$A:$G,SMALL(IF(CupetList!$G:$G=AI$2,ROW(CupetList!$G:$G)),ROW()-4),AI$3),"")</f>
        <v/>
      </c>
      <c r="AK25" s="160" t="str">
        <f t="array" ref="AK25">IFERROR(INDEX(CupetList!$A:$G,SMALL(IF(CupetList!$G:$G=AK$2,ROW(CupetList!$G:$G)),ROW()-4),AK$3),"")</f>
        <v/>
      </c>
      <c r="AL25" s="160" t="str">
        <f t="array" ref="AL25">IFERROR(INDEX(CupetList!$A:$G,SMALL(IF(CupetList!$G:$G=AL$2,ROW(CupetList!$G:$G)),ROW()-4),AL$3),"")</f>
        <v/>
      </c>
      <c r="AM25" s="160" t="str">
        <f t="array" ref="AM25">IFERROR(INDEX(CupetList!$A:$G,SMALL(IF(CupetList!$G:$G=AM$2,ROW(CupetList!$G:$G)),ROW()-4),AM$3),"")</f>
        <v/>
      </c>
    </row>
    <row r="26" spans="1:39" x14ac:dyDescent="0.3">
      <c r="A26" s="160" t="str">
        <f t="array" ref="A26">IFERROR(INDEX(CupetList!$A:$G,SMALL(IF(CupetList!$G:$G=A$2,ROW(CupetList!$G:$G)),ROW()-4),A$3),"")</f>
        <v/>
      </c>
      <c r="B26" s="160" t="str">
        <f t="array" ref="B26">IFERROR(INDEX(CupetList!$A:$G,SMALL(IF(CupetList!$G:$G=B$2,ROW(CupetList!$G:$G)),ROW()-4),B$3),"")</f>
        <v/>
      </c>
      <c r="C26" s="160" t="str">
        <f t="array" ref="C26">IFERROR(INDEX(CupetList!$A:$G,SMALL(IF(CupetList!$G:$G=C$2,ROW(CupetList!$G:$G)),ROW()-4),C$3),"")</f>
        <v/>
      </c>
      <c r="E26" s="160" t="str">
        <f t="array" ref="E26">IFERROR(INDEX(CupetList!$A:$G,SMALL(IF(CupetList!$G:$G=E$2,ROW(CupetList!$G:$G)),ROW()-4),E$3),"")</f>
        <v/>
      </c>
      <c r="F26" s="160" t="str">
        <f t="array" ref="F26">IFERROR(INDEX(CupetList!$A:$G,SMALL(IF(CupetList!$G:$G=F$2,ROW(CupetList!$G:$G)),ROW()-4),F$3),"")</f>
        <v/>
      </c>
      <c r="G26" s="160" t="str">
        <f t="array" ref="G26">IFERROR(INDEX(CupetList!$A:$G,SMALL(IF(CupetList!$G:$G=G$2,ROW(CupetList!$G:$G)),ROW()-4),G$3),"")</f>
        <v/>
      </c>
      <c r="I26" s="160" t="str">
        <f t="array" ref="I26">IFERROR(INDEX(CupetList!$A:$G,SMALL(IF(CupetList!$G:$G=I$2,ROW(CupetList!$G:$G)),ROW()-4),I$3),"")</f>
        <v/>
      </c>
      <c r="J26" s="160" t="str">
        <f t="array" ref="J26">IFERROR(INDEX(CupetList!$A:$G,SMALL(IF(CupetList!$G:$G=J$2,ROW(CupetList!$G:$G)),ROW()-4),J$3),"")</f>
        <v/>
      </c>
      <c r="K26" s="160" t="str">
        <f t="array" ref="K26">IFERROR(INDEX(CupetList!$A:$G,SMALL(IF(CupetList!$G:$G=K$2,ROW(CupetList!$G:$G)),ROW()-4),K$3),"")</f>
        <v/>
      </c>
      <c r="M26" s="160" t="str">
        <f t="array" ref="M26">IFERROR(INDEX(CupetList!$A:$G,SMALL(IF(CupetList!$G:$G=M$2,ROW(CupetList!$G:$G)),ROW()-4),M$3),"")</f>
        <v/>
      </c>
      <c r="N26" s="160" t="str">
        <f t="array" ref="N26">IFERROR(INDEX(CupetList!$A:$G,SMALL(IF(CupetList!$G:$G=N$2,ROW(CupetList!$G:$G)),ROW()-4),N$3),"")</f>
        <v/>
      </c>
      <c r="O26" s="160" t="str">
        <f t="array" ref="O26">IFERROR(INDEX(CupetList!$A:$G,SMALL(IF(CupetList!$G:$G=O$2,ROW(CupetList!$G:$G)),ROW()-4),O$3),"")</f>
        <v/>
      </c>
      <c r="Q26" s="160" t="str">
        <f t="array" ref="Q26">IFERROR(INDEX(CupetList!$A:$G,SMALL(IF(CupetList!$G:$G=Q$2,ROW(CupetList!$G:$G)),ROW()-4),Q$3),"")</f>
        <v/>
      </c>
      <c r="R26" s="160" t="str">
        <f t="array" ref="R26">IFERROR(INDEX(CupetList!$A:$G,SMALL(IF(CupetList!$G:$G=R$2,ROW(CupetList!$G:$G)),ROW()-4),R$3),"")</f>
        <v/>
      </c>
      <c r="S26" s="160" t="str">
        <f t="array" ref="S26">IFERROR(INDEX(CupetList!$A:$G,SMALL(IF(CupetList!$G:$G=S$2,ROW(CupetList!$G:$G)),ROW()-4),S$3),"")</f>
        <v/>
      </c>
      <c r="U26" s="160" t="str">
        <f t="array" ref="U26">IFERROR(INDEX(CupetList!$A:$G,SMALL(IF(CupetList!$G:$G=U$2,ROW(CupetList!$G:$G)),ROW()-4),U$3),"")</f>
        <v/>
      </c>
      <c r="V26" s="160" t="str">
        <f t="array" ref="V26">IFERROR(INDEX(CupetList!$A:$G,SMALL(IF(CupetList!$G:$G=V$2,ROW(CupetList!$G:$G)),ROW()-4),V$3),"")</f>
        <v/>
      </c>
      <c r="W26" s="160" t="str">
        <f t="array" ref="W26">IFERROR(INDEX(CupetList!$A:$G,SMALL(IF(CupetList!$G:$G=W$2,ROW(CupetList!$G:$G)),ROW()-4),W$3),"")</f>
        <v/>
      </c>
      <c r="Y26" s="160" t="str">
        <f t="array" ref="Y26">IFERROR(INDEX(CupetList!$A:$G,SMALL(IF(CupetList!$G:$G=Y$2,ROW(CupetList!$G:$G)),ROW()-4),Y$3),"")</f>
        <v/>
      </c>
      <c r="Z26" s="160" t="str">
        <f t="array" ref="Z26">IFERROR(INDEX(CupetList!$A:$G,SMALL(IF(CupetList!$G:$G=Z$2,ROW(CupetList!$G:$G)),ROW()-4),Z$3),"")</f>
        <v/>
      </c>
      <c r="AA26" s="160" t="str">
        <f t="array" ref="AA26">IFERROR(INDEX(CupetList!$A:$G,SMALL(IF(CupetList!$G:$G=AA$2,ROW(CupetList!$G:$G)),ROW()-4),AA$3),"")</f>
        <v/>
      </c>
      <c r="AC26" s="160" t="str">
        <f t="array" ref="AC26">IFERROR(INDEX(CupetList!$A:$G,SMALL(IF(CupetList!$G:$G=AC$2,ROW(CupetList!$G:$G)),ROW()-4),AC$3),"")</f>
        <v/>
      </c>
      <c r="AD26" s="160" t="str">
        <f t="array" ref="AD26">IFERROR(INDEX(CupetList!$A:$G,SMALL(IF(CupetList!$G:$G=AD$2,ROW(CupetList!$G:$G)),ROW()-4),AD$3),"")</f>
        <v/>
      </c>
      <c r="AE26" s="160" t="str">
        <f t="array" ref="AE26">IFERROR(INDEX(CupetList!$A:$G,SMALL(IF(CupetList!$G:$G=AE$2,ROW(CupetList!$G:$G)),ROW()-4),AE$3),"")</f>
        <v/>
      </c>
      <c r="AG26" s="160" t="str">
        <f t="array" ref="AG26">IFERROR(INDEX(CupetList!$A:$G,SMALL(IF(CupetList!$G:$G=AG$2,ROW(CupetList!$G:$G)),ROW()-4),AG$3),"")</f>
        <v/>
      </c>
      <c r="AH26" s="160" t="str">
        <f t="array" ref="AH26">IFERROR(INDEX(CupetList!$A:$G,SMALL(IF(CupetList!$G:$G=AH$2,ROW(CupetList!$G:$G)),ROW()-4),AH$3),"")</f>
        <v/>
      </c>
      <c r="AI26" s="160" t="str">
        <f t="array" ref="AI26">IFERROR(INDEX(CupetList!$A:$G,SMALL(IF(CupetList!$G:$G=AI$2,ROW(CupetList!$G:$G)),ROW()-4),AI$3),"")</f>
        <v/>
      </c>
      <c r="AK26" s="160" t="str">
        <f t="array" ref="AK26">IFERROR(INDEX(CupetList!$A:$G,SMALL(IF(CupetList!$G:$G=AK$2,ROW(CupetList!$G:$G)),ROW()-4),AK$3),"")</f>
        <v/>
      </c>
      <c r="AL26" s="160" t="str">
        <f t="array" ref="AL26">IFERROR(INDEX(CupetList!$A:$G,SMALL(IF(CupetList!$G:$G=AL$2,ROW(CupetList!$G:$G)),ROW()-4),AL$3),"")</f>
        <v/>
      </c>
      <c r="AM26" s="160" t="str">
        <f t="array" ref="AM26">IFERROR(INDEX(CupetList!$A:$G,SMALL(IF(CupetList!$G:$G=AM$2,ROW(CupetList!$G:$G)),ROW()-4),AM$3),"")</f>
        <v/>
      </c>
    </row>
    <row r="27" spans="1:39" x14ac:dyDescent="0.3">
      <c r="A27" s="160" t="str">
        <f t="array" ref="A27">IFERROR(INDEX(CupetList!$A:$G,SMALL(IF(CupetList!$G:$G=A$2,ROW(CupetList!$G:$G)),ROW()-4),A$3),"")</f>
        <v/>
      </c>
      <c r="B27" s="160" t="str">
        <f t="array" ref="B27">IFERROR(INDEX(CupetList!$A:$G,SMALL(IF(CupetList!$G:$G=B$2,ROW(CupetList!$G:$G)),ROW()-4),B$3),"")</f>
        <v/>
      </c>
      <c r="C27" s="160" t="str">
        <f t="array" ref="C27">IFERROR(INDEX(CupetList!$A:$G,SMALL(IF(CupetList!$G:$G=C$2,ROW(CupetList!$G:$G)),ROW()-4),C$3),"")</f>
        <v/>
      </c>
      <c r="E27" s="160" t="str">
        <f t="array" ref="E27">IFERROR(INDEX(CupetList!$A:$G,SMALL(IF(CupetList!$G:$G=E$2,ROW(CupetList!$G:$G)),ROW()-4),E$3),"")</f>
        <v/>
      </c>
      <c r="F27" s="160" t="str">
        <f t="array" ref="F27">IFERROR(INDEX(CupetList!$A:$G,SMALL(IF(CupetList!$G:$G=F$2,ROW(CupetList!$G:$G)),ROW()-4),F$3),"")</f>
        <v/>
      </c>
      <c r="G27" s="160" t="str">
        <f t="array" ref="G27">IFERROR(INDEX(CupetList!$A:$G,SMALL(IF(CupetList!$G:$G=G$2,ROW(CupetList!$G:$G)),ROW()-4),G$3),"")</f>
        <v/>
      </c>
      <c r="I27" s="160" t="str">
        <f t="array" ref="I27">IFERROR(INDEX(CupetList!$A:$G,SMALL(IF(CupetList!$G:$G=I$2,ROW(CupetList!$G:$G)),ROW()-4),I$3),"")</f>
        <v/>
      </c>
      <c r="J27" s="160" t="str">
        <f t="array" ref="J27">IFERROR(INDEX(CupetList!$A:$G,SMALL(IF(CupetList!$G:$G=J$2,ROW(CupetList!$G:$G)),ROW()-4),J$3),"")</f>
        <v/>
      </c>
      <c r="K27" s="160" t="str">
        <f t="array" ref="K27">IFERROR(INDEX(CupetList!$A:$G,SMALL(IF(CupetList!$G:$G=K$2,ROW(CupetList!$G:$G)),ROW()-4),K$3),"")</f>
        <v/>
      </c>
      <c r="M27" s="160" t="str">
        <f t="array" ref="M27">IFERROR(INDEX(CupetList!$A:$G,SMALL(IF(CupetList!$G:$G=M$2,ROW(CupetList!$G:$G)),ROW()-4),M$3),"")</f>
        <v/>
      </c>
      <c r="N27" s="160" t="str">
        <f t="array" ref="N27">IFERROR(INDEX(CupetList!$A:$G,SMALL(IF(CupetList!$G:$G=N$2,ROW(CupetList!$G:$G)),ROW()-4),N$3),"")</f>
        <v/>
      </c>
      <c r="O27" s="160" t="str">
        <f t="array" ref="O27">IFERROR(INDEX(CupetList!$A:$G,SMALL(IF(CupetList!$G:$G=O$2,ROW(CupetList!$G:$G)),ROW()-4),O$3),"")</f>
        <v/>
      </c>
      <c r="Q27" s="160" t="str">
        <f t="array" ref="Q27">IFERROR(INDEX(CupetList!$A:$G,SMALL(IF(CupetList!$G:$G=Q$2,ROW(CupetList!$G:$G)),ROW()-4),Q$3),"")</f>
        <v/>
      </c>
      <c r="R27" s="160" t="str">
        <f t="array" ref="R27">IFERROR(INDEX(CupetList!$A:$G,SMALL(IF(CupetList!$G:$G=R$2,ROW(CupetList!$G:$G)),ROW()-4),R$3),"")</f>
        <v/>
      </c>
      <c r="S27" s="160" t="str">
        <f t="array" ref="S27">IFERROR(INDEX(CupetList!$A:$G,SMALL(IF(CupetList!$G:$G=S$2,ROW(CupetList!$G:$G)),ROW()-4),S$3),"")</f>
        <v/>
      </c>
      <c r="U27" s="160" t="str">
        <f t="array" ref="U27">IFERROR(INDEX(CupetList!$A:$G,SMALL(IF(CupetList!$G:$G=U$2,ROW(CupetList!$G:$G)),ROW()-4),U$3),"")</f>
        <v/>
      </c>
      <c r="V27" s="160" t="str">
        <f t="array" ref="V27">IFERROR(INDEX(CupetList!$A:$G,SMALL(IF(CupetList!$G:$G=V$2,ROW(CupetList!$G:$G)),ROW()-4),V$3),"")</f>
        <v/>
      </c>
      <c r="W27" s="160" t="str">
        <f t="array" ref="W27">IFERROR(INDEX(CupetList!$A:$G,SMALL(IF(CupetList!$G:$G=W$2,ROW(CupetList!$G:$G)),ROW()-4),W$3),"")</f>
        <v/>
      </c>
      <c r="Y27" s="160" t="str">
        <f t="array" ref="Y27">IFERROR(INDEX(CupetList!$A:$G,SMALL(IF(CupetList!$G:$G=Y$2,ROW(CupetList!$G:$G)),ROW()-4),Y$3),"")</f>
        <v/>
      </c>
      <c r="Z27" s="160" t="str">
        <f t="array" ref="Z27">IFERROR(INDEX(CupetList!$A:$G,SMALL(IF(CupetList!$G:$G=Z$2,ROW(CupetList!$G:$G)),ROW()-4),Z$3),"")</f>
        <v/>
      </c>
      <c r="AA27" s="160" t="str">
        <f t="array" ref="AA27">IFERROR(INDEX(CupetList!$A:$G,SMALL(IF(CupetList!$G:$G=AA$2,ROW(CupetList!$G:$G)),ROW()-4),AA$3),"")</f>
        <v/>
      </c>
      <c r="AC27" s="160" t="str">
        <f t="array" ref="AC27">IFERROR(INDEX(CupetList!$A:$G,SMALL(IF(CupetList!$G:$G=AC$2,ROW(CupetList!$G:$G)),ROW()-4),AC$3),"")</f>
        <v/>
      </c>
      <c r="AD27" s="160" t="str">
        <f t="array" ref="AD27">IFERROR(INDEX(CupetList!$A:$G,SMALL(IF(CupetList!$G:$G=AD$2,ROW(CupetList!$G:$G)),ROW()-4),AD$3),"")</f>
        <v/>
      </c>
      <c r="AE27" s="160" t="str">
        <f t="array" ref="AE27">IFERROR(INDEX(CupetList!$A:$G,SMALL(IF(CupetList!$G:$G=AE$2,ROW(CupetList!$G:$G)),ROW()-4),AE$3),"")</f>
        <v/>
      </c>
      <c r="AG27" s="160" t="str">
        <f t="array" ref="AG27">IFERROR(INDEX(CupetList!$A:$G,SMALL(IF(CupetList!$G:$G=AG$2,ROW(CupetList!$G:$G)),ROW()-4),AG$3),"")</f>
        <v/>
      </c>
      <c r="AH27" s="160" t="str">
        <f t="array" ref="AH27">IFERROR(INDEX(CupetList!$A:$G,SMALL(IF(CupetList!$G:$G=AH$2,ROW(CupetList!$G:$G)),ROW()-4),AH$3),"")</f>
        <v/>
      </c>
      <c r="AI27" s="160" t="str">
        <f t="array" ref="AI27">IFERROR(INDEX(CupetList!$A:$G,SMALL(IF(CupetList!$G:$G=AI$2,ROW(CupetList!$G:$G)),ROW()-4),AI$3),"")</f>
        <v/>
      </c>
      <c r="AK27" s="160" t="str">
        <f t="array" ref="AK27">IFERROR(INDEX(CupetList!$A:$G,SMALL(IF(CupetList!$G:$G=AK$2,ROW(CupetList!$G:$G)),ROW()-4),AK$3),"")</f>
        <v/>
      </c>
      <c r="AL27" s="160" t="str">
        <f t="array" ref="AL27">IFERROR(INDEX(CupetList!$A:$G,SMALL(IF(CupetList!$G:$G=AL$2,ROW(CupetList!$G:$G)),ROW()-4),AL$3),"")</f>
        <v/>
      </c>
      <c r="AM27" s="160" t="str">
        <f t="array" ref="AM27">IFERROR(INDEX(CupetList!$A:$G,SMALL(IF(CupetList!$G:$G=AM$2,ROW(CupetList!$G:$G)),ROW()-4),AM$3),"")</f>
        <v/>
      </c>
    </row>
    <row r="28" spans="1:39" x14ac:dyDescent="0.3">
      <c r="A28" s="160" t="str">
        <f t="array" ref="A28">IFERROR(INDEX(CupetList!$A:$G,SMALL(IF(CupetList!$G:$G=A$2,ROW(CupetList!$G:$G)),ROW()-4),A$3),"")</f>
        <v/>
      </c>
      <c r="B28" s="160" t="str">
        <f t="array" ref="B28">IFERROR(INDEX(CupetList!$A:$G,SMALL(IF(CupetList!$G:$G=B$2,ROW(CupetList!$G:$G)),ROW()-4),B$3),"")</f>
        <v/>
      </c>
      <c r="C28" s="160" t="str">
        <f t="array" ref="C28">IFERROR(INDEX(CupetList!$A:$G,SMALL(IF(CupetList!$G:$G=C$2,ROW(CupetList!$G:$G)),ROW()-4),C$3),"")</f>
        <v/>
      </c>
      <c r="E28" s="160" t="str">
        <f t="array" ref="E28">IFERROR(INDEX(CupetList!$A:$G,SMALL(IF(CupetList!$G:$G=E$2,ROW(CupetList!$G:$G)),ROW()-4),E$3),"")</f>
        <v/>
      </c>
      <c r="F28" s="160" t="str">
        <f t="array" ref="F28">IFERROR(INDEX(CupetList!$A:$G,SMALL(IF(CupetList!$G:$G=F$2,ROW(CupetList!$G:$G)),ROW()-4),F$3),"")</f>
        <v/>
      </c>
      <c r="G28" s="160" t="str">
        <f t="array" ref="G28">IFERROR(INDEX(CupetList!$A:$G,SMALL(IF(CupetList!$G:$G=G$2,ROW(CupetList!$G:$G)),ROW()-4),G$3),"")</f>
        <v/>
      </c>
      <c r="I28" s="160" t="str">
        <f t="array" ref="I28">IFERROR(INDEX(CupetList!$A:$G,SMALL(IF(CupetList!$G:$G=I$2,ROW(CupetList!$G:$G)),ROW()-4),I$3),"")</f>
        <v/>
      </c>
      <c r="J28" s="160" t="str">
        <f t="array" ref="J28">IFERROR(INDEX(CupetList!$A:$G,SMALL(IF(CupetList!$G:$G=J$2,ROW(CupetList!$G:$G)),ROW()-4),J$3),"")</f>
        <v/>
      </c>
      <c r="K28" s="160" t="str">
        <f t="array" ref="K28">IFERROR(INDEX(CupetList!$A:$G,SMALL(IF(CupetList!$G:$G=K$2,ROW(CupetList!$G:$G)),ROW()-4),K$3),"")</f>
        <v/>
      </c>
      <c r="M28" s="160" t="str">
        <f t="array" ref="M28">IFERROR(INDEX(CupetList!$A:$G,SMALL(IF(CupetList!$G:$G=M$2,ROW(CupetList!$G:$G)),ROW()-4),M$3),"")</f>
        <v/>
      </c>
      <c r="N28" s="160" t="str">
        <f t="array" ref="N28">IFERROR(INDEX(CupetList!$A:$G,SMALL(IF(CupetList!$G:$G=N$2,ROW(CupetList!$G:$G)),ROW()-4),N$3),"")</f>
        <v/>
      </c>
      <c r="O28" s="160" t="str">
        <f t="array" ref="O28">IFERROR(INDEX(CupetList!$A:$G,SMALL(IF(CupetList!$G:$G=O$2,ROW(CupetList!$G:$G)),ROW()-4),O$3),"")</f>
        <v/>
      </c>
      <c r="Q28" s="160" t="str">
        <f t="array" ref="Q28">IFERROR(INDEX(CupetList!$A:$G,SMALL(IF(CupetList!$G:$G=Q$2,ROW(CupetList!$G:$G)),ROW()-4),Q$3),"")</f>
        <v/>
      </c>
      <c r="R28" s="160" t="str">
        <f t="array" ref="R28">IFERROR(INDEX(CupetList!$A:$G,SMALL(IF(CupetList!$G:$G=R$2,ROW(CupetList!$G:$G)),ROW()-4),R$3),"")</f>
        <v/>
      </c>
      <c r="S28" s="160" t="str">
        <f t="array" ref="S28">IFERROR(INDEX(CupetList!$A:$G,SMALL(IF(CupetList!$G:$G=S$2,ROW(CupetList!$G:$G)),ROW()-4),S$3),"")</f>
        <v/>
      </c>
      <c r="U28" s="160" t="str">
        <f t="array" ref="U28">IFERROR(INDEX(CupetList!$A:$G,SMALL(IF(CupetList!$G:$G=U$2,ROW(CupetList!$G:$G)),ROW()-4),U$3),"")</f>
        <v/>
      </c>
      <c r="V28" s="160" t="str">
        <f t="array" ref="V28">IFERROR(INDEX(CupetList!$A:$G,SMALL(IF(CupetList!$G:$G=V$2,ROW(CupetList!$G:$G)),ROW()-4),V$3),"")</f>
        <v/>
      </c>
      <c r="W28" s="160" t="str">
        <f t="array" ref="W28">IFERROR(INDEX(CupetList!$A:$G,SMALL(IF(CupetList!$G:$G=W$2,ROW(CupetList!$G:$G)),ROW()-4),W$3),"")</f>
        <v/>
      </c>
      <c r="Y28" s="160" t="str">
        <f t="array" ref="Y28">IFERROR(INDEX(CupetList!$A:$G,SMALL(IF(CupetList!$G:$G=Y$2,ROW(CupetList!$G:$G)),ROW()-4),Y$3),"")</f>
        <v/>
      </c>
      <c r="Z28" s="160" t="str">
        <f t="array" ref="Z28">IFERROR(INDEX(CupetList!$A:$G,SMALL(IF(CupetList!$G:$G=Z$2,ROW(CupetList!$G:$G)),ROW()-4),Z$3),"")</f>
        <v/>
      </c>
      <c r="AA28" s="160" t="str">
        <f t="array" ref="AA28">IFERROR(INDEX(CupetList!$A:$G,SMALL(IF(CupetList!$G:$G=AA$2,ROW(CupetList!$G:$G)),ROW()-4),AA$3),"")</f>
        <v/>
      </c>
      <c r="AC28" s="160" t="str">
        <f t="array" ref="AC28">IFERROR(INDEX(CupetList!$A:$G,SMALL(IF(CupetList!$G:$G=AC$2,ROW(CupetList!$G:$G)),ROW()-4),AC$3),"")</f>
        <v/>
      </c>
      <c r="AD28" s="160" t="str">
        <f t="array" ref="AD28">IFERROR(INDEX(CupetList!$A:$G,SMALL(IF(CupetList!$G:$G=AD$2,ROW(CupetList!$G:$G)),ROW()-4),AD$3),"")</f>
        <v/>
      </c>
      <c r="AE28" s="160" t="str">
        <f t="array" ref="AE28">IFERROR(INDEX(CupetList!$A:$G,SMALL(IF(CupetList!$G:$G=AE$2,ROW(CupetList!$G:$G)),ROW()-4),AE$3),"")</f>
        <v/>
      </c>
      <c r="AG28" s="160" t="str">
        <f t="array" ref="AG28">IFERROR(INDEX(CupetList!$A:$G,SMALL(IF(CupetList!$G:$G=AG$2,ROW(CupetList!$G:$G)),ROW()-4),AG$3),"")</f>
        <v/>
      </c>
      <c r="AH28" s="160" t="str">
        <f t="array" ref="AH28">IFERROR(INDEX(CupetList!$A:$G,SMALL(IF(CupetList!$G:$G=AH$2,ROW(CupetList!$G:$G)),ROW()-4),AH$3),"")</f>
        <v/>
      </c>
      <c r="AI28" s="160" t="str">
        <f t="array" ref="AI28">IFERROR(INDEX(CupetList!$A:$G,SMALL(IF(CupetList!$G:$G=AI$2,ROW(CupetList!$G:$G)),ROW()-4),AI$3),"")</f>
        <v/>
      </c>
      <c r="AK28" s="160" t="str">
        <f t="array" ref="AK28">IFERROR(INDEX(CupetList!$A:$G,SMALL(IF(CupetList!$G:$G=AK$2,ROW(CupetList!$G:$G)),ROW()-4),AK$3),"")</f>
        <v/>
      </c>
      <c r="AL28" s="160" t="str">
        <f t="array" ref="AL28">IFERROR(INDEX(CupetList!$A:$G,SMALL(IF(CupetList!$G:$G=AL$2,ROW(CupetList!$G:$G)),ROW()-4),AL$3),"")</f>
        <v/>
      </c>
      <c r="AM28" s="160" t="str">
        <f t="array" ref="AM28">IFERROR(INDEX(CupetList!$A:$G,SMALL(IF(CupetList!$G:$G=AM$2,ROW(CupetList!$G:$G)),ROW()-4),AM$3),"")</f>
        <v/>
      </c>
    </row>
    <row r="29" spans="1:39" x14ac:dyDescent="0.3">
      <c r="A29" s="160" t="str">
        <f t="array" ref="A29">IFERROR(INDEX(CupetList!$A:$G,SMALL(IF(CupetList!$G:$G=A$2,ROW(CupetList!$G:$G)),ROW()-4),A$3),"")</f>
        <v/>
      </c>
      <c r="B29" s="160" t="str">
        <f t="array" ref="B29">IFERROR(INDEX(CupetList!$A:$G,SMALL(IF(CupetList!$G:$G=B$2,ROW(CupetList!$G:$G)),ROW()-4),B$3),"")</f>
        <v/>
      </c>
      <c r="C29" s="160" t="str">
        <f t="array" ref="C29">IFERROR(INDEX(CupetList!$A:$G,SMALL(IF(CupetList!$G:$G=C$2,ROW(CupetList!$G:$G)),ROW()-4),C$3),"")</f>
        <v/>
      </c>
      <c r="E29" s="160" t="str">
        <f t="array" ref="E29">IFERROR(INDEX(CupetList!$A:$G,SMALL(IF(CupetList!$G:$G=E$2,ROW(CupetList!$G:$G)),ROW()-4),E$3),"")</f>
        <v/>
      </c>
      <c r="F29" s="160" t="str">
        <f t="array" ref="F29">IFERROR(INDEX(CupetList!$A:$G,SMALL(IF(CupetList!$G:$G=F$2,ROW(CupetList!$G:$G)),ROW()-4),F$3),"")</f>
        <v/>
      </c>
      <c r="G29" s="160" t="str">
        <f t="array" ref="G29">IFERROR(INDEX(CupetList!$A:$G,SMALL(IF(CupetList!$G:$G=G$2,ROW(CupetList!$G:$G)),ROW()-4),G$3),"")</f>
        <v/>
      </c>
      <c r="I29" s="160" t="str">
        <f t="array" ref="I29">IFERROR(INDEX(CupetList!$A:$G,SMALL(IF(CupetList!$G:$G=I$2,ROW(CupetList!$G:$G)),ROW()-4),I$3),"")</f>
        <v/>
      </c>
      <c r="J29" s="160" t="str">
        <f t="array" ref="J29">IFERROR(INDEX(CupetList!$A:$G,SMALL(IF(CupetList!$G:$G=J$2,ROW(CupetList!$G:$G)),ROW()-4),J$3),"")</f>
        <v/>
      </c>
      <c r="K29" s="160" t="str">
        <f t="array" ref="K29">IFERROR(INDEX(CupetList!$A:$G,SMALL(IF(CupetList!$G:$G=K$2,ROW(CupetList!$G:$G)),ROW()-4),K$3),"")</f>
        <v/>
      </c>
      <c r="M29" s="160" t="str">
        <f t="array" ref="M29">IFERROR(INDEX(CupetList!$A:$G,SMALL(IF(CupetList!$G:$G=M$2,ROW(CupetList!$G:$G)),ROW()-4),M$3),"")</f>
        <v/>
      </c>
      <c r="N29" s="160" t="str">
        <f t="array" ref="N29">IFERROR(INDEX(CupetList!$A:$G,SMALL(IF(CupetList!$G:$G=N$2,ROW(CupetList!$G:$G)),ROW()-4),N$3),"")</f>
        <v/>
      </c>
      <c r="O29" s="160" t="str">
        <f t="array" ref="O29">IFERROR(INDEX(CupetList!$A:$G,SMALL(IF(CupetList!$G:$G=O$2,ROW(CupetList!$G:$G)),ROW()-4),O$3),"")</f>
        <v/>
      </c>
      <c r="Q29" s="160" t="str">
        <f t="array" ref="Q29">IFERROR(INDEX(CupetList!$A:$G,SMALL(IF(CupetList!$G:$G=Q$2,ROW(CupetList!$G:$G)),ROW()-4),Q$3),"")</f>
        <v/>
      </c>
      <c r="R29" s="160" t="str">
        <f t="array" ref="R29">IFERROR(INDEX(CupetList!$A:$G,SMALL(IF(CupetList!$G:$G=R$2,ROW(CupetList!$G:$G)),ROW()-4),R$3),"")</f>
        <v/>
      </c>
      <c r="S29" s="160" t="str">
        <f t="array" ref="S29">IFERROR(INDEX(CupetList!$A:$G,SMALL(IF(CupetList!$G:$G=S$2,ROW(CupetList!$G:$G)),ROW()-4),S$3),"")</f>
        <v/>
      </c>
      <c r="U29" s="160" t="str">
        <f t="array" ref="U29">IFERROR(INDEX(CupetList!$A:$G,SMALL(IF(CupetList!$G:$G=U$2,ROW(CupetList!$G:$G)),ROW()-4),U$3),"")</f>
        <v/>
      </c>
      <c r="V29" s="160" t="str">
        <f t="array" ref="V29">IFERROR(INDEX(CupetList!$A:$G,SMALL(IF(CupetList!$G:$G=V$2,ROW(CupetList!$G:$G)),ROW()-4),V$3),"")</f>
        <v/>
      </c>
      <c r="W29" s="160" t="str">
        <f t="array" ref="W29">IFERROR(INDEX(CupetList!$A:$G,SMALL(IF(CupetList!$G:$G=W$2,ROW(CupetList!$G:$G)),ROW()-4),W$3),"")</f>
        <v/>
      </c>
      <c r="Y29" s="160" t="str">
        <f t="array" ref="Y29">IFERROR(INDEX(CupetList!$A:$G,SMALL(IF(CupetList!$G:$G=Y$2,ROW(CupetList!$G:$G)),ROW()-4),Y$3),"")</f>
        <v/>
      </c>
      <c r="Z29" s="160" t="str">
        <f t="array" ref="Z29">IFERROR(INDEX(CupetList!$A:$G,SMALL(IF(CupetList!$G:$G=Z$2,ROW(CupetList!$G:$G)),ROW()-4),Z$3),"")</f>
        <v/>
      </c>
      <c r="AA29" s="160" t="str">
        <f t="array" ref="AA29">IFERROR(INDEX(CupetList!$A:$G,SMALL(IF(CupetList!$G:$G=AA$2,ROW(CupetList!$G:$G)),ROW()-4),AA$3),"")</f>
        <v/>
      </c>
      <c r="AC29" s="160" t="str">
        <f t="array" ref="AC29">IFERROR(INDEX(CupetList!$A:$G,SMALL(IF(CupetList!$G:$G=AC$2,ROW(CupetList!$G:$G)),ROW()-4),AC$3),"")</f>
        <v/>
      </c>
      <c r="AD29" s="160" t="str">
        <f t="array" ref="AD29">IFERROR(INDEX(CupetList!$A:$G,SMALL(IF(CupetList!$G:$G=AD$2,ROW(CupetList!$G:$G)),ROW()-4),AD$3),"")</f>
        <v/>
      </c>
      <c r="AE29" s="160" t="str">
        <f t="array" ref="AE29">IFERROR(INDEX(CupetList!$A:$G,SMALL(IF(CupetList!$G:$G=AE$2,ROW(CupetList!$G:$G)),ROW()-4),AE$3),"")</f>
        <v/>
      </c>
      <c r="AG29" s="160" t="str">
        <f t="array" ref="AG29">IFERROR(INDEX(CupetList!$A:$G,SMALL(IF(CupetList!$G:$G=AG$2,ROW(CupetList!$G:$G)),ROW()-4),AG$3),"")</f>
        <v/>
      </c>
      <c r="AH29" s="160" t="str">
        <f t="array" ref="AH29">IFERROR(INDEX(CupetList!$A:$G,SMALL(IF(CupetList!$G:$G=AH$2,ROW(CupetList!$G:$G)),ROW()-4),AH$3),"")</f>
        <v/>
      </c>
      <c r="AI29" s="160" t="str">
        <f t="array" ref="AI29">IFERROR(INDEX(CupetList!$A:$G,SMALL(IF(CupetList!$G:$G=AI$2,ROW(CupetList!$G:$G)),ROW()-4),AI$3),"")</f>
        <v/>
      </c>
      <c r="AK29" s="160" t="str">
        <f t="array" ref="AK29">IFERROR(INDEX(CupetList!$A:$G,SMALL(IF(CupetList!$G:$G=AK$2,ROW(CupetList!$G:$G)),ROW()-4),AK$3),"")</f>
        <v/>
      </c>
      <c r="AL29" s="160" t="str">
        <f t="array" ref="AL29">IFERROR(INDEX(CupetList!$A:$G,SMALL(IF(CupetList!$G:$G=AL$2,ROW(CupetList!$G:$G)),ROW()-4),AL$3),"")</f>
        <v/>
      </c>
      <c r="AM29" s="160" t="str">
        <f t="array" ref="AM29">IFERROR(INDEX(CupetList!$A:$G,SMALL(IF(CupetList!$G:$G=AM$2,ROW(CupetList!$G:$G)),ROW()-4),AM$3),"")</f>
        <v/>
      </c>
    </row>
    <row r="30" spans="1:39" x14ac:dyDescent="0.3">
      <c r="A30" s="160" t="str">
        <f t="array" ref="A30">IFERROR(INDEX(CupetList!$A:$G,SMALL(IF(CupetList!$G:$G=A$2,ROW(CupetList!$G:$G)),ROW()-4),A$3),"")</f>
        <v/>
      </c>
      <c r="B30" s="160" t="str">
        <f t="array" ref="B30">IFERROR(INDEX(CupetList!$A:$G,SMALL(IF(CupetList!$G:$G=B$2,ROW(CupetList!$G:$G)),ROW()-4),B$3),"")</f>
        <v/>
      </c>
      <c r="C30" s="160" t="str">
        <f t="array" ref="C30">IFERROR(INDEX(CupetList!$A:$G,SMALL(IF(CupetList!$G:$G=C$2,ROW(CupetList!$G:$G)),ROW()-4),C$3),"")</f>
        <v/>
      </c>
      <c r="E30" s="160" t="str">
        <f t="array" ref="E30">IFERROR(INDEX(CupetList!$A:$G,SMALL(IF(CupetList!$G:$G=E$2,ROW(CupetList!$G:$G)),ROW()-4),E$3),"")</f>
        <v/>
      </c>
      <c r="F30" s="160" t="str">
        <f t="array" ref="F30">IFERROR(INDEX(CupetList!$A:$G,SMALL(IF(CupetList!$G:$G=F$2,ROW(CupetList!$G:$G)),ROW()-4),F$3),"")</f>
        <v/>
      </c>
      <c r="G30" s="160" t="str">
        <f t="array" ref="G30">IFERROR(INDEX(CupetList!$A:$G,SMALL(IF(CupetList!$G:$G=G$2,ROW(CupetList!$G:$G)),ROW()-4),G$3),"")</f>
        <v/>
      </c>
      <c r="I30" s="160" t="str">
        <f t="array" ref="I30">IFERROR(INDEX(CupetList!$A:$G,SMALL(IF(CupetList!$G:$G=I$2,ROW(CupetList!$G:$G)),ROW()-4),I$3),"")</f>
        <v/>
      </c>
      <c r="J30" s="160" t="str">
        <f t="array" ref="J30">IFERROR(INDEX(CupetList!$A:$G,SMALL(IF(CupetList!$G:$G=J$2,ROW(CupetList!$G:$G)),ROW()-4),J$3),"")</f>
        <v/>
      </c>
      <c r="K30" s="160" t="str">
        <f t="array" ref="K30">IFERROR(INDEX(CupetList!$A:$G,SMALL(IF(CupetList!$G:$G=K$2,ROW(CupetList!$G:$G)),ROW()-4),K$3),"")</f>
        <v/>
      </c>
      <c r="M30" s="160" t="str">
        <f t="array" ref="M30">IFERROR(INDEX(CupetList!$A:$G,SMALL(IF(CupetList!$G:$G=M$2,ROW(CupetList!$G:$G)),ROW()-4),M$3),"")</f>
        <v/>
      </c>
      <c r="N30" s="160" t="str">
        <f t="array" ref="N30">IFERROR(INDEX(CupetList!$A:$G,SMALL(IF(CupetList!$G:$G=N$2,ROW(CupetList!$G:$G)),ROW()-4),N$3),"")</f>
        <v/>
      </c>
      <c r="O30" s="160" t="str">
        <f t="array" ref="O30">IFERROR(INDEX(CupetList!$A:$G,SMALL(IF(CupetList!$G:$G=O$2,ROW(CupetList!$G:$G)),ROW()-4),O$3),"")</f>
        <v/>
      </c>
      <c r="Q30" s="160" t="str">
        <f t="array" ref="Q30">IFERROR(INDEX(CupetList!$A:$G,SMALL(IF(CupetList!$G:$G=Q$2,ROW(CupetList!$G:$G)),ROW()-4),Q$3),"")</f>
        <v/>
      </c>
      <c r="R30" s="160" t="str">
        <f t="array" ref="R30">IFERROR(INDEX(CupetList!$A:$G,SMALL(IF(CupetList!$G:$G=R$2,ROW(CupetList!$G:$G)),ROW()-4),R$3),"")</f>
        <v/>
      </c>
      <c r="S30" s="160" t="str">
        <f t="array" ref="S30">IFERROR(INDEX(CupetList!$A:$G,SMALL(IF(CupetList!$G:$G=S$2,ROW(CupetList!$G:$G)),ROW()-4),S$3),"")</f>
        <v/>
      </c>
      <c r="U30" s="160" t="str">
        <f t="array" ref="U30">IFERROR(INDEX(CupetList!$A:$G,SMALL(IF(CupetList!$G:$G=U$2,ROW(CupetList!$G:$G)),ROW()-4),U$3),"")</f>
        <v/>
      </c>
      <c r="V30" s="160" t="str">
        <f t="array" ref="V30">IFERROR(INDEX(CupetList!$A:$G,SMALL(IF(CupetList!$G:$G=V$2,ROW(CupetList!$G:$G)),ROW()-4),V$3),"")</f>
        <v/>
      </c>
      <c r="W30" s="160" t="str">
        <f t="array" ref="W30">IFERROR(INDEX(CupetList!$A:$G,SMALL(IF(CupetList!$G:$G=W$2,ROW(CupetList!$G:$G)),ROW()-4),W$3),"")</f>
        <v/>
      </c>
      <c r="Y30" s="160" t="str">
        <f t="array" ref="Y30">IFERROR(INDEX(CupetList!$A:$G,SMALL(IF(CupetList!$G:$G=Y$2,ROW(CupetList!$G:$G)),ROW()-4),Y$3),"")</f>
        <v/>
      </c>
      <c r="Z30" s="160" t="str">
        <f t="array" ref="Z30">IFERROR(INDEX(CupetList!$A:$G,SMALL(IF(CupetList!$G:$G=Z$2,ROW(CupetList!$G:$G)),ROW()-4),Z$3),"")</f>
        <v/>
      </c>
      <c r="AA30" s="160" t="str">
        <f t="array" ref="AA30">IFERROR(INDEX(CupetList!$A:$G,SMALL(IF(CupetList!$G:$G=AA$2,ROW(CupetList!$G:$G)),ROW()-4),AA$3),"")</f>
        <v/>
      </c>
      <c r="AC30" s="160" t="str">
        <f t="array" ref="AC30">IFERROR(INDEX(CupetList!$A:$G,SMALL(IF(CupetList!$G:$G=AC$2,ROW(CupetList!$G:$G)),ROW()-4),AC$3),"")</f>
        <v/>
      </c>
      <c r="AD30" s="160" t="str">
        <f t="array" ref="AD30">IFERROR(INDEX(CupetList!$A:$G,SMALL(IF(CupetList!$G:$G=AD$2,ROW(CupetList!$G:$G)),ROW()-4),AD$3),"")</f>
        <v/>
      </c>
      <c r="AE30" s="160" t="str">
        <f t="array" ref="AE30">IFERROR(INDEX(CupetList!$A:$G,SMALL(IF(CupetList!$G:$G=AE$2,ROW(CupetList!$G:$G)),ROW()-4),AE$3),"")</f>
        <v/>
      </c>
      <c r="AG30" s="160" t="str">
        <f t="array" ref="AG30">IFERROR(INDEX(CupetList!$A:$G,SMALL(IF(CupetList!$G:$G=AG$2,ROW(CupetList!$G:$G)),ROW()-4),AG$3),"")</f>
        <v/>
      </c>
      <c r="AH30" s="160" t="str">
        <f t="array" ref="AH30">IFERROR(INDEX(CupetList!$A:$G,SMALL(IF(CupetList!$G:$G=AH$2,ROW(CupetList!$G:$G)),ROW()-4),AH$3),"")</f>
        <v/>
      </c>
      <c r="AI30" s="160" t="str">
        <f t="array" ref="AI30">IFERROR(INDEX(CupetList!$A:$G,SMALL(IF(CupetList!$G:$G=AI$2,ROW(CupetList!$G:$G)),ROW()-4),AI$3),"")</f>
        <v/>
      </c>
      <c r="AK30" s="160" t="str">
        <f t="array" ref="AK30">IFERROR(INDEX(CupetList!$A:$G,SMALL(IF(CupetList!$G:$G=AK$2,ROW(CupetList!$G:$G)),ROW()-4),AK$3),"")</f>
        <v/>
      </c>
      <c r="AL30" s="160" t="str">
        <f t="array" ref="AL30">IFERROR(INDEX(CupetList!$A:$G,SMALL(IF(CupetList!$G:$G=AL$2,ROW(CupetList!$G:$G)),ROW()-4),AL$3),"")</f>
        <v/>
      </c>
      <c r="AM30" s="160" t="str">
        <f t="array" ref="AM30">IFERROR(INDEX(CupetList!$A:$G,SMALL(IF(CupetList!$G:$G=AM$2,ROW(CupetList!$G:$G)),ROW()-4),AM$3),"")</f>
        <v/>
      </c>
    </row>
    <row r="31" spans="1:39" x14ac:dyDescent="0.3">
      <c r="A31" s="160" t="str">
        <f t="array" ref="A31">IFERROR(INDEX(CupetList!$A:$G,SMALL(IF(CupetList!$G:$G=A$2,ROW(CupetList!$G:$G)),ROW()-4),A$3),"")</f>
        <v/>
      </c>
      <c r="B31" s="160" t="str">
        <f t="array" ref="B31">IFERROR(INDEX(CupetList!$A:$G,SMALL(IF(CupetList!$G:$G=B$2,ROW(CupetList!$G:$G)),ROW()-4),B$3),"")</f>
        <v/>
      </c>
      <c r="C31" s="160" t="str">
        <f t="array" ref="C31">IFERROR(INDEX(CupetList!$A:$G,SMALL(IF(CupetList!$G:$G=C$2,ROW(CupetList!$G:$G)),ROW()-4),C$3),"")</f>
        <v/>
      </c>
      <c r="E31" s="160" t="str">
        <f t="array" ref="E31">IFERROR(INDEX(CupetList!$A:$G,SMALL(IF(CupetList!$G:$G=E$2,ROW(CupetList!$G:$G)),ROW()-4),E$3),"")</f>
        <v/>
      </c>
      <c r="F31" s="160" t="str">
        <f t="array" ref="F31">IFERROR(INDEX(CupetList!$A:$G,SMALL(IF(CupetList!$G:$G=F$2,ROW(CupetList!$G:$G)),ROW()-4),F$3),"")</f>
        <v/>
      </c>
      <c r="G31" s="160" t="str">
        <f t="array" ref="G31">IFERROR(INDEX(CupetList!$A:$G,SMALL(IF(CupetList!$G:$G=G$2,ROW(CupetList!$G:$G)),ROW()-4),G$3),"")</f>
        <v/>
      </c>
      <c r="I31" s="160" t="str">
        <f t="array" ref="I31">IFERROR(INDEX(CupetList!$A:$G,SMALL(IF(CupetList!$G:$G=I$2,ROW(CupetList!$G:$G)),ROW()-4),I$3),"")</f>
        <v/>
      </c>
      <c r="J31" s="160" t="str">
        <f t="array" ref="J31">IFERROR(INDEX(CupetList!$A:$G,SMALL(IF(CupetList!$G:$G=J$2,ROW(CupetList!$G:$G)),ROW()-4),J$3),"")</f>
        <v/>
      </c>
      <c r="K31" s="160" t="str">
        <f t="array" ref="K31">IFERROR(INDEX(CupetList!$A:$G,SMALL(IF(CupetList!$G:$G=K$2,ROW(CupetList!$G:$G)),ROW()-4),K$3),"")</f>
        <v/>
      </c>
      <c r="M31" s="160" t="str">
        <f t="array" ref="M31">IFERROR(INDEX(CupetList!$A:$G,SMALL(IF(CupetList!$G:$G=M$2,ROW(CupetList!$G:$G)),ROW()-4),M$3),"")</f>
        <v/>
      </c>
      <c r="N31" s="160" t="str">
        <f t="array" ref="N31">IFERROR(INDEX(CupetList!$A:$G,SMALL(IF(CupetList!$G:$G=N$2,ROW(CupetList!$G:$G)),ROW()-4),N$3),"")</f>
        <v/>
      </c>
      <c r="O31" s="160" t="str">
        <f t="array" ref="O31">IFERROR(INDEX(CupetList!$A:$G,SMALL(IF(CupetList!$G:$G=O$2,ROW(CupetList!$G:$G)),ROW()-4),O$3),"")</f>
        <v/>
      </c>
      <c r="Q31" s="160" t="str">
        <f t="array" ref="Q31">IFERROR(INDEX(CupetList!$A:$G,SMALL(IF(CupetList!$G:$G=Q$2,ROW(CupetList!$G:$G)),ROW()-4),Q$3),"")</f>
        <v/>
      </c>
      <c r="R31" s="160" t="str">
        <f t="array" ref="R31">IFERROR(INDEX(CupetList!$A:$G,SMALL(IF(CupetList!$G:$G=R$2,ROW(CupetList!$G:$G)),ROW()-4),R$3),"")</f>
        <v/>
      </c>
      <c r="S31" s="160" t="str">
        <f t="array" ref="S31">IFERROR(INDEX(CupetList!$A:$G,SMALL(IF(CupetList!$G:$G=S$2,ROW(CupetList!$G:$G)),ROW()-4),S$3),"")</f>
        <v/>
      </c>
      <c r="U31" s="160" t="str">
        <f t="array" ref="U31">IFERROR(INDEX(CupetList!$A:$G,SMALL(IF(CupetList!$G:$G=U$2,ROW(CupetList!$G:$G)),ROW()-4),U$3),"")</f>
        <v/>
      </c>
      <c r="V31" s="160" t="str">
        <f t="array" ref="V31">IFERROR(INDEX(CupetList!$A:$G,SMALL(IF(CupetList!$G:$G=V$2,ROW(CupetList!$G:$G)),ROW()-4),V$3),"")</f>
        <v/>
      </c>
      <c r="W31" s="160" t="str">
        <f t="array" ref="W31">IFERROR(INDEX(CupetList!$A:$G,SMALL(IF(CupetList!$G:$G=W$2,ROW(CupetList!$G:$G)),ROW()-4),W$3),"")</f>
        <v/>
      </c>
      <c r="Y31" s="160" t="str">
        <f t="array" ref="Y31">IFERROR(INDEX(CupetList!$A:$G,SMALL(IF(CupetList!$G:$G=Y$2,ROW(CupetList!$G:$G)),ROW()-4),Y$3),"")</f>
        <v/>
      </c>
      <c r="Z31" s="160" t="str">
        <f t="array" ref="Z31">IFERROR(INDEX(CupetList!$A:$G,SMALL(IF(CupetList!$G:$G=Z$2,ROW(CupetList!$G:$G)),ROW()-4),Z$3),"")</f>
        <v/>
      </c>
      <c r="AA31" s="160" t="str">
        <f t="array" ref="AA31">IFERROR(INDEX(CupetList!$A:$G,SMALL(IF(CupetList!$G:$G=AA$2,ROW(CupetList!$G:$G)),ROW()-4),AA$3),"")</f>
        <v/>
      </c>
      <c r="AC31" s="160" t="str">
        <f t="array" ref="AC31">IFERROR(INDEX(CupetList!$A:$G,SMALL(IF(CupetList!$G:$G=AC$2,ROW(CupetList!$G:$G)),ROW()-4),AC$3),"")</f>
        <v/>
      </c>
      <c r="AD31" s="160" t="str">
        <f t="array" ref="AD31">IFERROR(INDEX(CupetList!$A:$G,SMALL(IF(CupetList!$G:$G=AD$2,ROW(CupetList!$G:$G)),ROW()-4),AD$3),"")</f>
        <v/>
      </c>
      <c r="AE31" s="160" t="str">
        <f t="array" ref="AE31">IFERROR(INDEX(CupetList!$A:$G,SMALL(IF(CupetList!$G:$G=AE$2,ROW(CupetList!$G:$G)),ROW()-4),AE$3),"")</f>
        <v/>
      </c>
      <c r="AG31" s="160" t="str">
        <f t="array" ref="AG31">IFERROR(INDEX(CupetList!$A:$G,SMALL(IF(CupetList!$G:$G=AG$2,ROW(CupetList!$G:$G)),ROW()-4),AG$3),"")</f>
        <v/>
      </c>
      <c r="AH31" s="160" t="str">
        <f t="array" ref="AH31">IFERROR(INDEX(CupetList!$A:$G,SMALL(IF(CupetList!$G:$G=AH$2,ROW(CupetList!$G:$G)),ROW()-4),AH$3),"")</f>
        <v/>
      </c>
      <c r="AI31" s="160" t="str">
        <f t="array" ref="AI31">IFERROR(INDEX(CupetList!$A:$G,SMALL(IF(CupetList!$G:$G=AI$2,ROW(CupetList!$G:$G)),ROW()-4),AI$3),"")</f>
        <v/>
      </c>
      <c r="AK31" s="160" t="str">
        <f t="array" ref="AK31">IFERROR(INDEX(CupetList!$A:$G,SMALL(IF(CupetList!$G:$G=AK$2,ROW(CupetList!$G:$G)),ROW()-4),AK$3),"")</f>
        <v/>
      </c>
      <c r="AL31" s="160" t="str">
        <f t="array" ref="AL31">IFERROR(INDEX(CupetList!$A:$G,SMALL(IF(CupetList!$G:$G=AL$2,ROW(CupetList!$G:$G)),ROW()-4),AL$3),"")</f>
        <v/>
      </c>
      <c r="AM31" s="160" t="str">
        <f t="array" ref="AM31">IFERROR(INDEX(CupetList!$A:$G,SMALL(IF(CupetList!$G:$G=AM$2,ROW(CupetList!$G:$G)),ROW()-4),AM$3),"")</f>
        <v/>
      </c>
    </row>
    <row r="32" spans="1:39" x14ac:dyDescent="0.3">
      <c r="A32" s="160" t="str">
        <f t="array" ref="A32">IFERROR(INDEX(CupetList!$A:$G,SMALL(IF(CupetList!$G:$G=A$2,ROW(CupetList!$G:$G)),ROW()-4),A$3),"")</f>
        <v/>
      </c>
      <c r="B32" s="160" t="str">
        <f t="array" ref="B32">IFERROR(INDEX(CupetList!$A:$G,SMALL(IF(CupetList!$G:$G=B$2,ROW(CupetList!$G:$G)),ROW()-4),B$3),"")</f>
        <v/>
      </c>
      <c r="C32" s="160" t="str">
        <f t="array" ref="C32">IFERROR(INDEX(CupetList!$A:$G,SMALL(IF(CupetList!$G:$G=C$2,ROW(CupetList!$G:$G)),ROW()-4),C$3),"")</f>
        <v/>
      </c>
      <c r="E32" s="160" t="str">
        <f t="array" ref="E32">IFERROR(INDEX(CupetList!$A:$G,SMALL(IF(CupetList!$G:$G=E$2,ROW(CupetList!$G:$G)),ROW()-4),E$3),"")</f>
        <v/>
      </c>
      <c r="F32" s="160" t="str">
        <f t="array" ref="F32">IFERROR(INDEX(CupetList!$A:$G,SMALL(IF(CupetList!$G:$G=F$2,ROW(CupetList!$G:$G)),ROW()-4),F$3),"")</f>
        <v/>
      </c>
      <c r="G32" s="160" t="str">
        <f t="array" ref="G32">IFERROR(INDEX(CupetList!$A:$G,SMALL(IF(CupetList!$G:$G=G$2,ROW(CupetList!$G:$G)),ROW()-4),G$3),"")</f>
        <v/>
      </c>
      <c r="I32" s="160" t="str">
        <f t="array" ref="I32">IFERROR(INDEX(CupetList!$A:$G,SMALL(IF(CupetList!$G:$G=I$2,ROW(CupetList!$G:$G)),ROW()-4),I$3),"")</f>
        <v/>
      </c>
      <c r="J32" s="160" t="str">
        <f t="array" ref="J32">IFERROR(INDEX(CupetList!$A:$G,SMALL(IF(CupetList!$G:$G=J$2,ROW(CupetList!$G:$G)),ROW()-4),J$3),"")</f>
        <v/>
      </c>
      <c r="K32" s="160" t="str">
        <f t="array" ref="K32">IFERROR(INDEX(CupetList!$A:$G,SMALL(IF(CupetList!$G:$G=K$2,ROW(CupetList!$G:$G)),ROW()-4),K$3),"")</f>
        <v/>
      </c>
      <c r="M32" s="160" t="str">
        <f t="array" ref="M32">IFERROR(INDEX(CupetList!$A:$G,SMALL(IF(CupetList!$G:$G=M$2,ROW(CupetList!$G:$G)),ROW()-4),M$3),"")</f>
        <v/>
      </c>
      <c r="N32" s="160" t="str">
        <f t="array" ref="N32">IFERROR(INDEX(CupetList!$A:$G,SMALL(IF(CupetList!$G:$G=N$2,ROW(CupetList!$G:$G)),ROW()-4),N$3),"")</f>
        <v/>
      </c>
      <c r="O32" s="160" t="str">
        <f t="array" ref="O32">IFERROR(INDEX(CupetList!$A:$G,SMALL(IF(CupetList!$G:$G=O$2,ROW(CupetList!$G:$G)),ROW()-4),O$3),"")</f>
        <v/>
      </c>
      <c r="Q32" s="160" t="str">
        <f t="array" ref="Q32">IFERROR(INDEX(CupetList!$A:$G,SMALL(IF(CupetList!$G:$G=Q$2,ROW(CupetList!$G:$G)),ROW()-4),Q$3),"")</f>
        <v/>
      </c>
      <c r="R32" s="160" t="str">
        <f t="array" ref="R32">IFERROR(INDEX(CupetList!$A:$G,SMALL(IF(CupetList!$G:$G=R$2,ROW(CupetList!$G:$G)),ROW()-4),R$3),"")</f>
        <v/>
      </c>
      <c r="S32" s="160" t="str">
        <f t="array" ref="S32">IFERROR(INDEX(CupetList!$A:$G,SMALL(IF(CupetList!$G:$G=S$2,ROW(CupetList!$G:$G)),ROW()-4),S$3),"")</f>
        <v/>
      </c>
      <c r="U32" s="160" t="str">
        <f t="array" ref="U32">IFERROR(INDEX(CupetList!$A:$G,SMALL(IF(CupetList!$G:$G=U$2,ROW(CupetList!$G:$G)),ROW()-4),U$3),"")</f>
        <v/>
      </c>
      <c r="V32" s="160" t="str">
        <f t="array" ref="V32">IFERROR(INDEX(CupetList!$A:$G,SMALL(IF(CupetList!$G:$G=V$2,ROW(CupetList!$G:$G)),ROW()-4),V$3),"")</f>
        <v/>
      </c>
      <c r="W32" s="160" t="str">
        <f t="array" ref="W32">IFERROR(INDEX(CupetList!$A:$G,SMALL(IF(CupetList!$G:$G=W$2,ROW(CupetList!$G:$G)),ROW()-4),W$3),"")</f>
        <v/>
      </c>
      <c r="Y32" s="160" t="str">
        <f t="array" ref="Y32">IFERROR(INDEX(CupetList!$A:$G,SMALL(IF(CupetList!$G:$G=Y$2,ROW(CupetList!$G:$G)),ROW()-4),Y$3),"")</f>
        <v/>
      </c>
      <c r="Z32" s="160" t="str">
        <f t="array" ref="Z32">IFERROR(INDEX(CupetList!$A:$G,SMALL(IF(CupetList!$G:$G=Z$2,ROW(CupetList!$G:$G)),ROW()-4),Z$3),"")</f>
        <v/>
      </c>
      <c r="AA32" s="160" t="str">
        <f t="array" ref="AA32">IFERROR(INDEX(CupetList!$A:$G,SMALL(IF(CupetList!$G:$G=AA$2,ROW(CupetList!$G:$G)),ROW()-4),AA$3),"")</f>
        <v/>
      </c>
      <c r="AC32" s="160" t="str">
        <f t="array" ref="AC32">IFERROR(INDEX(CupetList!$A:$G,SMALL(IF(CupetList!$G:$G=AC$2,ROW(CupetList!$G:$G)),ROW()-4),AC$3),"")</f>
        <v/>
      </c>
      <c r="AD32" s="160" t="str">
        <f t="array" ref="AD32">IFERROR(INDEX(CupetList!$A:$G,SMALL(IF(CupetList!$G:$G=AD$2,ROW(CupetList!$G:$G)),ROW()-4),AD$3),"")</f>
        <v/>
      </c>
      <c r="AE32" s="160" t="str">
        <f t="array" ref="AE32">IFERROR(INDEX(CupetList!$A:$G,SMALL(IF(CupetList!$G:$G=AE$2,ROW(CupetList!$G:$G)),ROW()-4),AE$3),"")</f>
        <v/>
      </c>
      <c r="AG32" s="160" t="str">
        <f t="array" ref="AG32">IFERROR(INDEX(CupetList!$A:$G,SMALL(IF(CupetList!$G:$G=AG$2,ROW(CupetList!$G:$G)),ROW()-4),AG$3),"")</f>
        <v/>
      </c>
      <c r="AH32" s="160" t="str">
        <f t="array" ref="AH32">IFERROR(INDEX(CupetList!$A:$G,SMALL(IF(CupetList!$G:$G=AH$2,ROW(CupetList!$G:$G)),ROW()-4),AH$3),"")</f>
        <v/>
      </c>
      <c r="AI32" s="160" t="str">
        <f t="array" ref="AI32">IFERROR(INDEX(CupetList!$A:$G,SMALL(IF(CupetList!$G:$G=AI$2,ROW(CupetList!$G:$G)),ROW()-4),AI$3),"")</f>
        <v/>
      </c>
      <c r="AK32" s="160" t="str">
        <f t="array" ref="AK32">IFERROR(INDEX(CupetList!$A:$G,SMALL(IF(CupetList!$G:$G=AK$2,ROW(CupetList!$G:$G)),ROW()-4),AK$3),"")</f>
        <v/>
      </c>
      <c r="AL32" s="160" t="str">
        <f t="array" ref="AL32">IFERROR(INDEX(CupetList!$A:$G,SMALL(IF(CupetList!$G:$G=AL$2,ROW(CupetList!$G:$G)),ROW()-4),AL$3),"")</f>
        <v/>
      </c>
      <c r="AM32" s="160" t="str">
        <f t="array" ref="AM32">IFERROR(INDEX(CupetList!$A:$G,SMALL(IF(CupetList!$G:$G=AM$2,ROW(CupetList!$G:$G)),ROW()-4),AM$3),"")</f>
        <v/>
      </c>
    </row>
    <row r="33" spans="1:39" x14ac:dyDescent="0.3">
      <c r="A33" s="160" t="str">
        <f t="array" ref="A33">IFERROR(INDEX(CupetList!$A:$G,SMALL(IF(CupetList!$G:$G=A$2,ROW(CupetList!$G:$G)),ROW()-4),A$3),"")</f>
        <v/>
      </c>
      <c r="B33" s="160" t="str">
        <f t="array" ref="B33">IFERROR(INDEX(CupetList!$A:$G,SMALL(IF(CupetList!$G:$G=B$2,ROW(CupetList!$G:$G)),ROW()-4),B$3),"")</f>
        <v/>
      </c>
      <c r="C33" s="160" t="str">
        <f t="array" ref="C33">IFERROR(INDEX(CupetList!$A:$G,SMALL(IF(CupetList!$G:$G=C$2,ROW(CupetList!$G:$G)),ROW()-4),C$3),"")</f>
        <v/>
      </c>
      <c r="E33" s="160" t="str">
        <f t="array" ref="E33">IFERROR(INDEX(CupetList!$A:$G,SMALL(IF(CupetList!$G:$G=E$2,ROW(CupetList!$G:$G)),ROW()-4),E$3),"")</f>
        <v/>
      </c>
      <c r="F33" s="160" t="str">
        <f t="array" ref="F33">IFERROR(INDEX(CupetList!$A:$G,SMALL(IF(CupetList!$G:$G=F$2,ROW(CupetList!$G:$G)),ROW()-4),F$3),"")</f>
        <v/>
      </c>
      <c r="G33" s="160" t="str">
        <f t="array" ref="G33">IFERROR(INDEX(CupetList!$A:$G,SMALL(IF(CupetList!$G:$G=G$2,ROW(CupetList!$G:$G)),ROW()-4),G$3),"")</f>
        <v/>
      </c>
      <c r="I33" s="160" t="str">
        <f t="array" ref="I33">IFERROR(INDEX(CupetList!$A:$G,SMALL(IF(CupetList!$G:$G=I$2,ROW(CupetList!$G:$G)),ROW()-4),I$3),"")</f>
        <v/>
      </c>
      <c r="J33" s="160" t="str">
        <f t="array" ref="J33">IFERROR(INDEX(CupetList!$A:$G,SMALL(IF(CupetList!$G:$G=J$2,ROW(CupetList!$G:$G)),ROW()-4),J$3),"")</f>
        <v/>
      </c>
      <c r="K33" s="160" t="str">
        <f t="array" ref="K33">IFERROR(INDEX(CupetList!$A:$G,SMALL(IF(CupetList!$G:$G=K$2,ROW(CupetList!$G:$G)),ROW()-4),K$3),"")</f>
        <v/>
      </c>
      <c r="M33" s="160" t="str">
        <f t="array" ref="M33">IFERROR(INDEX(CupetList!$A:$G,SMALL(IF(CupetList!$G:$G=M$2,ROW(CupetList!$G:$G)),ROW()-4),M$3),"")</f>
        <v/>
      </c>
      <c r="N33" s="160" t="str">
        <f t="array" ref="N33">IFERROR(INDEX(CupetList!$A:$G,SMALL(IF(CupetList!$G:$G=N$2,ROW(CupetList!$G:$G)),ROW()-4),N$3),"")</f>
        <v/>
      </c>
      <c r="O33" s="160" t="str">
        <f t="array" ref="O33">IFERROR(INDEX(CupetList!$A:$G,SMALL(IF(CupetList!$G:$G=O$2,ROW(CupetList!$G:$G)),ROW()-4),O$3),"")</f>
        <v/>
      </c>
      <c r="Q33" s="160" t="str">
        <f t="array" ref="Q33">IFERROR(INDEX(CupetList!$A:$G,SMALL(IF(CupetList!$G:$G=Q$2,ROW(CupetList!$G:$G)),ROW()-4),Q$3),"")</f>
        <v/>
      </c>
      <c r="R33" s="160" t="str">
        <f t="array" ref="R33">IFERROR(INDEX(CupetList!$A:$G,SMALL(IF(CupetList!$G:$G=R$2,ROW(CupetList!$G:$G)),ROW()-4),R$3),"")</f>
        <v/>
      </c>
      <c r="S33" s="160" t="str">
        <f t="array" ref="S33">IFERROR(INDEX(CupetList!$A:$G,SMALL(IF(CupetList!$G:$G=S$2,ROW(CupetList!$G:$G)),ROW()-4),S$3),"")</f>
        <v/>
      </c>
      <c r="U33" s="160" t="str">
        <f t="array" ref="U33">IFERROR(INDEX(CupetList!$A:$G,SMALL(IF(CupetList!$G:$G=U$2,ROW(CupetList!$G:$G)),ROW()-4),U$3),"")</f>
        <v/>
      </c>
      <c r="V33" s="160" t="str">
        <f t="array" ref="V33">IFERROR(INDEX(CupetList!$A:$G,SMALL(IF(CupetList!$G:$G=V$2,ROW(CupetList!$G:$G)),ROW()-4),V$3),"")</f>
        <v/>
      </c>
      <c r="W33" s="160" t="str">
        <f t="array" ref="W33">IFERROR(INDEX(CupetList!$A:$G,SMALL(IF(CupetList!$G:$G=W$2,ROW(CupetList!$G:$G)),ROW()-4),W$3),"")</f>
        <v/>
      </c>
      <c r="Y33" s="160" t="str">
        <f t="array" ref="Y33">IFERROR(INDEX(CupetList!$A:$G,SMALL(IF(CupetList!$G:$G=Y$2,ROW(CupetList!$G:$G)),ROW()-4),Y$3),"")</f>
        <v/>
      </c>
      <c r="Z33" s="160" t="str">
        <f t="array" ref="Z33">IFERROR(INDEX(CupetList!$A:$G,SMALL(IF(CupetList!$G:$G=Z$2,ROW(CupetList!$G:$G)),ROW()-4),Z$3),"")</f>
        <v/>
      </c>
      <c r="AA33" s="160" t="str">
        <f t="array" ref="AA33">IFERROR(INDEX(CupetList!$A:$G,SMALL(IF(CupetList!$G:$G=AA$2,ROW(CupetList!$G:$G)),ROW()-4),AA$3),"")</f>
        <v/>
      </c>
      <c r="AC33" s="160" t="str">
        <f t="array" ref="AC33">IFERROR(INDEX(CupetList!$A:$G,SMALL(IF(CupetList!$G:$G=AC$2,ROW(CupetList!$G:$G)),ROW()-4),AC$3),"")</f>
        <v/>
      </c>
      <c r="AD33" s="160" t="str">
        <f t="array" ref="AD33">IFERROR(INDEX(CupetList!$A:$G,SMALL(IF(CupetList!$G:$G=AD$2,ROW(CupetList!$G:$G)),ROW()-4),AD$3),"")</f>
        <v/>
      </c>
      <c r="AE33" s="160" t="str">
        <f t="array" ref="AE33">IFERROR(INDEX(CupetList!$A:$G,SMALL(IF(CupetList!$G:$G=AE$2,ROW(CupetList!$G:$G)),ROW()-4),AE$3),"")</f>
        <v/>
      </c>
      <c r="AG33" s="160" t="str">
        <f t="array" ref="AG33">IFERROR(INDEX(CupetList!$A:$G,SMALL(IF(CupetList!$G:$G=AG$2,ROW(CupetList!$G:$G)),ROW()-4),AG$3),"")</f>
        <v/>
      </c>
      <c r="AH33" s="160" t="str">
        <f t="array" ref="AH33">IFERROR(INDEX(CupetList!$A:$G,SMALL(IF(CupetList!$G:$G=AH$2,ROW(CupetList!$G:$G)),ROW()-4),AH$3),"")</f>
        <v/>
      </c>
      <c r="AI33" s="160" t="str">
        <f t="array" ref="AI33">IFERROR(INDEX(CupetList!$A:$G,SMALL(IF(CupetList!$G:$G=AI$2,ROW(CupetList!$G:$G)),ROW()-4),AI$3),"")</f>
        <v/>
      </c>
      <c r="AK33" s="160" t="str">
        <f t="array" ref="AK33">IFERROR(INDEX(CupetList!$A:$G,SMALL(IF(CupetList!$G:$G=AK$2,ROW(CupetList!$G:$G)),ROW()-4),AK$3),"")</f>
        <v/>
      </c>
      <c r="AL33" s="160" t="str">
        <f t="array" ref="AL33">IFERROR(INDEX(CupetList!$A:$G,SMALL(IF(CupetList!$G:$G=AL$2,ROW(CupetList!$G:$G)),ROW()-4),AL$3),"")</f>
        <v/>
      </c>
      <c r="AM33" s="160" t="str">
        <f t="array" ref="AM33">IFERROR(INDEX(CupetList!$A:$G,SMALL(IF(CupetList!$G:$G=AM$2,ROW(CupetList!$G:$G)),ROW()-4),AM$3),"")</f>
        <v/>
      </c>
    </row>
    <row r="34" spans="1:39" x14ac:dyDescent="0.3">
      <c r="A34" s="160" t="str">
        <f t="array" ref="A34">IFERROR(INDEX(CupetList!$A:$G,SMALL(IF(CupetList!$G:$G=A$2,ROW(CupetList!$G:$G)),ROW()-4),A$3),"")</f>
        <v/>
      </c>
      <c r="B34" s="160" t="str">
        <f t="array" ref="B34">IFERROR(INDEX(CupetList!$A:$G,SMALL(IF(CupetList!$G:$G=B$2,ROW(CupetList!$G:$G)),ROW()-4),B$3),"")</f>
        <v/>
      </c>
      <c r="C34" s="160" t="str">
        <f t="array" ref="C34">IFERROR(INDEX(CupetList!$A:$G,SMALL(IF(CupetList!$G:$G=C$2,ROW(CupetList!$G:$G)),ROW()-4),C$3),"")</f>
        <v/>
      </c>
      <c r="E34" s="160" t="str">
        <f t="array" ref="E34">IFERROR(INDEX(CupetList!$A:$G,SMALL(IF(CupetList!$G:$G=E$2,ROW(CupetList!$G:$G)),ROW()-4),E$3),"")</f>
        <v/>
      </c>
      <c r="F34" s="160" t="str">
        <f t="array" ref="F34">IFERROR(INDEX(CupetList!$A:$G,SMALL(IF(CupetList!$G:$G=F$2,ROW(CupetList!$G:$G)),ROW()-4),F$3),"")</f>
        <v/>
      </c>
      <c r="G34" s="160" t="str">
        <f t="array" ref="G34">IFERROR(INDEX(CupetList!$A:$G,SMALL(IF(CupetList!$G:$G=G$2,ROW(CupetList!$G:$G)),ROW()-4),G$3),"")</f>
        <v/>
      </c>
      <c r="I34" s="160" t="str">
        <f t="array" ref="I34">IFERROR(INDEX(CupetList!$A:$G,SMALL(IF(CupetList!$G:$G=I$2,ROW(CupetList!$G:$G)),ROW()-4),I$3),"")</f>
        <v/>
      </c>
      <c r="J34" s="160" t="str">
        <f t="array" ref="J34">IFERROR(INDEX(CupetList!$A:$G,SMALL(IF(CupetList!$G:$G=J$2,ROW(CupetList!$G:$G)),ROW()-4),J$3),"")</f>
        <v/>
      </c>
      <c r="K34" s="160" t="str">
        <f t="array" ref="K34">IFERROR(INDEX(CupetList!$A:$G,SMALL(IF(CupetList!$G:$G=K$2,ROW(CupetList!$G:$G)),ROW()-4),K$3),"")</f>
        <v/>
      </c>
      <c r="M34" s="160" t="str">
        <f t="array" ref="M34">IFERROR(INDEX(CupetList!$A:$G,SMALL(IF(CupetList!$G:$G=M$2,ROW(CupetList!$G:$G)),ROW()-4),M$3),"")</f>
        <v/>
      </c>
      <c r="N34" s="160" t="str">
        <f t="array" ref="N34">IFERROR(INDEX(CupetList!$A:$G,SMALL(IF(CupetList!$G:$G=N$2,ROW(CupetList!$G:$G)),ROW()-4),N$3),"")</f>
        <v/>
      </c>
      <c r="O34" s="160" t="str">
        <f t="array" ref="O34">IFERROR(INDEX(CupetList!$A:$G,SMALL(IF(CupetList!$G:$G=O$2,ROW(CupetList!$G:$G)),ROW()-4),O$3),"")</f>
        <v/>
      </c>
      <c r="Q34" s="160" t="str">
        <f t="array" ref="Q34">IFERROR(INDEX(CupetList!$A:$G,SMALL(IF(CupetList!$G:$G=Q$2,ROW(CupetList!$G:$G)),ROW()-4),Q$3),"")</f>
        <v/>
      </c>
      <c r="R34" s="160" t="str">
        <f t="array" ref="R34">IFERROR(INDEX(CupetList!$A:$G,SMALL(IF(CupetList!$G:$G=R$2,ROW(CupetList!$G:$G)),ROW()-4),R$3),"")</f>
        <v/>
      </c>
      <c r="S34" s="160" t="str">
        <f t="array" ref="S34">IFERROR(INDEX(CupetList!$A:$G,SMALL(IF(CupetList!$G:$G=S$2,ROW(CupetList!$G:$G)),ROW()-4),S$3),"")</f>
        <v/>
      </c>
      <c r="U34" s="160" t="str">
        <f t="array" ref="U34">IFERROR(INDEX(CupetList!$A:$G,SMALL(IF(CupetList!$G:$G=U$2,ROW(CupetList!$G:$G)),ROW()-4),U$3),"")</f>
        <v/>
      </c>
      <c r="V34" s="160" t="str">
        <f t="array" ref="V34">IFERROR(INDEX(CupetList!$A:$G,SMALL(IF(CupetList!$G:$G=V$2,ROW(CupetList!$G:$G)),ROW()-4),V$3),"")</f>
        <v/>
      </c>
      <c r="W34" s="160" t="str">
        <f t="array" ref="W34">IFERROR(INDEX(CupetList!$A:$G,SMALL(IF(CupetList!$G:$G=W$2,ROW(CupetList!$G:$G)),ROW()-4),W$3),"")</f>
        <v/>
      </c>
      <c r="Y34" s="160" t="str">
        <f t="array" ref="Y34">IFERROR(INDEX(CupetList!$A:$G,SMALL(IF(CupetList!$G:$G=Y$2,ROW(CupetList!$G:$G)),ROW()-4),Y$3),"")</f>
        <v/>
      </c>
      <c r="Z34" s="160" t="str">
        <f t="array" ref="Z34">IFERROR(INDEX(CupetList!$A:$G,SMALL(IF(CupetList!$G:$G=Z$2,ROW(CupetList!$G:$G)),ROW()-4),Z$3),"")</f>
        <v/>
      </c>
      <c r="AA34" s="160" t="str">
        <f t="array" ref="AA34">IFERROR(INDEX(CupetList!$A:$G,SMALL(IF(CupetList!$G:$G=AA$2,ROW(CupetList!$G:$G)),ROW()-4),AA$3),"")</f>
        <v/>
      </c>
      <c r="AC34" s="160" t="str">
        <f t="array" ref="AC34">IFERROR(INDEX(CupetList!$A:$G,SMALL(IF(CupetList!$G:$G=AC$2,ROW(CupetList!$G:$G)),ROW()-4),AC$3),"")</f>
        <v/>
      </c>
      <c r="AD34" s="160" t="str">
        <f t="array" ref="AD34">IFERROR(INDEX(CupetList!$A:$G,SMALL(IF(CupetList!$G:$G=AD$2,ROW(CupetList!$G:$G)),ROW()-4),AD$3),"")</f>
        <v/>
      </c>
      <c r="AE34" s="160" t="str">
        <f t="array" ref="AE34">IFERROR(INDEX(CupetList!$A:$G,SMALL(IF(CupetList!$G:$G=AE$2,ROW(CupetList!$G:$G)),ROW()-4),AE$3),"")</f>
        <v/>
      </c>
      <c r="AG34" s="160" t="str">
        <f t="array" ref="AG34">IFERROR(INDEX(CupetList!$A:$G,SMALL(IF(CupetList!$G:$G=AG$2,ROW(CupetList!$G:$G)),ROW()-4),AG$3),"")</f>
        <v/>
      </c>
      <c r="AH34" s="160" t="str">
        <f t="array" ref="AH34">IFERROR(INDEX(CupetList!$A:$G,SMALL(IF(CupetList!$G:$G=AH$2,ROW(CupetList!$G:$G)),ROW()-4),AH$3),"")</f>
        <v/>
      </c>
      <c r="AI34" s="160" t="str">
        <f t="array" ref="AI34">IFERROR(INDEX(CupetList!$A:$G,SMALL(IF(CupetList!$G:$G=AI$2,ROW(CupetList!$G:$G)),ROW()-4),AI$3),"")</f>
        <v/>
      </c>
      <c r="AK34" s="160" t="str">
        <f t="array" ref="AK34">IFERROR(INDEX(CupetList!$A:$G,SMALL(IF(CupetList!$G:$G=AK$2,ROW(CupetList!$G:$G)),ROW()-4),AK$3),"")</f>
        <v/>
      </c>
      <c r="AL34" s="160" t="str">
        <f t="array" ref="AL34">IFERROR(INDEX(CupetList!$A:$G,SMALL(IF(CupetList!$G:$G=AL$2,ROW(CupetList!$G:$G)),ROW()-4),AL$3),"")</f>
        <v/>
      </c>
      <c r="AM34" s="160" t="str">
        <f t="array" ref="AM34">IFERROR(INDEX(CupetList!$A:$G,SMALL(IF(CupetList!$G:$G=AM$2,ROW(CupetList!$G:$G)),ROW()-4),AM$3),"")</f>
        <v/>
      </c>
    </row>
    <row r="35" spans="1:39" x14ac:dyDescent="0.3">
      <c r="A35" s="160" t="str">
        <f t="array" ref="A35">IFERROR(INDEX(CupetList!$A:$G,SMALL(IF(CupetList!$G:$G=A$2,ROW(CupetList!$G:$G)),ROW()-4),A$3),"")</f>
        <v/>
      </c>
      <c r="B35" s="160" t="str">
        <f t="array" ref="B35">IFERROR(INDEX(CupetList!$A:$G,SMALL(IF(CupetList!$G:$G=B$2,ROW(CupetList!$G:$G)),ROW()-4),B$3),"")</f>
        <v/>
      </c>
      <c r="C35" s="160" t="str">
        <f t="array" ref="C35">IFERROR(INDEX(CupetList!$A:$G,SMALL(IF(CupetList!$G:$G=C$2,ROW(CupetList!$G:$G)),ROW()-4),C$3),"")</f>
        <v/>
      </c>
      <c r="E35" s="160" t="str">
        <f t="array" ref="E35">IFERROR(INDEX(CupetList!$A:$G,SMALL(IF(CupetList!$G:$G=E$2,ROW(CupetList!$G:$G)),ROW()-4),E$3),"")</f>
        <v/>
      </c>
      <c r="F35" s="160" t="str">
        <f t="array" ref="F35">IFERROR(INDEX(CupetList!$A:$G,SMALL(IF(CupetList!$G:$G=F$2,ROW(CupetList!$G:$G)),ROW()-4),F$3),"")</f>
        <v/>
      </c>
      <c r="G35" s="160" t="str">
        <f t="array" ref="G35">IFERROR(INDEX(CupetList!$A:$G,SMALL(IF(CupetList!$G:$G=G$2,ROW(CupetList!$G:$G)),ROW()-4),G$3),"")</f>
        <v/>
      </c>
      <c r="I35" s="160" t="str">
        <f t="array" ref="I35">IFERROR(INDEX(CupetList!$A:$G,SMALL(IF(CupetList!$G:$G=I$2,ROW(CupetList!$G:$G)),ROW()-4),I$3),"")</f>
        <v/>
      </c>
      <c r="J35" s="160" t="str">
        <f t="array" ref="J35">IFERROR(INDEX(CupetList!$A:$G,SMALL(IF(CupetList!$G:$G=J$2,ROW(CupetList!$G:$G)),ROW()-4),J$3),"")</f>
        <v/>
      </c>
      <c r="K35" s="160" t="str">
        <f t="array" ref="K35">IFERROR(INDEX(CupetList!$A:$G,SMALL(IF(CupetList!$G:$G=K$2,ROW(CupetList!$G:$G)),ROW()-4),K$3),"")</f>
        <v/>
      </c>
      <c r="M35" s="160" t="str">
        <f t="array" ref="M35">IFERROR(INDEX(CupetList!$A:$G,SMALL(IF(CupetList!$G:$G=M$2,ROW(CupetList!$G:$G)),ROW()-4),M$3),"")</f>
        <v/>
      </c>
      <c r="N35" s="160" t="str">
        <f t="array" ref="N35">IFERROR(INDEX(CupetList!$A:$G,SMALL(IF(CupetList!$G:$G=N$2,ROW(CupetList!$G:$G)),ROW()-4),N$3),"")</f>
        <v/>
      </c>
      <c r="O35" s="160" t="str">
        <f t="array" ref="O35">IFERROR(INDEX(CupetList!$A:$G,SMALL(IF(CupetList!$G:$G=O$2,ROW(CupetList!$G:$G)),ROW()-4),O$3),"")</f>
        <v/>
      </c>
      <c r="Q35" s="160" t="str">
        <f t="array" ref="Q35">IFERROR(INDEX(CupetList!$A:$G,SMALL(IF(CupetList!$G:$G=Q$2,ROW(CupetList!$G:$G)),ROW()-4),Q$3),"")</f>
        <v/>
      </c>
      <c r="R35" s="160" t="str">
        <f t="array" ref="R35">IFERROR(INDEX(CupetList!$A:$G,SMALL(IF(CupetList!$G:$G=R$2,ROW(CupetList!$G:$G)),ROW()-4),R$3),"")</f>
        <v/>
      </c>
      <c r="S35" s="160" t="str">
        <f t="array" ref="S35">IFERROR(INDEX(CupetList!$A:$G,SMALL(IF(CupetList!$G:$G=S$2,ROW(CupetList!$G:$G)),ROW()-4),S$3),"")</f>
        <v/>
      </c>
      <c r="U35" s="160" t="str">
        <f t="array" ref="U35">IFERROR(INDEX(CupetList!$A:$G,SMALL(IF(CupetList!$G:$G=U$2,ROW(CupetList!$G:$G)),ROW()-4),U$3),"")</f>
        <v/>
      </c>
      <c r="V35" s="160" t="str">
        <f t="array" ref="V35">IFERROR(INDEX(CupetList!$A:$G,SMALL(IF(CupetList!$G:$G=V$2,ROW(CupetList!$G:$G)),ROW()-4),V$3),"")</f>
        <v/>
      </c>
      <c r="W35" s="160" t="str">
        <f t="array" ref="W35">IFERROR(INDEX(CupetList!$A:$G,SMALL(IF(CupetList!$G:$G=W$2,ROW(CupetList!$G:$G)),ROW()-4),W$3),"")</f>
        <v/>
      </c>
      <c r="Y35" s="160" t="str">
        <f t="array" ref="Y35">IFERROR(INDEX(CupetList!$A:$G,SMALL(IF(CupetList!$G:$G=Y$2,ROW(CupetList!$G:$G)),ROW()-4),Y$3),"")</f>
        <v/>
      </c>
      <c r="Z35" s="160" t="str">
        <f t="array" ref="Z35">IFERROR(INDEX(CupetList!$A:$G,SMALL(IF(CupetList!$G:$G=Z$2,ROW(CupetList!$G:$G)),ROW()-4),Z$3),"")</f>
        <v/>
      </c>
      <c r="AA35" s="160" t="str">
        <f t="array" ref="AA35">IFERROR(INDEX(CupetList!$A:$G,SMALL(IF(CupetList!$G:$G=AA$2,ROW(CupetList!$G:$G)),ROW()-4),AA$3),"")</f>
        <v/>
      </c>
      <c r="AC35" s="160" t="str">
        <f t="array" ref="AC35">IFERROR(INDEX(CupetList!$A:$G,SMALL(IF(CupetList!$G:$G=AC$2,ROW(CupetList!$G:$G)),ROW()-4),AC$3),"")</f>
        <v/>
      </c>
      <c r="AD35" s="160" t="str">
        <f t="array" ref="AD35">IFERROR(INDEX(CupetList!$A:$G,SMALL(IF(CupetList!$G:$G=AD$2,ROW(CupetList!$G:$G)),ROW()-4),AD$3),"")</f>
        <v/>
      </c>
      <c r="AE35" s="160" t="str">
        <f t="array" ref="AE35">IFERROR(INDEX(CupetList!$A:$G,SMALL(IF(CupetList!$G:$G=AE$2,ROW(CupetList!$G:$G)),ROW()-4),AE$3),"")</f>
        <v/>
      </c>
      <c r="AG35" s="160" t="str">
        <f t="array" ref="AG35">IFERROR(INDEX(CupetList!$A:$G,SMALL(IF(CupetList!$G:$G=AG$2,ROW(CupetList!$G:$G)),ROW()-4),AG$3),"")</f>
        <v/>
      </c>
      <c r="AH35" s="160" t="str">
        <f t="array" ref="AH35">IFERROR(INDEX(CupetList!$A:$G,SMALL(IF(CupetList!$G:$G=AH$2,ROW(CupetList!$G:$G)),ROW()-4),AH$3),"")</f>
        <v/>
      </c>
      <c r="AI35" s="160" t="str">
        <f t="array" ref="AI35">IFERROR(INDEX(CupetList!$A:$G,SMALL(IF(CupetList!$G:$G=AI$2,ROW(CupetList!$G:$G)),ROW()-4),AI$3),"")</f>
        <v/>
      </c>
      <c r="AK35" s="160" t="str">
        <f t="array" ref="AK35">IFERROR(INDEX(CupetList!$A:$G,SMALL(IF(CupetList!$G:$G=AK$2,ROW(CupetList!$G:$G)),ROW()-4),AK$3),"")</f>
        <v/>
      </c>
      <c r="AL35" s="160" t="str">
        <f t="array" ref="AL35">IFERROR(INDEX(CupetList!$A:$G,SMALL(IF(CupetList!$G:$G=AL$2,ROW(CupetList!$G:$G)),ROW()-4),AL$3),"")</f>
        <v/>
      </c>
      <c r="AM35" s="160" t="str">
        <f t="array" ref="AM35">IFERROR(INDEX(CupetList!$A:$G,SMALL(IF(CupetList!$G:$G=AM$2,ROW(CupetList!$G:$G)),ROW()-4),AM$3),"")</f>
        <v/>
      </c>
    </row>
    <row r="36" spans="1:39" x14ac:dyDescent="0.3">
      <c r="A36" s="160" t="str">
        <f t="array" ref="A36">IFERROR(INDEX(CupetList!$A:$G,SMALL(IF(CupetList!$G:$G=A$2,ROW(CupetList!$G:$G)),ROW()-4),A$3),"")</f>
        <v/>
      </c>
      <c r="B36" s="160" t="str">
        <f t="array" ref="B36">IFERROR(INDEX(CupetList!$A:$G,SMALL(IF(CupetList!$G:$G=B$2,ROW(CupetList!$G:$G)),ROW()-4),B$3),"")</f>
        <v/>
      </c>
      <c r="C36" s="160" t="str">
        <f t="array" ref="C36">IFERROR(INDEX(CupetList!$A:$G,SMALL(IF(CupetList!$G:$G=C$2,ROW(CupetList!$G:$G)),ROW()-4),C$3),"")</f>
        <v/>
      </c>
      <c r="E36" s="160" t="str">
        <f t="array" ref="E36">IFERROR(INDEX(CupetList!$A:$G,SMALL(IF(CupetList!$G:$G=E$2,ROW(CupetList!$G:$G)),ROW()-4),E$3),"")</f>
        <v/>
      </c>
      <c r="F36" s="160" t="str">
        <f t="array" ref="F36">IFERROR(INDEX(CupetList!$A:$G,SMALL(IF(CupetList!$G:$G=F$2,ROW(CupetList!$G:$G)),ROW()-4),F$3),"")</f>
        <v/>
      </c>
      <c r="G36" s="160" t="str">
        <f t="array" ref="G36">IFERROR(INDEX(CupetList!$A:$G,SMALL(IF(CupetList!$G:$G=G$2,ROW(CupetList!$G:$G)),ROW()-4),G$3),"")</f>
        <v/>
      </c>
      <c r="I36" s="160" t="str">
        <f t="array" ref="I36">IFERROR(INDEX(CupetList!$A:$G,SMALL(IF(CupetList!$G:$G=I$2,ROW(CupetList!$G:$G)),ROW()-4),I$3),"")</f>
        <v/>
      </c>
      <c r="J36" s="160" t="str">
        <f t="array" ref="J36">IFERROR(INDEX(CupetList!$A:$G,SMALL(IF(CupetList!$G:$G=J$2,ROW(CupetList!$G:$G)),ROW()-4),J$3),"")</f>
        <v/>
      </c>
      <c r="K36" s="160" t="str">
        <f t="array" ref="K36">IFERROR(INDEX(CupetList!$A:$G,SMALL(IF(CupetList!$G:$G=K$2,ROW(CupetList!$G:$G)),ROW()-4),K$3),"")</f>
        <v/>
      </c>
      <c r="M36" s="160" t="str">
        <f t="array" ref="M36">IFERROR(INDEX(CupetList!$A:$G,SMALL(IF(CupetList!$G:$G=M$2,ROW(CupetList!$G:$G)),ROW()-4),M$3),"")</f>
        <v/>
      </c>
      <c r="N36" s="160" t="str">
        <f t="array" ref="N36">IFERROR(INDEX(CupetList!$A:$G,SMALL(IF(CupetList!$G:$G=N$2,ROW(CupetList!$G:$G)),ROW()-4),N$3),"")</f>
        <v/>
      </c>
      <c r="O36" s="160" t="str">
        <f t="array" ref="O36">IFERROR(INDEX(CupetList!$A:$G,SMALL(IF(CupetList!$G:$G=O$2,ROW(CupetList!$G:$G)),ROW()-4),O$3),"")</f>
        <v/>
      </c>
      <c r="Q36" s="160" t="str">
        <f t="array" ref="Q36">IFERROR(INDEX(CupetList!$A:$G,SMALL(IF(CupetList!$G:$G=Q$2,ROW(CupetList!$G:$G)),ROW()-4),Q$3),"")</f>
        <v/>
      </c>
      <c r="R36" s="160" t="str">
        <f t="array" ref="R36">IFERROR(INDEX(CupetList!$A:$G,SMALL(IF(CupetList!$G:$G=R$2,ROW(CupetList!$G:$G)),ROW()-4),R$3),"")</f>
        <v/>
      </c>
      <c r="S36" s="160" t="str">
        <f t="array" ref="S36">IFERROR(INDEX(CupetList!$A:$G,SMALL(IF(CupetList!$G:$G=S$2,ROW(CupetList!$G:$G)),ROW()-4),S$3),"")</f>
        <v/>
      </c>
      <c r="U36" s="160" t="str">
        <f t="array" ref="U36">IFERROR(INDEX(CupetList!$A:$G,SMALL(IF(CupetList!$G:$G=U$2,ROW(CupetList!$G:$G)),ROW()-4),U$3),"")</f>
        <v/>
      </c>
      <c r="V36" s="160" t="str">
        <f t="array" ref="V36">IFERROR(INDEX(CupetList!$A:$G,SMALL(IF(CupetList!$G:$G=V$2,ROW(CupetList!$G:$G)),ROW()-4),V$3),"")</f>
        <v/>
      </c>
      <c r="W36" s="160" t="str">
        <f t="array" ref="W36">IFERROR(INDEX(CupetList!$A:$G,SMALL(IF(CupetList!$G:$G=W$2,ROW(CupetList!$G:$G)),ROW()-4),W$3),"")</f>
        <v/>
      </c>
      <c r="Y36" s="160" t="str">
        <f t="array" ref="Y36">IFERROR(INDEX(CupetList!$A:$G,SMALL(IF(CupetList!$G:$G=Y$2,ROW(CupetList!$G:$G)),ROW()-4),Y$3),"")</f>
        <v/>
      </c>
      <c r="Z36" s="160" t="str">
        <f t="array" ref="Z36">IFERROR(INDEX(CupetList!$A:$G,SMALL(IF(CupetList!$G:$G=Z$2,ROW(CupetList!$G:$G)),ROW()-4),Z$3),"")</f>
        <v/>
      </c>
      <c r="AA36" s="160" t="str">
        <f t="array" ref="AA36">IFERROR(INDEX(CupetList!$A:$G,SMALL(IF(CupetList!$G:$G=AA$2,ROW(CupetList!$G:$G)),ROW()-4),AA$3),"")</f>
        <v/>
      </c>
      <c r="AC36" s="160" t="str">
        <f t="array" ref="AC36">IFERROR(INDEX(CupetList!$A:$G,SMALL(IF(CupetList!$G:$G=AC$2,ROW(CupetList!$G:$G)),ROW()-4),AC$3),"")</f>
        <v/>
      </c>
      <c r="AD36" s="160" t="str">
        <f t="array" ref="AD36">IFERROR(INDEX(CupetList!$A:$G,SMALL(IF(CupetList!$G:$G=AD$2,ROW(CupetList!$G:$G)),ROW()-4),AD$3),"")</f>
        <v/>
      </c>
      <c r="AE36" s="160" t="str">
        <f t="array" ref="AE36">IFERROR(INDEX(CupetList!$A:$G,SMALL(IF(CupetList!$G:$G=AE$2,ROW(CupetList!$G:$G)),ROW()-4),AE$3),"")</f>
        <v/>
      </c>
      <c r="AG36" s="160" t="str">
        <f t="array" ref="AG36">IFERROR(INDEX(CupetList!$A:$G,SMALL(IF(CupetList!$G:$G=AG$2,ROW(CupetList!$G:$G)),ROW()-4),AG$3),"")</f>
        <v/>
      </c>
      <c r="AH36" s="160" t="str">
        <f t="array" ref="AH36">IFERROR(INDEX(CupetList!$A:$G,SMALL(IF(CupetList!$G:$G=AH$2,ROW(CupetList!$G:$G)),ROW()-4),AH$3),"")</f>
        <v/>
      </c>
      <c r="AI36" s="160" t="str">
        <f t="array" ref="AI36">IFERROR(INDEX(CupetList!$A:$G,SMALL(IF(CupetList!$G:$G=AI$2,ROW(CupetList!$G:$G)),ROW()-4),AI$3),"")</f>
        <v/>
      </c>
      <c r="AK36" s="160" t="str">
        <f t="array" ref="AK36">IFERROR(INDEX(CupetList!$A:$G,SMALL(IF(CupetList!$G:$G=AK$2,ROW(CupetList!$G:$G)),ROW()-4),AK$3),"")</f>
        <v/>
      </c>
      <c r="AL36" s="160" t="str">
        <f t="array" ref="AL36">IFERROR(INDEX(CupetList!$A:$G,SMALL(IF(CupetList!$G:$G=AL$2,ROW(CupetList!$G:$G)),ROW()-4),AL$3),"")</f>
        <v/>
      </c>
      <c r="AM36" s="160" t="str">
        <f t="array" ref="AM36">IFERROR(INDEX(CupetList!$A:$G,SMALL(IF(CupetList!$G:$G=AM$2,ROW(CupetList!$G:$G)),ROW()-4),AM$3),"")</f>
        <v/>
      </c>
    </row>
    <row r="37" spans="1:39" x14ac:dyDescent="0.3">
      <c r="A37" s="160" t="str">
        <f t="array" ref="A37">IFERROR(INDEX(CupetList!$A:$G,SMALL(IF(CupetList!$G:$G=A$2,ROW(CupetList!$G:$G)),ROW()-4),A$3),"")</f>
        <v/>
      </c>
      <c r="B37" s="160" t="str">
        <f t="array" ref="B37">IFERROR(INDEX(CupetList!$A:$G,SMALL(IF(CupetList!$G:$G=B$2,ROW(CupetList!$G:$G)),ROW()-4),B$3),"")</f>
        <v/>
      </c>
      <c r="C37" s="160" t="str">
        <f t="array" ref="C37">IFERROR(INDEX(CupetList!$A:$G,SMALL(IF(CupetList!$G:$G=C$2,ROW(CupetList!$G:$G)),ROW()-4),C$3),"")</f>
        <v/>
      </c>
      <c r="E37" s="160" t="str">
        <f t="array" ref="E37">IFERROR(INDEX(CupetList!$A:$G,SMALL(IF(CupetList!$G:$G=E$2,ROW(CupetList!$G:$G)),ROW()-4),E$3),"")</f>
        <v/>
      </c>
      <c r="F37" s="160" t="str">
        <f t="array" ref="F37">IFERROR(INDEX(CupetList!$A:$G,SMALL(IF(CupetList!$G:$G=F$2,ROW(CupetList!$G:$G)),ROW()-4),F$3),"")</f>
        <v/>
      </c>
      <c r="G37" s="160" t="str">
        <f t="array" ref="G37">IFERROR(INDEX(CupetList!$A:$G,SMALL(IF(CupetList!$G:$G=G$2,ROW(CupetList!$G:$G)),ROW()-4),G$3),"")</f>
        <v/>
      </c>
      <c r="I37" s="160" t="str">
        <f t="array" ref="I37">IFERROR(INDEX(CupetList!$A:$G,SMALL(IF(CupetList!$G:$G=I$2,ROW(CupetList!$G:$G)),ROW()-4),I$3),"")</f>
        <v/>
      </c>
      <c r="J37" s="160" t="str">
        <f t="array" ref="J37">IFERROR(INDEX(CupetList!$A:$G,SMALL(IF(CupetList!$G:$G=J$2,ROW(CupetList!$G:$G)),ROW()-4),J$3),"")</f>
        <v/>
      </c>
      <c r="K37" s="160" t="str">
        <f t="array" ref="K37">IFERROR(INDEX(CupetList!$A:$G,SMALL(IF(CupetList!$G:$G=K$2,ROW(CupetList!$G:$G)),ROW()-4),K$3),"")</f>
        <v/>
      </c>
      <c r="M37" s="160" t="str">
        <f t="array" ref="M37">IFERROR(INDEX(CupetList!$A:$G,SMALL(IF(CupetList!$G:$G=M$2,ROW(CupetList!$G:$G)),ROW()-4),M$3),"")</f>
        <v/>
      </c>
      <c r="N37" s="160" t="str">
        <f t="array" ref="N37">IFERROR(INDEX(CupetList!$A:$G,SMALL(IF(CupetList!$G:$G=N$2,ROW(CupetList!$G:$G)),ROW()-4),N$3),"")</f>
        <v/>
      </c>
      <c r="O37" s="160" t="str">
        <f t="array" ref="O37">IFERROR(INDEX(CupetList!$A:$G,SMALL(IF(CupetList!$G:$G=O$2,ROW(CupetList!$G:$G)),ROW()-4),O$3),"")</f>
        <v/>
      </c>
      <c r="Q37" s="160" t="str">
        <f t="array" ref="Q37">IFERROR(INDEX(CupetList!$A:$G,SMALL(IF(CupetList!$G:$G=Q$2,ROW(CupetList!$G:$G)),ROW()-4),Q$3),"")</f>
        <v/>
      </c>
      <c r="R37" s="160" t="str">
        <f t="array" ref="R37">IFERROR(INDEX(CupetList!$A:$G,SMALL(IF(CupetList!$G:$G=R$2,ROW(CupetList!$G:$G)),ROW()-4),R$3),"")</f>
        <v/>
      </c>
      <c r="S37" s="160" t="str">
        <f t="array" ref="S37">IFERROR(INDEX(CupetList!$A:$G,SMALL(IF(CupetList!$G:$G=S$2,ROW(CupetList!$G:$G)),ROW()-4),S$3),"")</f>
        <v/>
      </c>
      <c r="U37" s="160" t="str">
        <f t="array" ref="U37">IFERROR(INDEX(CupetList!$A:$G,SMALL(IF(CupetList!$G:$G=U$2,ROW(CupetList!$G:$G)),ROW()-4),U$3),"")</f>
        <v/>
      </c>
      <c r="V37" s="160" t="str">
        <f t="array" ref="V37">IFERROR(INDEX(CupetList!$A:$G,SMALL(IF(CupetList!$G:$G=V$2,ROW(CupetList!$G:$G)),ROW()-4),V$3),"")</f>
        <v/>
      </c>
      <c r="W37" s="160" t="str">
        <f t="array" ref="W37">IFERROR(INDEX(CupetList!$A:$G,SMALL(IF(CupetList!$G:$G=W$2,ROW(CupetList!$G:$G)),ROW()-4),W$3),"")</f>
        <v/>
      </c>
      <c r="Y37" s="160" t="str">
        <f t="array" ref="Y37">IFERROR(INDEX(CupetList!$A:$G,SMALL(IF(CupetList!$G:$G=Y$2,ROW(CupetList!$G:$G)),ROW()-4),Y$3),"")</f>
        <v/>
      </c>
      <c r="Z37" s="160" t="str">
        <f t="array" ref="Z37">IFERROR(INDEX(CupetList!$A:$G,SMALL(IF(CupetList!$G:$G=Z$2,ROW(CupetList!$G:$G)),ROW()-4),Z$3),"")</f>
        <v/>
      </c>
      <c r="AA37" s="160" t="str">
        <f t="array" ref="AA37">IFERROR(INDEX(CupetList!$A:$G,SMALL(IF(CupetList!$G:$G=AA$2,ROW(CupetList!$G:$G)),ROW()-4),AA$3),"")</f>
        <v/>
      </c>
      <c r="AC37" s="160" t="str">
        <f t="array" ref="AC37">IFERROR(INDEX(CupetList!$A:$G,SMALL(IF(CupetList!$G:$G=AC$2,ROW(CupetList!$G:$G)),ROW()-4),AC$3),"")</f>
        <v/>
      </c>
      <c r="AD37" s="160" t="str">
        <f t="array" ref="AD37">IFERROR(INDEX(CupetList!$A:$G,SMALL(IF(CupetList!$G:$G=AD$2,ROW(CupetList!$G:$G)),ROW()-4),AD$3),"")</f>
        <v/>
      </c>
      <c r="AE37" s="160" t="str">
        <f t="array" ref="AE37">IFERROR(INDEX(CupetList!$A:$G,SMALL(IF(CupetList!$G:$G=AE$2,ROW(CupetList!$G:$G)),ROW()-4),AE$3),"")</f>
        <v/>
      </c>
      <c r="AG37" s="160" t="str">
        <f t="array" ref="AG37">IFERROR(INDEX(CupetList!$A:$G,SMALL(IF(CupetList!$G:$G=AG$2,ROW(CupetList!$G:$G)),ROW()-4),AG$3),"")</f>
        <v/>
      </c>
      <c r="AH37" s="160" t="str">
        <f t="array" ref="AH37">IFERROR(INDEX(CupetList!$A:$G,SMALL(IF(CupetList!$G:$G=AH$2,ROW(CupetList!$G:$G)),ROW()-4),AH$3),"")</f>
        <v/>
      </c>
      <c r="AI37" s="160" t="str">
        <f t="array" ref="AI37">IFERROR(INDEX(CupetList!$A:$G,SMALL(IF(CupetList!$G:$G=AI$2,ROW(CupetList!$G:$G)),ROW()-4),AI$3),"")</f>
        <v/>
      </c>
      <c r="AK37" s="160" t="str">
        <f t="array" ref="AK37">IFERROR(INDEX(CupetList!$A:$G,SMALL(IF(CupetList!$G:$G=AK$2,ROW(CupetList!$G:$G)),ROW()-4),AK$3),"")</f>
        <v/>
      </c>
      <c r="AL37" s="160" t="str">
        <f t="array" ref="AL37">IFERROR(INDEX(CupetList!$A:$G,SMALL(IF(CupetList!$G:$G=AL$2,ROW(CupetList!$G:$G)),ROW()-4),AL$3),"")</f>
        <v/>
      </c>
      <c r="AM37" s="160" t="str">
        <f t="array" ref="AM37">IFERROR(INDEX(CupetList!$A:$G,SMALL(IF(CupetList!$G:$G=AM$2,ROW(CupetList!$G:$G)),ROW()-4),AM$3),"")</f>
        <v/>
      </c>
    </row>
    <row r="38" spans="1:39" x14ac:dyDescent="0.3">
      <c r="A38" s="160" t="str">
        <f t="array" ref="A38">IFERROR(INDEX(CupetList!$A:$G,SMALL(IF(CupetList!$G:$G=A$2,ROW(CupetList!$G:$G)),ROW()-4),A$3),"")</f>
        <v/>
      </c>
      <c r="B38" s="160" t="str">
        <f t="array" ref="B38">IFERROR(INDEX(CupetList!$A:$G,SMALL(IF(CupetList!$G:$G=B$2,ROW(CupetList!$G:$G)),ROW()-4),B$3),"")</f>
        <v/>
      </c>
      <c r="C38" s="160" t="str">
        <f t="array" ref="C38">IFERROR(INDEX(CupetList!$A:$G,SMALL(IF(CupetList!$G:$G=C$2,ROW(CupetList!$G:$G)),ROW()-4),C$3),"")</f>
        <v/>
      </c>
      <c r="E38" s="160" t="str">
        <f t="array" ref="E38">IFERROR(INDEX(CupetList!$A:$G,SMALL(IF(CupetList!$G:$G=E$2,ROW(CupetList!$G:$G)),ROW()-4),E$3),"")</f>
        <v/>
      </c>
      <c r="F38" s="160" t="str">
        <f t="array" ref="F38">IFERROR(INDEX(CupetList!$A:$G,SMALL(IF(CupetList!$G:$G=F$2,ROW(CupetList!$G:$G)),ROW()-4),F$3),"")</f>
        <v/>
      </c>
      <c r="G38" s="160" t="str">
        <f t="array" ref="G38">IFERROR(INDEX(CupetList!$A:$G,SMALL(IF(CupetList!$G:$G=G$2,ROW(CupetList!$G:$G)),ROW()-4),G$3),"")</f>
        <v/>
      </c>
      <c r="I38" s="160" t="str">
        <f t="array" ref="I38">IFERROR(INDEX(CupetList!$A:$G,SMALL(IF(CupetList!$G:$G=I$2,ROW(CupetList!$G:$G)),ROW()-4),I$3),"")</f>
        <v/>
      </c>
      <c r="J38" s="160" t="str">
        <f t="array" ref="J38">IFERROR(INDEX(CupetList!$A:$G,SMALL(IF(CupetList!$G:$G=J$2,ROW(CupetList!$G:$G)),ROW()-4),J$3),"")</f>
        <v/>
      </c>
      <c r="K38" s="160" t="str">
        <f t="array" ref="K38">IFERROR(INDEX(CupetList!$A:$G,SMALL(IF(CupetList!$G:$G=K$2,ROW(CupetList!$G:$G)),ROW()-4),K$3),"")</f>
        <v/>
      </c>
      <c r="M38" s="160" t="str">
        <f t="array" ref="M38">IFERROR(INDEX(CupetList!$A:$G,SMALL(IF(CupetList!$G:$G=M$2,ROW(CupetList!$G:$G)),ROW()-4),M$3),"")</f>
        <v/>
      </c>
      <c r="N38" s="160" t="str">
        <f t="array" ref="N38">IFERROR(INDEX(CupetList!$A:$G,SMALL(IF(CupetList!$G:$G=N$2,ROW(CupetList!$G:$G)),ROW()-4),N$3),"")</f>
        <v/>
      </c>
      <c r="O38" s="160" t="str">
        <f t="array" ref="O38">IFERROR(INDEX(CupetList!$A:$G,SMALL(IF(CupetList!$G:$G=O$2,ROW(CupetList!$G:$G)),ROW()-4),O$3),"")</f>
        <v/>
      </c>
      <c r="Q38" s="160" t="str">
        <f t="array" ref="Q38">IFERROR(INDEX(CupetList!$A:$G,SMALL(IF(CupetList!$G:$G=Q$2,ROW(CupetList!$G:$G)),ROW()-4),Q$3),"")</f>
        <v/>
      </c>
      <c r="R38" s="160" t="str">
        <f t="array" ref="R38">IFERROR(INDEX(CupetList!$A:$G,SMALL(IF(CupetList!$G:$G=R$2,ROW(CupetList!$G:$G)),ROW()-4),R$3),"")</f>
        <v/>
      </c>
      <c r="S38" s="160" t="str">
        <f t="array" ref="S38">IFERROR(INDEX(CupetList!$A:$G,SMALL(IF(CupetList!$G:$G=S$2,ROW(CupetList!$G:$G)),ROW()-4),S$3),"")</f>
        <v/>
      </c>
      <c r="U38" s="160" t="str">
        <f t="array" ref="U38">IFERROR(INDEX(CupetList!$A:$G,SMALL(IF(CupetList!$G:$G=U$2,ROW(CupetList!$G:$G)),ROW()-4),U$3),"")</f>
        <v/>
      </c>
      <c r="V38" s="160" t="str">
        <f t="array" ref="V38">IFERROR(INDEX(CupetList!$A:$G,SMALL(IF(CupetList!$G:$G=V$2,ROW(CupetList!$G:$G)),ROW()-4),V$3),"")</f>
        <v/>
      </c>
      <c r="W38" s="160" t="str">
        <f t="array" ref="W38">IFERROR(INDEX(CupetList!$A:$G,SMALL(IF(CupetList!$G:$G=W$2,ROW(CupetList!$G:$G)),ROW()-4),W$3),"")</f>
        <v/>
      </c>
      <c r="Y38" s="160" t="str">
        <f t="array" ref="Y38">IFERROR(INDEX(CupetList!$A:$G,SMALL(IF(CupetList!$G:$G=Y$2,ROW(CupetList!$G:$G)),ROW()-4),Y$3),"")</f>
        <v/>
      </c>
      <c r="Z38" s="160" t="str">
        <f t="array" ref="Z38">IFERROR(INDEX(CupetList!$A:$G,SMALL(IF(CupetList!$G:$G=Z$2,ROW(CupetList!$G:$G)),ROW()-4),Z$3),"")</f>
        <v/>
      </c>
      <c r="AA38" s="160" t="str">
        <f t="array" ref="AA38">IFERROR(INDEX(CupetList!$A:$G,SMALL(IF(CupetList!$G:$G=AA$2,ROW(CupetList!$G:$G)),ROW()-4),AA$3),"")</f>
        <v/>
      </c>
      <c r="AC38" s="160" t="str">
        <f t="array" ref="AC38">IFERROR(INDEX(CupetList!$A:$G,SMALL(IF(CupetList!$G:$G=AC$2,ROW(CupetList!$G:$G)),ROW()-4),AC$3),"")</f>
        <v/>
      </c>
      <c r="AD38" s="160" t="str">
        <f t="array" ref="AD38">IFERROR(INDEX(CupetList!$A:$G,SMALL(IF(CupetList!$G:$G=AD$2,ROW(CupetList!$G:$G)),ROW()-4),AD$3),"")</f>
        <v/>
      </c>
      <c r="AE38" s="160" t="str">
        <f t="array" ref="AE38">IFERROR(INDEX(CupetList!$A:$G,SMALL(IF(CupetList!$G:$G=AE$2,ROW(CupetList!$G:$G)),ROW()-4),AE$3),"")</f>
        <v/>
      </c>
      <c r="AG38" s="160" t="str">
        <f t="array" ref="AG38">IFERROR(INDEX(CupetList!$A:$G,SMALL(IF(CupetList!$G:$G=AG$2,ROW(CupetList!$G:$G)),ROW()-4),AG$3),"")</f>
        <v/>
      </c>
      <c r="AH38" s="160" t="str">
        <f t="array" ref="AH38">IFERROR(INDEX(CupetList!$A:$G,SMALL(IF(CupetList!$G:$G=AH$2,ROW(CupetList!$G:$G)),ROW()-4),AH$3),"")</f>
        <v/>
      </c>
      <c r="AI38" s="160" t="str">
        <f t="array" ref="AI38">IFERROR(INDEX(CupetList!$A:$G,SMALL(IF(CupetList!$G:$G=AI$2,ROW(CupetList!$G:$G)),ROW()-4),AI$3),"")</f>
        <v/>
      </c>
      <c r="AK38" s="160" t="str">
        <f t="array" ref="AK38">IFERROR(INDEX(CupetList!$A:$G,SMALL(IF(CupetList!$G:$G=AK$2,ROW(CupetList!$G:$G)),ROW()-4),AK$3),"")</f>
        <v/>
      </c>
      <c r="AL38" s="160" t="str">
        <f t="array" ref="AL38">IFERROR(INDEX(CupetList!$A:$G,SMALL(IF(CupetList!$G:$G=AL$2,ROW(CupetList!$G:$G)),ROW()-4),AL$3),"")</f>
        <v/>
      </c>
      <c r="AM38" s="160" t="str">
        <f t="array" ref="AM38">IFERROR(INDEX(CupetList!$A:$G,SMALL(IF(CupetList!$G:$G=AM$2,ROW(CupetList!$G:$G)),ROW()-4),AM$3),"")</f>
        <v/>
      </c>
    </row>
    <row r="39" spans="1:39" x14ac:dyDescent="0.3">
      <c r="A39" s="160" t="str">
        <f t="array" ref="A39">IFERROR(INDEX(CupetList!$A:$G,SMALL(IF(CupetList!$G:$G=A$2,ROW(CupetList!$G:$G)),ROW()-4),A$3),"")</f>
        <v/>
      </c>
      <c r="B39" s="160" t="str">
        <f t="array" ref="B39">IFERROR(INDEX(CupetList!$A:$G,SMALL(IF(CupetList!$G:$G=B$2,ROW(CupetList!$G:$G)),ROW()-4),B$3),"")</f>
        <v/>
      </c>
      <c r="C39" s="160" t="str">
        <f t="array" ref="C39">IFERROR(INDEX(CupetList!$A:$G,SMALL(IF(CupetList!$G:$G=C$2,ROW(CupetList!$G:$G)),ROW()-4),C$3),"")</f>
        <v/>
      </c>
      <c r="E39" s="160" t="str">
        <f t="array" ref="E39">IFERROR(INDEX(CupetList!$A:$G,SMALL(IF(CupetList!$G:$G=E$2,ROW(CupetList!$G:$G)),ROW()-4),E$3),"")</f>
        <v/>
      </c>
      <c r="F39" s="160" t="str">
        <f t="array" ref="F39">IFERROR(INDEX(CupetList!$A:$G,SMALL(IF(CupetList!$G:$G=F$2,ROW(CupetList!$G:$G)),ROW()-4),F$3),"")</f>
        <v/>
      </c>
      <c r="G39" s="160" t="str">
        <f t="array" ref="G39">IFERROR(INDEX(CupetList!$A:$G,SMALL(IF(CupetList!$G:$G=G$2,ROW(CupetList!$G:$G)),ROW()-4),G$3),"")</f>
        <v/>
      </c>
      <c r="I39" s="160" t="str">
        <f t="array" ref="I39">IFERROR(INDEX(CupetList!$A:$G,SMALL(IF(CupetList!$G:$G=I$2,ROW(CupetList!$G:$G)),ROW()-4),I$3),"")</f>
        <v/>
      </c>
      <c r="J39" s="160" t="str">
        <f t="array" ref="J39">IFERROR(INDEX(CupetList!$A:$G,SMALL(IF(CupetList!$G:$G=J$2,ROW(CupetList!$G:$G)),ROW()-4),J$3),"")</f>
        <v/>
      </c>
      <c r="K39" s="160" t="str">
        <f t="array" ref="K39">IFERROR(INDEX(CupetList!$A:$G,SMALL(IF(CupetList!$G:$G=K$2,ROW(CupetList!$G:$G)),ROW()-4),K$3),"")</f>
        <v/>
      </c>
      <c r="M39" s="160" t="str">
        <f t="array" ref="M39">IFERROR(INDEX(CupetList!$A:$G,SMALL(IF(CupetList!$G:$G=M$2,ROW(CupetList!$G:$G)),ROW()-4),M$3),"")</f>
        <v/>
      </c>
      <c r="N39" s="160" t="str">
        <f t="array" ref="N39">IFERROR(INDEX(CupetList!$A:$G,SMALL(IF(CupetList!$G:$G=N$2,ROW(CupetList!$G:$G)),ROW()-4),N$3),"")</f>
        <v/>
      </c>
      <c r="O39" s="160" t="str">
        <f t="array" ref="O39">IFERROR(INDEX(CupetList!$A:$G,SMALL(IF(CupetList!$G:$G=O$2,ROW(CupetList!$G:$G)),ROW()-4),O$3),"")</f>
        <v/>
      </c>
      <c r="Q39" s="160" t="str">
        <f t="array" ref="Q39">IFERROR(INDEX(CupetList!$A:$G,SMALL(IF(CupetList!$G:$G=Q$2,ROW(CupetList!$G:$G)),ROW()-4),Q$3),"")</f>
        <v/>
      </c>
      <c r="R39" s="160" t="str">
        <f t="array" ref="R39">IFERROR(INDEX(CupetList!$A:$G,SMALL(IF(CupetList!$G:$G=R$2,ROW(CupetList!$G:$G)),ROW()-4),R$3),"")</f>
        <v/>
      </c>
      <c r="S39" s="160" t="str">
        <f t="array" ref="S39">IFERROR(INDEX(CupetList!$A:$G,SMALL(IF(CupetList!$G:$G=S$2,ROW(CupetList!$G:$G)),ROW()-4),S$3),"")</f>
        <v/>
      </c>
      <c r="U39" s="160" t="str">
        <f t="array" ref="U39">IFERROR(INDEX(CupetList!$A:$G,SMALL(IF(CupetList!$G:$G=U$2,ROW(CupetList!$G:$G)),ROW()-4),U$3),"")</f>
        <v/>
      </c>
      <c r="V39" s="160" t="str">
        <f t="array" ref="V39">IFERROR(INDEX(CupetList!$A:$G,SMALL(IF(CupetList!$G:$G=V$2,ROW(CupetList!$G:$G)),ROW()-4),V$3),"")</f>
        <v/>
      </c>
      <c r="W39" s="160" t="str">
        <f t="array" ref="W39">IFERROR(INDEX(CupetList!$A:$G,SMALL(IF(CupetList!$G:$G=W$2,ROW(CupetList!$G:$G)),ROW()-4),W$3),"")</f>
        <v/>
      </c>
      <c r="Y39" s="160" t="str">
        <f t="array" ref="Y39">IFERROR(INDEX(CupetList!$A:$G,SMALL(IF(CupetList!$G:$G=Y$2,ROW(CupetList!$G:$G)),ROW()-4),Y$3),"")</f>
        <v/>
      </c>
      <c r="Z39" s="160" t="str">
        <f t="array" ref="Z39">IFERROR(INDEX(CupetList!$A:$G,SMALL(IF(CupetList!$G:$G=Z$2,ROW(CupetList!$G:$G)),ROW()-4),Z$3),"")</f>
        <v/>
      </c>
      <c r="AA39" s="160" t="str">
        <f t="array" ref="AA39">IFERROR(INDEX(CupetList!$A:$G,SMALL(IF(CupetList!$G:$G=AA$2,ROW(CupetList!$G:$G)),ROW()-4),AA$3),"")</f>
        <v/>
      </c>
      <c r="AC39" s="160" t="str">
        <f t="array" ref="AC39">IFERROR(INDEX(CupetList!$A:$G,SMALL(IF(CupetList!$G:$G=AC$2,ROW(CupetList!$G:$G)),ROW()-4),AC$3),"")</f>
        <v/>
      </c>
      <c r="AD39" s="160" t="str">
        <f t="array" ref="AD39">IFERROR(INDEX(CupetList!$A:$G,SMALL(IF(CupetList!$G:$G=AD$2,ROW(CupetList!$G:$G)),ROW()-4),AD$3),"")</f>
        <v/>
      </c>
      <c r="AE39" s="160" t="str">
        <f t="array" ref="AE39">IFERROR(INDEX(CupetList!$A:$G,SMALL(IF(CupetList!$G:$G=AE$2,ROW(CupetList!$G:$G)),ROW()-4),AE$3),"")</f>
        <v/>
      </c>
      <c r="AG39" s="160" t="str">
        <f t="array" ref="AG39">IFERROR(INDEX(CupetList!$A:$G,SMALL(IF(CupetList!$G:$G=AG$2,ROW(CupetList!$G:$G)),ROW()-4),AG$3),"")</f>
        <v/>
      </c>
      <c r="AH39" s="160" t="str">
        <f t="array" ref="AH39">IFERROR(INDEX(CupetList!$A:$G,SMALL(IF(CupetList!$G:$G=AH$2,ROW(CupetList!$G:$G)),ROW()-4),AH$3),"")</f>
        <v/>
      </c>
      <c r="AI39" s="160" t="str">
        <f t="array" ref="AI39">IFERROR(INDEX(CupetList!$A:$G,SMALL(IF(CupetList!$G:$G=AI$2,ROW(CupetList!$G:$G)),ROW()-4),AI$3),"")</f>
        <v/>
      </c>
      <c r="AK39" s="160" t="str">
        <f t="array" ref="AK39">IFERROR(INDEX(CupetList!$A:$G,SMALL(IF(CupetList!$G:$G=AK$2,ROW(CupetList!$G:$G)),ROW()-4),AK$3),"")</f>
        <v/>
      </c>
      <c r="AL39" s="160" t="str">
        <f t="array" ref="AL39">IFERROR(INDEX(CupetList!$A:$G,SMALL(IF(CupetList!$G:$G=AL$2,ROW(CupetList!$G:$G)),ROW()-4),AL$3),"")</f>
        <v/>
      </c>
      <c r="AM39" s="160" t="str">
        <f t="array" ref="AM39">IFERROR(INDEX(CupetList!$A:$G,SMALL(IF(CupetList!$G:$G=AM$2,ROW(CupetList!$G:$G)),ROW()-4),AM$3),"")</f>
        <v/>
      </c>
    </row>
    <row r="40" spans="1:39" x14ac:dyDescent="0.3">
      <c r="A40" s="160" t="str">
        <f t="array" ref="A40">IFERROR(INDEX(CupetList!$A:$G,SMALL(IF(CupetList!$G:$G=A$2,ROW(CupetList!$G:$G)),ROW()-4),A$3),"")</f>
        <v/>
      </c>
      <c r="B40" s="160" t="str">
        <f t="array" ref="B40">IFERROR(INDEX(CupetList!$A:$G,SMALL(IF(CupetList!$G:$G=B$2,ROW(CupetList!$G:$G)),ROW()-4),B$3),"")</f>
        <v/>
      </c>
      <c r="C40" s="160" t="str">
        <f t="array" ref="C40">IFERROR(INDEX(CupetList!$A:$G,SMALL(IF(CupetList!$G:$G=C$2,ROW(CupetList!$G:$G)),ROW()-4),C$3),"")</f>
        <v/>
      </c>
      <c r="E40" s="160" t="str">
        <f t="array" ref="E40">IFERROR(INDEX(CupetList!$A:$G,SMALL(IF(CupetList!$G:$G=E$2,ROW(CupetList!$G:$G)),ROW()-4),E$3),"")</f>
        <v/>
      </c>
      <c r="F40" s="160" t="str">
        <f t="array" ref="F40">IFERROR(INDEX(CupetList!$A:$G,SMALL(IF(CupetList!$G:$G=F$2,ROW(CupetList!$G:$G)),ROW()-4),F$3),"")</f>
        <v/>
      </c>
      <c r="G40" s="160" t="str">
        <f t="array" ref="G40">IFERROR(INDEX(CupetList!$A:$G,SMALL(IF(CupetList!$G:$G=G$2,ROW(CupetList!$G:$G)),ROW()-4),G$3),"")</f>
        <v/>
      </c>
      <c r="I40" s="160" t="str">
        <f t="array" ref="I40">IFERROR(INDEX(CupetList!$A:$G,SMALL(IF(CupetList!$G:$G=I$2,ROW(CupetList!$G:$G)),ROW()-4),I$3),"")</f>
        <v/>
      </c>
      <c r="J40" s="160" t="str">
        <f t="array" ref="J40">IFERROR(INDEX(CupetList!$A:$G,SMALL(IF(CupetList!$G:$G=J$2,ROW(CupetList!$G:$G)),ROW()-4),J$3),"")</f>
        <v/>
      </c>
      <c r="K40" s="160" t="str">
        <f t="array" ref="K40">IFERROR(INDEX(CupetList!$A:$G,SMALL(IF(CupetList!$G:$G=K$2,ROW(CupetList!$G:$G)),ROW()-4),K$3),"")</f>
        <v/>
      </c>
      <c r="M40" s="160" t="str">
        <f t="array" ref="M40">IFERROR(INDEX(CupetList!$A:$G,SMALL(IF(CupetList!$G:$G=M$2,ROW(CupetList!$G:$G)),ROW()-4),M$3),"")</f>
        <v/>
      </c>
      <c r="N40" s="160" t="str">
        <f t="array" ref="N40">IFERROR(INDEX(CupetList!$A:$G,SMALL(IF(CupetList!$G:$G=N$2,ROW(CupetList!$G:$G)),ROW()-4),N$3),"")</f>
        <v/>
      </c>
      <c r="O40" s="160" t="str">
        <f t="array" ref="O40">IFERROR(INDEX(CupetList!$A:$G,SMALL(IF(CupetList!$G:$G=O$2,ROW(CupetList!$G:$G)),ROW()-4),O$3),"")</f>
        <v/>
      </c>
      <c r="Q40" s="160" t="str">
        <f t="array" ref="Q40">IFERROR(INDEX(CupetList!$A:$G,SMALL(IF(CupetList!$G:$G=Q$2,ROW(CupetList!$G:$G)),ROW()-4),Q$3),"")</f>
        <v/>
      </c>
      <c r="R40" s="160" t="str">
        <f t="array" ref="R40">IFERROR(INDEX(CupetList!$A:$G,SMALL(IF(CupetList!$G:$G=R$2,ROW(CupetList!$G:$G)),ROW()-4),R$3),"")</f>
        <v/>
      </c>
      <c r="S40" s="160" t="str">
        <f t="array" ref="S40">IFERROR(INDEX(CupetList!$A:$G,SMALL(IF(CupetList!$G:$G=S$2,ROW(CupetList!$G:$G)),ROW()-4),S$3),"")</f>
        <v/>
      </c>
      <c r="U40" s="160" t="str">
        <f t="array" ref="U40">IFERROR(INDEX(CupetList!$A:$G,SMALL(IF(CupetList!$G:$G=U$2,ROW(CupetList!$G:$G)),ROW()-4),U$3),"")</f>
        <v/>
      </c>
      <c r="V40" s="160" t="str">
        <f t="array" ref="V40">IFERROR(INDEX(CupetList!$A:$G,SMALL(IF(CupetList!$G:$G=V$2,ROW(CupetList!$G:$G)),ROW()-4),V$3),"")</f>
        <v/>
      </c>
      <c r="W40" s="160" t="str">
        <f t="array" ref="W40">IFERROR(INDEX(CupetList!$A:$G,SMALL(IF(CupetList!$G:$G=W$2,ROW(CupetList!$G:$G)),ROW()-4),W$3),"")</f>
        <v/>
      </c>
      <c r="Y40" s="160" t="str">
        <f t="array" ref="Y40">IFERROR(INDEX(CupetList!$A:$G,SMALL(IF(CupetList!$G:$G=Y$2,ROW(CupetList!$G:$G)),ROW()-4),Y$3),"")</f>
        <v/>
      </c>
      <c r="Z40" s="160" t="str">
        <f t="array" ref="Z40">IFERROR(INDEX(CupetList!$A:$G,SMALL(IF(CupetList!$G:$G=Z$2,ROW(CupetList!$G:$G)),ROW()-4),Z$3),"")</f>
        <v/>
      </c>
      <c r="AA40" s="160" t="str">
        <f t="array" ref="AA40">IFERROR(INDEX(CupetList!$A:$G,SMALL(IF(CupetList!$G:$G=AA$2,ROW(CupetList!$G:$G)),ROW()-4),AA$3),"")</f>
        <v/>
      </c>
      <c r="AC40" s="160" t="str">
        <f t="array" ref="AC40">IFERROR(INDEX(CupetList!$A:$G,SMALL(IF(CupetList!$G:$G=AC$2,ROW(CupetList!$G:$G)),ROW()-4),AC$3),"")</f>
        <v/>
      </c>
      <c r="AD40" s="160" t="str">
        <f t="array" ref="AD40">IFERROR(INDEX(CupetList!$A:$G,SMALL(IF(CupetList!$G:$G=AD$2,ROW(CupetList!$G:$G)),ROW()-4),AD$3),"")</f>
        <v/>
      </c>
      <c r="AE40" s="160" t="str">
        <f t="array" ref="AE40">IFERROR(INDEX(CupetList!$A:$G,SMALL(IF(CupetList!$G:$G=AE$2,ROW(CupetList!$G:$G)),ROW()-4),AE$3),"")</f>
        <v/>
      </c>
      <c r="AG40" s="160" t="str">
        <f t="array" ref="AG40">IFERROR(INDEX(CupetList!$A:$G,SMALL(IF(CupetList!$G:$G=AG$2,ROW(CupetList!$G:$G)),ROW()-4),AG$3),"")</f>
        <v/>
      </c>
      <c r="AH40" s="160" t="str">
        <f t="array" ref="AH40">IFERROR(INDEX(CupetList!$A:$G,SMALL(IF(CupetList!$G:$G=AH$2,ROW(CupetList!$G:$G)),ROW()-4),AH$3),"")</f>
        <v/>
      </c>
      <c r="AI40" s="160" t="str">
        <f t="array" ref="AI40">IFERROR(INDEX(CupetList!$A:$G,SMALL(IF(CupetList!$G:$G=AI$2,ROW(CupetList!$G:$G)),ROW()-4),AI$3),"")</f>
        <v/>
      </c>
      <c r="AK40" s="160" t="str">
        <f t="array" ref="AK40">IFERROR(INDEX(CupetList!$A:$G,SMALL(IF(CupetList!$G:$G=AK$2,ROW(CupetList!$G:$G)),ROW()-4),AK$3),"")</f>
        <v/>
      </c>
      <c r="AL40" s="160" t="str">
        <f t="array" ref="AL40">IFERROR(INDEX(CupetList!$A:$G,SMALL(IF(CupetList!$G:$G=AL$2,ROW(CupetList!$G:$G)),ROW()-4),AL$3),"")</f>
        <v/>
      </c>
      <c r="AM40" s="160" t="str">
        <f t="array" ref="AM40">IFERROR(INDEX(CupetList!$A:$G,SMALL(IF(CupetList!$G:$G=AM$2,ROW(CupetList!$G:$G)),ROW()-4),AM$3),"")</f>
        <v/>
      </c>
    </row>
    <row r="41" spans="1:39" s="162" customFormat="1" x14ac:dyDescent="0.3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N150"/>
  <sheetViews>
    <sheetView workbookViewId="0">
      <selection activeCell="AB21" sqref="AB21"/>
    </sheetView>
    <sheetView tabSelected="1" workbookViewId="1">
      <selection activeCell="R19" sqref="R19"/>
    </sheetView>
  </sheetViews>
  <sheetFormatPr defaultRowHeight="11.25" x14ac:dyDescent="0.3"/>
  <cols>
    <col min="1" max="1" width="2.125" style="28" customWidth="1"/>
    <col min="2" max="2" width="10.375" style="28" customWidth="1"/>
    <col min="3" max="3" width="3.375" style="28" customWidth="1"/>
    <col min="4" max="4" width="4.875" style="28" customWidth="1"/>
    <col min="5" max="5" width="3.625" style="28" bestFit="1" customWidth="1"/>
    <col min="6" max="6" width="2.375" style="32" customWidth="1"/>
    <col min="7" max="7" width="12.625" style="31" customWidth="1"/>
    <col min="8" max="8" width="24.375" style="28" customWidth="1"/>
    <col min="9" max="9" width="3.375" style="31" customWidth="1"/>
    <col min="10" max="10" width="12.625" style="31" customWidth="1"/>
    <col min="11" max="11" width="29.125" style="28" customWidth="1"/>
    <col min="12" max="12" width="3.75" style="31" bestFit="1" customWidth="1"/>
    <col min="13" max="13" width="3.75" style="30" customWidth="1"/>
    <col min="14" max="14" width="20.625" style="28" customWidth="1"/>
    <col min="15" max="15" width="2.75" style="29" customWidth="1"/>
    <col min="16" max="20" width="7.75" style="215" customWidth="1"/>
    <col min="21" max="21" width="3.5" style="216" customWidth="1"/>
    <col min="22" max="27" width="3.5" style="215" customWidth="1"/>
    <col min="28" max="28" width="3.5" style="29" customWidth="1"/>
    <col min="29" max="32" width="2.75" style="29" customWidth="1"/>
    <col min="33" max="33" width="5.5" style="28" customWidth="1"/>
    <col min="34" max="34" width="11" style="28" customWidth="1"/>
    <col min="35" max="35" width="20" style="28" customWidth="1"/>
    <col min="36" max="36" width="3.125" style="28" customWidth="1"/>
    <col min="37" max="37" width="10.875" style="28" customWidth="1"/>
    <col min="38" max="38" width="10" style="28" customWidth="1"/>
    <col min="39" max="39" width="9" style="28"/>
    <col min="40" max="40" width="9.875" style="28" customWidth="1"/>
    <col min="41" max="41" width="10.5" style="28" customWidth="1"/>
    <col min="42" max="16384" width="9" style="28"/>
  </cols>
  <sheetData>
    <row r="1" spans="1:40" s="130" customFormat="1" ht="12" thickBot="1" x14ac:dyDescent="0.35">
      <c r="A1" s="136" t="s">
        <v>975</v>
      </c>
      <c r="B1" s="136" t="s">
        <v>974</v>
      </c>
      <c r="C1" s="135" t="s">
        <v>973</v>
      </c>
      <c r="D1" s="135" t="s">
        <v>972</v>
      </c>
      <c r="E1" s="135" t="s">
        <v>971</v>
      </c>
      <c r="F1" s="132"/>
      <c r="G1" s="134" t="s">
        <v>970</v>
      </c>
      <c r="H1" s="130" t="s">
        <v>969</v>
      </c>
      <c r="I1" s="133" t="s">
        <v>968</v>
      </c>
      <c r="J1" s="133" t="s">
        <v>967</v>
      </c>
      <c r="K1" s="130" t="s">
        <v>966</v>
      </c>
      <c r="L1" s="133" t="s">
        <v>965</v>
      </c>
      <c r="M1" s="132"/>
      <c r="N1" s="130" t="s">
        <v>964</v>
      </c>
      <c r="O1" s="131"/>
      <c r="P1" s="211" t="s">
        <v>1123</v>
      </c>
      <c r="Q1" s="211" t="s">
        <v>1124</v>
      </c>
      <c r="R1" s="211" t="s">
        <v>1126</v>
      </c>
      <c r="S1" s="211" t="s">
        <v>1125</v>
      </c>
      <c r="T1" s="211" t="s">
        <v>1122</v>
      </c>
      <c r="U1" s="212"/>
      <c r="V1" s="213"/>
      <c r="W1" s="213"/>
      <c r="X1" s="213"/>
      <c r="Y1" s="213"/>
      <c r="Z1" s="213"/>
      <c r="AA1" s="213"/>
      <c r="AB1" s="131"/>
      <c r="AC1" s="131"/>
      <c r="AD1" s="131"/>
      <c r="AE1" s="131"/>
      <c r="AF1" s="131"/>
    </row>
    <row r="2" spans="1:40" ht="11.25" customHeight="1" x14ac:dyDescent="0.15">
      <c r="A2" s="102">
        <v>1</v>
      </c>
      <c r="B2" s="101" t="s">
        <v>1151</v>
      </c>
      <c r="C2" s="63">
        <v>1</v>
      </c>
      <c r="D2" s="117">
        <v>1</v>
      </c>
      <c r="E2" s="97" t="s">
        <v>499</v>
      </c>
      <c r="F2" s="30"/>
      <c r="G2" s="97" t="s">
        <v>712</v>
      </c>
      <c r="H2" s="96" t="s">
        <v>963</v>
      </c>
      <c r="I2" s="97" t="s">
        <v>499</v>
      </c>
      <c r="J2" s="97" t="s">
        <v>962</v>
      </c>
      <c r="K2" s="96" t="s">
        <v>961</v>
      </c>
      <c r="L2" s="97" t="s">
        <v>539</v>
      </c>
      <c r="N2" s="114" t="s">
        <v>960</v>
      </c>
      <c r="O2" s="32"/>
      <c r="P2" s="30">
        <v>45</v>
      </c>
      <c r="Q2" s="30">
        <v>4</v>
      </c>
      <c r="R2" s="30">
        <v>8</v>
      </c>
      <c r="S2" s="30">
        <v>15</v>
      </c>
      <c r="T2" s="30">
        <v>28</v>
      </c>
      <c r="U2" s="214">
        <f>SUM(P2:T2)</f>
        <v>100</v>
      </c>
      <c r="V2" s="30"/>
      <c r="W2" s="30"/>
      <c r="X2" s="30"/>
      <c r="Y2" s="30"/>
      <c r="Z2" s="30"/>
      <c r="AA2" s="30"/>
      <c r="AB2" s="32"/>
      <c r="AC2" s="32"/>
      <c r="AD2" s="32"/>
      <c r="AE2" s="32"/>
      <c r="AF2" s="32"/>
      <c r="AG2" s="28" t="s">
        <v>959</v>
      </c>
      <c r="AH2" s="28" t="s">
        <v>958</v>
      </c>
    </row>
    <row r="3" spans="1:40" ht="11.25" customHeight="1" x14ac:dyDescent="0.15">
      <c r="A3" s="93">
        <v>2</v>
      </c>
      <c r="B3" s="87" t="s">
        <v>43</v>
      </c>
      <c r="C3" s="65">
        <v>2</v>
      </c>
      <c r="D3" s="92">
        <v>1</v>
      </c>
      <c r="E3" s="49" t="s">
        <v>497</v>
      </c>
      <c r="F3" s="30"/>
      <c r="G3" s="49" t="s">
        <v>957</v>
      </c>
      <c r="H3" s="61" t="s">
        <v>956</v>
      </c>
      <c r="I3" s="49" t="s">
        <v>539</v>
      </c>
      <c r="J3" s="49" t="s">
        <v>902</v>
      </c>
      <c r="K3" s="61" t="s">
        <v>955</v>
      </c>
      <c r="L3" s="49" t="s">
        <v>539</v>
      </c>
      <c r="N3" s="113" t="s">
        <v>954</v>
      </c>
      <c r="O3" s="32"/>
      <c r="P3" s="30">
        <v>46</v>
      </c>
      <c r="Q3" s="30">
        <v>3</v>
      </c>
      <c r="R3" s="30">
        <v>3</v>
      </c>
      <c r="S3" s="30">
        <v>36</v>
      </c>
      <c r="T3" s="30">
        <v>12</v>
      </c>
      <c r="U3" s="214">
        <f t="shared" ref="U3:U66" si="0">SUM(P3:T3)</f>
        <v>100</v>
      </c>
      <c r="V3" s="30"/>
      <c r="W3" s="30"/>
      <c r="X3" s="30"/>
      <c r="Y3" s="30"/>
      <c r="Z3" s="30"/>
      <c r="AA3" s="30"/>
      <c r="AB3" s="32"/>
      <c r="AC3" s="32"/>
      <c r="AD3" s="32"/>
      <c r="AE3" s="32"/>
      <c r="AF3" s="32"/>
    </row>
    <row r="4" spans="1:40" x14ac:dyDescent="0.15">
      <c r="A4" s="93">
        <v>3</v>
      </c>
      <c r="B4" s="87" t="s">
        <v>817</v>
      </c>
      <c r="C4" s="63">
        <v>1</v>
      </c>
      <c r="D4" s="64">
        <v>2</v>
      </c>
      <c r="E4" s="49" t="s">
        <v>501</v>
      </c>
      <c r="F4" s="30"/>
      <c r="G4" s="49" t="s">
        <v>551</v>
      </c>
      <c r="H4" s="61" t="s">
        <v>881</v>
      </c>
      <c r="I4" s="49" t="s">
        <v>501</v>
      </c>
      <c r="J4" s="49" t="s">
        <v>953</v>
      </c>
      <c r="K4" s="61" t="s">
        <v>952</v>
      </c>
      <c r="L4" s="49" t="s">
        <v>539</v>
      </c>
      <c r="N4" s="113" t="s">
        <v>951</v>
      </c>
      <c r="O4" s="32"/>
      <c r="P4" s="30">
        <v>30</v>
      </c>
      <c r="Q4" s="30">
        <v>5</v>
      </c>
      <c r="R4" s="30">
        <v>18</v>
      </c>
      <c r="S4" s="30">
        <v>19</v>
      </c>
      <c r="T4" s="30">
        <v>28</v>
      </c>
      <c r="U4" s="214">
        <f t="shared" si="0"/>
        <v>100</v>
      </c>
      <c r="V4" s="30"/>
      <c r="W4" s="30"/>
      <c r="X4" s="30"/>
      <c r="Y4" s="30"/>
      <c r="Z4" s="30"/>
      <c r="AA4" s="30"/>
      <c r="AB4" s="32"/>
      <c r="AC4" s="32"/>
      <c r="AD4" s="32"/>
      <c r="AE4" s="32"/>
      <c r="AF4" s="32"/>
      <c r="AH4" s="28" t="s">
        <v>943</v>
      </c>
    </row>
    <row r="5" spans="1:40" ht="11.25" customHeight="1" x14ac:dyDescent="0.15">
      <c r="A5" s="93">
        <v>4</v>
      </c>
      <c r="B5" s="87" t="s">
        <v>65</v>
      </c>
      <c r="C5" s="63">
        <v>1</v>
      </c>
      <c r="D5" s="66">
        <v>3</v>
      </c>
      <c r="E5" s="49" t="s">
        <v>499</v>
      </c>
      <c r="F5" s="30"/>
      <c r="G5" s="49" t="s">
        <v>663</v>
      </c>
      <c r="H5" s="61" t="s">
        <v>950</v>
      </c>
      <c r="I5" s="49" t="s">
        <v>539</v>
      </c>
      <c r="J5" s="49" t="s">
        <v>949</v>
      </c>
      <c r="K5" s="61" t="s">
        <v>948</v>
      </c>
      <c r="L5" s="49" t="s">
        <v>539</v>
      </c>
      <c r="N5" s="113" t="s">
        <v>947</v>
      </c>
      <c r="O5" s="32"/>
      <c r="P5" s="30">
        <v>38</v>
      </c>
      <c r="Q5" s="30">
        <v>4</v>
      </c>
      <c r="R5" s="30">
        <v>18</v>
      </c>
      <c r="S5" s="30">
        <v>16</v>
      </c>
      <c r="T5" s="30">
        <v>24</v>
      </c>
      <c r="U5" s="214">
        <f t="shared" si="0"/>
        <v>100</v>
      </c>
      <c r="V5" s="30"/>
      <c r="W5" s="30"/>
      <c r="X5" s="30"/>
      <c r="Y5" s="30"/>
      <c r="Z5" s="30"/>
      <c r="AA5" s="30"/>
      <c r="AB5" s="32"/>
      <c r="AC5" s="32"/>
      <c r="AD5" s="32"/>
      <c r="AE5" s="32"/>
      <c r="AF5" s="32"/>
      <c r="AH5" s="28" t="s">
        <v>939</v>
      </c>
    </row>
    <row r="6" spans="1:40" ht="11.25" customHeight="1" x14ac:dyDescent="0.15">
      <c r="A6" s="93">
        <v>5</v>
      </c>
      <c r="B6" s="87" t="s">
        <v>69</v>
      </c>
      <c r="C6" s="63">
        <v>1</v>
      </c>
      <c r="D6" s="66">
        <v>3</v>
      </c>
      <c r="E6" s="49" t="s">
        <v>497</v>
      </c>
      <c r="F6" s="30"/>
      <c r="G6" s="49" t="s">
        <v>766</v>
      </c>
      <c r="H6" s="61" t="s">
        <v>946</v>
      </c>
      <c r="I6" s="49" t="s">
        <v>539</v>
      </c>
      <c r="J6" s="49" t="s">
        <v>945</v>
      </c>
      <c r="K6" s="61" t="s">
        <v>853</v>
      </c>
      <c r="L6" s="49" t="s">
        <v>539</v>
      </c>
      <c r="N6" s="113" t="s">
        <v>944</v>
      </c>
      <c r="O6" s="32"/>
      <c r="P6" s="30">
        <v>43</v>
      </c>
      <c r="Q6" s="30">
        <v>4</v>
      </c>
      <c r="R6" s="30">
        <v>27</v>
      </c>
      <c r="S6" s="30">
        <v>9</v>
      </c>
      <c r="T6" s="30">
        <v>17</v>
      </c>
      <c r="U6" s="214">
        <f t="shared" si="0"/>
        <v>100</v>
      </c>
      <c r="V6" s="30"/>
      <c r="W6" s="30"/>
      <c r="X6" s="30"/>
      <c r="Y6" s="30"/>
      <c r="Z6" s="30"/>
      <c r="AA6" s="30"/>
      <c r="AB6" s="32"/>
      <c r="AC6" s="32"/>
      <c r="AD6" s="32"/>
      <c r="AE6" s="32"/>
      <c r="AF6" s="32"/>
    </row>
    <row r="7" spans="1:40" ht="11.25" customHeight="1" x14ac:dyDescent="0.15">
      <c r="A7" s="93">
        <v>6</v>
      </c>
      <c r="B7" s="87" t="s">
        <v>80</v>
      </c>
      <c r="C7" s="65">
        <v>2</v>
      </c>
      <c r="D7" s="66">
        <v>3</v>
      </c>
      <c r="E7" s="49" t="s">
        <v>497</v>
      </c>
      <c r="F7" s="30"/>
      <c r="G7" s="49" t="s">
        <v>638</v>
      </c>
      <c r="H7" s="61" t="s">
        <v>637</v>
      </c>
      <c r="I7" s="49" t="s">
        <v>539</v>
      </c>
      <c r="J7" s="49" t="s">
        <v>942</v>
      </c>
      <c r="K7" s="61" t="s">
        <v>941</v>
      </c>
      <c r="L7" s="49" t="s">
        <v>539</v>
      </c>
      <c r="N7" s="113" t="s">
        <v>940</v>
      </c>
      <c r="O7" s="32"/>
      <c r="P7" s="30">
        <v>40</v>
      </c>
      <c r="Q7" s="30">
        <v>16</v>
      </c>
      <c r="R7" s="30">
        <v>7</v>
      </c>
      <c r="S7" s="30">
        <v>17</v>
      </c>
      <c r="T7" s="30">
        <v>20</v>
      </c>
      <c r="U7" s="214">
        <f t="shared" si="0"/>
        <v>100</v>
      </c>
      <c r="V7" s="30"/>
      <c r="W7" s="30"/>
      <c r="X7" s="30"/>
      <c r="Y7" s="30"/>
      <c r="Z7" s="30"/>
      <c r="AA7" s="30"/>
      <c r="AB7" s="32"/>
      <c r="AC7" s="32"/>
      <c r="AD7" s="32"/>
      <c r="AE7" s="32"/>
      <c r="AF7" s="32"/>
    </row>
    <row r="8" spans="1:40" ht="12" customHeight="1" thickBot="1" x14ac:dyDescent="0.2">
      <c r="A8" s="82">
        <v>7</v>
      </c>
      <c r="B8" s="112" t="s">
        <v>824</v>
      </c>
      <c r="C8" s="80">
        <v>1</v>
      </c>
      <c r="D8" s="111">
        <v>1</v>
      </c>
      <c r="E8" s="77" t="s">
        <v>501</v>
      </c>
      <c r="F8" s="30"/>
      <c r="G8" s="77" t="s">
        <v>938</v>
      </c>
      <c r="H8" s="76" t="s">
        <v>937</v>
      </c>
      <c r="I8" s="77" t="s">
        <v>539</v>
      </c>
      <c r="J8" s="77" t="s">
        <v>936</v>
      </c>
      <c r="K8" s="76" t="s">
        <v>673</v>
      </c>
      <c r="L8" s="77" t="s">
        <v>539</v>
      </c>
      <c r="N8" s="110" t="s">
        <v>935</v>
      </c>
      <c r="O8" s="32"/>
      <c r="P8" s="30">
        <v>50</v>
      </c>
      <c r="Q8" s="30">
        <v>10</v>
      </c>
      <c r="R8" s="30">
        <v>5</v>
      </c>
      <c r="S8" s="30">
        <v>15</v>
      </c>
      <c r="T8" s="30">
        <v>20</v>
      </c>
      <c r="U8" s="214">
        <f t="shared" si="0"/>
        <v>100</v>
      </c>
      <c r="V8" s="30"/>
      <c r="W8" s="30"/>
      <c r="X8" s="30"/>
      <c r="Y8" s="30"/>
      <c r="Z8" s="30"/>
      <c r="AA8" s="30"/>
      <c r="AB8" s="32"/>
      <c r="AC8" s="32"/>
      <c r="AD8" s="32"/>
      <c r="AE8" s="32"/>
      <c r="AF8" s="32"/>
    </row>
    <row r="9" spans="1:40" ht="11.25" customHeight="1" x14ac:dyDescent="0.15">
      <c r="A9" s="102">
        <v>8</v>
      </c>
      <c r="B9" s="101" t="s">
        <v>101</v>
      </c>
      <c r="C9" s="109">
        <v>1</v>
      </c>
      <c r="D9" s="117">
        <v>1</v>
      </c>
      <c r="E9" s="97" t="s">
        <v>501</v>
      </c>
      <c r="F9" s="30"/>
      <c r="G9" s="97" t="s">
        <v>934</v>
      </c>
      <c r="H9" s="96" t="s">
        <v>933</v>
      </c>
      <c r="I9" s="97" t="s">
        <v>539</v>
      </c>
      <c r="J9" s="97" t="s">
        <v>932</v>
      </c>
      <c r="K9" s="96" t="s">
        <v>931</v>
      </c>
      <c r="L9" s="97" t="s">
        <v>539</v>
      </c>
      <c r="N9" s="114" t="s">
        <v>930</v>
      </c>
      <c r="O9" s="32"/>
      <c r="P9" s="30">
        <v>48</v>
      </c>
      <c r="Q9" s="30">
        <v>4</v>
      </c>
      <c r="R9" s="30">
        <v>5</v>
      </c>
      <c r="S9" s="30">
        <v>20</v>
      </c>
      <c r="T9" s="30">
        <v>23</v>
      </c>
      <c r="U9" s="214">
        <f t="shared" si="0"/>
        <v>100</v>
      </c>
      <c r="V9" s="30"/>
      <c r="W9" s="30"/>
      <c r="X9" s="30"/>
      <c r="Y9" s="30"/>
      <c r="Z9" s="30"/>
      <c r="AA9" s="30"/>
      <c r="AB9" s="32"/>
      <c r="AC9" s="32"/>
      <c r="AD9" s="32"/>
      <c r="AE9" s="32"/>
      <c r="AF9" s="32"/>
      <c r="AH9" s="28" t="s">
        <v>976</v>
      </c>
      <c r="AI9" s="28" t="s">
        <v>981</v>
      </c>
    </row>
    <row r="10" spans="1:40" x14ac:dyDescent="0.15">
      <c r="A10" s="93">
        <v>9</v>
      </c>
      <c r="B10" s="87" t="s">
        <v>104</v>
      </c>
      <c r="C10" s="65">
        <v>2</v>
      </c>
      <c r="D10" s="64">
        <v>2</v>
      </c>
      <c r="E10" s="49" t="s">
        <v>494</v>
      </c>
      <c r="F10" s="30"/>
      <c r="G10" s="49" t="s">
        <v>678</v>
      </c>
      <c r="H10" s="61" t="s">
        <v>929</v>
      </c>
      <c r="I10" s="49" t="s">
        <v>494</v>
      </c>
      <c r="J10" s="49" t="s">
        <v>677</v>
      </c>
      <c r="K10" s="61" t="s">
        <v>676</v>
      </c>
      <c r="L10" s="49" t="s">
        <v>494</v>
      </c>
      <c r="N10" s="113" t="s">
        <v>928</v>
      </c>
      <c r="O10" s="32"/>
      <c r="P10" s="30">
        <v>40</v>
      </c>
      <c r="Q10" s="30">
        <v>24</v>
      </c>
      <c r="R10" s="30">
        <v>4</v>
      </c>
      <c r="S10" s="30">
        <v>18</v>
      </c>
      <c r="T10" s="30">
        <v>14</v>
      </c>
      <c r="U10" s="214">
        <f t="shared" si="0"/>
        <v>100</v>
      </c>
      <c r="V10" s="30"/>
      <c r="W10" s="30"/>
      <c r="X10" s="30"/>
      <c r="Y10" s="30"/>
      <c r="Z10" s="30"/>
      <c r="AA10" s="30"/>
      <c r="AB10" s="32"/>
      <c r="AC10" s="32"/>
      <c r="AD10" s="32"/>
      <c r="AE10" s="32"/>
      <c r="AF10" s="32"/>
      <c r="AH10" s="28" t="s">
        <v>977</v>
      </c>
      <c r="AI10" s="28" t="s">
        <v>980</v>
      </c>
    </row>
    <row r="11" spans="1:40" x14ac:dyDescent="0.15">
      <c r="A11" s="93">
        <v>10</v>
      </c>
      <c r="B11" s="87" t="s">
        <v>850</v>
      </c>
      <c r="C11" s="63">
        <v>1</v>
      </c>
      <c r="D11" s="64">
        <v>2</v>
      </c>
      <c r="E11" s="49" t="s">
        <v>494</v>
      </c>
      <c r="F11" s="30"/>
      <c r="G11" s="49" t="s">
        <v>551</v>
      </c>
      <c r="H11" s="61" t="s">
        <v>783</v>
      </c>
      <c r="I11" s="49" t="s">
        <v>494</v>
      </c>
      <c r="J11" s="49" t="s">
        <v>926</v>
      </c>
      <c r="K11" s="61" t="s">
        <v>925</v>
      </c>
      <c r="L11" s="49" t="s">
        <v>539</v>
      </c>
      <c r="N11" s="113" t="s">
        <v>927</v>
      </c>
      <c r="O11" s="32"/>
      <c r="P11" s="30">
        <v>45</v>
      </c>
      <c r="Q11" s="30">
        <v>4</v>
      </c>
      <c r="R11" s="30">
        <v>20</v>
      </c>
      <c r="S11" s="30">
        <v>11</v>
      </c>
      <c r="T11" s="30">
        <v>20</v>
      </c>
      <c r="U11" s="214">
        <f t="shared" si="0"/>
        <v>100</v>
      </c>
      <c r="V11" s="30"/>
      <c r="W11" s="30"/>
      <c r="X11" s="30"/>
      <c r="Y11" s="30"/>
      <c r="Z11" s="30"/>
      <c r="AA11" s="30"/>
      <c r="AB11" s="32"/>
      <c r="AC11" s="32"/>
      <c r="AD11" s="32"/>
      <c r="AE11" s="32"/>
      <c r="AF11" s="32"/>
      <c r="AH11" s="28" t="s">
        <v>978</v>
      </c>
      <c r="AI11" s="28" t="s">
        <v>982</v>
      </c>
    </row>
    <row r="12" spans="1:40" x14ac:dyDescent="0.15">
      <c r="A12" s="93">
        <v>11</v>
      </c>
      <c r="B12" s="87" t="s">
        <v>110</v>
      </c>
      <c r="C12" s="65">
        <v>2</v>
      </c>
      <c r="D12" s="64">
        <v>2</v>
      </c>
      <c r="E12" s="49" t="s">
        <v>494</v>
      </c>
      <c r="F12" s="30"/>
      <c r="G12" s="49" t="s">
        <v>551</v>
      </c>
      <c r="H12" s="61" t="s">
        <v>783</v>
      </c>
      <c r="I12" s="49" t="s">
        <v>494</v>
      </c>
      <c r="J12" s="49" t="s">
        <v>926</v>
      </c>
      <c r="K12" s="61" t="s">
        <v>925</v>
      </c>
      <c r="L12" s="49" t="s">
        <v>539</v>
      </c>
      <c r="N12" s="113" t="s">
        <v>924</v>
      </c>
      <c r="O12" s="32"/>
      <c r="P12" s="30">
        <v>45</v>
      </c>
      <c r="Q12" s="30">
        <v>20</v>
      </c>
      <c r="R12" s="30">
        <v>4</v>
      </c>
      <c r="S12" s="30">
        <v>20</v>
      </c>
      <c r="T12" s="30">
        <v>11</v>
      </c>
      <c r="U12" s="214">
        <f t="shared" si="0"/>
        <v>100</v>
      </c>
      <c r="V12" s="30"/>
      <c r="W12" s="30"/>
      <c r="X12" s="30"/>
      <c r="Y12" s="30"/>
      <c r="Z12" s="30"/>
      <c r="AA12" s="30"/>
      <c r="AB12" s="32"/>
      <c r="AC12" s="32"/>
      <c r="AD12" s="32"/>
      <c r="AE12" s="32"/>
      <c r="AF12" s="32"/>
      <c r="AH12" s="28" t="s">
        <v>979</v>
      </c>
      <c r="AI12" s="28" t="s">
        <v>983</v>
      </c>
    </row>
    <row r="13" spans="1:40" ht="12" customHeight="1" thickBot="1" x14ac:dyDescent="0.2">
      <c r="A13" s="82">
        <v>12</v>
      </c>
      <c r="B13" s="112" t="s">
        <v>113</v>
      </c>
      <c r="C13" s="80">
        <v>1</v>
      </c>
      <c r="D13" s="111">
        <v>1</v>
      </c>
      <c r="E13" s="77" t="s">
        <v>500</v>
      </c>
      <c r="F13" s="30"/>
      <c r="G13" s="77" t="s">
        <v>923</v>
      </c>
      <c r="H13" s="76" t="s">
        <v>668</v>
      </c>
      <c r="I13" s="77" t="s">
        <v>500</v>
      </c>
      <c r="J13" s="77" t="s">
        <v>922</v>
      </c>
      <c r="K13" s="76" t="s">
        <v>921</v>
      </c>
      <c r="L13" s="77" t="s">
        <v>539</v>
      </c>
      <c r="N13" s="110" t="s">
        <v>920</v>
      </c>
      <c r="O13" s="32"/>
      <c r="P13" s="30">
        <v>42</v>
      </c>
      <c r="Q13" s="30">
        <v>4</v>
      </c>
      <c r="R13" s="30">
        <v>12</v>
      </c>
      <c r="S13" s="30">
        <v>20</v>
      </c>
      <c r="T13" s="30">
        <v>22</v>
      </c>
      <c r="U13" s="214">
        <f t="shared" si="0"/>
        <v>100</v>
      </c>
      <c r="V13" s="30"/>
      <c r="W13" s="30"/>
      <c r="X13" s="30"/>
      <c r="Y13" s="30"/>
      <c r="Z13" s="30"/>
      <c r="AA13" s="30"/>
      <c r="AB13" s="32"/>
      <c r="AC13" s="32"/>
      <c r="AD13" s="32"/>
      <c r="AE13" s="32"/>
      <c r="AF13" s="32"/>
    </row>
    <row r="14" spans="1:40" ht="11.25" customHeight="1" x14ac:dyDescent="0.15">
      <c r="A14" s="102">
        <v>13</v>
      </c>
      <c r="B14" s="101" t="s">
        <v>117</v>
      </c>
      <c r="C14" s="100">
        <v>2</v>
      </c>
      <c r="D14" s="108">
        <v>3</v>
      </c>
      <c r="E14" s="97" t="s">
        <v>497</v>
      </c>
      <c r="F14" s="30"/>
      <c r="G14" s="97" t="s">
        <v>919</v>
      </c>
      <c r="H14" s="96" t="s">
        <v>918</v>
      </c>
      <c r="I14" s="97" t="s">
        <v>539</v>
      </c>
      <c r="J14" s="97" t="s">
        <v>917</v>
      </c>
      <c r="K14" s="96" t="s">
        <v>916</v>
      </c>
      <c r="L14" s="97" t="s">
        <v>539</v>
      </c>
      <c r="N14" s="114" t="s">
        <v>915</v>
      </c>
      <c r="O14" s="32"/>
      <c r="P14" s="30">
        <v>45</v>
      </c>
      <c r="Q14" s="30">
        <v>15</v>
      </c>
      <c r="R14" s="30">
        <v>4</v>
      </c>
      <c r="S14" s="30">
        <v>16</v>
      </c>
      <c r="T14" s="30">
        <v>20</v>
      </c>
      <c r="U14" s="214">
        <f t="shared" si="0"/>
        <v>100</v>
      </c>
      <c r="V14" s="30"/>
      <c r="W14" s="30"/>
      <c r="X14" s="30"/>
      <c r="Y14" s="30"/>
      <c r="Z14" s="30"/>
      <c r="AA14" s="30"/>
      <c r="AB14" s="32"/>
      <c r="AC14" s="32"/>
      <c r="AD14" s="32"/>
      <c r="AE14" s="32"/>
      <c r="AF14" s="32"/>
      <c r="AG14" s="126" t="s">
        <v>914</v>
      </c>
      <c r="AH14" s="125"/>
      <c r="AI14" s="125"/>
      <c r="AJ14" s="125"/>
      <c r="AK14" s="124" t="s">
        <v>913</v>
      </c>
      <c r="AL14" s="124" t="s">
        <v>912</v>
      </c>
      <c r="AM14" s="124" t="s">
        <v>806</v>
      </c>
      <c r="AN14" s="123" t="s">
        <v>911</v>
      </c>
    </row>
    <row r="15" spans="1:40" ht="11.25" customHeight="1" x14ac:dyDescent="0.15">
      <c r="A15" s="93">
        <v>14</v>
      </c>
      <c r="B15" s="87" t="s">
        <v>120</v>
      </c>
      <c r="C15" s="65">
        <v>2</v>
      </c>
      <c r="D15" s="62">
        <v>4</v>
      </c>
      <c r="E15" s="49" t="s">
        <v>497</v>
      </c>
      <c r="F15" s="30"/>
      <c r="G15" s="67" t="s">
        <v>719</v>
      </c>
      <c r="H15" s="61" t="s">
        <v>910</v>
      </c>
      <c r="I15" s="49" t="s">
        <v>497</v>
      </c>
      <c r="J15" s="49" t="s">
        <v>909</v>
      </c>
      <c r="K15" s="61" t="s">
        <v>528</v>
      </c>
      <c r="L15" s="49" t="s">
        <v>497</v>
      </c>
      <c r="N15" s="113" t="s">
        <v>908</v>
      </c>
      <c r="O15" s="32"/>
      <c r="P15" s="30">
        <v>40</v>
      </c>
      <c r="Q15" s="30">
        <v>30</v>
      </c>
      <c r="R15" s="30">
        <v>4</v>
      </c>
      <c r="S15" s="30">
        <v>17</v>
      </c>
      <c r="T15" s="30">
        <v>9</v>
      </c>
      <c r="U15" s="214">
        <f t="shared" si="0"/>
        <v>100</v>
      </c>
      <c r="V15" s="30"/>
      <c r="W15" s="30"/>
      <c r="X15" s="30"/>
      <c r="Y15" s="30"/>
      <c r="Z15" s="30"/>
      <c r="AA15" s="30"/>
      <c r="AB15" s="32"/>
      <c r="AC15" s="32"/>
      <c r="AD15" s="32"/>
      <c r="AE15" s="32"/>
      <c r="AF15" s="32"/>
      <c r="AG15" s="120" t="s">
        <v>907</v>
      </c>
      <c r="AH15" s="57"/>
      <c r="AI15" s="57"/>
      <c r="AJ15" s="57" t="s">
        <v>906</v>
      </c>
      <c r="AK15" s="61" t="s">
        <v>868</v>
      </c>
      <c r="AL15" s="61" t="s">
        <v>905</v>
      </c>
      <c r="AM15" s="61" t="s">
        <v>904</v>
      </c>
      <c r="AN15" s="106" t="s">
        <v>903</v>
      </c>
    </row>
    <row r="16" spans="1:40" ht="11.25" customHeight="1" thickBot="1" x14ac:dyDescent="0.2">
      <c r="A16" s="93">
        <v>15</v>
      </c>
      <c r="B16" s="87" t="s">
        <v>123</v>
      </c>
      <c r="C16" s="63">
        <v>1</v>
      </c>
      <c r="D16" s="66">
        <v>3</v>
      </c>
      <c r="E16" s="49" t="s">
        <v>498</v>
      </c>
      <c r="F16" s="30"/>
      <c r="G16" s="49" t="s">
        <v>867</v>
      </c>
      <c r="H16" s="61" t="s">
        <v>866</v>
      </c>
      <c r="I16" s="49" t="s">
        <v>498</v>
      </c>
      <c r="J16" s="49" t="s">
        <v>902</v>
      </c>
      <c r="K16" s="61" t="s">
        <v>901</v>
      </c>
      <c r="L16" s="49" t="s">
        <v>539</v>
      </c>
      <c r="N16" s="113" t="s">
        <v>900</v>
      </c>
      <c r="O16" s="32"/>
      <c r="P16" s="30">
        <v>42</v>
      </c>
      <c r="Q16" s="30">
        <v>4</v>
      </c>
      <c r="R16" s="30">
        <v>18</v>
      </c>
      <c r="S16" s="30">
        <v>14</v>
      </c>
      <c r="T16" s="30">
        <v>22</v>
      </c>
      <c r="U16" s="214">
        <f t="shared" si="0"/>
        <v>100</v>
      </c>
      <c r="V16" s="30"/>
      <c r="W16" s="30"/>
      <c r="X16" s="30"/>
      <c r="Y16" s="30"/>
      <c r="Z16" s="30"/>
      <c r="AA16" s="30"/>
      <c r="AB16" s="32"/>
      <c r="AC16" s="32"/>
      <c r="AD16" s="32"/>
      <c r="AE16" s="32"/>
      <c r="AF16" s="32"/>
      <c r="AG16" s="119"/>
      <c r="AH16" s="118"/>
      <c r="AI16" s="118"/>
      <c r="AJ16" s="118"/>
      <c r="AK16" s="76" t="s">
        <v>899</v>
      </c>
      <c r="AL16" s="76" t="s">
        <v>898</v>
      </c>
      <c r="AM16" s="76" t="s">
        <v>897</v>
      </c>
      <c r="AN16" s="103" t="s">
        <v>896</v>
      </c>
    </row>
    <row r="17" spans="1:40" ht="11.25" customHeight="1" thickBot="1" x14ac:dyDescent="0.2">
      <c r="A17" s="93">
        <v>16</v>
      </c>
      <c r="B17" s="87" t="s">
        <v>126</v>
      </c>
      <c r="C17" s="65">
        <v>2</v>
      </c>
      <c r="D17" s="92">
        <v>1</v>
      </c>
      <c r="E17" s="49" t="s">
        <v>497</v>
      </c>
      <c r="F17" s="30"/>
      <c r="G17" s="49" t="s">
        <v>895</v>
      </c>
      <c r="H17" s="61" t="s">
        <v>894</v>
      </c>
      <c r="I17" s="49" t="s">
        <v>497</v>
      </c>
      <c r="J17" s="49" t="s">
        <v>893</v>
      </c>
      <c r="K17" s="61" t="s">
        <v>892</v>
      </c>
      <c r="L17" s="49" t="s">
        <v>539</v>
      </c>
      <c r="N17" s="113" t="s">
        <v>891</v>
      </c>
      <c r="O17" s="32"/>
      <c r="P17" s="30">
        <v>40</v>
      </c>
      <c r="Q17" s="30">
        <v>11</v>
      </c>
      <c r="R17" s="30">
        <v>4</v>
      </c>
      <c r="S17" s="30">
        <v>20</v>
      </c>
      <c r="T17" s="30">
        <v>25</v>
      </c>
      <c r="U17" s="214">
        <f t="shared" si="0"/>
        <v>100</v>
      </c>
      <c r="V17" s="30"/>
      <c r="W17" s="30"/>
      <c r="X17" s="30"/>
      <c r="Y17" s="30"/>
      <c r="Z17" s="30"/>
      <c r="AA17" s="30"/>
      <c r="AB17" s="32"/>
      <c r="AC17" s="32"/>
      <c r="AD17" s="32"/>
      <c r="AE17" s="32"/>
      <c r="AF17" s="32"/>
    </row>
    <row r="18" spans="1:40" x14ac:dyDescent="0.15">
      <c r="A18" s="93">
        <v>17</v>
      </c>
      <c r="B18" s="87" t="s">
        <v>129</v>
      </c>
      <c r="C18" s="65">
        <v>2</v>
      </c>
      <c r="D18" s="64">
        <v>2</v>
      </c>
      <c r="E18" s="49" t="s">
        <v>498</v>
      </c>
      <c r="F18" s="30"/>
      <c r="G18" s="49" t="s">
        <v>890</v>
      </c>
      <c r="H18" s="61" t="s">
        <v>889</v>
      </c>
      <c r="I18" s="49" t="s">
        <v>498</v>
      </c>
      <c r="J18" s="49" t="s">
        <v>888</v>
      </c>
      <c r="K18" s="61" t="s">
        <v>887</v>
      </c>
      <c r="L18" s="49" t="s">
        <v>539</v>
      </c>
      <c r="N18" s="113" t="s">
        <v>886</v>
      </c>
      <c r="O18" s="32"/>
      <c r="P18" s="30">
        <v>40</v>
      </c>
      <c r="Q18" s="30">
        <v>30</v>
      </c>
      <c r="R18" s="30">
        <v>4</v>
      </c>
      <c r="S18" s="30">
        <v>17</v>
      </c>
      <c r="T18" s="30">
        <v>9</v>
      </c>
      <c r="U18" s="214">
        <f t="shared" si="0"/>
        <v>100</v>
      </c>
      <c r="V18" s="30"/>
      <c r="W18" s="30"/>
      <c r="X18" s="30"/>
      <c r="Y18" s="30"/>
      <c r="Z18" s="30"/>
      <c r="AA18" s="30"/>
      <c r="AB18" s="32"/>
      <c r="AC18" s="32"/>
      <c r="AD18" s="32"/>
      <c r="AE18" s="32"/>
      <c r="AF18" s="32"/>
      <c r="AG18" s="126" t="s">
        <v>885</v>
      </c>
      <c r="AH18" s="125"/>
      <c r="AI18" s="125"/>
      <c r="AJ18" s="125"/>
      <c r="AK18" s="124" t="s">
        <v>857</v>
      </c>
      <c r="AL18" s="124" t="s">
        <v>884</v>
      </c>
      <c r="AM18" s="124" t="s">
        <v>858</v>
      </c>
      <c r="AN18" s="123" t="s">
        <v>884</v>
      </c>
    </row>
    <row r="19" spans="1:40" x14ac:dyDescent="0.15">
      <c r="A19" s="93">
        <v>18</v>
      </c>
      <c r="B19" s="87" t="s">
        <v>132</v>
      </c>
      <c r="C19" s="63">
        <v>1</v>
      </c>
      <c r="D19" s="64">
        <v>2</v>
      </c>
      <c r="E19" s="49" t="s">
        <v>494</v>
      </c>
      <c r="F19" s="30"/>
      <c r="G19" s="49" t="s">
        <v>883</v>
      </c>
      <c r="H19" s="61" t="s">
        <v>737</v>
      </c>
      <c r="I19" s="49" t="s">
        <v>494</v>
      </c>
      <c r="J19" s="49" t="s">
        <v>882</v>
      </c>
      <c r="K19" s="61" t="s">
        <v>881</v>
      </c>
      <c r="L19" s="49" t="s">
        <v>494</v>
      </c>
      <c r="N19" s="113" t="s">
        <v>880</v>
      </c>
      <c r="O19" s="32"/>
      <c r="P19" s="30">
        <v>38</v>
      </c>
      <c r="Q19" s="30">
        <v>4</v>
      </c>
      <c r="R19" s="30">
        <v>24</v>
      </c>
      <c r="S19" s="30">
        <v>14</v>
      </c>
      <c r="T19" s="30">
        <v>20</v>
      </c>
      <c r="U19" s="214">
        <f t="shared" si="0"/>
        <v>100</v>
      </c>
      <c r="V19" s="30"/>
      <c r="W19" s="30"/>
      <c r="X19" s="30"/>
      <c r="Y19" s="30"/>
      <c r="Z19" s="30"/>
      <c r="AA19" s="30"/>
      <c r="AB19" s="32"/>
      <c r="AC19" s="32"/>
      <c r="AD19" s="32"/>
      <c r="AE19" s="32"/>
      <c r="AF19" s="32"/>
      <c r="AG19" s="120" t="s">
        <v>879</v>
      </c>
      <c r="AH19" s="57"/>
      <c r="AI19" s="57"/>
      <c r="AJ19" s="57"/>
      <c r="AK19" s="61" t="s">
        <v>878</v>
      </c>
      <c r="AL19" s="61" t="s">
        <v>877</v>
      </c>
      <c r="AM19" s="61" t="s">
        <v>803</v>
      </c>
      <c r="AN19" s="106" t="s">
        <v>876</v>
      </c>
    </row>
    <row r="20" spans="1:40" ht="11.25" customHeight="1" x14ac:dyDescent="0.15">
      <c r="A20" s="93">
        <v>19</v>
      </c>
      <c r="B20" s="87" t="s">
        <v>135</v>
      </c>
      <c r="C20" s="63">
        <v>1</v>
      </c>
      <c r="D20" s="92">
        <v>1</v>
      </c>
      <c r="E20" s="49" t="s">
        <v>497</v>
      </c>
      <c r="F20" s="30"/>
      <c r="G20" s="49" t="s">
        <v>875</v>
      </c>
      <c r="H20" s="61" t="s">
        <v>566</v>
      </c>
      <c r="I20" s="49" t="s">
        <v>497</v>
      </c>
      <c r="J20" s="49" t="s">
        <v>874</v>
      </c>
      <c r="K20" s="61" t="s">
        <v>873</v>
      </c>
      <c r="L20" s="49" t="s">
        <v>539</v>
      </c>
      <c r="N20" s="113" t="s">
        <v>872</v>
      </c>
      <c r="O20" s="32"/>
      <c r="P20" s="30">
        <v>50</v>
      </c>
      <c r="Q20" s="30">
        <v>3</v>
      </c>
      <c r="R20" s="30">
        <v>4</v>
      </c>
      <c r="S20" s="30">
        <v>20</v>
      </c>
      <c r="T20" s="30">
        <v>23</v>
      </c>
      <c r="U20" s="214">
        <f t="shared" si="0"/>
        <v>100</v>
      </c>
      <c r="V20" s="30"/>
      <c r="W20" s="30"/>
      <c r="X20" s="30"/>
      <c r="Y20" s="30"/>
      <c r="Z20" s="30"/>
      <c r="AA20" s="30"/>
      <c r="AB20" s="32"/>
      <c r="AC20" s="32"/>
      <c r="AD20" s="32"/>
      <c r="AE20" s="32"/>
      <c r="AF20" s="32"/>
      <c r="AG20" s="120"/>
      <c r="AH20" s="57"/>
      <c r="AI20" s="57"/>
      <c r="AJ20" s="57"/>
      <c r="AK20" s="61" t="s">
        <v>871</v>
      </c>
      <c r="AL20" s="61" t="s">
        <v>870</v>
      </c>
      <c r="AM20" s="61" t="s">
        <v>798</v>
      </c>
      <c r="AN20" s="106" t="s">
        <v>869</v>
      </c>
    </row>
    <row r="21" spans="1:40" x14ac:dyDescent="0.15">
      <c r="A21" s="93">
        <v>20</v>
      </c>
      <c r="B21" s="87" t="s">
        <v>868</v>
      </c>
      <c r="C21" s="65">
        <v>2</v>
      </c>
      <c r="D21" s="64">
        <v>2</v>
      </c>
      <c r="E21" s="49" t="s">
        <v>499</v>
      </c>
      <c r="F21" s="30"/>
      <c r="G21" s="49" t="s">
        <v>590</v>
      </c>
      <c r="H21" s="61" t="s">
        <v>589</v>
      </c>
      <c r="I21" s="49" t="s">
        <v>499</v>
      </c>
      <c r="J21" s="49" t="s">
        <v>867</v>
      </c>
      <c r="K21" s="61" t="s">
        <v>866</v>
      </c>
      <c r="L21" s="49" t="s">
        <v>498</v>
      </c>
      <c r="N21" s="113" t="s">
        <v>865</v>
      </c>
      <c r="O21" s="32"/>
      <c r="P21" s="30">
        <v>35</v>
      </c>
      <c r="Q21" s="30">
        <v>18</v>
      </c>
      <c r="R21" s="30">
        <v>10</v>
      </c>
      <c r="S21" s="30">
        <v>17</v>
      </c>
      <c r="T21" s="30">
        <v>20</v>
      </c>
      <c r="U21" s="214">
        <f t="shared" si="0"/>
        <v>100</v>
      </c>
      <c r="V21" s="30"/>
      <c r="W21" s="30"/>
      <c r="X21" s="30"/>
      <c r="Y21" s="30"/>
      <c r="Z21" s="30"/>
      <c r="AA21" s="30"/>
      <c r="AB21" s="32"/>
      <c r="AC21" s="32"/>
      <c r="AD21" s="32"/>
      <c r="AE21" s="32"/>
      <c r="AF21" s="32"/>
      <c r="AG21" s="120"/>
      <c r="AH21" s="57"/>
      <c r="AI21" s="57"/>
      <c r="AJ21" s="57"/>
      <c r="AK21" s="57"/>
      <c r="AL21" s="57"/>
      <c r="AM21" s="57"/>
      <c r="AN21" s="129"/>
    </row>
    <row r="22" spans="1:40" ht="12" customHeight="1" thickBot="1" x14ac:dyDescent="0.2">
      <c r="A22" s="82">
        <v>21</v>
      </c>
      <c r="B22" s="112" t="s">
        <v>141</v>
      </c>
      <c r="C22" s="105">
        <v>2</v>
      </c>
      <c r="D22" s="111">
        <v>1</v>
      </c>
      <c r="E22" s="77" t="s">
        <v>497</v>
      </c>
      <c r="F22" s="30"/>
      <c r="G22" s="77" t="s">
        <v>864</v>
      </c>
      <c r="H22" s="76" t="s">
        <v>863</v>
      </c>
      <c r="I22" s="77" t="s">
        <v>497</v>
      </c>
      <c r="J22" s="77" t="s">
        <v>862</v>
      </c>
      <c r="K22" s="76" t="s">
        <v>861</v>
      </c>
      <c r="L22" s="77" t="s">
        <v>539</v>
      </c>
      <c r="N22" s="110" t="s">
        <v>860</v>
      </c>
      <c r="O22" s="32"/>
      <c r="P22" s="30">
        <v>45</v>
      </c>
      <c r="Q22" s="30">
        <v>5</v>
      </c>
      <c r="R22" s="30">
        <v>4</v>
      </c>
      <c r="S22" s="30">
        <v>35</v>
      </c>
      <c r="T22" s="30">
        <v>11</v>
      </c>
      <c r="U22" s="214">
        <f t="shared" si="0"/>
        <v>100</v>
      </c>
      <c r="V22" s="30"/>
      <c r="W22" s="30"/>
      <c r="X22" s="30"/>
      <c r="Y22" s="30"/>
      <c r="Z22" s="30"/>
      <c r="AA22" s="30"/>
      <c r="AB22" s="32"/>
      <c r="AC22" s="32"/>
      <c r="AD22" s="32"/>
      <c r="AE22" s="32"/>
      <c r="AF22" s="32"/>
      <c r="AG22" s="120"/>
      <c r="AH22" s="57"/>
      <c r="AI22" s="57"/>
      <c r="AJ22" s="57"/>
      <c r="AK22" s="128" t="s">
        <v>859</v>
      </c>
      <c r="AL22" s="128" t="s">
        <v>858</v>
      </c>
      <c r="AM22" s="128" t="s">
        <v>857</v>
      </c>
      <c r="AN22" s="127" t="s">
        <v>856</v>
      </c>
    </row>
    <row r="23" spans="1:40" ht="11.25" customHeight="1" x14ac:dyDescent="0.15">
      <c r="A23" s="102">
        <v>22</v>
      </c>
      <c r="B23" s="101" t="s">
        <v>144</v>
      </c>
      <c r="C23" s="109">
        <v>1</v>
      </c>
      <c r="D23" s="108">
        <v>3</v>
      </c>
      <c r="E23" s="97" t="s">
        <v>500</v>
      </c>
      <c r="F23" s="30"/>
      <c r="G23" s="97" t="s">
        <v>855</v>
      </c>
      <c r="H23" s="96" t="s">
        <v>854</v>
      </c>
      <c r="I23" s="97" t="s">
        <v>539</v>
      </c>
      <c r="J23" s="97" t="s">
        <v>632</v>
      </c>
      <c r="K23" s="96" t="s">
        <v>853</v>
      </c>
      <c r="L23" s="97" t="s">
        <v>539</v>
      </c>
      <c r="N23" s="114" t="s">
        <v>852</v>
      </c>
      <c r="O23" s="32"/>
      <c r="P23" s="30">
        <v>36</v>
      </c>
      <c r="Q23" s="30">
        <v>4</v>
      </c>
      <c r="R23" s="30">
        <v>18</v>
      </c>
      <c r="S23" s="30">
        <v>9</v>
      </c>
      <c r="T23" s="30">
        <v>33</v>
      </c>
      <c r="U23" s="214">
        <f t="shared" si="0"/>
        <v>100</v>
      </c>
      <c r="V23" s="30"/>
      <c r="W23" s="30"/>
      <c r="X23" s="30"/>
      <c r="Y23" s="30"/>
      <c r="Z23" s="30"/>
      <c r="AA23" s="30"/>
      <c r="AB23" s="32"/>
      <c r="AC23" s="32"/>
      <c r="AD23" s="32"/>
      <c r="AE23" s="32"/>
      <c r="AF23" s="32"/>
      <c r="AG23" s="120"/>
      <c r="AH23" s="57"/>
      <c r="AI23" s="57"/>
      <c r="AJ23" s="57"/>
      <c r="AK23" s="61" t="s">
        <v>851</v>
      </c>
      <c r="AL23" s="61" t="s">
        <v>850</v>
      </c>
      <c r="AM23" s="61" t="s">
        <v>849</v>
      </c>
      <c r="AN23" s="106" t="s">
        <v>816</v>
      </c>
    </row>
    <row r="24" spans="1:40" ht="12" thickBot="1" x14ac:dyDescent="0.2">
      <c r="A24" s="93">
        <v>23</v>
      </c>
      <c r="B24" s="87" t="s">
        <v>147</v>
      </c>
      <c r="C24" s="63">
        <v>1</v>
      </c>
      <c r="D24" s="64">
        <v>2</v>
      </c>
      <c r="E24" s="49" t="s">
        <v>498</v>
      </c>
      <c r="F24" s="30"/>
      <c r="G24" s="49" t="s">
        <v>848</v>
      </c>
      <c r="H24" s="61" t="s">
        <v>847</v>
      </c>
      <c r="I24" s="49" t="s">
        <v>498</v>
      </c>
      <c r="J24" s="49" t="s">
        <v>846</v>
      </c>
      <c r="K24" s="61" t="s">
        <v>845</v>
      </c>
      <c r="L24" s="49" t="s">
        <v>539</v>
      </c>
      <c r="N24" s="113" t="s">
        <v>844</v>
      </c>
      <c r="O24" s="32"/>
      <c r="P24" s="30">
        <v>36</v>
      </c>
      <c r="Q24" s="30">
        <v>4</v>
      </c>
      <c r="R24" s="30">
        <v>18</v>
      </c>
      <c r="S24" s="30">
        <v>20</v>
      </c>
      <c r="T24" s="30">
        <v>22</v>
      </c>
      <c r="U24" s="214">
        <f t="shared" si="0"/>
        <v>100</v>
      </c>
      <c r="V24" s="30"/>
      <c r="W24" s="30"/>
      <c r="X24" s="30"/>
      <c r="Y24" s="30"/>
      <c r="Z24" s="30"/>
      <c r="AA24" s="30"/>
      <c r="AB24" s="32"/>
      <c r="AC24" s="32"/>
      <c r="AD24" s="32"/>
      <c r="AE24" s="32"/>
      <c r="AF24" s="32"/>
      <c r="AG24" s="119"/>
      <c r="AH24" s="118"/>
      <c r="AI24" s="118"/>
      <c r="AJ24" s="118"/>
      <c r="AK24" s="76" t="s">
        <v>843</v>
      </c>
      <c r="AL24" s="76" t="s">
        <v>842</v>
      </c>
      <c r="AM24" s="76" t="s">
        <v>841</v>
      </c>
      <c r="AN24" s="103" t="s">
        <v>840</v>
      </c>
    </row>
    <row r="25" spans="1:40" ht="11.25" customHeight="1" thickBot="1" x14ac:dyDescent="0.2">
      <c r="A25" s="93">
        <v>24</v>
      </c>
      <c r="B25" s="87" t="s">
        <v>150</v>
      </c>
      <c r="C25" s="65">
        <v>2</v>
      </c>
      <c r="D25" s="66">
        <v>3</v>
      </c>
      <c r="E25" s="49" t="s">
        <v>498</v>
      </c>
      <c r="F25" s="30"/>
      <c r="G25" s="49" t="s">
        <v>839</v>
      </c>
      <c r="H25" s="61" t="s">
        <v>838</v>
      </c>
      <c r="I25" s="49" t="s">
        <v>498</v>
      </c>
      <c r="J25" s="49" t="s">
        <v>837</v>
      </c>
      <c r="K25" s="61" t="s">
        <v>836</v>
      </c>
      <c r="L25" s="49" t="s">
        <v>539</v>
      </c>
      <c r="N25" s="113" t="s">
        <v>835</v>
      </c>
      <c r="O25" s="32"/>
      <c r="P25" s="30">
        <v>36</v>
      </c>
      <c r="Q25" s="30">
        <v>18</v>
      </c>
      <c r="R25" s="30">
        <v>4</v>
      </c>
      <c r="S25" s="30">
        <v>22</v>
      </c>
      <c r="T25" s="30">
        <v>20</v>
      </c>
      <c r="U25" s="214">
        <f t="shared" si="0"/>
        <v>100</v>
      </c>
      <c r="V25" s="30"/>
      <c r="W25" s="30"/>
      <c r="X25" s="30"/>
      <c r="Y25" s="30"/>
      <c r="Z25" s="30"/>
      <c r="AA25" s="30"/>
      <c r="AB25" s="32"/>
      <c r="AC25" s="32"/>
      <c r="AD25" s="32"/>
      <c r="AE25" s="32"/>
      <c r="AF25" s="32"/>
    </row>
    <row r="26" spans="1:40" x14ac:dyDescent="0.15">
      <c r="A26" s="93">
        <v>25</v>
      </c>
      <c r="B26" s="87" t="s">
        <v>153</v>
      </c>
      <c r="C26" s="63">
        <v>1</v>
      </c>
      <c r="D26" s="64">
        <v>2</v>
      </c>
      <c r="E26" s="49" t="s">
        <v>498</v>
      </c>
      <c r="F26" s="30"/>
      <c r="G26" s="49" t="s">
        <v>834</v>
      </c>
      <c r="H26" s="61" t="s">
        <v>833</v>
      </c>
      <c r="I26" s="49" t="s">
        <v>498</v>
      </c>
      <c r="J26" s="49" t="s">
        <v>832</v>
      </c>
      <c r="K26" s="61" t="s">
        <v>831</v>
      </c>
      <c r="L26" s="49" t="s">
        <v>498</v>
      </c>
      <c r="N26" s="113" t="s">
        <v>830</v>
      </c>
      <c r="O26" s="32"/>
      <c r="P26" s="30">
        <v>36</v>
      </c>
      <c r="Q26" s="30">
        <v>4</v>
      </c>
      <c r="R26" s="30">
        <v>24</v>
      </c>
      <c r="S26" s="30">
        <v>14</v>
      </c>
      <c r="T26" s="30">
        <v>22</v>
      </c>
      <c r="U26" s="214">
        <f t="shared" si="0"/>
        <v>100</v>
      </c>
      <c r="V26" s="30"/>
      <c r="W26" s="30"/>
      <c r="X26" s="30"/>
      <c r="Y26" s="30"/>
      <c r="Z26" s="30"/>
      <c r="AA26" s="30"/>
      <c r="AB26" s="32"/>
      <c r="AC26" s="32"/>
      <c r="AD26" s="32"/>
      <c r="AE26" s="32"/>
      <c r="AF26" s="32"/>
      <c r="AG26" s="126" t="s">
        <v>829</v>
      </c>
      <c r="AH26" s="125"/>
      <c r="AI26" s="125"/>
      <c r="AJ26" s="125"/>
      <c r="AK26" s="124" t="s">
        <v>828</v>
      </c>
      <c r="AL26" s="124" t="s">
        <v>827</v>
      </c>
      <c r="AM26" s="124"/>
      <c r="AN26" s="123"/>
    </row>
    <row r="27" spans="1:40" x14ac:dyDescent="0.15">
      <c r="A27" s="93">
        <v>26</v>
      </c>
      <c r="B27" s="87" t="s">
        <v>156</v>
      </c>
      <c r="C27" s="65">
        <v>2</v>
      </c>
      <c r="D27" s="64">
        <v>2</v>
      </c>
      <c r="E27" s="49" t="s">
        <v>497</v>
      </c>
      <c r="F27" s="30"/>
      <c r="G27" s="49" t="s">
        <v>655</v>
      </c>
      <c r="H27" s="61" t="s">
        <v>811</v>
      </c>
      <c r="I27" s="49" t="s">
        <v>497</v>
      </c>
      <c r="J27" s="49" t="s">
        <v>529</v>
      </c>
      <c r="K27" s="61" t="s">
        <v>528</v>
      </c>
      <c r="L27" s="49" t="s">
        <v>501</v>
      </c>
      <c r="N27" s="113" t="s">
        <v>826</v>
      </c>
      <c r="O27" s="32"/>
      <c r="P27" s="30">
        <v>38</v>
      </c>
      <c r="Q27" s="30">
        <v>21</v>
      </c>
      <c r="R27" s="30">
        <v>4</v>
      </c>
      <c r="S27" s="30">
        <v>17</v>
      </c>
      <c r="T27" s="30">
        <v>20</v>
      </c>
      <c r="U27" s="214">
        <f t="shared" si="0"/>
        <v>100</v>
      </c>
      <c r="V27" s="30"/>
      <c r="W27" s="30"/>
      <c r="X27" s="30"/>
      <c r="Y27" s="30"/>
      <c r="Z27" s="30"/>
      <c r="AA27" s="30"/>
      <c r="AB27" s="32"/>
      <c r="AC27" s="32"/>
      <c r="AD27" s="32"/>
      <c r="AE27" s="32"/>
      <c r="AF27" s="32"/>
      <c r="AG27" s="120" t="s">
        <v>825</v>
      </c>
      <c r="AH27" s="57"/>
      <c r="AI27" s="57"/>
      <c r="AJ27" s="57"/>
      <c r="AK27" s="61" t="s">
        <v>824</v>
      </c>
      <c r="AL27" s="61" t="s">
        <v>823</v>
      </c>
      <c r="AM27" s="61"/>
      <c r="AN27" s="106"/>
    </row>
    <row r="28" spans="1:40" ht="11.25" customHeight="1" thickBot="1" x14ac:dyDescent="0.2">
      <c r="A28" s="93">
        <v>27</v>
      </c>
      <c r="B28" s="87" t="s">
        <v>159</v>
      </c>
      <c r="C28" s="63">
        <v>1</v>
      </c>
      <c r="D28" s="92">
        <v>1</v>
      </c>
      <c r="E28" s="49" t="s">
        <v>500</v>
      </c>
      <c r="F28" s="30"/>
      <c r="G28" s="49" t="s">
        <v>822</v>
      </c>
      <c r="H28" s="61" t="s">
        <v>821</v>
      </c>
      <c r="I28" s="49" t="s">
        <v>500</v>
      </c>
      <c r="J28" s="49" t="s">
        <v>820</v>
      </c>
      <c r="K28" s="61" t="s">
        <v>819</v>
      </c>
      <c r="L28" s="49" t="s">
        <v>539</v>
      </c>
      <c r="N28" s="113" t="s">
        <v>818</v>
      </c>
      <c r="O28" s="32"/>
      <c r="P28" s="30">
        <v>50</v>
      </c>
      <c r="Q28" s="30">
        <v>4</v>
      </c>
      <c r="R28" s="30">
        <v>5</v>
      </c>
      <c r="S28" s="30">
        <v>21</v>
      </c>
      <c r="T28" s="30">
        <v>20</v>
      </c>
      <c r="U28" s="214">
        <f t="shared" si="0"/>
        <v>100</v>
      </c>
      <c r="V28" s="30"/>
      <c r="W28" s="30"/>
      <c r="X28" s="30"/>
      <c r="Y28" s="30"/>
      <c r="Z28" s="30"/>
      <c r="AA28" s="30"/>
      <c r="AB28" s="32"/>
      <c r="AC28" s="32"/>
      <c r="AD28" s="32"/>
      <c r="AE28" s="32"/>
      <c r="AF28" s="32"/>
      <c r="AG28" s="119"/>
      <c r="AH28" s="118"/>
      <c r="AI28" s="118"/>
      <c r="AJ28" s="118"/>
      <c r="AK28" s="76" t="s">
        <v>817</v>
      </c>
      <c r="AL28" s="76" t="s">
        <v>816</v>
      </c>
      <c r="AM28" s="76"/>
      <c r="AN28" s="103"/>
    </row>
    <row r="29" spans="1:40" ht="12" thickBot="1" x14ac:dyDescent="0.2">
      <c r="A29" s="93">
        <v>28</v>
      </c>
      <c r="B29" s="87" t="s">
        <v>162</v>
      </c>
      <c r="C29" s="65">
        <v>2</v>
      </c>
      <c r="D29" s="64">
        <v>2</v>
      </c>
      <c r="E29" s="49" t="s">
        <v>500</v>
      </c>
      <c r="F29" s="30"/>
      <c r="G29" s="49" t="s">
        <v>815</v>
      </c>
      <c r="H29" s="61" t="s">
        <v>814</v>
      </c>
      <c r="I29" s="49" t="s">
        <v>500</v>
      </c>
      <c r="J29" s="49" t="s">
        <v>813</v>
      </c>
      <c r="K29" s="61" t="s">
        <v>757</v>
      </c>
      <c r="L29" s="49" t="s">
        <v>496</v>
      </c>
      <c r="N29" s="113" t="s">
        <v>812</v>
      </c>
      <c r="O29" s="32"/>
      <c r="P29" s="30">
        <v>38</v>
      </c>
      <c r="Q29" s="30">
        <v>21</v>
      </c>
      <c r="R29" s="30">
        <v>4</v>
      </c>
      <c r="S29" s="30">
        <v>17</v>
      </c>
      <c r="T29" s="30">
        <v>20</v>
      </c>
      <c r="U29" s="214">
        <f t="shared" si="0"/>
        <v>100</v>
      </c>
      <c r="V29" s="30"/>
      <c r="W29" s="30"/>
      <c r="X29" s="30"/>
      <c r="Y29" s="30"/>
      <c r="Z29" s="30"/>
      <c r="AA29" s="30"/>
      <c r="AB29" s="32"/>
      <c r="AC29" s="32"/>
      <c r="AD29" s="32"/>
      <c r="AE29" s="32"/>
      <c r="AF29" s="32"/>
      <c r="AK29" s="59"/>
      <c r="AL29" s="59"/>
      <c r="AM29" s="59"/>
      <c r="AN29" s="59"/>
    </row>
    <row r="30" spans="1:40" ht="12" thickBot="1" x14ac:dyDescent="0.2">
      <c r="A30" s="82">
        <v>29</v>
      </c>
      <c r="B30" s="112" t="s">
        <v>165</v>
      </c>
      <c r="C30" s="63">
        <v>1</v>
      </c>
      <c r="D30" s="79">
        <v>2</v>
      </c>
      <c r="E30" s="77" t="s">
        <v>497</v>
      </c>
      <c r="F30" s="30"/>
      <c r="G30" s="77" t="s">
        <v>655</v>
      </c>
      <c r="H30" s="61" t="s">
        <v>811</v>
      </c>
      <c r="I30" s="77" t="s">
        <v>497</v>
      </c>
      <c r="J30" s="77" t="s">
        <v>810</v>
      </c>
      <c r="K30" s="76" t="s">
        <v>783</v>
      </c>
      <c r="L30" s="77" t="s">
        <v>539</v>
      </c>
      <c r="N30" s="110" t="s">
        <v>809</v>
      </c>
      <c r="O30" s="32"/>
      <c r="P30" s="30">
        <v>40</v>
      </c>
      <c r="Q30" s="30">
        <v>13</v>
      </c>
      <c r="R30" s="30">
        <v>18</v>
      </c>
      <c r="S30" s="30">
        <v>10</v>
      </c>
      <c r="T30" s="30">
        <v>19</v>
      </c>
      <c r="U30" s="214">
        <f t="shared" si="0"/>
        <v>100</v>
      </c>
      <c r="V30" s="30"/>
      <c r="W30" s="30"/>
      <c r="X30" s="30"/>
      <c r="Y30" s="30"/>
      <c r="Z30" s="30"/>
      <c r="AA30" s="30"/>
      <c r="AB30" s="32"/>
      <c r="AC30" s="32"/>
      <c r="AD30" s="32"/>
      <c r="AE30" s="32"/>
      <c r="AF30" s="32"/>
      <c r="AG30" s="126" t="s">
        <v>808</v>
      </c>
      <c r="AH30" s="125"/>
      <c r="AI30" s="125"/>
      <c r="AJ30" s="125"/>
      <c r="AK30" s="124" t="s">
        <v>807</v>
      </c>
      <c r="AL30" s="124" t="s">
        <v>806</v>
      </c>
      <c r="AM30" s="124" t="s">
        <v>805</v>
      </c>
      <c r="AN30" s="123" t="s">
        <v>804</v>
      </c>
    </row>
    <row r="31" spans="1:40" x14ac:dyDescent="0.15">
      <c r="A31" s="102">
        <v>30</v>
      </c>
      <c r="B31" s="96" t="s">
        <v>803</v>
      </c>
      <c r="C31" s="109">
        <v>1</v>
      </c>
      <c r="D31" s="122">
        <v>2</v>
      </c>
      <c r="E31" s="121" t="s">
        <v>492</v>
      </c>
      <c r="F31" s="30"/>
      <c r="G31" s="97" t="s">
        <v>797</v>
      </c>
      <c r="H31" s="96" t="s">
        <v>796</v>
      </c>
      <c r="I31" s="97" t="s">
        <v>492</v>
      </c>
      <c r="J31" s="97" t="s">
        <v>784</v>
      </c>
      <c r="K31" s="96" t="s">
        <v>783</v>
      </c>
      <c r="L31" s="97" t="s">
        <v>492</v>
      </c>
      <c r="N31" s="107" t="s">
        <v>802</v>
      </c>
      <c r="O31" s="32"/>
      <c r="P31" s="30">
        <v>44</v>
      </c>
      <c r="Q31" s="30">
        <v>4</v>
      </c>
      <c r="R31" s="30">
        <v>22</v>
      </c>
      <c r="S31" s="30">
        <v>11</v>
      </c>
      <c r="T31" s="30">
        <v>19</v>
      </c>
      <c r="U31" s="214">
        <f t="shared" si="0"/>
        <v>100</v>
      </c>
      <c r="V31" s="30"/>
      <c r="W31" s="30"/>
      <c r="X31" s="30"/>
      <c r="Y31" s="30"/>
      <c r="Z31" s="30"/>
      <c r="AA31" s="30"/>
      <c r="AB31" s="32"/>
      <c r="AC31" s="32"/>
      <c r="AD31" s="32"/>
      <c r="AE31" s="32"/>
      <c r="AF31" s="32"/>
      <c r="AG31" s="120" t="s">
        <v>801</v>
      </c>
      <c r="AH31" s="57"/>
      <c r="AI31" s="57"/>
      <c r="AJ31" s="57"/>
      <c r="AK31" s="61" t="s">
        <v>800</v>
      </c>
      <c r="AL31" s="61" t="s">
        <v>588</v>
      </c>
      <c r="AM31" s="61" t="s">
        <v>583</v>
      </c>
      <c r="AN31" s="106" t="s">
        <v>799</v>
      </c>
    </row>
    <row r="32" spans="1:40" ht="12" thickBot="1" x14ac:dyDescent="0.2">
      <c r="A32" s="93">
        <v>31</v>
      </c>
      <c r="B32" s="61" t="s">
        <v>798</v>
      </c>
      <c r="C32" s="65">
        <v>2</v>
      </c>
      <c r="D32" s="64">
        <v>2</v>
      </c>
      <c r="E32" s="37" t="s">
        <v>492</v>
      </c>
      <c r="F32" s="30"/>
      <c r="G32" s="49" t="s">
        <v>797</v>
      </c>
      <c r="H32" s="61" t="s">
        <v>796</v>
      </c>
      <c r="I32" s="49" t="s">
        <v>492</v>
      </c>
      <c r="J32" s="49" t="s">
        <v>784</v>
      </c>
      <c r="K32" s="61" t="s">
        <v>783</v>
      </c>
      <c r="L32" s="49" t="s">
        <v>492</v>
      </c>
      <c r="N32" s="106" t="s">
        <v>795</v>
      </c>
      <c r="O32" s="32"/>
      <c r="P32" s="30">
        <v>45</v>
      </c>
      <c r="Q32" s="30">
        <v>22</v>
      </c>
      <c r="R32" s="30">
        <v>4</v>
      </c>
      <c r="S32" s="30">
        <v>14</v>
      </c>
      <c r="T32" s="30">
        <v>15</v>
      </c>
      <c r="U32" s="214">
        <f t="shared" si="0"/>
        <v>100</v>
      </c>
      <c r="V32" s="30"/>
      <c r="W32" s="30"/>
      <c r="X32" s="30"/>
      <c r="Y32" s="30"/>
      <c r="Z32" s="30"/>
      <c r="AA32" s="30"/>
      <c r="AB32" s="32"/>
      <c r="AC32" s="32"/>
      <c r="AD32" s="32"/>
      <c r="AE32" s="32"/>
      <c r="AF32" s="32"/>
      <c r="AG32" s="119"/>
      <c r="AH32" s="118"/>
      <c r="AI32" s="118"/>
      <c r="AJ32" s="118"/>
      <c r="AK32" s="76" t="s">
        <v>794</v>
      </c>
      <c r="AL32" s="76" t="s">
        <v>793</v>
      </c>
      <c r="AM32" s="76" t="s">
        <v>792</v>
      </c>
      <c r="AN32" s="103" t="s">
        <v>791</v>
      </c>
    </row>
    <row r="33" spans="1:40" ht="11.25" customHeight="1" x14ac:dyDescent="0.15">
      <c r="A33" s="93">
        <v>32</v>
      </c>
      <c r="B33" s="61" t="s">
        <v>790</v>
      </c>
      <c r="C33" s="65">
        <v>2</v>
      </c>
      <c r="D33" s="62">
        <v>4</v>
      </c>
      <c r="E33" s="37" t="s">
        <v>492</v>
      </c>
      <c r="F33" s="30"/>
      <c r="G33" s="67" t="s">
        <v>789</v>
      </c>
      <c r="H33" s="61" t="s">
        <v>788</v>
      </c>
      <c r="I33" s="49" t="s">
        <v>492</v>
      </c>
      <c r="J33" s="49" t="s">
        <v>787</v>
      </c>
      <c r="K33" s="61" t="s">
        <v>786</v>
      </c>
      <c r="L33" s="49" t="s">
        <v>496</v>
      </c>
      <c r="N33" s="106"/>
      <c r="O33" s="32"/>
      <c r="P33" s="30">
        <v>40</v>
      </c>
      <c r="Q33" s="30">
        <v>22</v>
      </c>
      <c r="R33" s="30">
        <v>5</v>
      </c>
      <c r="S33" s="30">
        <v>21</v>
      </c>
      <c r="T33" s="30">
        <v>12</v>
      </c>
      <c r="U33" s="214">
        <f t="shared" si="0"/>
        <v>100</v>
      </c>
      <c r="V33" s="30"/>
      <c r="W33" s="30"/>
      <c r="X33" s="30"/>
      <c r="Y33" s="30"/>
      <c r="Z33" s="30"/>
      <c r="AA33" s="30"/>
      <c r="AB33" s="32"/>
      <c r="AC33" s="32"/>
      <c r="AD33" s="32"/>
      <c r="AE33" s="32"/>
      <c r="AF33" s="32"/>
    </row>
    <row r="34" spans="1:40" ht="12" thickBot="1" x14ac:dyDescent="0.2">
      <c r="A34" s="82">
        <v>33</v>
      </c>
      <c r="B34" s="76" t="s">
        <v>785</v>
      </c>
      <c r="C34" s="80">
        <v>1</v>
      </c>
      <c r="D34" s="79">
        <v>2</v>
      </c>
      <c r="E34" s="104" t="s">
        <v>492</v>
      </c>
      <c r="F34" s="30"/>
      <c r="G34" s="77" t="s">
        <v>784</v>
      </c>
      <c r="H34" s="76" t="s">
        <v>783</v>
      </c>
      <c r="I34" s="77" t="s">
        <v>492</v>
      </c>
      <c r="J34" s="77" t="s">
        <v>677</v>
      </c>
      <c r="K34" s="76" t="s">
        <v>676</v>
      </c>
      <c r="L34" s="77" t="s">
        <v>494</v>
      </c>
      <c r="N34" s="103" t="s">
        <v>782</v>
      </c>
      <c r="O34" s="32"/>
      <c r="P34" s="30">
        <v>39</v>
      </c>
      <c r="Q34" s="30">
        <v>4</v>
      </c>
      <c r="R34" s="30">
        <v>21</v>
      </c>
      <c r="S34" s="30">
        <v>14</v>
      </c>
      <c r="T34" s="30">
        <v>22</v>
      </c>
      <c r="U34" s="214">
        <f t="shared" si="0"/>
        <v>100</v>
      </c>
      <c r="V34" s="30"/>
      <c r="W34" s="30"/>
      <c r="X34" s="30"/>
      <c r="Y34" s="30"/>
      <c r="Z34" s="30"/>
      <c r="AA34" s="30"/>
      <c r="AB34" s="32"/>
      <c r="AC34" s="32"/>
      <c r="AD34" s="32"/>
      <c r="AE34" s="32"/>
      <c r="AF34" s="32"/>
      <c r="AG34" s="59"/>
      <c r="AH34" s="59"/>
      <c r="AI34" s="59"/>
      <c r="AJ34" s="59"/>
      <c r="AK34" s="59"/>
      <c r="AL34" s="59"/>
      <c r="AM34" s="59"/>
      <c r="AN34" s="59"/>
    </row>
    <row r="35" spans="1:40" ht="11.25" customHeight="1" x14ac:dyDescent="0.15">
      <c r="A35" s="102">
        <v>34</v>
      </c>
      <c r="B35" s="101" t="s">
        <v>173</v>
      </c>
      <c r="C35" s="109">
        <v>1</v>
      </c>
      <c r="D35" s="99">
        <v>4</v>
      </c>
      <c r="E35" s="97" t="s">
        <v>498</v>
      </c>
      <c r="F35" s="30"/>
      <c r="G35" s="116" t="s">
        <v>781</v>
      </c>
      <c r="H35" s="96" t="s">
        <v>780</v>
      </c>
      <c r="I35" s="97" t="s">
        <v>498</v>
      </c>
      <c r="J35" s="97" t="s">
        <v>779</v>
      </c>
      <c r="K35" s="96" t="s">
        <v>737</v>
      </c>
      <c r="L35" s="97" t="s">
        <v>539</v>
      </c>
      <c r="N35" s="114"/>
      <c r="O35" s="32"/>
      <c r="P35" s="30">
        <v>40</v>
      </c>
      <c r="Q35" s="30">
        <v>5</v>
      </c>
      <c r="R35" s="30">
        <v>22</v>
      </c>
      <c r="S35" s="30">
        <v>12</v>
      </c>
      <c r="T35" s="30">
        <v>21</v>
      </c>
      <c r="U35" s="214">
        <f t="shared" si="0"/>
        <v>100</v>
      </c>
      <c r="V35" s="30"/>
      <c r="W35" s="30"/>
      <c r="X35" s="30"/>
      <c r="Y35" s="30"/>
      <c r="Z35" s="30"/>
      <c r="AA35" s="30"/>
      <c r="AB35" s="32"/>
      <c r="AC35" s="32"/>
      <c r="AD35" s="32"/>
      <c r="AE35" s="32"/>
      <c r="AF35" s="32"/>
      <c r="AG35" s="59"/>
      <c r="AH35" s="59"/>
      <c r="AI35" s="59"/>
      <c r="AJ35" s="59"/>
      <c r="AK35" s="59"/>
      <c r="AL35" s="59"/>
      <c r="AM35" s="59"/>
      <c r="AN35" s="59"/>
    </row>
    <row r="36" spans="1:40" ht="11.25" customHeight="1" x14ac:dyDescent="0.15">
      <c r="A36" s="93">
        <v>35</v>
      </c>
      <c r="B36" s="87" t="s">
        <v>176</v>
      </c>
      <c r="C36" s="63">
        <v>1</v>
      </c>
      <c r="D36" s="66">
        <v>3</v>
      </c>
      <c r="E36" s="49" t="s">
        <v>499</v>
      </c>
      <c r="F36" s="30"/>
      <c r="G36" s="49" t="s">
        <v>778</v>
      </c>
      <c r="H36" s="61" t="s">
        <v>777</v>
      </c>
      <c r="I36" s="49" t="s">
        <v>499</v>
      </c>
      <c r="J36" s="49" t="s">
        <v>663</v>
      </c>
      <c r="K36" s="61" t="s">
        <v>776</v>
      </c>
      <c r="L36" s="49" t="s">
        <v>539</v>
      </c>
      <c r="N36" s="113" t="s">
        <v>775</v>
      </c>
      <c r="O36" s="32"/>
      <c r="P36" s="30">
        <v>35</v>
      </c>
      <c r="Q36" s="30">
        <v>4</v>
      </c>
      <c r="R36" s="30">
        <v>24</v>
      </c>
      <c r="S36" s="30">
        <v>17</v>
      </c>
      <c r="T36" s="30">
        <v>20</v>
      </c>
      <c r="U36" s="214">
        <f t="shared" si="0"/>
        <v>100</v>
      </c>
      <c r="V36" s="30"/>
      <c r="W36" s="30"/>
      <c r="X36" s="30"/>
      <c r="Y36" s="30"/>
      <c r="Z36" s="30"/>
      <c r="AA36" s="30"/>
      <c r="AB36" s="32"/>
      <c r="AC36" s="32"/>
      <c r="AD36" s="32"/>
      <c r="AE36" s="32"/>
      <c r="AF36" s="32"/>
      <c r="AG36" s="59"/>
      <c r="AH36" s="59"/>
      <c r="AI36" s="59"/>
      <c r="AJ36" s="59"/>
      <c r="AK36" s="59"/>
      <c r="AL36" s="59"/>
      <c r="AM36" s="59"/>
      <c r="AN36" s="59"/>
    </row>
    <row r="37" spans="1:40" ht="11.25" customHeight="1" x14ac:dyDescent="0.15">
      <c r="A37" s="93">
        <v>36</v>
      </c>
      <c r="B37" s="87" t="s">
        <v>179</v>
      </c>
      <c r="C37" s="65">
        <v>2</v>
      </c>
      <c r="D37" s="66">
        <v>3</v>
      </c>
      <c r="E37" s="49" t="s">
        <v>496</v>
      </c>
      <c r="F37" s="30"/>
      <c r="G37" s="49" t="s">
        <v>774</v>
      </c>
      <c r="H37" s="61" t="s">
        <v>773</v>
      </c>
      <c r="I37" s="49" t="s">
        <v>496</v>
      </c>
      <c r="J37" s="49" t="s">
        <v>638</v>
      </c>
      <c r="K37" s="61" t="s">
        <v>637</v>
      </c>
      <c r="L37" s="49" t="s">
        <v>539</v>
      </c>
      <c r="N37" s="113" t="s">
        <v>772</v>
      </c>
      <c r="O37" s="32"/>
      <c r="P37" s="30">
        <v>37</v>
      </c>
      <c r="Q37" s="30">
        <v>22</v>
      </c>
      <c r="R37" s="30">
        <v>4</v>
      </c>
      <c r="S37" s="30">
        <v>17</v>
      </c>
      <c r="T37" s="30">
        <v>20</v>
      </c>
      <c r="U37" s="214">
        <f t="shared" si="0"/>
        <v>100</v>
      </c>
      <c r="V37" s="30"/>
      <c r="W37" s="30"/>
      <c r="X37" s="30"/>
      <c r="Y37" s="30"/>
      <c r="Z37" s="30"/>
      <c r="AA37" s="30"/>
      <c r="AB37" s="32"/>
      <c r="AC37" s="32"/>
      <c r="AD37" s="32"/>
      <c r="AE37" s="32"/>
      <c r="AF37" s="32"/>
      <c r="AH37" s="60"/>
      <c r="AI37" s="57"/>
      <c r="AJ37" s="60"/>
    </row>
    <row r="38" spans="1:40" ht="11.25" customHeight="1" x14ac:dyDescent="0.15">
      <c r="A38" s="93">
        <v>37</v>
      </c>
      <c r="B38" s="87" t="s">
        <v>182</v>
      </c>
      <c r="C38" s="63">
        <v>1</v>
      </c>
      <c r="D38" s="62">
        <v>4</v>
      </c>
      <c r="E38" s="49" t="s">
        <v>499</v>
      </c>
      <c r="F38" s="30"/>
      <c r="G38" s="67" t="s">
        <v>771</v>
      </c>
      <c r="H38" s="61" t="s">
        <v>770</v>
      </c>
      <c r="I38" s="49" t="s">
        <v>499</v>
      </c>
      <c r="J38" s="49" t="s">
        <v>769</v>
      </c>
      <c r="K38" s="61" t="s">
        <v>768</v>
      </c>
      <c r="L38" s="49" t="s">
        <v>499</v>
      </c>
      <c r="N38" s="113" t="s">
        <v>767</v>
      </c>
      <c r="O38" s="32"/>
      <c r="P38" s="30">
        <v>37</v>
      </c>
      <c r="Q38" s="30">
        <v>4</v>
      </c>
      <c r="R38" s="30">
        <v>22</v>
      </c>
      <c r="S38" s="30">
        <v>17</v>
      </c>
      <c r="T38" s="30">
        <v>20</v>
      </c>
      <c r="U38" s="214">
        <f t="shared" si="0"/>
        <v>100</v>
      </c>
      <c r="V38" s="30"/>
      <c r="W38" s="30"/>
      <c r="X38" s="30"/>
      <c r="Y38" s="30"/>
      <c r="Z38" s="30"/>
      <c r="AA38" s="30"/>
      <c r="AB38" s="32"/>
      <c r="AC38" s="32"/>
      <c r="AD38" s="32"/>
      <c r="AE38" s="32"/>
      <c r="AF38" s="32"/>
    </row>
    <row r="39" spans="1:40" ht="11.25" customHeight="1" x14ac:dyDescent="0.15">
      <c r="A39" s="93">
        <v>38</v>
      </c>
      <c r="B39" s="87" t="s">
        <v>185</v>
      </c>
      <c r="C39" s="65">
        <v>2</v>
      </c>
      <c r="D39" s="66">
        <v>3</v>
      </c>
      <c r="E39" s="49" t="s">
        <v>499</v>
      </c>
      <c r="F39" s="30"/>
      <c r="G39" s="49" t="s">
        <v>766</v>
      </c>
      <c r="H39" s="61" t="s">
        <v>765</v>
      </c>
      <c r="I39" s="49" t="s">
        <v>539</v>
      </c>
      <c r="J39" s="49" t="s">
        <v>632</v>
      </c>
      <c r="K39" s="61" t="s">
        <v>764</v>
      </c>
      <c r="L39" s="49" t="s">
        <v>539</v>
      </c>
      <c r="N39" s="113" t="s">
        <v>763</v>
      </c>
      <c r="O39" s="32"/>
      <c r="P39" s="30">
        <v>39</v>
      </c>
      <c r="Q39" s="30">
        <v>21</v>
      </c>
      <c r="R39" s="30">
        <v>4</v>
      </c>
      <c r="S39" s="30">
        <v>22</v>
      </c>
      <c r="T39" s="30">
        <v>14</v>
      </c>
      <c r="U39" s="214">
        <f t="shared" si="0"/>
        <v>100</v>
      </c>
      <c r="V39" s="30"/>
      <c r="W39" s="30"/>
      <c r="X39" s="30"/>
      <c r="Y39" s="30"/>
      <c r="Z39" s="30"/>
      <c r="AA39" s="30"/>
      <c r="AB39" s="32"/>
      <c r="AC39" s="32"/>
      <c r="AD39" s="32"/>
      <c r="AE39" s="32"/>
      <c r="AF39" s="32"/>
    </row>
    <row r="40" spans="1:40" ht="11.25" customHeight="1" x14ac:dyDescent="0.15">
      <c r="A40" s="93">
        <v>39</v>
      </c>
      <c r="B40" s="87" t="s">
        <v>188</v>
      </c>
      <c r="C40" s="63">
        <v>1</v>
      </c>
      <c r="D40" s="92">
        <v>1</v>
      </c>
      <c r="E40" s="49" t="s">
        <v>500</v>
      </c>
      <c r="F40" s="30"/>
      <c r="G40" s="49" t="s">
        <v>762</v>
      </c>
      <c r="H40" s="61" t="s">
        <v>761</v>
      </c>
      <c r="I40" s="49" t="s">
        <v>500</v>
      </c>
      <c r="J40" s="49" t="s">
        <v>760</v>
      </c>
      <c r="K40" s="61" t="s">
        <v>759</v>
      </c>
      <c r="L40" s="49" t="s">
        <v>539</v>
      </c>
      <c r="N40" s="113"/>
      <c r="O40" s="32"/>
      <c r="P40" s="30">
        <v>45</v>
      </c>
      <c r="Q40" s="30">
        <v>5</v>
      </c>
      <c r="R40" s="30">
        <v>7</v>
      </c>
      <c r="S40" s="30">
        <v>20</v>
      </c>
      <c r="T40" s="30">
        <v>23</v>
      </c>
      <c r="U40" s="214">
        <f t="shared" si="0"/>
        <v>100</v>
      </c>
      <c r="V40" s="30"/>
      <c r="W40" s="30"/>
      <c r="X40" s="30"/>
      <c r="Y40" s="30"/>
      <c r="Z40" s="30"/>
      <c r="AA40" s="30"/>
      <c r="AB40" s="32"/>
      <c r="AC40" s="32"/>
      <c r="AD40" s="32"/>
      <c r="AE40" s="32"/>
      <c r="AF40" s="32"/>
    </row>
    <row r="41" spans="1:40" x14ac:dyDescent="0.15">
      <c r="A41" s="93">
        <v>40</v>
      </c>
      <c r="B41" s="87" t="s">
        <v>191</v>
      </c>
      <c r="C41" s="65">
        <v>2</v>
      </c>
      <c r="D41" s="64">
        <v>2</v>
      </c>
      <c r="E41" s="49" t="s">
        <v>496</v>
      </c>
      <c r="F41" s="30"/>
      <c r="G41" s="49" t="s">
        <v>755</v>
      </c>
      <c r="H41" s="61" t="s">
        <v>744</v>
      </c>
      <c r="I41" s="49" t="s">
        <v>496</v>
      </c>
      <c r="J41" s="49" t="s">
        <v>758</v>
      </c>
      <c r="K41" s="61" t="s">
        <v>757</v>
      </c>
      <c r="L41" s="49" t="s">
        <v>539</v>
      </c>
      <c r="N41" s="113" t="s">
        <v>756</v>
      </c>
      <c r="O41" s="32"/>
      <c r="P41" s="30">
        <v>35</v>
      </c>
      <c r="Q41" s="30">
        <v>21</v>
      </c>
      <c r="R41" s="30">
        <v>6</v>
      </c>
      <c r="S41" s="30">
        <v>18</v>
      </c>
      <c r="T41" s="30">
        <v>20</v>
      </c>
      <c r="U41" s="214">
        <f t="shared" si="0"/>
        <v>100</v>
      </c>
      <c r="V41" s="30"/>
      <c r="W41" s="30"/>
      <c r="X41" s="30"/>
      <c r="Y41" s="30"/>
      <c r="Z41" s="30"/>
      <c r="AA41" s="30"/>
      <c r="AB41" s="32"/>
      <c r="AC41" s="32"/>
      <c r="AD41" s="32"/>
      <c r="AE41" s="32"/>
      <c r="AF41" s="32"/>
    </row>
    <row r="42" spans="1:40" ht="12" thickBot="1" x14ac:dyDescent="0.2">
      <c r="A42" s="82">
        <v>41</v>
      </c>
      <c r="B42" s="112" t="s">
        <v>194</v>
      </c>
      <c r="C42" s="80">
        <v>1</v>
      </c>
      <c r="D42" s="79">
        <v>2</v>
      </c>
      <c r="E42" s="77" t="s">
        <v>496</v>
      </c>
      <c r="F42" s="30"/>
      <c r="G42" s="77" t="s">
        <v>755</v>
      </c>
      <c r="H42" s="76" t="s">
        <v>744</v>
      </c>
      <c r="I42" s="77" t="s">
        <v>496</v>
      </c>
      <c r="J42" s="77" t="s">
        <v>754</v>
      </c>
      <c r="K42" s="76" t="s">
        <v>753</v>
      </c>
      <c r="L42" s="77" t="s">
        <v>496</v>
      </c>
      <c r="N42" s="110" t="s">
        <v>752</v>
      </c>
      <c r="O42" s="32"/>
      <c r="P42" s="30">
        <v>35</v>
      </c>
      <c r="Q42" s="30">
        <v>6</v>
      </c>
      <c r="R42" s="30">
        <v>21</v>
      </c>
      <c r="S42" s="30">
        <v>18</v>
      </c>
      <c r="T42" s="30">
        <v>20</v>
      </c>
      <c r="U42" s="214">
        <f t="shared" si="0"/>
        <v>100</v>
      </c>
      <c r="V42" s="30"/>
      <c r="W42" s="30"/>
      <c r="X42" s="30"/>
      <c r="Y42" s="30"/>
      <c r="Z42" s="30"/>
      <c r="AA42" s="30"/>
      <c r="AB42" s="32"/>
      <c r="AC42" s="32"/>
      <c r="AD42" s="32"/>
      <c r="AE42" s="32"/>
      <c r="AF42" s="32"/>
    </row>
    <row r="43" spans="1:40" ht="11.25" customHeight="1" x14ac:dyDescent="0.15">
      <c r="A43" s="102">
        <v>42</v>
      </c>
      <c r="B43" s="101" t="s">
        <v>197</v>
      </c>
      <c r="C43" s="100">
        <v>2</v>
      </c>
      <c r="D43" s="117">
        <v>1</v>
      </c>
      <c r="E43" s="97" t="s">
        <v>499</v>
      </c>
      <c r="F43" s="30"/>
      <c r="G43" s="97" t="s">
        <v>751</v>
      </c>
      <c r="H43" s="96" t="s">
        <v>744</v>
      </c>
      <c r="I43" s="97" t="s">
        <v>499</v>
      </c>
      <c r="J43" s="97" t="s">
        <v>736</v>
      </c>
      <c r="K43" s="96" t="s">
        <v>750</v>
      </c>
      <c r="L43" s="97" t="s">
        <v>539</v>
      </c>
      <c r="N43" s="114" t="s">
        <v>749</v>
      </c>
      <c r="O43" s="32"/>
      <c r="P43" s="30">
        <v>50</v>
      </c>
      <c r="Q43" s="30">
        <v>6</v>
      </c>
      <c r="R43" s="30">
        <v>6</v>
      </c>
      <c r="S43" s="30">
        <v>15</v>
      </c>
      <c r="T43" s="30">
        <v>23</v>
      </c>
      <c r="U43" s="214">
        <f t="shared" si="0"/>
        <v>100</v>
      </c>
      <c r="V43" s="30"/>
      <c r="W43" s="30"/>
      <c r="X43" s="30"/>
      <c r="Y43" s="30"/>
      <c r="Z43" s="30"/>
      <c r="AA43" s="30"/>
      <c r="AB43" s="32"/>
      <c r="AC43" s="32"/>
      <c r="AD43" s="32"/>
      <c r="AE43" s="32"/>
      <c r="AF43" s="32"/>
    </row>
    <row r="44" spans="1:40" ht="11.25" customHeight="1" x14ac:dyDescent="0.15">
      <c r="A44" s="93">
        <v>43</v>
      </c>
      <c r="B44" s="87" t="s">
        <v>200</v>
      </c>
      <c r="C44" s="63">
        <v>1</v>
      </c>
      <c r="D44" s="92">
        <v>1</v>
      </c>
      <c r="E44" s="49" t="s">
        <v>497</v>
      </c>
      <c r="F44" s="30"/>
      <c r="G44" s="49" t="s">
        <v>748</v>
      </c>
      <c r="H44" s="61" t="s">
        <v>747</v>
      </c>
      <c r="I44" s="49" t="s">
        <v>497</v>
      </c>
      <c r="J44" s="49" t="s">
        <v>736</v>
      </c>
      <c r="K44" s="61" t="s">
        <v>746</v>
      </c>
      <c r="L44" s="49" t="s">
        <v>539</v>
      </c>
      <c r="N44" s="113"/>
      <c r="O44" s="32"/>
      <c r="P44" s="30">
        <v>50</v>
      </c>
      <c r="Q44" s="30">
        <v>5</v>
      </c>
      <c r="R44" s="30">
        <v>7</v>
      </c>
      <c r="S44" s="30">
        <v>15</v>
      </c>
      <c r="T44" s="30">
        <v>23</v>
      </c>
      <c r="U44" s="214">
        <f t="shared" si="0"/>
        <v>100</v>
      </c>
      <c r="V44" s="30"/>
      <c r="W44" s="30"/>
      <c r="X44" s="30"/>
      <c r="Y44" s="30"/>
      <c r="Z44" s="30"/>
      <c r="AA44" s="30"/>
      <c r="AB44" s="32"/>
      <c r="AC44" s="32"/>
      <c r="AD44" s="32"/>
      <c r="AE44" s="32"/>
      <c r="AF44" s="32"/>
    </row>
    <row r="45" spans="1:40" x14ac:dyDescent="0.15">
      <c r="A45" s="93">
        <v>44</v>
      </c>
      <c r="B45" s="87" t="s">
        <v>203</v>
      </c>
      <c r="C45" s="65">
        <v>2</v>
      </c>
      <c r="D45" s="92">
        <v>1</v>
      </c>
      <c r="E45" s="49" t="s">
        <v>500</v>
      </c>
      <c r="F45" s="30"/>
      <c r="G45" s="49" t="s">
        <v>745</v>
      </c>
      <c r="H45" s="61" t="s">
        <v>744</v>
      </c>
      <c r="I45" s="49" t="s">
        <v>500</v>
      </c>
      <c r="J45" s="49" t="s">
        <v>736</v>
      </c>
      <c r="K45" s="61" t="s">
        <v>743</v>
      </c>
      <c r="L45" s="49" t="s">
        <v>539</v>
      </c>
      <c r="N45" s="113"/>
      <c r="O45" s="32"/>
      <c r="P45" s="30">
        <v>50</v>
      </c>
      <c r="Q45" s="30">
        <v>7</v>
      </c>
      <c r="R45" s="30">
        <v>5</v>
      </c>
      <c r="S45" s="30">
        <v>15</v>
      </c>
      <c r="T45" s="30">
        <v>23</v>
      </c>
      <c r="U45" s="214">
        <f t="shared" si="0"/>
        <v>100</v>
      </c>
      <c r="V45" s="30"/>
      <c r="W45" s="30"/>
      <c r="X45" s="30"/>
      <c r="Y45" s="30"/>
      <c r="Z45" s="30"/>
      <c r="AA45" s="30"/>
      <c r="AB45" s="32"/>
      <c r="AC45" s="32"/>
      <c r="AD45" s="32"/>
      <c r="AE45" s="32"/>
      <c r="AF45" s="32"/>
    </row>
    <row r="46" spans="1:40" x14ac:dyDescent="0.15">
      <c r="A46" s="93">
        <v>45</v>
      </c>
      <c r="B46" s="87" t="s">
        <v>206</v>
      </c>
      <c r="C46" s="65">
        <v>2</v>
      </c>
      <c r="D46" s="64">
        <v>2</v>
      </c>
      <c r="E46" s="49" t="s">
        <v>498</v>
      </c>
      <c r="F46" s="30"/>
      <c r="G46" s="49" t="s">
        <v>660</v>
      </c>
      <c r="H46" s="61" t="s">
        <v>742</v>
      </c>
      <c r="I46" s="49" t="s">
        <v>498</v>
      </c>
      <c r="J46" s="49" t="s">
        <v>741</v>
      </c>
      <c r="K46" s="61" t="s">
        <v>740</v>
      </c>
      <c r="L46" s="49" t="s">
        <v>539</v>
      </c>
      <c r="N46" s="113" t="s">
        <v>739</v>
      </c>
      <c r="O46" s="32"/>
      <c r="P46" s="30">
        <v>30</v>
      </c>
      <c r="Q46" s="30">
        <v>29</v>
      </c>
      <c r="R46" s="30">
        <v>6</v>
      </c>
      <c r="S46" s="30">
        <v>20</v>
      </c>
      <c r="T46" s="30">
        <v>15</v>
      </c>
      <c r="U46" s="214">
        <f t="shared" si="0"/>
        <v>100</v>
      </c>
      <c r="V46" s="30"/>
      <c r="W46" s="30"/>
      <c r="X46" s="30"/>
      <c r="Y46" s="30"/>
      <c r="Z46" s="30"/>
      <c r="AA46" s="30"/>
      <c r="AB46" s="32"/>
      <c r="AC46" s="32"/>
      <c r="AD46" s="32"/>
      <c r="AE46" s="32"/>
      <c r="AF46" s="32"/>
    </row>
    <row r="47" spans="1:40" ht="11.25" customHeight="1" x14ac:dyDescent="0.15">
      <c r="A47" s="93">
        <v>46</v>
      </c>
      <c r="B47" s="87" t="s">
        <v>209</v>
      </c>
      <c r="C47" s="63">
        <v>1</v>
      </c>
      <c r="D47" s="92">
        <v>1</v>
      </c>
      <c r="E47" s="49" t="s">
        <v>496</v>
      </c>
      <c r="F47" s="30"/>
      <c r="G47" s="49" t="s">
        <v>738</v>
      </c>
      <c r="H47" s="61" t="s">
        <v>737</v>
      </c>
      <c r="I47" s="49" t="s">
        <v>496</v>
      </c>
      <c r="J47" s="49" t="s">
        <v>736</v>
      </c>
      <c r="K47" s="61" t="s">
        <v>735</v>
      </c>
      <c r="L47" s="49" t="s">
        <v>539</v>
      </c>
      <c r="N47" s="113" t="s">
        <v>734</v>
      </c>
      <c r="O47" s="32"/>
      <c r="P47" s="30">
        <v>50</v>
      </c>
      <c r="Q47" s="30">
        <v>4</v>
      </c>
      <c r="R47" s="30">
        <v>14</v>
      </c>
      <c r="S47" s="30">
        <v>15</v>
      </c>
      <c r="T47" s="30">
        <v>17</v>
      </c>
      <c r="U47" s="214">
        <f t="shared" si="0"/>
        <v>100</v>
      </c>
      <c r="V47" s="30"/>
      <c r="W47" s="30"/>
      <c r="X47" s="30"/>
      <c r="Y47" s="30"/>
      <c r="Z47" s="30"/>
      <c r="AA47" s="30"/>
      <c r="AB47" s="32"/>
      <c r="AC47" s="32"/>
      <c r="AD47" s="32"/>
      <c r="AE47" s="32"/>
      <c r="AF47" s="32"/>
    </row>
    <row r="48" spans="1:40" ht="11.25" customHeight="1" x14ac:dyDescent="0.15">
      <c r="A48" s="93">
        <v>47</v>
      </c>
      <c r="B48" s="87" t="s">
        <v>1147</v>
      </c>
      <c r="C48" s="65">
        <v>2</v>
      </c>
      <c r="D48" s="62">
        <v>4</v>
      </c>
      <c r="E48" s="49" t="s">
        <v>496</v>
      </c>
      <c r="F48" s="30"/>
      <c r="G48" s="49" t="s">
        <v>733</v>
      </c>
      <c r="H48" s="61" t="s">
        <v>732</v>
      </c>
      <c r="I48" s="49" t="s">
        <v>496</v>
      </c>
      <c r="J48" s="49" t="s">
        <v>731</v>
      </c>
      <c r="K48" s="61" t="s">
        <v>619</v>
      </c>
      <c r="L48" s="49" t="s">
        <v>498</v>
      </c>
      <c r="N48" s="113"/>
      <c r="O48" s="32"/>
      <c r="P48" s="30">
        <v>40</v>
      </c>
      <c r="Q48" s="30">
        <v>22</v>
      </c>
      <c r="R48" s="30">
        <v>5</v>
      </c>
      <c r="S48" s="30">
        <v>21</v>
      </c>
      <c r="T48" s="30">
        <v>12</v>
      </c>
      <c r="U48" s="214">
        <f t="shared" si="0"/>
        <v>100</v>
      </c>
      <c r="V48" s="30"/>
      <c r="W48" s="30"/>
      <c r="X48" s="30"/>
      <c r="Y48" s="30"/>
      <c r="Z48" s="30"/>
      <c r="AA48" s="30"/>
      <c r="AB48" s="32"/>
      <c r="AC48" s="32"/>
      <c r="AD48" s="32"/>
      <c r="AE48" s="32"/>
      <c r="AF48" s="32"/>
    </row>
    <row r="49" spans="1:32" ht="11.25" customHeight="1" x14ac:dyDescent="0.15">
      <c r="A49" s="93">
        <v>48</v>
      </c>
      <c r="B49" s="87" t="s">
        <v>214</v>
      </c>
      <c r="C49" s="65">
        <v>2</v>
      </c>
      <c r="D49" s="62">
        <v>4</v>
      </c>
      <c r="E49" s="49" t="s">
        <v>498</v>
      </c>
      <c r="F49" s="30"/>
      <c r="G49" s="49" t="s">
        <v>696</v>
      </c>
      <c r="H49" s="61" t="s">
        <v>730</v>
      </c>
      <c r="I49" s="49" t="s">
        <v>498</v>
      </c>
      <c r="J49" s="49" t="s">
        <v>694</v>
      </c>
      <c r="K49" s="61" t="s">
        <v>729</v>
      </c>
      <c r="L49" s="49" t="s">
        <v>498</v>
      </c>
      <c r="N49" s="113" t="s">
        <v>728</v>
      </c>
      <c r="O49" s="32"/>
      <c r="P49" s="30">
        <v>35</v>
      </c>
      <c r="Q49" s="30">
        <v>21</v>
      </c>
      <c r="R49" s="30">
        <v>7</v>
      </c>
      <c r="S49" s="30">
        <v>17</v>
      </c>
      <c r="T49" s="30">
        <v>20</v>
      </c>
      <c r="U49" s="214">
        <f t="shared" si="0"/>
        <v>100</v>
      </c>
      <c r="V49" s="30"/>
      <c r="W49" s="30"/>
      <c r="X49" s="30"/>
      <c r="Y49" s="30"/>
      <c r="Z49" s="30"/>
      <c r="AA49" s="30"/>
      <c r="AB49" s="32"/>
      <c r="AC49" s="32"/>
      <c r="AD49" s="32"/>
      <c r="AE49" s="32"/>
      <c r="AF49" s="32"/>
    </row>
    <row r="50" spans="1:32" ht="11.25" customHeight="1" x14ac:dyDescent="0.15">
      <c r="A50" s="93">
        <v>49</v>
      </c>
      <c r="B50" s="87" t="s">
        <v>217</v>
      </c>
      <c r="C50" s="63">
        <v>1</v>
      </c>
      <c r="D50" s="62">
        <v>4</v>
      </c>
      <c r="E50" s="49" t="s">
        <v>498</v>
      </c>
      <c r="F50" s="30"/>
      <c r="G50" s="49" t="s">
        <v>696</v>
      </c>
      <c r="H50" s="61" t="s">
        <v>695</v>
      </c>
      <c r="I50" s="49" t="s">
        <v>498</v>
      </c>
      <c r="J50" s="49" t="s">
        <v>694</v>
      </c>
      <c r="K50" s="61" t="s">
        <v>693</v>
      </c>
      <c r="L50" s="49" t="s">
        <v>498</v>
      </c>
      <c r="N50" s="113" t="s">
        <v>727</v>
      </c>
      <c r="O50" s="32"/>
      <c r="P50" s="30">
        <v>35</v>
      </c>
      <c r="Q50" s="30">
        <v>7</v>
      </c>
      <c r="R50" s="30">
        <v>21</v>
      </c>
      <c r="S50" s="30">
        <v>17</v>
      </c>
      <c r="T50" s="30">
        <v>20</v>
      </c>
      <c r="U50" s="214">
        <f t="shared" si="0"/>
        <v>100</v>
      </c>
      <c r="V50" s="30"/>
      <c r="W50" s="30"/>
      <c r="X50" s="30"/>
      <c r="Y50" s="30"/>
      <c r="Z50" s="30"/>
      <c r="AA50" s="30"/>
      <c r="AB50" s="32"/>
      <c r="AC50" s="32"/>
      <c r="AD50" s="32"/>
      <c r="AE50" s="32"/>
      <c r="AF50" s="32"/>
    </row>
    <row r="51" spans="1:32" ht="12" thickBot="1" x14ac:dyDescent="0.2">
      <c r="A51" s="82">
        <v>50</v>
      </c>
      <c r="B51" s="112" t="s">
        <v>220</v>
      </c>
      <c r="C51" s="105">
        <v>2</v>
      </c>
      <c r="D51" s="79">
        <v>2</v>
      </c>
      <c r="E51" s="77" t="s">
        <v>498</v>
      </c>
      <c r="F51" s="30"/>
      <c r="G51" s="77" t="s">
        <v>726</v>
      </c>
      <c r="H51" s="76" t="s">
        <v>619</v>
      </c>
      <c r="I51" s="77" t="s">
        <v>498</v>
      </c>
      <c r="J51" s="77" t="s">
        <v>725</v>
      </c>
      <c r="K51" s="76" t="s">
        <v>724</v>
      </c>
      <c r="L51" s="77" t="s">
        <v>498</v>
      </c>
      <c r="N51" s="110" t="s">
        <v>688</v>
      </c>
      <c r="O51" s="32"/>
      <c r="P51" s="30">
        <v>35</v>
      </c>
      <c r="Q51" s="30">
        <v>24</v>
      </c>
      <c r="R51" s="30">
        <v>4</v>
      </c>
      <c r="S51" s="30">
        <v>17</v>
      </c>
      <c r="T51" s="30">
        <v>20</v>
      </c>
      <c r="U51" s="214">
        <f t="shared" si="0"/>
        <v>100</v>
      </c>
      <c r="V51" s="30"/>
      <c r="W51" s="30"/>
      <c r="X51" s="30"/>
      <c r="Y51" s="30"/>
      <c r="Z51" s="30"/>
      <c r="AA51" s="30"/>
      <c r="AB51" s="32"/>
      <c r="AC51" s="32"/>
      <c r="AD51" s="32"/>
      <c r="AE51" s="32"/>
      <c r="AF51" s="32"/>
    </row>
    <row r="52" spans="1:32" ht="11.25" customHeight="1" x14ac:dyDescent="0.15">
      <c r="A52" s="102">
        <v>51</v>
      </c>
      <c r="B52" s="101" t="s">
        <v>223</v>
      </c>
      <c r="C52" s="63">
        <v>1</v>
      </c>
      <c r="D52" s="117">
        <v>1</v>
      </c>
      <c r="E52" s="97" t="s">
        <v>499</v>
      </c>
      <c r="F52" s="30"/>
      <c r="G52" s="97" t="s">
        <v>723</v>
      </c>
      <c r="H52" s="96" t="s">
        <v>528</v>
      </c>
      <c r="I52" s="97" t="s">
        <v>499</v>
      </c>
      <c r="J52" s="97" t="s">
        <v>722</v>
      </c>
      <c r="K52" s="96" t="s">
        <v>721</v>
      </c>
      <c r="L52" s="97" t="s">
        <v>539</v>
      </c>
      <c r="N52" s="114" t="s">
        <v>720</v>
      </c>
      <c r="O52" s="32"/>
      <c r="P52" s="30">
        <v>50</v>
      </c>
      <c r="Q52" s="30">
        <v>4</v>
      </c>
      <c r="R52" s="30">
        <v>5</v>
      </c>
      <c r="S52" s="30">
        <v>20</v>
      </c>
      <c r="T52" s="30">
        <v>21</v>
      </c>
      <c r="U52" s="214">
        <f t="shared" si="0"/>
        <v>100</v>
      </c>
      <c r="V52" s="30"/>
      <c r="W52" s="30"/>
      <c r="X52" s="30"/>
      <c r="Y52" s="30"/>
      <c r="Z52" s="30"/>
      <c r="AA52" s="30"/>
      <c r="AB52" s="32"/>
      <c r="AC52" s="32"/>
      <c r="AD52" s="32"/>
      <c r="AE52" s="32"/>
      <c r="AF52" s="32"/>
    </row>
    <row r="53" spans="1:32" ht="11.25" customHeight="1" x14ac:dyDescent="0.15">
      <c r="A53" s="93">
        <v>52</v>
      </c>
      <c r="B53" s="87" t="s">
        <v>226</v>
      </c>
      <c r="C53" s="63">
        <v>1</v>
      </c>
      <c r="D53" s="62">
        <v>4</v>
      </c>
      <c r="E53" s="49" t="s">
        <v>497</v>
      </c>
      <c r="F53" s="30"/>
      <c r="G53" s="67" t="s">
        <v>719</v>
      </c>
      <c r="H53" s="61" t="s">
        <v>708</v>
      </c>
      <c r="I53" s="49" t="s">
        <v>497</v>
      </c>
      <c r="J53" s="49" t="s">
        <v>718</v>
      </c>
      <c r="K53" s="61" t="s">
        <v>717</v>
      </c>
      <c r="L53" s="49" t="s">
        <v>539</v>
      </c>
      <c r="N53" s="113"/>
      <c r="O53" s="32"/>
      <c r="P53" s="30">
        <v>40</v>
      </c>
      <c r="Q53" s="30">
        <v>5</v>
      </c>
      <c r="R53" s="30">
        <v>22</v>
      </c>
      <c r="S53" s="30">
        <v>12</v>
      </c>
      <c r="T53" s="30">
        <v>21</v>
      </c>
      <c r="U53" s="214">
        <f t="shared" si="0"/>
        <v>100</v>
      </c>
      <c r="V53" s="30"/>
      <c r="W53" s="30"/>
      <c r="X53" s="30"/>
      <c r="Y53" s="30"/>
      <c r="Z53" s="30"/>
      <c r="AA53" s="30"/>
      <c r="AB53" s="32"/>
      <c r="AC53" s="32"/>
      <c r="AD53" s="32"/>
      <c r="AE53" s="32"/>
      <c r="AF53" s="32"/>
    </row>
    <row r="54" spans="1:32" ht="11.25" customHeight="1" x14ac:dyDescent="0.15">
      <c r="A54" s="93">
        <v>53</v>
      </c>
      <c r="B54" s="87" t="s">
        <v>229</v>
      </c>
      <c r="C54" s="65">
        <v>2</v>
      </c>
      <c r="D54" s="66">
        <v>3</v>
      </c>
      <c r="E54" s="49" t="s">
        <v>500</v>
      </c>
      <c r="F54" s="30"/>
      <c r="G54" s="49" t="s">
        <v>716</v>
      </c>
      <c r="H54" s="61" t="s">
        <v>637</v>
      </c>
      <c r="I54" s="49" t="s">
        <v>539</v>
      </c>
      <c r="J54" s="49" t="s">
        <v>715</v>
      </c>
      <c r="K54" s="61" t="s">
        <v>714</v>
      </c>
      <c r="L54" s="49" t="s">
        <v>539</v>
      </c>
      <c r="N54" s="113" t="s">
        <v>713</v>
      </c>
      <c r="O54" s="32"/>
      <c r="P54" s="30">
        <v>38</v>
      </c>
      <c r="Q54" s="30">
        <v>21</v>
      </c>
      <c r="R54" s="30">
        <v>4</v>
      </c>
      <c r="S54" s="30">
        <v>17</v>
      </c>
      <c r="T54" s="30">
        <v>20</v>
      </c>
      <c r="U54" s="214">
        <f t="shared" si="0"/>
        <v>100</v>
      </c>
      <c r="V54" s="30"/>
      <c r="W54" s="30"/>
      <c r="X54" s="30"/>
      <c r="Y54" s="30"/>
      <c r="Z54" s="30"/>
      <c r="AA54" s="30"/>
      <c r="AB54" s="32"/>
      <c r="AC54" s="32"/>
      <c r="AD54" s="32"/>
      <c r="AE54" s="32"/>
      <c r="AF54" s="32"/>
    </row>
    <row r="55" spans="1:32" ht="11.25" customHeight="1" x14ac:dyDescent="0.15">
      <c r="A55" s="93">
        <v>54</v>
      </c>
      <c r="B55" s="87" t="s">
        <v>232</v>
      </c>
      <c r="C55" s="65">
        <v>2</v>
      </c>
      <c r="D55" s="92">
        <v>1</v>
      </c>
      <c r="E55" s="49" t="s">
        <v>499</v>
      </c>
      <c r="F55" s="30"/>
      <c r="G55" s="49" t="s">
        <v>712</v>
      </c>
      <c r="H55" s="61" t="s">
        <v>611</v>
      </c>
      <c r="I55" s="49" t="s">
        <v>539</v>
      </c>
      <c r="J55" s="49" t="s">
        <v>711</v>
      </c>
      <c r="K55" s="61" t="s">
        <v>579</v>
      </c>
      <c r="L55" s="49" t="s">
        <v>539</v>
      </c>
      <c r="N55" s="113" t="s">
        <v>710</v>
      </c>
      <c r="O55" s="32"/>
      <c r="P55" s="30">
        <v>45</v>
      </c>
      <c r="Q55" s="30">
        <v>5</v>
      </c>
      <c r="R55" s="30">
        <v>4</v>
      </c>
      <c r="S55" s="30">
        <v>16</v>
      </c>
      <c r="T55" s="30">
        <v>30</v>
      </c>
      <c r="U55" s="214">
        <f t="shared" si="0"/>
        <v>100</v>
      </c>
      <c r="V55" s="30"/>
      <c r="W55" s="30"/>
      <c r="X55" s="30"/>
      <c r="Y55" s="30"/>
      <c r="Z55" s="30"/>
      <c r="AA55" s="30"/>
      <c r="AB55" s="32"/>
      <c r="AC55" s="32"/>
      <c r="AD55" s="32"/>
      <c r="AE55" s="32"/>
      <c r="AF55" s="32"/>
    </row>
    <row r="56" spans="1:32" ht="11.25" customHeight="1" x14ac:dyDescent="0.15">
      <c r="A56" s="93">
        <v>55</v>
      </c>
      <c r="B56" s="87" t="s">
        <v>235</v>
      </c>
      <c r="C56" s="63">
        <v>1</v>
      </c>
      <c r="D56" s="66">
        <v>3</v>
      </c>
      <c r="E56" s="49" t="s">
        <v>497</v>
      </c>
      <c r="F56" s="30"/>
      <c r="G56" s="49" t="s">
        <v>709</v>
      </c>
      <c r="H56" s="61" t="s">
        <v>708</v>
      </c>
      <c r="I56" s="49" t="s">
        <v>497</v>
      </c>
      <c r="J56" s="49" t="s">
        <v>707</v>
      </c>
      <c r="K56" s="61" t="s">
        <v>706</v>
      </c>
      <c r="L56" s="49" t="s">
        <v>539</v>
      </c>
      <c r="N56" s="113" t="s">
        <v>705</v>
      </c>
      <c r="O56" s="32"/>
      <c r="P56" s="30">
        <v>38</v>
      </c>
      <c r="Q56" s="30">
        <v>4</v>
      </c>
      <c r="R56" s="30">
        <v>21</v>
      </c>
      <c r="S56" s="30">
        <v>17</v>
      </c>
      <c r="T56" s="30">
        <v>20</v>
      </c>
      <c r="U56" s="214">
        <f t="shared" si="0"/>
        <v>100</v>
      </c>
      <c r="V56" s="30"/>
      <c r="W56" s="30"/>
      <c r="X56" s="30"/>
      <c r="Y56" s="30"/>
      <c r="Z56" s="30"/>
      <c r="AA56" s="30"/>
      <c r="AB56" s="32"/>
      <c r="AC56" s="32"/>
      <c r="AD56" s="32"/>
      <c r="AE56" s="32"/>
      <c r="AF56" s="32"/>
    </row>
    <row r="57" spans="1:32" ht="11.25" customHeight="1" x14ac:dyDescent="0.15">
      <c r="A57" s="93">
        <v>56</v>
      </c>
      <c r="B57" s="87" t="s">
        <v>238</v>
      </c>
      <c r="C57" s="63">
        <v>1</v>
      </c>
      <c r="D57" s="62">
        <v>4</v>
      </c>
      <c r="E57" s="49" t="s">
        <v>499</v>
      </c>
      <c r="F57" s="30"/>
      <c r="G57" s="49" t="s">
        <v>704</v>
      </c>
      <c r="H57" s="61" t="s">
        <v>534</v>
      </c>
      <c r="I57" s="49" t="s">
        <v>499</v>
      </c>
      <c r="J57" s="49" t="s">
        <v>703</v>
      </c>
      <c r="K57" s="61" t="s">
        <v>702</v>
      </c>
      <c r="L57" s="49" t="s">
        <v>539</v>
      </c>
      <c r="N57" s="113"/>
      <c r="O57" s="32"/>
      <c r="P57" s="30">
        <v>40</v>
      </c>
      <c r="Q57" s="30">
        <v>5</v>
      </c>
      <c r="R57" s="30">
        <v>22</v>
      </c>
      <c r="S57" s="30">
        <v>12</v>
      </c>
      <c r="T57" s="30">
        <v>21</v>
      </c>
      <c r="U57" s="214">
        <f t="shared" si="0"/>
        <v>100</v>
      </c>
      <c r="V57" s="30"/>
      <c r="W57" s="30"/>
      <c r="X57" s="30"/>
      <c r="Y57" s="30"/>
      <c r="Z57" s="30"/>
      <c r="AA57" s="30"/>
      <c r="AB57" s="32"/>
      <c r="AC57" s="32"/>
      <c r="AD57" s="32"/>
      <c r="AE57" s="32"/>
      <c r="AF57" s="32"/>
    </row>
    <row r="58" spans="1:32" x14ac:dyDescent="0.15">
      <c r="A58" s="93">
        <v>57</v>
      </c>
      <c r="B58" s="87" t="s">
        <v>241</v>
      </c>
      <c r="C58" s="65">
        <v>2</v>
      </c>
      <c r="D58" s="64">
        <v>2</v>
      </c>
      <c r="E58" s="49" t="s">
        <v>499</v>
      </c>
      <c r="F58" s="30"/>
      <c r="G58" s="49" t="s">
        <v>701</v>
      </c>
      <c r="H58" s="61" t="s">
        <v>700</v>
      </c>
      <c r="I58" s="49" t="s">
        <v>499</v>
      </c>
      <c r="J58" s="49" t="s">
        <v>699</v>
      </c>
      <c r="K58" s="61" t="s">
        <v>698</v>
      </c>
      <c r="L58" s="49" t="s">
        <v>497</v>
      </c>
      <c r="N58" s="113" t="s">
        <v>697</v>
      </c>
      <c r="O58" s="32"/>
      <c r="P58" s="30">
        <v>40</v>
      </c>
      <c r="Q58" s="30">
        <v>24</v>
      </c>
      <c r="R58" s="30">
        <v>4</v>
      </c>
      <c r="S58" s="30">
        <v>17</v>
      </c>
      <c r="T58" s="30">
        <v>15</v>
      </c>
      <c r="U58" s="214">
        <f t="shared" si="0"/>
        <v>100</v>
      </c>
      <c r="V58" s="30"/>
      <c r="W58" s="30"/>
      <c r="X58" s="30"/>
      <c r="Y58" s="30"/>
      <c r="Z58" s="30"/>
      <c r="AA58" s="30"/>
      <c r="AB58" s="32"/>
      <c r="AC58" s="32"/>
      <c r="AD58" s="32"/>
      <c r="AE58" s="32"/>
      <c r="AF58" s="32"/>
    </row>
    <row r="59" spans="1:32" ht="11.25" customHeight="1" x14ac:dyDescent="0.15">
      <c r="A59" s="93">
        <v>58</v>
      </c>
      <c r="B59" s="87" t="s">
        <v>244</v>
      </c>
      <c r="C59" s="65">
        <v>2</v>
      </c>
      <c r="D59" s="62">
        <v>4</v>
      </c>
      <c r="E59" s="49" t="s">
        <v>498</v>
      </c>
      <c r="F59" s="30"/>
      <c r="G59" s="49" t="s">
        <v>696</v>
      </c>
      <c r="H59" s="61" t="s">
        <v>695</v>
      </c>
      <c r="I59" s="49" t="s">
        <v>498</v>
      </c>
      <c r="J59" s="49" t="s">
        <v>694</v>
      </c>
      <c r="K59" s="61" t="s">
        <v>693</v>
      </c>
      <c r="L59" s="49" t="s">
        <v>498</v>
      </c>
      <c r="N59" s="113"/>
      <c r="O59" s="32"/>
      <c r="P59" s="30">
        <v>40</v>
      </c>
      <c r="Q59" s="30">
        <v>22</v>
      </c>
      <c r="R59" s="30">
        <v>5</v>
      </c>
      <c r="S59" s="30">
        <v>21</v>
      </c>
      <c r="T59" s="30">
        <v>12</v>
      </c>
      <c r="U59" s="214">
        <f t="shared" si="0"/>
        <v>100</v>
      </c>
      <c r="V59" s="30"/>
      <c r="W59" s="30"/>
      <c r="X59" s="30"/>
      <c r="Y59" s="30"/>
      <c r="Z59" s="30"/>
      <c r="AA59" s="30"/>
      <c r="AB59" s="32"/>
      <c r="AC59" s="32"/>
      <c r="AD59" s="32"/>
      <c r="AE59" s="32"/>
      <c r="AF59" s="32"/>
    </row>
    <row r="60" spans="1:32" ht="12" thickBot="1" x14ac:dyDescent="0.2">
      <c r="A60" s="82">
        <v>59</v>
      </c>
      <c r="B60" s="112" t="s">
        <v>247</v>
      </c>
      <c r="C60" s="105">
        <v>2</v>
      </c>
      <c r="D60" s="79">
        <v>2</v>
      </c>
      <c r="E60" s="77" t="s">
        <v>501</v>
      </c>
      <c r="F60" s="30"/>
      <c r="G60" s="77" t="s">
        <v>692</v>
      </c>
      <c r="H60" s="76" t="s">
        <v>691</v>
      </c>
      <c r="I60" s="77" t="s">
        <v>501</v>
      </c>
      <c r="J60" s="77" t="s">
        <v>690</v>
      </c>
      <c r="K60" s="76" t="s">
        <v>689</v>
      </c>
      <c r="L60" s="77" t="s">
        <v>497</v>
      </c>
      <c r="N60" s="110" t="s">
        <v>688</v>
      </c>
      <c r="O60" s="32"/>
      <c r="P60" s="30">
        <v>44</v>
      </c>
      <c r="Q60" s="30">
        <v>21</v>
      </c>
      <c r="R60" s="30">
        <v>4</v>
      </c>
      <c r="S60" s="30">
        <v>17</v>
      </c>
      <c r="T60" s="30">
        <v>14</v>
      </c>
      <c r="U60" s="214">
        <f t="shared" si="0"/>
        <v>100</v>
      </c>
      <c r="V60" s="30"/>
      <c r="W60" s="30"/>
      <c r="X60" s="30"/>
      <c r="Y60" s="30"/>
      <c r="Z60" s="30"/>
      <c r="AA60" s="30"/>
      <c r="AB60" s="32"/>
      <c r="AC60" s="32"/>
      <c r="AD60" s="32"/>
      <c r="AE60" s="32"/>
      <c r="AF60" s="32"/>
    </row>
    <row r="61" spans="1:32" ht="11.25" customHeight="1" x14ac:dyDescent="0.15">
      <c r="A61" s="102">
        <v>60</v>
      </c>
      <c r="B61" s="101" t="s">
        <v>250</v>
      </c>
      <c r="C61" s="109">
        <v>1</v>
      </c>
      <c r="D61" s="99">
        <v>4</v>
      </c>
      <c r="E61" s="97" t="s">
        <v>500</v>
      </c>
      <c r="F61" s="30"/>
      <c r="G61" s="116" t="s">
        <v>687</v>
      </c>
      <c r="H61" s="96" t="s">
        <v>686</v>
      </c>
      <c r="I61" s="97" t="s">
        <v>500</v>
      </c>
      <c r="J61" s="97" t="s">
        <v>685</v>
      </c>
      <c r="K61" s="96" t="s">
        <v>684</v>
      </c>
      <c r="L61" s="97" t="s">
        <v>539</v>
      </c>
      <c r="N61" s="114"/>
      <c r="O61" s="32"/>
      <c r="P61" s="30">
        <v>40</v>
      </c>
      <c r="Q61" s="30">
        <v>5</v>
      </c>
      <c r="R61" s="30">
        <v>22</v>
      </c>
      <c r="S61" s="30">
        <v>12</v>
      </c>
      <c r="T61" s="30">
        <v>21</v>
      </c>
      <c r="U61" s="214">
        <f t="shared" si="0"/>
        <v>100</v>
      </c>
      <c r="V61" s="30"/>
      <c r="W61" s="30"/>
      <c r="X61" s="30"/>
      <c r="Y61" s="30"/>
      <c r="Z61" s="30"/>
      <c r="AA61" s="30"/>
      <c r="AB61" s="32"/>
      <c r="AC61" s="32"/>
      <c r="AD61" s="32"/>
      <c r="AE61" s="32"/>
      <c r="AF61" s="32"/>
    </row>
    <row r="62" spans="1:32" ht="11.25" customHeight="1" x14ac:dyDescent="0.15">
      <c r="A62" s="93">
        <v>61</v>
      </c>
      <c r="B62" s="87" t="s">
        <v>253</v>
      </c>
      <c r="C62" s="65">
        <v>2</v>
      </c>
      <c r="D62" s="66">
        <v>3</v>
      </c>
      <c r="E62" s="49" t="s">
        <v>497</v>
      </c>
      <c r="F62" s="30"/>
      <c r="G62" s="49" t="s">
        <v>683</v>
      </c>
      <c r="H62" s="61" t="s">
        <v>682</v>
      </c>
      <c r="I62" s="49" t="s">
        <v>497</v>
      </c>
      <c r="J62" s="49" t="s">
        <v>681</v>
      </c>
      <c r="K62" s="61" t="s">
        <v>680</v>
      </c>
      <c r="L62" s="49" t="s">
        <v>539</v>
      </c>
      <c r="N62" s="113" t="s">
        <v>679</v>
      </c>
      <c r="O62" s="32"/>
      <c r="P62" s="30">
        <v>40</v>
      </c>
      <c r="Q62" s="30">
        <v>22</v>
      </c>
      <c r="R62" s="30">
        <v>5</v>
      </c>
      <c r="S62" s="30">
        <v>21</v>
      </c>
      <c r="T62" s="30">
        <v>12</v>
      </c>
      <c r="U62" s="214">
        <f t="shared" si="0"/>
        <v>100</v>
      </c>
      <c r="V62" s="30"/>
      <c r="W62" s="30"/>
      <c r="X62" s="30"/>
      <c r="Y62" s="30"/>
      <c r="Z62" s="30"/>
      <c r="AA62" s="30"/>
      <c r="AB62" s="32"/>
      <c r="AC62" s="32"/>
      <c r="AD62" s="32"/>
      <c r="AE62" s="32"/>
      <c r="AF62" s="32"/>
    </row>
    <row r="63" spans="1:32" x14ac:dyDescent="0.15">
      <c r="A63" s="93">
        <v>62</v>
      </c>
      <c r="B63" s="87" t="s">
        <v>256</v>
      </c>
      <c r="C63" s="63">
        <v>1</v>
      </c>
      <c r="D63" s="64">
        <v>2</v>
      </c>
      <c r="E63" s="49" t="s">
        <v>494</v>
      </c>
      <c r="F63" s="30"/>
      <c r="G63" s="49" t="s">
        <v>678</v>
      </c>
      <c r="H63" s="61" t="s">
        <v>664</v>
      </c>
      <c r="I63" s="49" t="s">
        <v>494</v>
      </c>
      <c r="J63" s="49" t="s">
        <v>677</v>
      </c>
      <c r="K63" s="61" t="s">
        <v>676</v>
      </c>
      <c r="L63" s="49" t="s">
        <v>494</v>
      </c>
      <c r="N63" s="113" t="s">
        <v>675</v>
      </c>
      <c r="O63" s="32"/>
      <c r="P63" s="30">
        <v>40</v>
      </c>
      <c r="Q63" s="30">
        <v>4</v>
      </c>
      <c r="R63" s="30">
        <v>22</v>
      </c>
      <c r="S63" s="30">
        <v>14</v>
      </c>
      <c r="T63" s="30">
        <v>20</v>
      </c>
      <c r="U63" s="214">
        <f t="shared" si="0"/>
        <v>100</v>
      </c>
      <c r="V63" s="30"/>
      <c r="W63" s="30"/>
      <c r="X63" s="30"/>
      <c r="Y63" s="30"/>
      <c r="Z63" s="30"/>
      <c r="AA63" s="30"/>
      <c r="AB63" s="32"/>
      <c r="AC63" s="32"/>
      <c r="AD63" s="32"/>
      <c r="AE63" s="32"/>
      <c r="AF63" s="32"/>
    </row>
    <row r="64" spans="1:32" ht="11.25" customHeight="1" x14ac:dyDescent="0.15">
      <c r="A64" s="93">
        <v>63</v>
      </c>
      <c r="B64" s="87" t="s">
        <v>259</v>
      </c>
      <c r="C64" s="65">
        <v>2</v>
      </c>
      <c r="D64" s="66">
        <v>3</v>
      </c>
      <c r="E64" s="49" t="s">
        <v>500</v>
      </c>
      <c r="F64" s="30"/>
      <c r="G64" s="49" t="s">
        <v>674</v>
      </c>
      <c r="H64" s="61" t="s">
        <v>673</v>
      </c>
      <c r="I64" s="49" t="s">
        <v>539</v>
      </c>
      <c r="J64" s="49" t="s">
        <v>672</v>
      </c>
      <c r="K64" s="61" t="s">
        <v>671</v>
      </c>
      <c r="L64" s="49" t="s">
        <v>539</v>
      </c>
      <c r="N64" s="113"/>
      <c r="O64" s="32"/>
      <c r="P64" s="30">
        <v>40</v>
      </c>
      <c r="Q64" s="30">
        <v>22</v>
      </c>
      <c r="R64" s="30">
        <v>5</v>
      </c>
      <c r="S64" s="30">
        <v>21</v>
      </c>
      <c r="T64" s="30">
        <v>12</v>
      </c>
      <c r="U64" s="214">
        <f t="shared" si="0"/>
        <v>100</v>
      </c>
      <c r="V64" s="30"/>
      <c r="W64" s="30"/>
      <c r="X64" s="30"/>
      <c r="Y64" s="30"/>
      <c r="Z64" s="30"/>
      <c r="AA64" s="30"/>
      <c r="AB64" s="32"/>
      <c r="AC64" s="32"/>
      <c r="AD64" s="32"/>
      <c r="AE64" s="32"/>
      <c r="AF64" s="32"/>
    </row>
    <row r="65" spans="1:32" ht="11.25" customHeight="1" x14ac:dyDescent="0.15">
      <c r="A65" s="93">
        <v>64</v>
      </c>
      <c r="B65" s="87" t="s">
        <v>670</v>
      </c>
      <c r="C65" s="63">
        <v>1</v>
      </c>
      <c r="D65" s="92">
        <v>1</v>
      </c>
      <c r="E65" s="49" t="s">
        <v>500</v>
      </c>
      <c r="F65" s="30"/>
      <c r="G65" s="49" t="s">
        <v>669</v>
      </c>
      <c r="H65" s="61" t="s">
        <v>668</v>
      </c>
      <c r="I65" s="49" t="s">
        <v>500</v>
      </c>
      <c r="J65" s="49" t="s">
        <v>667</v>
      </c>
      <c r="K65" s="61" t="s">
        <v>666</v>
      </c>
      <c r="L65" s="49" t="s">
        <v>539</v>
      </c>
      <c r="N65" s="113"/>
      <c r="O65" s="32"/>
      <c r="P65" s="30">
        <v>50</v>
      </c>
      <c r="Q65" s="30">
        <v>5</v>
      </c>
      <c r="R65" s="30">
        <v>7</v>
      </c>
      <c r="S65" s="30">
        <v>18</v>
      </c>
      <c r="T65" s="30">
        <v>20</v>
      </c>
      <c r="U65" s="214">
        <f t="shared" si="0"/>
        <v>100</v>
      </c>
      <c r="V65" s="30"/>
      <c r="W65" s="30"/>
      <c r="X65" s="30"/>
      <c r="Y65" s="30"/>
      <c r="Z65" s="30"/>
      <c r="AA65" s="30"/>
      <c r="AB65" s="32"/>
      <c r="AC65" s="32"/>
      <c r="AD65" s="32"/>
      <c r="AE65" s="32"/>
      <c r="AF65" s="32"/>
    </row>
    <row r="66" spans="1:32" ht="11.25" customHeight="1" x14ac:dyDescent="0.15">
      <c r="A66" s="93">
        <v>65</v>
      </c>
      <c r="B66" s="87" t="s">
        <v>264</v>
      </c>
      <c r="C66" s="63">
        <v>1</v>
      </c>
      <c r="D66" s="92">
        <v>1</v>
      </c>
      <c r="E66" s="49" t="s">
        <v>497</v>
      </c>
      <c r="F66" s="30"/>
      <c r="G66" s="49" t="s">
        <v>665</v>
      </c>
      <c r="H66" s="61" t="s">
        <v>664</v>
      </c>
      <c r="I66" s="49" t="s">
        <v>497</v>
      </c>
      <c r="J66" s="49" t="s">
        <v>663</v>
      </c>
      <c r="K66" s="61" t="s">
        <v>662</v>
      </c>
      <c r="L66" s="49" t="s">
        <v>539</v>
      </c>
      <c r="N66" s="113" t="s">
        <v>661</v>
      </c>
      <c r="O66" s="32"/>
      <c r="P66" s="30">
        <v>45</v>
      </c>
      <c r="Q66" s="30">
        <v>4</v>
      </c>
      <c r="R66" s="30">
        <v>5</v>
      </c>
      <c r="S66" s="30">
        <v>21</v>
      </c>
      <c r="T66" s="30">
        <v>25</v>
      </c>
      <c r="U66" s="214">
        <f t="shared" si="0"/>
        <v>100</v>
      </c>
      <c r="V66" s="30"/>
      <c r="W66" s="30"/>
      <c r="X66" s="30"/>
      <c r="Y66" s="30"/>
      <c r="Z66" s="30"/>
      <c r="AA66" s="30"/>
      <c r="AB66" s="32"/>
      <c r="AC66" s="32"/>
      <c r="AD66" s="32"/>
      <c r="AE66" s="32"/>
      <c r="AF66" s="32"/>
    </row>
    <row r="67" spans="1:32" x14ac:dyDescent="0.15">
      <c r="A67" s="93">
        <v>66</v>
      </c>
      <c r="B67" s="87" t="s">
        <v>267</v>
      </c>
      <c r="C67" s="63">
        <v>1</v>
      </c>
      <c r="D67" s="64">
        <v>2</v>
      </c>
      <c r="E67" s="49" t="s">
        <v>498</v>
      </c>
      <c r="F67" s="30"/>
      <c r="G67" s="49" t="s">
        <v>660</v>
      </c>
      <c r="H67" s="61" t="s">
        <v>659</v>
      </c>
      <c r="I67" s="49" t="s">
        <v>498</v>
      </c>
      <c r="J67" s="49" t="s">
        <v>658</v>
      </c>
      <c r="K67" s="61" t="s">
        <v>657</v>
      </c>
      <c r="L67" s="49" t="s">
        <v>539</v>
      </c>
      <c r="N67" s="113" t="s">
        <v>656</v>
      </c>
      <c r="O67" s="32"/>
      <c r="P67" s="30">
        <v>40</v>
      </c>
      <c r="Q67" s="30">
        <v>4</v>
      </c>
      <c r="R67" s="30">
        <v>24</v>
      </c>
      <c r="S67" s="30">
        <v>15</v>
      </c>
      <c r="T67" s="30">
        <v>17</v>
      </c>
      <c r="U67" s="214">
        <f t="shared" ref="U67:U97" si="1">SUM(P67:T67)</f>
        <v>100</v>
      </c>
      <c r="V67" s="30"/>
      <c r="W67" s="30"/>
      <c r="X67" s="30"/>
      <c r="Y67" s="30"/>
      <c r="Z67" s="30"/>
      <c r="AA67" s="30"/>
      <c r="AB67" s="32"/>
      <c r="AC67" s="32"/>
      <c r="AD67" s="32"/>
      <c r="AE67" s="32"/>
      <c r="AF67" s="32"/>
    </row>
    <row r="68" spans="1:32" ht="12" customHeight="1" thickBot="1" x14ac:dyDescent="0.2">
      <c r="A68" s="82">
        <v>67</v>
      </c>
      <c r="B68" s="112" t="s">
        <v>1149</v>
      </c>
      <c r="C68" s="105">
        <v>2</v>
      </c>
      <c r="D68" s="111">
        <v>1</v>
      </c>
      <c r="E68" s="77" t="s">
        <v>500</v>
      </c>
      <c r="F68" s="30"/>
      <c r="G68" s="77" t="s">
        <v>655</v>
      </c>
      <c r="H68" s="76" t="s">
        <v>654</v>
      </c>
      <c r="I68" s="77" t="s">
        <v>500</v>
      </c>
      <c r="J68" s="77" t="s">
        <v>653</v>
      </c>
      <c r="K68" s="76" t="s">
        <v>652</v>
      </c>
      <c r="L68" s="77" t="s">
        <v>539</v>
      </c>
      <c r="N68" s="110" t="s">
        <v>651</v>
      </c>
      <c r="O68" s="32"/>
      <c r="P68" s="30">
        <v>50</v>
      </c>
      <c r="Q68" s="30">
        <v>5</v>
      </c>
      <c r="R68" s="30">
        <v>4</v>
      </c>
      <c r="S68" s="30">
        <v>18</v>
      </c>
      <c r="T68" s="30">
        <v>23</v>
      </c>
      <c r="U68" s="214">
        <f t="shared" si="1"/>
        <v>100</v>
      </c>
      <c r="V68" s="30"/>
      <c r="W68" s="30"/>
      <c r="X68" s="30"/>
      <c r="Y68" s="30"/>
      <c r="Z68" s="30"/>
      <c r="AA68" s="30"/>
      <c r="AB68" s="32"/>
      <c r="AC68" s="32"/>
      <c r="AD68" s="32"/>
      <c r="AE68" s="32"/>
      <c r="AF68" s="32"/>
    </row>
    <row r="69" spans="1:32" ht="11.25" customHeight="1" x14ac:dyDescent="0.15">
      <c r="A69" s="102">
        <v>68</v>
      </c>
      <c r="B69" s="101" t="s">
        <v>273</v>
      </c>
      <c r="C69" s="100">
        <v>2</v>
      </c>
      <c r="D69" s="108">
        <v>3</v>
      </c>
      <c r="E69" s="97" t="s">
        <v>493</v>
      </c>
      <c r="F69" s="30"/>
      <c r="G69" s="97" t="s">
        <v>650</v>
      </c>
      <c r="H69" s="96" t="s">
        <v>649</v>
      </c>
      <c r="I69" s="97" t="s">
        <v>539</v>
      </c>
      <c r="J69" s="97" t="s">
        <v>648</v>
      </c>
      <c r="K69" s="96" t="s">
        <v>647</v>
      </c>
      <c r="L69" s="97" t="s">
        <v>539</v>
      </c>
      <c r="N69" s="114" t="s">
        <v>646</v>
      </c>
      <c r="O69" s="32"/>
      <c r="P69" s="30">
        <v>40</v>
      </c>
      <c r="Q69" s="30">
        <v>24</v>
      </c>
      <c r="R69" s="30">
        <v>4</v>
      </c>
      <c r="S69" s="30">
        <v>15</v>
      </c>
      <c r="T69" s="30">
        <v>17</v>
      </c>
      <c r="U69" s="214">
        <f t="shared" si="1"/>
        <v>100</v>
      </c>
      <c r="V69" s="30"/>
      <c r="W69" s="30"/>
      <c r="X69" s="30"/>
      <c r="Y69" s="30"/>
      <c r="Z69" s="30"/>
      <c r="AA69" s="30"/>
      <c r="AB69" s="32"/>
      <c r="AC69" s="32"/>
      <c r="AD69" s="32"/>
      <c r="AE69" s="32"/>
      <c r="AF69" s="32"/>
    </row>
    <row r="70" spans="1:32" x14ac:dyDescent="0.15">
      <c r="A70" s="93">
        <v>69</v>
      </c>
      <c r="B70" s="87" t="s">
        <v>276</v>
      </c>
      <c r="C70" s="63">
        <v>1</v>
      </c>
      <c r="D70" s="64">
        <v>2</v>
      </c>
      <c r="E70" s="49" t="s">
        <v>493</v>
      </c>
      <c r="F70" s="30"/>
      <c r="G70" s="49" t="s">
        <v>645</v>
      </c>
      <c r="H70" s="61" t="s">
        <v>644</v>
      </c>
      <c r="I70" s="49" t="s">
        <v>493</v>
      </c>
      <c r="J70" s="49" t="s">
        <v>643</v>
      </c>
      <c r="K70" s="61" t="s">
        <v>571</v>
      </c>
      <c r="L70" s="49" t="s">
        <v>493</v>
      </c>
      <c r="N70" s="113"/>
      <c r="O70" s="32"/>
      <c r="P70" s="30">
        <v>40</v>
      </c>
      <c r="Q70" s="30">
        <v>5</v>
      </c>
      <c r="R70" s="30">
        <v>22</v>
      </c>
      <c r="S70" s="30">
        <v>12</v>
      </c>
      <c r="T70" s="30">
        <v>21</v>
      </c>
      <c r="U70" s="214">
        <f t="shared" si="1"/>
        <v>100</v>
      </c>
      <c r="V70" s="30"/>
      <c r="W70" s="30"/>
      <c r="X70" s="30"/>
      <c r="Y70" s="30"/>
      <c r="Z70" s="30"/>
      <c r="AA70" s="30"/>
      <c r="AB70" s="32"/>
      <c r="AC70" s="32"/>
      <c r="AD70" s="32"/>
      <c r="AE70" s="32"/>
      <c r="AF70" s="32"/>
    </row>
    <row r="71" spans="1:32" ht="11.25" customHeight="1" x14ac:dyDescent="0.15">
      <c r="A71" s="93">
        <v>70</v>
      </c>
      <c r="B71" s="87" t="s">
        <v>279</v>
      </c>
      <c r="C71" s="65">
        <v>2</v>
      </c>
      <c r="D71" s="92">
        <v>1</v>
      </c>
      <c r="E71" s="49" t="s">
        <v>494</v>
      </c>
      <c r="F71" s="30"/>
      <c r="G71" s="49" t="s">
        <v>642</v>
      </c>
      <c r="H71" s="61" t="s">
        <v>641</v>
      </c>
      <c r="I71" s="49" t="s">
        <v>494</v>
      </c>
      <c r="J71" s="49" t="s">
        <v>640</v>
      </c>
      <c r="K71" s="61" t="s">
        <v>639</v>
      </c>
      <c r="L71" s="49" t="s">
        <v>494</v>
      </c>
      <c r="N71" s="113"/>
      <c r="O71" s="32"/>
      <c r="P71" s="30">
        <v>45</v>
      </c>
      <c r="Q71" s="30">
        <v>7</v>
      </c>
      <c r="R71" s="30">
        <v>5</v>
      </c>
      <c r="S71" s="30">
        <v>20</v>
      </c>
      <c r="T71" s="30">
        <v>23</v>
      </c>
      <c r="U71" s="214">
        <f t="shared" si="1"/>
        <v>100</v>
      </c>
      <c r="V71" s="30"/>
      <c r="W71" s="30"/>
      <c r="X71" s="30"/>
      <c r="Y71" s="30"/>
      <c r="Z71" s="30"/>
      <c r="AA71" s="30"/>
      <c r="AB71" s="32"/>
      <c r="AC71" s="32"/>
      <c r="AD71" s="32"/>
      <c r="AE71" s="32"/>
      <c r="AF71" s="32"/>
    </row>
    <row r="72" spans="1:32" ht="12" customHeight="1" thickBot="1" x14ac:dyDescent="0.2">
      <c r="A72" s="82">
        <v>71</v>
      </c>
      <c r="B72" s="112" t="s">
        <v>282</v>
      </c>
      <c r="C72" s="80">
        <v>1</v>
      </c>
      <c r="D72" s="115">
        <v>3</v>
      </c>
      <c r="E72" s="77" t="s">
        <v>498</v>
      </c>
      <c r="F72" s="30"/>
      <c r="G72" s="77" t="s">
        <v>638</v>
      </c>
      <c r="H72" s="76" t="s">
        <v>637</v>
      </c>
      <c r="I72" s="77" t="s">
        <v>539</v>
      </c>
      <c r="J72" s="77" t="s">
        <v>636</v>
      </c>
      <c r="K72" s="76" t="s">
        <v>631</v>
      </c>
      <c r="L72" s="77" t="s">
        <v>539</v>
      </c>
      <c r="N72" s="110" t="s">
        <v>635</v>
      </c>
      <c r="O72" s="32"/>
      <c r="P72" s="30">
        <v>38</v>
      </c>
      <c r="Q72" s="30">
        <v>4</v>
      </c>
      <c r="R72" s="30">
        <v>21</v>
      </c>
      <c r="S72" s="30">
        <v>17</v>
      </c>
      <c r="T72" s="30">
        <v>20</v>
      </c>
      <c r="U72" s="214">
        <f t="shared" si="1"/>
        <v>100</v>
      </c>
      <c r="V72" s="30"/>
      <c r="W72" s="30"/>
      <c r="X72" s="30"/>
      <c r="Y72" s="30"/>
      <c r="Z72" s="30"/>
      <c r="AA72" s="30"/>
      <c r="AB72" s="32"/>
      <c r="AC72" s="32"/>
      <c r="AD72" s="32"/>
      <c r="AE72" s="32"/>
      <c r="AF72" s="32"/>
    </row>
    <row r="73" spans="1:32" ht="11.25" customHeight="1" x14ac:dyDescent="0.15">
      <c r="A73" s="102">
        <v>72</v>
      </c>
      <c r="B73" s="101" t="s">
        <v>285</v>
      </c>
      <c r="C73" s="109">
        <v>1</v>
      </c>
      <c r="D73" s="108">
        <v>3</v>
      </c>
      <c r="E73" s="97" t="s">
        <v>497</v>
      </c>
      <c r="F73" s="30"/>
      <c r="G73" s="97" t="s">
        <v>634</v>
      </c>
      <c r="H73" s="96" t="s">
        <v>633</v>
      </c>
      <c r="I73" s="97" t="s">
        <v>539</v>
      </c>
      <c r="J73" s="97" t="s">
        <v>632</v>
      </c>
      <c r="K73" s="96" t="s">
        <v>631</v>
      </c>
      <c r="L73" s="97" t="s">
        <v>539</v>
      </c>
      <c r="N73" s="114" t="s">
        <v>630</v>
      </c>
      <c r="O73" s="32"/>
      <c r="P73" s="30">
        <v>41</v>
      </c>
      <c r="Q73" s="30">
        <v>4</v>
      </c>
      <c r="R73" s="30">
        <v>18</v>
      </c>
      <c r="S73" s="30">
        <v>17</v>
      </c>
      <c r="T73" s="30">
        <v>20</v>
      </c>
      <c r="U73" s="214">
        <f t="shared" si="1"/>
        <v>100</v>
      </c>
      <c r="V73" s="30"/>
      <c r="W73" s="30"/>
      <c r="X73" s="30"/>
      <c r="Y73" s="30"/>
      <c r="Z73" s="30"/>
      <c r="AA73" s="30"/>
      <c r="AB73" s="32"/>
      <c r="AC73" s="32"/>
      <c r="AD73" s="32"/>
      <c r="AE73" s="32"/>
      <c r="AF73" s="32"/>
    </row>
    <row r="74" spans="1:32" ht="11.25" customHeight="1" x14ac:dyDescent="0.15">
      <c r="A74" s="93">
        <v>73</v>
      </c>
      <c r="B74" s="87" t="s">
        <v>288</v>
      </c>
      <c r="C74" s="65">
        <v>2</v>
      </c>
      <c r="D74" s="92">
        <v>1</v>
      </c>
      <c r="E74" s="49" t="s">
        <v>497</v>
      </c>
      <c r="F74" s="30"/>
      <c r="G74" s="49" t="s">
        <v>629</v>
      </c>
      <c r="H74" s="61" t="s">
        <v>628</v>
      </c>
      <c r="I74" s="49" t="s">
        <v>497</v>
      </c>
      <c r="J74" s="49" t="s">
        <v>627</v>
      </c>
      <c r="K74" s="61" t="s">
        <v>626</v>
      </c>
      <c r="L74" s="49" t="s">
        <v>539</v>
      </c>
      <c r="N74" s="113"/>
      <c r="O74" s="32"/>
      <c r="P74" s="30">
        <v>45</v>
      </c>
      <c r="Q74" s="30">
        <v>7</v>
      </c>
      <c r="R74" s="30">
        <v>5</v>
      </c>
      <c r="S74" s="30">
        <v>20</v>
      </c>
      <c r="T74" s="30">
        <v>23</v>
      </c>
      <c r="U74" s="214">
        <f t="shared" si="1"/>
        <v>100</v>
      </c>
      <c r="V74" s="30"/>
      <c r="W74" s="30"/>
      <c r="X74" s="30"/>
      <c r="Y74" s="30"/>
      <c r="Z74" s="30"/>
      <c r="AA74" s="30"/>
      <c r="AB74" s="32"/>
      <c r="AC74" s="32"/>
      <c r="AD74" s="32"/>
      <c r="AE74" s="32"/>
      <c r="AF74" s="32"/>
    </row>
    <row r="75" spans="1:32" ht="11.25" customHeight="1" x14ac:dyDescent="0.15">
      <c r="A75" s="93">
        <v>74</v>
      </c>
      <c r="B75" s="87" t="s">
        <v>291</v>
      </c>
      <c r="C75" s="63">
        <v>1</v>
      </c>
      <c r="D75" s="66">
        <v>3</v>
      </c>
      <c r="E75" s="49" t="s">
        <v>497</v>
      </c>
      <c r="F75" s="30"/>
      <c r="G75" s="49" t="s">
        <v>625</v>
      </c>
      <c r="H75" s="61" t="s">
        <v>624</v>
      </c>
      <c r="I75" s="49" t="s">
        <v>539</v>
      </c>
      <c r="J75" s="49" t="s">
        <v>618</v>
      </c>
      <c r="K75" s="61" t="s">
        <v>617</v>
      </c>
      <c r="L75" s="49" t="s">
        <v>539</v>
      </c>
      <c r="N75" s="113"/>
      <c r="O75" s="32"/>
      <c r="P75" s="30">
        <v>40</v>
      </c>
      <c r="Q75" s="30">
        <v>5</v>
      </c>
      <c r="R75" s="30">
        <v>22</v>
      </c>
      <c r="S75" s="30">
        <v>12</v>
      </c>
      <c r="T75" s="30">
        <v>21</v>
      </c>
      <c r="U75" s="214">
        <f t="shared" si="1"/>
        <v>100</v>
      </c>
      <c r="V75" s="30"/>
      <c r="W75" s="30"/>
      <c r="X75" s="30"/>
      <c r="Y75" s="30"/>
      <c r="Z75" s="30"/>
      <c r="AA75" s="30"/>
      <c r="AB75" s="32"/>
      <c r="AC75" s="32"/>
      <c r="AD75" s="32"/>
      <c r="AE75" s="32"/>
      <c r="AF75" s="32"/>
    </row>
    <row r="76" spans="1:32" ht="11.25" customHeight="1" x14ac:dyDescent="0.15">
      <c r="A76" s="93">
        <v>75</v>
      </c>
      <c r="B76" s="87" t="s">
        <v>1150</v>
      </c>
      <c r="C76" s="65">
        <v>2</v>
      </c>
      <c r="D76" s="62">
        <v>4</v>
      </c>
      <c r="E76" s="49" t="s">
        <v>497</v>
      </c>
      <c r="F76" s="30"/>
      <c r="G76" s="49" t="s">
        <v>623</v>
      </c>
      <c r="H76" s="61" t="s">
        <v>552</v>
      </c>
      <c r="I76" s="49" t="s">
        <v>497</v>
      </c>
      <c r="J76" s="49" t="s">
        <v>622</v>
      </c>
      <c r="K76" s="61" t="s">
        <v>621</v>
      </c>
      <c r="L76" s="49" t="s">
        <v>500</v>
      </c>
      <c r="N76" s="113"/>
      <c r="O76" s="32"/>
      <c r="P76" s="30">
        <v>40</v>
      </c>
      <c r="Q76" s="30">
        <v>22</v>
      </c>
      <c r="R76" s="30">
        <v>5</v>
      </c>
      <c r="S76" s="30">
        <v>21</v>
      </c>
      <c r="T76" s="30">
        <v>12</v>
      </c>
      <c r="U76" s="214">
        <f t="shared" si="1"/>
        <v>100</v>
      </c>
      <c r="V76" s="30"/>
      <c r="W76" s="30"/>
      <c r="X76" s="30"/>
      <c r="Y76" s="30"/>
      <c r="Z76" s="30"/>
      <c r="AA76" s="30"/>
      <c r="AB76" s="32"/>
      <c r="AC76" s="32"/>
      <c r="AD76" s="32"/>
      <c r="AE76" s="32"/>
      <c r="AF76" s="32"/>
    </row>
    <row r="77" spans="1:32" ht="12" customHeight="1" thickBot="1" x14ac:dyDescent="0.2">
      <c r="A77" s="82">
        <v>76</v>
      </c>
      <c r="B77" s="112" t="s">
        <v>296</v>
      </c>
      <c r="C77" s="105">
        <v>2</v>
      </c>
      <c r="D77" s="111">
        <v>1</v>
      </c>
      <c r="E77" s="77" t="s">
        <v>497</v>
      </c>
      <c r="F77" s="30"/>
      <c r="G77" s="77" t="s">
        <v>620</v>
      </c>
      <c r="H77" s="76" t="s">
        <v>619</v>
      </c>
      <c r="I77" s="77" t="s">
        <v>497</v>
      </c>
      <c r="J77" s="77" t="s">
        <v>618</v>
      </c>
      <c r="K77" s="76" t="s">
        <v>617</v>
      </c>
      <c r="L77" s="77" t="s">
        <v>539</v>
      </c>
      <c r="N77" s="110" t="s">
        <v>616</v>
      </c>
      <c r="O77" s="32"/>
      <c r="P77" s="30">
        <v>40</v>
      </c>
      <c r="Q77" s="30">
        <v>17</v>
      </c>
      <c r="R77" s="30">
        <v>4</v>
      </c>
      <c r="S77" s="30">
        <v>17</v>
      </c>
      <c r="T77" s="30">
        <v>22</v>
      </c>
      <c r="U77" s="214">
        <f t="shared" si="1"/>
        <v>100</v>
      </c>
      <c r="V77" s="30"/>
      <c r="W77" s="30"/>
      <c r="X77" s="30"/>
      <c r="Y77" s="30"/>
      <c r="Z77" s="30"/>
      <c r="AA77" s="30"/>
      <c r="AB77" s="32"/>
      <c r="AC77" s="32"/>
      <c r="AD77" s="32"/>
      <c r="AE77" s="32"/>
      <c r="AF77" s="32"/>
    </row>
    <row r="78" spans="1:32" ht="11.25" customHeight="1" x14ac:dyDescent="0.15">
      <c r="A78" s="102">
        <v>77</v>
      </c>
      <c r="B78" s="96" t="s">
        <v>615</v>
      </c>
      <c r="C78" s="109">
        <v>1</v>
      </c>
      <c r="D78" s="108">
        <v>3</v>
      </c>
      <c r="E78" s="97" t="s">
        <v>493</v>
      </c>
      <c r="F78" s="30"/>
      <c r="G78" s="97" t="s">
        <v>614</v>
      </c>
      <c r="H78" s="96" t="s">
        <v>613</v>
      </c>
      <c r="I78" s="97" t="s">
        <v>539</v>
      </c>
      <c r="J78" s="97" t="s">
        <v>612</v>
      </c>
      <c r="K78" s="96" t="s">
        <v>611</v>
      </c>
      <c r="L78" s="97" t="s">
        <v>539</v>
      </c>
      <c r="N78" s="107" t="s">
        <v>610</v>
      </c>
      <c r="O78" s="32"/>
      <c r="P78" s="30">
        <v>38</v>
      </c>
      <c r="Q78" s="30">
        <v>4</v>
      </c>
      <c r="R78" s="30">
        <v>21</v>
      </c>
      <c r="S78" s="30">
        <v>17</v>
      </c>
      <c r="T78" s="30">
        <v>20</v>
      </c>
      <c r="U78" s="214">
        <f t="shared" si="1"/>
        <v>100</v>
      </c>
      <c r="V78" s="30"/>
      <c r="W78" s="30"/>
      <c r="X78" s="30"/>
      <c r="Y78" s="30"/>
      <c r="Z78" s="30"/>
      <c r="AA78" s="30"/>
      <c r="AB78" s="32"/>
      <c r="AC78" s="32"/>
      <c r="AD78" s="32"/>
      <c r="AE78" s="32"/>
      <c r="AF78" s="32"/>
    </row>
    <row r="79" spans="1:32" ht="11.25" customHeight="1" x14ac:dyDescent="0.15">
      <c r="A79" s="93">
        <v>78</v>
      </c>
      <c r="B79" s="61" t="s">
        <v>609</v>
      </c>
      <c r="C79" s="63">
        <v>1</v>
      </c>
      <c r="D79" s="92">
        <v>1</v>
      </c>
      <c r="E79" s="37" t="s">
        <v>492</v>
      </c>
      <c r="F79" s="30"/>
      <c r="G79" s="49" t="s">
        <v>606</v>
      </c>
      <c r="H79" s="61" t="s">
        <v>604</v>
      </c>
      <c r="I79" s="49" t="s">
        <v>492</v>
      </c>
      <c r="J79" s="49" t="s">
        <v>605</v>
      </c>
      <c r="K79" s="61" t="s">
        <v>604</v>
      </c>
      <c r="L79" s="49" t="s">
        <v>492</v>
      </c>
      <c r="N79" s="106" t="s">
        <v>608</v>
      </c>
      <c r="O79" s="32"/>
      <c r="P79" s="30">
        <v>48</v>
      </c>
      <c r="Q79" s="30">
        <v>4</v>
      </c>
      <c r="R79" s="30">
        <v>5</v>
      </c>
      <c r="S79" s="30">
        <v>20</v>
      </c>
      <c r="T79" s="30">
        <v>23</v>
      </c>
      <c r="U79" s="214">
        <f t="shared" si="1"/>
        <v>100</v>
      </c>
      <c r="V79" s="30"/>
      <c r="W79" s="30"/>
      <c r="X79" s="30"/>
      <c r="Y79" s="30"/>
      <c r="Z79" s="30"/>
      <c r="AA79" s="30"/>
      <c r="AB79" s="32"/>
      <c r="AC79" s="32"/>
      <c r="AD79" s="32"/>
      <c r="AE79" s="32"/>
      <c r="AF79" s="32"/>
    </row>
    <row r="80" spans="1:32" ht="11.25" customHeight="1" x14ac:dyDescent="0.15">
      <c r="A80" s="93">
        <v>79</v>
      </c>
      <c r="B80" s="61" t="s">
        <v>607</v>
      </c>
      <c r="C80" s="65">
        <v>2</v>
      </c>
      <c r="D80" s="92">
        <v>1</v>
      </c>
      <c r="E80" s="37" t="s">
        <v>492</v>
      </c>
      <c r="F80" s="30"/>
      <c r="G80" s="49" t="s">
        <v>606</v>
      </c>
      <c r="H80" s="61" t="s">
        <v>604</v>
      </c>
      <c r="I80" s="49" t="s">
        <v>492</v>
      </c>
      <c r="J80" s="49" t="s">
        <v>605</v>
      </c>
      <c r="K80" s="61" t="s">
        <v>604</v>
      </c>
      <c r="L80" s="49" t="s">
        <v>492</v>
      </c>
      <c r="N80" s="106" t="s">
        <v>603</v>
      </c>
      <c r="O80" s="32"/>
      <c r="P80" s="30">
        <v>48</v>
      </c>
      <c r="Q80" s="30">
        <v>5</v>
      </c>
      <c r="R80" s="30">
        <v>4</v>
      </c>
      <c r="S80" s="30">
        <v>23</v>
      </c>
      <c r="T80" s="30">
        <v>20</v>
      </c>
      <c r="U80" s="214">
        <f t="shared" si="1"/>
        <v>100</v>
      </c>
      <c r="V80" s="30"/>
      <c r="W80" s="30"/>
      <c r="X80" s="30"/>
      <c r="Y80" s="30"/>
      <c r="Z80" s="30"/>
      <c r="AA80" s="30"/>
      <c r="AB80" s="32"/>
      <c r="AC80" s="32"/>
      <c r="AD80" s="32"/>
      <c r="AE80" s="32"/>
      <c r="AF80" s="32"/>
    </row>
    <row r="81" spans="1:33" ht="12" thickBot="1" x14ac:dyDescent="0.2">
      <c r="A81" s="82">
        <v>80</v>
      </c>
      <c r="B81" s="76" t="s">
        <v>602</v>
      </c>
      <c r="C81" s="105">
        <v>2</v>
      </c>
      <c r="D81" s="79">
        <v>2</v>
      </c>
      <c r="E81" s="104" t="s">
        <v>492</v>
      </c>
      <c r="F81" s="30"/>
      <c r="G81" s="77" t="s">
        <v>601</v>
      </c>
      <c r="H81" s="76" t="s">
        <v>600</v>
      </c>
      <c r="I81" s="77" t="s">
        <v>492</v>
      </c>
      <c r="J81" s="77" t="s">
        <v>599</v>
      </c>
      <c r="K81" s="76" t="s">
        <v>598</v>
      </c>
      <c r="L81" s="77" t="s">
        <v>539</v>
      </c>
      <c r="N81" s="103"/>
      <c r="O81" s="32"/>
      <c r="P81" s="30">
        <v>40</v>
      </c>
      <c r="Q81" s="30">
        <v>22</v>
      </c>
      <c r="R81" s="30">
        <v>5</v>
      </c>
      <c r="S81" s="30">
        <v>21</v>
      </c>
      <c r="T81" s="30">
        <v>12</v>
      </c>
      <c r="U81" s="214">
        <f t="shared" si="1"/>
        <v>100</v>
      </c>
      <c r="V81" s="30"/>
      <c r="W81" s="30"/>
      <c r="X81" s="30"/>
      <c r="Y81" s="30"/>
      <c r="Z81" s="30"/>
      <c r="AA81" s="30"/>
      <c r="AB81" s="32"/>
      <c r="AC81" s="32"/>
      <c r="AD81" s="32"/>
      <c r="AE81" s="32"/>
      <c r="AF81" s="32"/>
    </row>
    <row r="82" spans="1:33" ht="11.25" customHeight="1" x14ac:dyDescent="0.15">
      <c r="A82" s="102">
        <v>81</v>
      </c>
      <c r="B82" s="101" t="s">
        <v>304</v>
      </c>
      <c r="C82" s="100">
        <v>2</v>
      </c>
      <c r="D82" s="99">
        <v>4</v>
      </c>
      <c r="E82" s="95" t="s">
        <v>499</v>
      </c>
      <c r="F82" s="74"/>
      <c r="G82" s="98" t="s">
        <v>597</v>
      </c>
      <c r="H82" s="96" t="s">
        <v>596</v>
      </c>
      <c r="I82" s="97" t="s">
        <v>499</v>
      </c>
      <c r="J82" s="97" t="s">
        <v>590</v>
      </c>
      <c r="K82" s="96" t="s">
        <v>589</v>
      </c>
      <c r="L82" s="95" t="s">
        <v>499</v>
      </c>
      <c r="M82" s="74"/>
      <c r="N82" s="94"/>
      <c r="O82" s="72"/>
      <c r="P82" s="30">
        <v>40</v>
      </c>
      <c r="Q82" s="30">
        <v>22</v>
      </c>
      <c r="R82" s="30">
        <v>5</v>
      </c>
      <c r="S82" s="30">
        <v>21</v>
      </c>
      <c r="T82" s="30">
        <v>12</v>
      </c>
      <c r="U82" s="214">
        <f t="shared" si="1"/>
        <v>100</v>
      </c>
      <c r="V82" s="30"/>
      <c r="W82" s="30"/>
      <c r="X82" s="30"/>
      <c r="Y82" s="30"/>
      <c r="Z82" s="30"/>
      <c r="AA82" s="30"/>
      <c r="AB82" s="32"/>
      <c r="AC82" s="32"/>
      <c r="AD82" s="32"/>
      <c r="AE82" s="32"/>
      <c r="AF82" s="32"/>
      <c r="AG82" s="57"/>
    </row>
    <row r="83" spans="1:33" ht="11.25" customHeight="1" x14ac:dyDescent="0.15">
      <c r="A83" s="93">
        <v>82</v>
      </c>
      <c r="B83" s="87" t="s">
        <v>307</v>
      </c>
      <c r="C83" s="65">
        <v>2</v>
      </c>
      <c r="D83" s="92">
        <v>1</v>
      </c>
      <c r="E83" s="90" t="s">
        <v>501</v>
      </c>
      <c r="F83" s="74"/>
      <c r="G83" s="91" t="s">
        <v>595</v>
      </c>
      <c r="H83" s="61" t="s">
        <v>563</v>
      </c>
      <c r="I83" s="49" t="s">
        <v>501</v>
      </c>
      <c r="J83" s="49" t="s">
        <v>594</v>
      </c>
      <c r="K83" s="61" t="s">
        <v>593</v>
      </c>
      <c r="L83" s="90" t="s">
        <v>539</v>
      </c>
      <c r="M83" s="74"/>
      <c r="N83" s="89" t="s">
        <v>592</v>
      </c>
      <c r="O83" s="72"/>
      <c r="P83" s="30">
        <v>50</v>
      </c>
      <c r="Q83" s="30">
        <v>5</v>
      </c>
      <c r="R83" s="30">
        <v>4</v>
      </c>
      <c r="S83" s="30">
        <v>18</v>
      </c>
      <c r="T83" s="30">
        <v>23</v>
      </c>
      <c r="U83" s="214">
        <f t="shared" si="1"/>
        <v>100</v>
      </c>
      <c r="V83" s="30"/>
      <c r="W83" s="30"/>
      <c r="X83" s="30"/>
      <c r="Y83" s="30"/>
      <c r="Z83" s="30"/>
      <c r="AA83" s="30"/>
      <c r="AB83" s="32"/>
      <c r="AC83" s="32"/>
      <c r="AD83" s="32"/>
      <c r="AE83" s="32"/>
      <c r="AF83" s="32"/>
      <c r="AG83" s="57"/>
    </row>
    <row r="84" spans="1:33" s="58" customFormat="1" x14ac:dyDescent="0.15">
      <c r="A84" s="88">
        <v>83</v>
      </c>
      <c r="B84" s="87" t="s">
        <v>310</v>
      </c>
      <c r="C84" s="63">
        <v>1</v>
      </c>
      <c r="D84" s="64">
        <v>2</v>
      </c>
      <c r="E84" s="84" t="s">
        <v>499</v>
      </c>
      <c r="F84" s="74"/>
      <c r="G84" s="86" t="s">
        <v>551</v>
      </c>
      <c r="H84" s="85" t="s">
        <v>591</v>
      </c>
      <c r="I84" s="36" t="s">
        <v>499</v>
      </c>
      <c r="J84" s="36" t="s">
        <v>590</v>
      </c>
      <c r="K84" s="85" t="s">
        <v>589</v>
      </c>
      <c r="L84" s="84" t="s">
        <v>499</v>
      </c>
      <c r="M84" s="74"/>
      <c r="N84" s="83"/>
      <c r="O84" s="72"/>
      <c r="P84" s="30">
        <v>40</v>
      </c>
      <c r="Q84" s="30">
        <v>5</v>
      </c>
      <c r="R84" s="30">
        <v>22</v>
      </c>
      <c r="S84" s="30">
        <v>12</v>
      </c>
      <c r="T84" s="30">
        <v>21</v>
      </c>
      <c r="U84" s="214">
        <f t="shared" si="1"/>
        <v>100</v>
      </c>
      <c r="V84" s="30"/>
      <c r="W84" s="30"/>
      <c r="X84" s="30"/>
      <c r="Y84" s="30"/>
      <c r="Z84" s="30"/>
      <c r="AA84" s="30"/>
      <c r="AB84" s="32"/>
      <c r="AC84" s="32"/>
      <c r="AD84" s="32"/>
      <c r="AE84" s="32"/>
      <c r="AF84" s="32"/>
      <c r="AG84" s="59"/>
    </row>
    <row r="85" spans="1:33" ht="12" thickBot="1" x14ac:dyDescent="0.2">
      <c r="A85" s="82">
        <v>84</v>
      </c>
      <c r="B85" s="81" t="s">
        <v>588</v>
      </c>
      <c r="C85" s="80">
        <v>1</v>
      </c>
      <c r="D85" s="79">
        <v>2</v>
      </c>
      <c r="E85" s="75" t="s">
        <v>499</v>
      </c>
      <c r="F85" s="74"/>
      <c r="G85" s="78" t="s">
        <v>587</v>
      </c>
      <c r="H85" s="76" t="s">
        <v>586</v>
      </c>
      <c r="I85" s="77" t="s">
        <v>499</v>
      </c>
      <c r="J85" s="77" t="s">
        <v>585</v>
      </c>
      <c r="K85" s="76" t="s">
        <v>584</v>
      </c>
      <c r="L85" s="75" t="s">
        <v>539</v>
      </c>
      <c r="M85" s="74"/>
      <c r="N85" s="73"/>
      <c r="O85" s="72"/>
      <c r="P85" s="30">
        <v>40</v>
      </c>
      <c r="Q85" s="30">
        <v>5</v>
      </c>
      <c r="R85" s="30">
        <v>22</v>
      </c>
      <c r="S85" s="30">
        <v>12</v>
      </c>
      <c r="T85" s="30">
        <v>21</v>
      </c>
      <c r="U85" s="214">
        <f t="shared" si="1"/>
        <v>100</v>
      </c>
      <c r="V85" s="30"/>
      <c r="W85" s="30"/>
      <c r="X85" s="30"/>
      <c r="Y85" s="30"/>
      <c r="Z85" s="30"/>
      <c r="AA85" s="30"/>
      <c r="AB85" s="32"/>
      <c r="AC85" s="32"/>
      <c r="AD85" s="32"/>
      <c r="AE85" s="32"/>
      <c r="AF85" s="32"/>
      <c r="AG85" s="57"/>
    </row>
    <row r="86" spans="1:33" ht="11.25" customHeight="1" x14ac:dyDescent="0.15">
      <c r="A86" s="68">
        <v>85</v>
      </c>
      <c r="B86" s="68" t="s">
        <v>583</v>
      </c>
      <c r="C86" s="71">
        <v>2</v>
      </c>
      <c r="D86" s="70">
        <v>1</v>
      </c>
      <c r="E86" s="69" t="s">
        <v>497</v>
      </c>
      <c r="F86" s="30"/>
      <c r="G86" s="69" t="s">
        <v>581</v>
      </c>
      <c r="H86" s="68" t="s">
        <v>563</v>
      </c>
      <c r="I86" s="69" t="s">
        <v>497</v>
      </c>
      <c r="J86" s="69" t="s">
        <v>580</v>
      </c>
      <c r="K86" s="68" t="s">
        <v>579</v>
      </c>
      <c r="L86" s="69" t="s">
        <v>539</v>
      </c>
      <c r="N86" s="68"/>
      <c r="O86" s="32"/>
      <c r="P86" s="30">
        <v>45</v>
      </c>
      <c r="Q86" s="30">
        <v>7</v>
      </c>
      <c r="R86" s="30">
        <v>5</v>
      </c>
      <c r="S86" s="30">
        <v>20</v>
      </c>
      <c r="T86" s="30">
        <v>23</v>
      </c>
      <c r="U86" s="214">
        <f t="shared" si="1"/>
        <v>100</v>
      </c>
      <c r="V86" s="30"/>
      <c r="W86" s="30"/>
      <c r="X86" s="30"/>
      <c r="Y86" s="30"/>
      <c r="Z86" s="30"/>
      <c r="AA86" s="30"/>
      <c r="AB86" s="32"/>
      <c r="AC86" s="32"/>
      <c r="AD86" s="32"/>
      <c r="AE86" s="32"/>
      <c r="AF86" s="32"/>
    </row>
    <row r="87" spans="1:33" x14ac:dyDescent="0.15">
      <c r="A87" s="61">
        <v>86</v>
      </c>
      <c r="B87" s="61" t="s">
        <v>578</v>
      </c>
      <c r="C87" s="63">
        <v>1</v>
      </c>
      <c r="D87" s="64">
        <v>2</v>
      </c>
      <c r="E87" s="49" t="s">
        <v>500</v>
      </c>
      <c r="F87" s="30"/>
      <c r="G87" s="49" t="s">
        <v>531</v>
      </c>
      <c r="H87" s="61" t="s">
        <v>530</v>
      </c>
      <c r="I87" s="49" t="s">
        <v>500</v>
      </c>
      <c r="J87" s="49" t="s">
        <v>577</v>
      </c>
      <c r="K87" s="61" t="s">
        <v>576</v>
      </c>
      <c r="L87" s="49" t="s">
        <v>501</v>
      </c>
      <c r="N87" s="61"/>
      <c r="O87" s="32"/>
      <c r="P87" s="30">
        <v>40</v>
      </c>
      <c r="Q87" s="30">
        <v>5</v>
      </c>
      <c r="R87" s="30">
        <v>22</v>
      </c>
      <c r="S87" s="30">
        <v>12</v>
      </c>
      <c r="T87" s="30">
        <v>21</v>
      </c>
      <c r="U87" s="214">
        <f t="shared" si="1"/>
        <v>100</v>
      </c>
      <c r="V87" s="30"/>
      <c r="W87" s="30"/>
      <c r="X87" s="30"/>
      <c r="Y87" s="30"/>
      <c r="Z87" s="30"/>
      <c r="AA87" s="30"/>
      <c r="AB87" s="32"/>
      <c r="AC87" s="32"/>
      <c r="AD87" s="32"/>
      <c r="AE87" s="32"/>
      <c r="AF87" s="32"/>
    </row>
    <row r="88" spans="1:33" ht="11.25" customHeight="1" x14ac:dyDescent="0.15">
      <c r="A88" s="61">
        <v>87</v>
      </c>
      <c r="B88" s="61" t="s">
        <v>575</v>
      </c>
      <c r="C88" s="65">
        <v>2</v>
      </c>
      <c r="D88" s="62">
        <v>4</v>
      </c>
      <c r="E88" s="49" t="s">
        <v>501</v>
      </c>
      <c r="F88" s="30"/>
      <c r="G88" s="67" t="s">
        <v>574</v>
      </c>
      <c r="H88" s="61" t="s">
        <v>573</v>
      </c>
      <c r="I88" s="49" t="s">
        <v>501</v>
      </c>
      <c r="J88" s="49" t="s">
        <v>572</v>
      </c>
      <c r="K88" s="61" t="s">
        <v>571</v>
      </c>
      <c r="L88" s="49" t="s">
        <v>497</v>
      </c>
      <c r="N88" s="61"/>
      <c r="O88" s="32"/>
      <c r="P88" s="30">
        <v>40</v>
      </c>
      <c r="Q88" s="30">
        <v>22</v>
      </c>
      <c r="R88" s="30">
        <v>5</v>
      </c>
      <c r="S88" s="30">
        <v>21</v>
      </c>
      <c r="T88" s="30">
        <v>12</v>
      </c>
      <c r="U88" s="214">
        <f t="shared" si="1"/>
        <v>100</v>
      </c>
      <c r="V88" s="30"/>
      <c r="W88" s="30"/>
      <c r="X88" s="30"/>
      <c r="Y88" s="30"/>
      <c r="Z88" s="30"/>
      <c r="AA88" s="30"/>
      <c r="AB88" s="32"/>
      <c r="AC88" s="32"/>
      <c r="AD88" s="32"/>
      <c r="AE88" s="32"/>
      <c r="AF88" s="32"/>
    </row>
    <row r="89" spans="1:33" ht="11.25" customHeight="1" x14ac:dyDescent="0.15">
      <c r="A89" s="61">
        <v>88</v>
      </c>
      <c r="B89" s="61" t="s">
        <v>570</v>
      </c>
      <c r="C89" s="63">
        <v>1</v>
      </c>
      <c r="D89" s="62">
        <v>4</v>
      </c>
      <c r="E89" s="37" t="s">
        <v>492</v>
      </c>
      <c r="F89" s="30"/>
      <c r="G89" s="49" t="s">
        <v>569</v>
      </c>
      <c r="H89" s="61" t="s">
        <v>568</v>
      </c>
      <c r="I89" s="49" t="s">
        <v>492</v>
      </c>
      <c r="J89" s="49" t="s">
        <v>567</v>
      </c>
      <c r="K89" s="61" t="s">
        <v>566</v>
      </c>
      <c r="L89" s="49" t="s">
        <v>494</v>
      </c>
      <c r="N89" s="61"/>
      <c r="O89" s="32"/>
      <c r="P89" s="30">
        <v>40</v>
      </c>
      <c r="Q89" s="30">
        <v>5</v>
      </c>
      <c r="R89" s="30">
        <v>22</v>
      </c>
      <c r="S89" s="30">
        <v>12</v>
      </c>
      <c r="T89" s="30">
        <v>21</v>
      </c>
      <c r="U89" s="214">
        <f t="shared" si="1"/>
        <v>100</v>
      </c>
      <c r="V89" s="30"/>
      <c r="W89" s="30"/>
      <c r="X89" s="30"/>
      <c r="Y89" s="30"/>
      <c r="Z89" s="30"/>
      <c r="AA89" s="30"/>
      <c r="AB89" s="32"/>
      <c r="AC89" s="32"/>
      <c r="AD89" s="32"/>
      <c r="AE89" s="32"/>
      <c r="AF89" s="32"/>
    </row>
    <row r="90" spans="1:33" x14ac:dyDescent="0.15">
      <c r="A90" s="61">
        <v>89</v>
      </c>
      <c r="B90" s="61" t="s">
        <v>565</v>
      </c>
      <c r="C90" s="65">
        <v>2</v>
      </c>
      <c r="D90" s="64">
        <v>2</v>
      </c>
      <c r="E90" s="49" t="s">
        <v>497</v>
      </c>
      <c r="F90" s="30"/>
      <c r="G90" s="49" t="s">
        <v>564</v>
      </c>
      <c r="H90" s="61" t="s">
        <v>563</v>
      </c>
      <c r="I90" s="49" t="s">
        <v>497</v>
      </c>
      <c r="J90" s="49" t="s">
        <v>562</v>
      </c>
      <c r="K90" s="61" t="s">
        <v>561</v>
      </c>
      <c r="L90" s="49" t="s">
        <v>497</v>
      </c>
      <c r="N90" s="61"/>
      <c r="O90" s="32"/>
      <c r="P90" s="30">
        <v>40</v>
      </c>
      <c r="Q90" s="30">
        <v>22</v>
      </c>
      <c r="R90" s="30">
        <v>5</v>
      </c>
      <c r="S90" s="30">
        <v>21</v>
      </c>
      <c r="T90" s="30">
        <v>12</v>
      </c>
      <c r="U90" s="214">
        <f t="shared" si="1"/>
        <v>100</v>
      </c>
      <c r="V90" s="30"/>
      <c r="W90" s="30"/>
      <c r="X90" s="30"/>
      <c r="Y90" s="30"/>
      <c r="Z90" s="30"/>
      <c r="AA90" s="30"/>
      <c r="AB90" s="32"/>
      <c r="AC90" s="32"/>
      <c r="AD90" s="32"/>
      <c r="AE90" s="32"/>
      <c r="AF90" s="32"/>
    </row>
    <row r="91" spans="1:33" ht="11.25" customHeight="1" x14ac:dyDescent="0.15">
      <c r="A91" s="61">
        <v>90</v>
      </c>
      <c r="B91" s="61" t="s">
        <v>560</v>
      </c>
      <c r="C91" s="65">
        <v>2</v>
      </c>
      <c r="D91" s="66">
        <v>3</v>
      </c>
      <c r="E91" s="49" t="s">
        <v>499</v>
      </c>
      <c r="F91" s="30"/>
      <c r="G91" s="49" t="s">
        <v>558</v>
      </c>
      <c r="H91" s="61" t="s">
        <v>557</v>
      </c>
      <c r="I91" s="49" t="s">
        <v>539</v>
      </c>
      <c r="J91" s="49" t="s">
        <v>556</v>
      </c>
      <c r="K91" s="61" t="s">
        <v>555</v>
      </c>
      <c r="L91" s="49" t="s">
        <v>539</v>
      </c>
      <c r="N91" s="61"/>
      <c r="O91" s="32"/>
      <c r="P91" s="30">
        <v>40</v>
      </c>
      <c r="Q91" s="30">
        <v>22</v>
      </c>
      <c r="R91" s="30">
        <v>5</v>
      </c>
      <c r="S91" s="30">
        <v>21</v>
      </c>
      <c r="T91" s="30">
        <v>12</v>
      </c>
      <c r="U91" s="214">
        <f t="shared" si="1"/>
        <v>100</v>
      </c>
      <c r="V91" s="30"/>
      <c r="W91" s="30"/>
      <c r="X91" s="30"/>
      <c r="Y91" s="30"/>
      <c r="Z91" s="30"/>
      <c r="AA91" s="30"/>
      <c r="AB91" s="32"/>
      <c r="AC91" s="32"/>
      <c r="AD91" s="32"/>
      <c r="AE91" s="32"/>
      <c r="AF91" s="32"/>
    </row>
    <row r="92" spans="1:33" ht="11.25" customHeight="1" x14ac:dyDescent="0.15">
      <c r="A92" s="61">
        <v>91</v>
      </c>
      <c r="B92" s="61" t="s">
        <v>554</v>
      </c>
      <c r="C92" s="65">
        <v>2</v>
      </c>
      <c r="D92" s="62">
        <v>4</v>
      </c>
      <c r="E92" s="49" t="s">
        <v>501</v>
      </c>
      <c r="F92" s="30"/>
      <c r="G92" s="49" t="s">
        <v>553</v>
      </c>
      <c r="H92" s="61" t="s">
        <v>552</v>
      </c>
      <c r="I92" s="49" t="s">
        <v>501</v>
      </c>
      <c r="J92" s="49" t="s">
        <v>551</v>
      </c>
      <c r="K92" s="61" t="s">
        <v>550</v>
      </c>
      <c r="L92" s="49" t="s">
        <v>501</v>
      </c>
      <c r="N92" s="61"/>
      <c r="O92" s="32"/>
      <c r="P92" s="30">
        <v>40</v>
      </c>
      <c r="Q92" s="30">
        <v>22</v>
      </c>
      <c r="R92" s="30">
        <v>5</v>
      </c>
      <c r="S92" s="30">
        <v>21</v>
      </c>
      <c r="T92" s="30">
        <v>12</v>
      </c>
      <c r="U92" s="214">
        <f t="shared" si="1"/>
        <v>100</v>
      </c>
      <c r="V92" s="30"/>
      <c r="W92" s="30"/>
      <c r="X92" s="30"/>
      <c r="Y92" s="30"/>
      <c r="Z92" s="30"/>
      <c r="AA92" s="30"/>
      <c r="AB92" s="32"/>
      <c r="AC92" s="32"/>
      <c r="AD92" s="32"/>
      <c r="AE92" s="32"/>
      <c r="AF92" s="32"/>
    </row>
    <row r="93" spans="1:33" x14ac:dyDescent="0.15">
      <c r="A93" s="61">
        <v>92</v>
      </c>
      <c r="B93" s="61" t="s">
        <v>549</v>
      </c>
      <c r="C93" s="65">
        <v>2</v>
      </c>
      <c r="D93" s="64">
        <v>2</v>
      </c>
      <c r="E93" s="49" t="s">
        <v>494</v>
      </c>
      <c r="F93" s="30"/>
      <c r="G93" s="49" t="s">
        <v>548</v>
      </c>
      <c r="H93" s="61" t="s">
        <v>547</v>
      </c>
      <c r="I93" s="49" t="s">
        <v>494</v>
      </c>
      <c r="J93" s="49" t="s">
        <v>546</v>
      </c>
      <c r="K93" s="61" t="s">
        <v>545</v>
      </c>
      <c r="L93" s="49" t="s">
        <v>539</v>
      </c>
      <c r="N93" s="61" t="s">
        <v>544</v>
      </c>
      <c r="O93" s="32"/>
      <c r="P93" s="30">
        <v>40</v>
      </c>
      <c r="Q93" s="30">
        <v>24</v>
      </c>
      <c r="R93" s="30">
        <v>4</v>
      </c>
      <c r="S93" s="30">
        <v>17</v>
      </c>
      <c r="T93" s="30">
        <v>15</v>
      </c>
      <c r="U93" s="214">
        <f t="shared" si="1"/>
        <v>100</v>
      </c>
      <c r="V93" s="30"/>
      <c r="W93" s="30"/>
      <c r="X93" s="30"/>
      <c r="Y93" s="30"/>
      <c r="Z93" s="30"/>
      <c r="AA93" s="30"/>
      <c r="AB93" s="32"/>
      <c r="AC93" s="32"/>
      <c r="AD93" s="32"/>
      <c r="AE93" s="32"/>
      <c r="AF93" s="32"/>
    </row>
    <row r="94" spans="1:33" x14ac:dyDescent="0.15">
      <c r="A94" s="61">
        <v>93</v>
      </c>
      <c r="B94" s="61" t="s">
        <v>543</v>
      </c>
      <c r="C94" s="63">
        <v>1</v>
      </c>
      <c r="D94" s="64">
        <v>2</v>
      </c>
      <c r="E94" s="49" t="s">
        <v>500</v>
      </c>
      <c r="F94" s="30"/>
      <c r="G94" s="49" t="s">
        <v>542</v>
      </c>
      <c r="H94" s="61" t="s">
        <v>524</v>
      </c>
      <c r="I94" s="49" t="s">
        <v>500</v>
      </c>
      <c r="J94" s="49" t="s">
        <v>541</v>
      </c>
      <c r="K94" s="61" t="s">
        <v>540</v>
      </c>
      <c r="L94" s="49" t="s">
        <v>539</v>
      </c>
      <c r="N94" s="61"/>
      <c r="O94" s="32"/>
      <c r="P94" s="30">
        <v>40</v>
      </c>
      <c r="Q94" s="30">
        <v>5</v>
      </c>
      <c r="R94" s="30">
        <v>22</v>
      </c>
      <c r="S94" s="30">
        <v>12</v>
      </c>
      <c r="T94" s="30">
        <v>21</v>
      </c>
      <c r="U94" s="214">
        <f t="shared" si="1"/>
        <v>100</v>
      </c>
      <c r="V94" s="30"/>
      <c r="W94" s="30"/>
      <c r="X94" s="30"/>
      <c r="Y94" s="30"/>
      <c r="Z94" s="30"/>
      <c r="AA94" s="30"/>
      <c r="AB94" s="32"/>
      <c r="AC94" s="32"/>
      <c r="AD94" s="32"/>
      <c r="AE94" s="32"/>
      <c r="AF94" s="32"/>
    </row>
    <row r="95" spans="1:33" ht="11.25" customHeight="1" x14ac:dyDescent="0.15">
      <c r="A95" s="61">
        <v>94</v>
      </c>
      <c r="B95" s="61" t="s">
        <v>538</v>
      </c>
      <c r="C95" s="63">
        <v>1</v>
      </c>
      <c r="D95" s="62">
        <v>4</v>
      </c>
      <c r="E95" s="49" t="s">
        <v>500</v>
      </c>
      <c r="F95" s="30"/>
      <c r="G95" s="49" t="s">
        <v>537</v>
      </c>
      <c r="H95" s="61" t="s">
        <v>536</v>
      </c>
      <c r="I95" s="49" t="s">
        <v>500</v>
      </c>
      <c r="J95" s="49" t="s">
        <v>535</v>
      </c>
      <c r="K95" s="61" t="s">
        <v>534</v>
      </c>
      <c r="L95" s="49" t="s">
        <v>500</v>
      </c>
      <c r="N95" s="61"/>
      <c r="O95" s="32"/>
      <c r="P95" s="30">
        <v>40</v>
      </c>
      <c r="Q95" s="30">
        <v>5</v>
      </c>
      <c r="R95" s="30">
        <v>22</v>
      </c>
      <c r="S95" s="30">
        <v>12</v>
      </c>
      <c r="T95" s="30">
        <v>21</v>
      </c>
      <c r="U95" s="214">
        <f t="shared" si="1"/>
        <v>100</v>
      </c>
      <c r="V95" s="30"/>
      <c r="W95" s="30"/>
      <c r="X95" s="30"/>
      <c r="Y95" s="30"/>
      <c r="Z95" s="30"/>
      <c r="AA95" s="30"/>
      <c r="AB95" s="32"/>
      <c r="AC95" s="32"/>
      <c r="AD95" s="32"/>
      <c r="AE95" s="32"/>
      <c r="AF95" s="32"/>
    </row>
    <row r="96" spans="1:33" x14ac:dyDescent="0.15">
      <c r="A96" s="61">
        <v>95</v>
      </c>
      <c r="B96" s="61" t="s">
        <v>533</v>
      </c>
      <c r="C96" s="65">
        <v>2</v>
      </c>
      <c r="D96" s="64">
        <v>2</v>
      </c>
      <c r="E96" s="49" t="s">
        <v>500</v>
      </c>
      <c r="F96" s="30"/>
      <c r="G96" s="49" t="s">
        <v>531</v>
      </c>
      <c r="H96" s="61" t="s">
        <v>530</v>
      </c>
      <c r="I96" s="49" t="s">
        <v>500</v>
      </c>
      <c r="J96" s="49" t="s">
        <v>529</v>
      </c>
      <c r="K96" s="61" t="s">
        <v>528</v>
      </c>
      <c r="L96" s="49" t="s">
        <v>501</v>
      </c>
      <c r="N96" s="61"/>
      <c r="O96" s="32"/>
      <c r="P96" s="30">
        <v>40</v>
      </c>
      <c r="Q96" s="30">
        <v>22</v>
      </c>
      <c r="R96" s="30">
        <v>5</v>
      </c>
      <c r="S96" s="30">
        <v>21</v>
      </c>
      <c r="T96" s="30">
        <v>12</v>
      </c>
      <c r="U96" s="214">
        <f t="shared" si="1"/>
        <v>100</v>
      </c>
      <c r="V96" s="30"/>
      <c r="W96" s="30"/>
      <c r="X96" s="30"/>
      <c r="Y96" s="30"/>
      <c r="Z96" s="30"/>
      <c r="AA96" s="30"/>
      <c r="AB96" s="32"/>
      <c r="AC96" s="32"/>
      <c r="AD96" s="32"/>
      <c r="AE96" s="32"/>
      <c r="AF96" s="32"/>
    </row>
    <row r="97" spans="1:33" ht="11.25" customHeight="1" x14ac:dyDescent="0.15">
      <c r="A97" s="61">
        <v>96</v>
      </c>
      <c r="B97" s="61" t="s">
        <v>527</v>
      </c>
      <c r="C97" s="63">
        <v>1</v>
      </c>
      <c r="D97" s="62">
        <v>4</v>
      </c>
      <c r="E97" s="49" t="s">
        <v>500</v>
      </c>
      <c r="F97" s="30"/>
      <c r="G97" s="49" t="s">
        <v>525</v>
      </c>
      <c r="H97" s="61" t="s">
        <v>524</v>
      </c>
      <c r="I97" s="49" t="s">
        <v>500</v>
      </c>
      <c r="J97" s="49" t="s">
        <v>523</v>
      </c>
      <c r="K97" s="61" t="s">
        <v>522</v>
      </c>
      <c r="L97" s="49" t="s">
        <v>501</v>
      </c>
      <c r="N97" s="61"/>
      <c r="O97" s="32"/>
      <c r="P97" s="30">
        <v>40</v>
      </c>
      <c r="Q97" s="30">
        <v>5</v>
      </c>
      <c r="R97" s="30">
        <v>22</v>
      </c>
      <c r="S97" s="30">
        <v>12</v>
      </c>
      <c r="T97" s="30">
        <v>21</v>
      </c>
      <c r="U97" s="214">
        <f t="shared" si="1"/>
        <v>100</v>
      </c>
      <c r="V97" s="30"/>
      <c r="W97" s="30"/>
      <c r="X97" s="30"/>
      <c r="Y97" s="30"/>
      <c r="Z97" s="30"/>
      <c r="AA97" s="30"/>
      <c r="AB97" s="32"/>
      <c r="AC97" s="32"/>
      <c r="AD97" s="32"/>
      <c r="AE97" s="32"/>
      <c r="AF97" s="32"/>
    </row>
    <row r="98" spans="1:33" ht="11.25" customHeight="1" x14ac:dyDescent="0.3"/>
    <row r="99" spans="1:33" ht="11.25" customHeight="1" x14ac:dyDescent="0.3">
      <c r="K99" s="57"/>
      <c r="L99" s="60"/>
      <c r="N99" s="57"/>
      <c r="O99" s="32"/>
      <c r="P99" s="30"/>
      <c r="Q99" s="30"/>
      <c r="R99" s="30"/>
      <c r="S99" s="30"/>
      <c r="T99" s="30"/>
      <c r="U99" s="214"/>
      <c r="V99" s="30"/>
      <c r="W99" s="30"/>
      <c r="X99" s="30"/>
      <c r="Y99" s="30"/>
      <c r="Z99" s="30"/>
      <c r="AA99" s="30"/>
      <c r="AB99" s="32"/>
      <c r="AC99" s="32"/>
      <c r="AD99" s="32"/>
      <c r="AE99" s="32"/>
      <c r="AF99" s="32"/>
      <c r="AG99" s="60"/>
    </row>
    <row r="100" spans="1:33" x14ac:dyDescent="0.3">
      <c r="B100" s="59"/>
      <c r="C100" s="57"/>
      <c r="D100" s="49" t="s">
        <v>521</v>
      </c>
      <c r="E100" s="49">
        <f>SUMPRODUCT(ISNUMBER(FIND(" 돌진 "," " &amp;$D$2:$D$97&amp; " "))*1)</f>
        <v>0</v>
      </c>
      <c r="H100" s="28" t="s">
        <v>520</v>
      </c>
      <c r="K100" s="57"/>
      <c r="L100" s="60"/>
      <c r="N100" s="57"/>
      <c r="O100" s="32"/>
      <c r="P100" s="30"/>
      <c r="Q100" s="30"/>
      <c r="R100" s="30"/>
      <c r="S100" s="30"/>
      <c r="T100" s="30"/>
      <c r="U100" s="214"/>
      <c r="V100" s="30"/>
      <c r="W100" s="30"/>
      <c r="X100" s="30"/>
      <c r="Y100" s="30"/>
      <c r="Z100" s="30"/>
      <c r="AA100" s="30"/>
      <c r="AB100" s="32"/>
      <c r="AC100" s="32"/>
      <c r="AD100" s="32"/>
      <c r="AE100" s="32"/>
      <c r="AF100" s="32"/>
      <c r="AG100" s="60"/>
    </row>
    <row r="101" spans="1:33" ht="11.25" customHeight="1" x14ac:dyDescent="0.3">
      <c r="B101" s="59"/>
      <c r="C101" s="57"/>
      <c r="D101" s="49" t="s">
        <v>519</v>
      </c>
      <c r="E101" s="49">
        <f>SUMPRODUCT(ISNUMBER(FIND(" 방어 "," " &amp;$D$2:$D$97&amp; " "))*1)</f>
        <v>0</v>
      </c>
    </row>
    <row r="102" spans="1:33" ht="11.25" customHeight="1" x14ac:dyDescent="0.3">
      <c r="B102" s="59"/>
      <c r="C102" s="57"/>
      <c r="D102" s="49" t="s">
        <v>518</v>
      </c>
      <c r="E102" s="49">
        <f>SUMPRODUCT(ISNUMBER(FIND(" 공격 "," " &amp;$D$2:$D$97&amp; " "))*1)</f>
        <v>0</v>
      </c>
    </row>
    <row r="103" spans="1:33" ht="11.25" customHeight="1" x14ac:dyDescent="0.3">
      <c r="B103" s="59"/>
      <c r="C103" s="57"/>
      <c r="D103" s="49" t="s">
        <v>517</v>
      </c>
      <c r="E103" s="49">
        <f>SUMPRODUCT(ISNUMBER(FIND(" 지원 "," " &amp;$D$2:$D$97&amp; " "))*1)</f>
        <v>0</v>
      </c>
    </row>
    <row r="104" spans="1:33" ht="11.25" customHeight="1" x14ac:dyDescent="0.3">
      <c r="B104" s="59"/>
      <c r="C104" s="57"/>
      <c r="D104" s="33" t="s">
        <v>491</v>
      </c>
      <c r="E104" s="33">
        <f>SUM(E100:E103)</f>
        <v>0</v>
      </c>
    </row>
    <row r="105" spans="1:33" ht="11.25" customHeight="1" x14ac:dyDescent="0.3">
      <c r="B105" s="59"/>
      <c r="C105" s="57"/>
      <c r="D105" s="31"/>
    </row>
    <row r="106" spans="1:33" ht="11.25" customHeight="1" x14ac:dyDescent="0.3">
      <c r="B106" s="59"/>
      <c r="C106" s="57"/>
      <c r="D106" s="49" t="s">
        <v>516</v>
      </c>
      <c r="E106" s="49">
        <f>SUMPRODUCT(ISNUMBER(FIND(" A "," "&amp;$C$2:$C$97&amp;" "))*1)</f>
        <v>0</v>
      </c>
    </row>
    <row r="107" spans="1:33" ht="11.25" customHeight="1" x14ac:dyDescent="0.3">
      <c r="B107" s="58"/>
      <c r="C107" s="57"/>
      <c r="D107" s="49" t="s">
        <v>515</v>
      </c>
      <c r="E107" s="49">
        <f>SUMPRODUCT(ISNUMBER(FIND(" M "," "&amp;$C$2:$C$97&amp;" "))*1)</f>
        <v>0</v>
      </c>
    </row>
    <row r="108" spans="1:33" ht="11.25" customHeight="1" x14ac:dyDescent="0.3">
      <c r="D108" s="33" t="s">
        <v>491</v>
      </c>
      <c r="E108" s="33">
        <f>SUM(E106:E107)</f>
        <v>0</v>
      </c>
    </row>
    <row r="109" spans="1:33" ht="11.25" customHeight="1" x14ac:dyDescent="0.3"/>
    <row r="110" spans="1:33" ht="11.25" customHeight="1" x14ac:dyDescent="0.3">
      <c r="D110" s="36" t="s">
        <v>514</v>
      </c>
      <c r="E110" s="36">
        <f>COUNTIFS($C$2:$C$97,"A",$D$2:$D$97,"돌진")</f>
        <v>0</v>
      </c>
      <c r="G110" s="56" t="s">
        <v>505</v>
      </c>
      <c r="H110" s="55" t="s">
        <v>513</v>
      </c>
    </row>
    <row r="111" spans="1:33" ht="11.25" customHeight="1" x14ac:dyDescent="0.3">
      <c r="D111" s="36" t="s">
        <v>512</v>
      </c>
      <c r="E111" s="36">
        <f>COUNTIFS($C$2:$C$97,"M",$D$2:$D$97,"돌진")</f>
        <v>0</v>
      </c>
      <c r="G111" s="56" t="s">
        <v>505</v>
      </c>
      <c r="H111" s="55" t="s">
        <v>511</v>
      </c>
    </row>
    <row r="112" spans="1:33" ht="11.25" customHeight="1" x14ac:dyDescent="0.3">
      <c r="D112" s="36" t="s">
        <v>510</v>
      </c>
      <c r="E112" s="36">
        <f>COUNTIFS($C$2:$C$97,"A",$D$2:$D$97,"방어")</f>
        <v>0</v>
      </c>
      <c r="G112" s="56"/>
    </row>
    <row r="113" spans="4:8" ht="11.25" customHeight="1" x14ac:dyDescent="0.3">
      <c r="D113" s="36" t="s">
        <v>509</v>
      </c>
      <c r="E113" s="36">
        <f>COUNTIFS($C$2:$C$97,"M",$D$2:$D$97,"방어")</f>
        <v>0</v>
      </c>
      <c r="G113" s="56"/>
    </row>
    <row r="114" spans="4:8" ht="11.25" customHeight="1" x14ac:dyDescent="0.3">
      <c r="D114" s="36" t="s">
        <v>508</v>
      </c>
      <c r="E114" s="36">
        <f>COUNTIFS($C$2:$C$97,"A",$D$2:$D$97,"공격")</f>
        <v>0</v>
      </c>
      <c r="G114" s="56" t="s">
        <v>505</v>
      </c>
      <c r="H114" s="28" t="s">
        <v>507</v>
      </c>
    </row>
    <row r="115" spans="4:8" ht="11.25" customHeight="1" x14ac:dyDescent="0.3">
      <c r="D115" s="36" t="s">
        <v>506</v>
      </c>
      <c r="E115" s="36">
        <f>COUNTIFS($C$2:$C$97,"M",$D$2:$D$97,"공격")</f>
        <v>0</v>
      </c>
      <c r="G115" s="56" t="s">
        <v>505</v>
      </c>
      <c r="H115" s="28" t="s">
        <v>504</v>
      </c>
    </row>
    <row r="116" spans="4:8" ht="11.25" customHeight="1" x14ac:dyDescent="0.3">
      <c r="D116" s="36" t="s">
        <v>503</v>
      </c>
      <c r="E116" s="36">
        <f>COUNTIFS($C$2:$C$97,"A",$D$2:$D$97,"지원")</f>
        <v>0</v>
      </c>
    </row>
    <row r="117" spans="4:8" ht="11.25" customHeight="1" x14ac:dyDescent="0.3">
      <c r="D117" s="36" t="s">
        <v>502</v>
      </c>
      <c r="E117" s="36">
        <f>COUNTIFS($C$2:$C$97,"M",$D$2:$D$97,"지원")</f>
        <v>0</v>
      </c>
      <c r="H117" s="55"/>
    </row>
    <row r="118" spans="4:8" ht="11.25" customHeight="1" x14ac:dyDescent="0.3">
      <c r="D118" s="33" t="s">
        <v>491</v>
      </c>
      <c r="E118" s="33">
        <f>SUM(E110:E117)</f>
        <v>0</v>
      </c>
    </row>
    <row r="119" spans="4:8" ht="11.25" customHeight="1" x14ac:dyDescent="0.3"/>
    <row r="120" spans="4:8" ht="11.25" customHeight="1" x14ac:dyDescent="0.3">
      <c r="D120" s="36" t="s">
        <v>501</v>
      </c>
      <c r="E120" s="49">
        <f>SUMPRODUCT(ISNUMBER(FIND(" 무 "," "&amp;$E$1:$E$97&amp;" "))*1)</f>
        <v>7</v>
      </c>
    </row>
    <row r="121" spans="4:8" ht="11.25" customHeight="1" x14ac:dyDescent="0.3">
      <c r="D121" s="54" t="s">
        <v>500</v>
      </c>
      <c r="E121" s="49">
        <f>SUMPRODUCT(ISNUMBER(FIND(" 화 "," "&amp;$E$1:$E$97&amp;" "))*1)</f>
        <v>16</v>
      </c>
    </row>
    <row r="122" spans="4:8" ht="11.25" customHeight="1" x14ac:dyDescent="0.3">
      <c r="D122" s="47" t="s">
        <v>499</v>
      </c>
      <c r="E122" s="49">
        <f>SUMPRODUCT(ISNUMBER(FIND(" 수 "," "&amp;$E$1:$E$97&amp;" "))*1)</f>
        <v>15</v>
      </c>
    </row>
    <row r="123" spans="4:8" ht="11.25" customHeight="1" x14ac:dyDescent="0.3">
      <c r="D123" s="45" t="s">
        <v>498</v>
      </c>
      <c r="E123" s="49">
        <f>SUMPRODUCT(ISNUMBER(FIND(" 풍 "," "&amp;$E$1:$E$97&amp;" "))*1)</f>
        <v>13</v>
      </c>
    </row>
    <row r="124" spans="4:8" ht="11.25" customHeight="1" x14ac:dyDescent="0.3">
      <c r="D124" s="44" t="s">
        <v>497</v>
      </c>
      <c r="E124" s="49">
        <f>SUMPRODUCT(ISNUMBER(FIND(" 지 "," "&amp;$E$1:$E$97&amp;" "))*1)</f>
        <v>22</v>
      </c>
    </row>
    <row r="125" spans="4:8" ht="11.25" customHeight="1" x14ac:dyDescent="0.3">
      <c r="D125" s="53" t="s">
        <v>496</v>
      </c>
      <c r="E125" s="49">
        <f>SUMPRODUCT(ISNUMBER(FIND(" 독 "," "&amp;$E$1:$E$97&amp;" "))*1)</f>
        <v>5</v>
      </c>
    </row>
    <row r="126" spans="4:8" ht="11.25" customHeight="1" x14ac:dyDescent="0.3">
      <c r="D126" s="52" t="s">
        <v>495</v>
      </c>
      <c r="E126" s="49">
        <f>SUMPRODUCT(ISNUMBER(FIND(" 성 "," "&amp;$E$1:$E$97&amp;" "))*1)</f>
        <v>0</v>
      </c>
    </row>
    <row r="127" spans="4:8" ht="11.25" customHeight="1" x14ac:dyDescent="0.3">
      <c r="D127" s="51" t="s">
        <v>494</v>
      </c>
      <c r="E127" s="49">
        <f>SUMPRODUCT(ISNUMBER(FIND(" 암 "," "&amp;$E$1:$E$97&amp;" "))*1)</f>
        <v>7</v>
      </c>
    </row>
    <row r="128" spans="4:8" ht="11.25" customHeight="1" x14ac:dyDescent="0.3">
      <c r="D128" s="50" t="s">
        <v>493</v>
      </c>
      <c r="E128" s="49">
        <f>SUMPRODUCT(ISNUMBER(FIND(" 염 "," "&amp;$E$1:$E$97&amp;" "))*1)</f>
        <v>3</v>
      </c>
    </row>
    <row r="129" spans="4:8" ht="11.25" customHeight="1" x14ac:dyDescent="0.3">
      <c r="D129" s="37" t="s">
        <v>492</v>
      </c>
      <c r="E129" s="49">
        <f>SUMPRODUCT(ISNUMBER(FIND(" 사 "," "&amp;$E$1:$E$97&amp;" "))*1)</f>
        <v>8</v>
      </c>
    </row>
    <row r="130" spans="4:8" ht="11.25" customHeight="1" x14ac:dyDescent="0.3">
      <c r="D130" s="33" t="s">
        <v>491</v>
      </c>
      <c r="E130" s="33">
        <f>SUM(E120:E129)</f>
        <v>96</v>
      </c>
    </row>
    <row r="131" spans="4:8" ht="12" customHeight="1" thickBot="1" x14ac:dyDescent="0.35"/>
    <row r="132" spans="4:8" ht="11.25" customHeight="1" x14ac:dyDescent="0.3">
      <c r="D132" s="36" t="s">
        <v>490</v>
      </c>
      <c r="E132" s="36">
        <f>COUNTIFS($C$2:$C$97,"A",$E$2:$E$97,"무")</f>
        <v>0</v>
      </c>
      <c r="G132" s="39" t="s">
        <v>477</v>
      </c>
      <c r="H132" s="38" t="e">
        <f>E132/(E132+E133)%</f>
        <v>#DIV/0!</v>
      </c>
    </row>
    <row r="133" spans="4:8" ht="12" customHeight="1" thickBot="1" x14ac:dyDescent="0.35">
      <c r="D133" s="36" t="s">
        <v>489</v>
      </c>
      <c r="E133" s="36">
        <f>COUNTIFS($C$2:$C$97,"M",$E$2:$E$97,"무")</f>
        <v>0</v>
      </c>
      <c r="G133" s="35"/>
      <c r="H133" s="34" t="e">
        <f>E133/(E132+E133)%</f>
        <v>#DIV/0!</v>
      </c>
    </row>
    <row r="134" spans="4:8" ht="11.25" customHeight="1" x14ac:dyDescent="0.3">
      <c r="D134" s="48" t="s">
        <v>488</v>
      </c>
      <c r="E134" s="36">
        <f>COUNTIFS($C$2:$C$97,"A",$E$2:$E$97,"화")</f>
        <v>0</v>
      </c>
      <c r="G134" s="39" t="s">
        <v>473</v>
      </c>
      <c r="H134" s="38" t="e">
        <f>E134/(E134+E135)%</f>
        <v>#DIV/0!</v>
      </c>
    </row>
    <row r="135" spans="4:8" ht="12" customHeight="1" thickBot="1" x14ac:dyDescent="0.35">
      <c r="D135" s="48" t="s">
        <v>487</v>
      </c>
      <c r="E135" s="36">
        <f>COUNTIFS($C$2:$C$97,"M",$E$2:$E$97,"화")</f>
        <v>0</v>
      </c>
      <c r="F135" s="32" t="s">
        <v>471</v>
      </c>
      <c r="G135" s="35"/>
      <c r="H135" s="34" t="e">
        <f>E135/(E134+E135)%</f>
        <v>#DIV/0!</v>
      </c>
    </row>
    <row r="136" spans="4:8" ht="11.25" customHeight="1" x14ac:dyDescent="0.3">
      <c r="D136" s="47" t="s">
        <v>486</v>
      </c>
      <c r="E136" s="36">
        <f>COUNTIFS($C$2:$C$97,"A",$E$2:$E$97,"수")</f>
        <v>0</v>
      </c>
      <c r="G136" s="39" t="s">
        <v>473</v>
      </c>
      <c r="H136" s="38" t="e">
        <f>E136/(E136+E137)%</f>
        <v>#DIV/0!</v>
      </c>
    </row>
    <row r="137" spans="4:8" ht="12" customHeight="1" thickBot="1" x14ac:dyDescent="0.35">
      <c r="D137" s="47" t="s">
        <v>485</v>
      </c>
      <c r="E137" s="36">
        <f>COUNTIFS($C$2:$C$97,"M",$E$2:$E$97,"수")</f>
        <v>0</v>
      </c>
      <c r="G137" s="35"/>
      <c r="H137" s="34" t="e">
        <f>E137/(E136+E137)%</f>
        <v>#DIV/0!</v>
      </c>
    </row>
    <row r="138" spans="4:8" ht="11.25" customHeight="1" x14ac:dyDescent="0.3">
      <c r="D138" s="45" t="s">
        <v>484</v>
      </c>
      <c r="E138" s="36">
        <f>COUNTIFS($C$2:$C$97,"A",$E$2:$E$97,"풍")</f>
        <v>0</v>
      </c>
      <c r="F138" s="32" t="s">
        <v>471</v>
      </c>
      <c r="G138" s="46" t="s">
        <v>473</v>
      </c>
      <c r="H138" s="38" t="e">
        <f>E138/(E138+E139)%</f>
        <v>#DIV/0!</v>
      </c>
    </row>
    <row r="139" spans="4:8" ht="12" customHeight="1" thickBot="1" x14ac:dyDescent="0.35">
      <c r="D139" s="45" t="s">
        <v>483</v>
      </c>
      <c r="E139" s="36">
        <f>COUNTIFS($C$2:$C$97,"M",$E$2:$E$97,"풍")</f>
        <v>0</v>
      </c>
      <c r="G139" s="35"/>
      <c r="H139" s="34" t="e">
        <f>E139/(E138+E139)%</f>
        <v>#DIV/0!</v>
      </c>
    </row>
    <row r="140" spans="4:8" ht="11.25" customHeight="1" x14ac:dyDescent="0.3">
      <c r="D140" s="44" t="s">
        <v>482</v>
      </c>
      <c r="E140" s="36">
        <f>COUNTIFS($C$2:$C$97,"A",$E$2:$E$97,"지")</f>
        <v>0</v>
      </c>
      <c r="G140" s="39" t="s">
        <v>477</v>
      </c>
      <c r="H140" s="38" t="e">
        <f>E140/(E140+E141)%</f>
        <v>#DIV/0!</v>
      </c>
    </row>
    <row r="141" spans="4:8" ht="12" customHeight="1" thickBot="1" x14ac:dyDescent="0.35">
      <c r="D141" s="44" t="s">
        <v>481</v>
      </c>
      <c r="E141" s="36">
        <f>COUNTIFS($C$2:$C$97,"M",$E$2:$E$97,"지")</f>
        <v>0</v>
      </c>
      <c r="G141" s="35"/>
      <c r="H141" s="34" t="e">
        <f>E141/(E140+E141)%</f>
        <v>#DIV/0!</v>
      </c>
    </row>
    <row r="142" spans="4:8" ht="11.25" customHeight="1" x14ac:dyDescent="0.3">
      <c r="D142" s="43" t="s">
        <v>480</v>
      </c>
      <c r="E142" s="36">
        <f>COUNTIFS($C$2:$C$97,"A",$E$2:$E$97,"독")</f>
        <v>0</v>
      </c>
      <c r="F142" s="32" t="s">
        <v>471</v>
      </c>
      <c r="G142" s="39" t="s">
        <v>477</v>
      </c>
      <c r="H142" s="38" t="e">
        <f>E142/(E142+E143)%</f>
        <v>#DIV/0!</v>
      </c>
    </row>
    <row r="143" spans="4:8" ht="12" customHeight="1" thickBot="1" x14ac:dyDescent="0.35">
      <c r="D143" s="43" t="s">
        <v>479</v>
      </c>
      <c r="E143" s="36">
        <f>COUNTIFS($C$2:$C$97,"M",$E$2:$E$97,"독")</f>
        <v>0</v>
      </c>
      <c r="G143" s="35"/>
      <c r="H143" s="34" t="e">
        <f>E143/(E142+E143)%</f>
        <v>#DIV/0!</v>
      </c>
    </row>
    <row r="144" spans="4:8" ht="11.25" customHeight="1" x14ac:dyDescent="0.3">
      <c r="D144" s="42" t="s">
        <v>478</v>
      </c>
      <c r="E144" s="36">
        <f>COUNTIFS($C$2:$C$97,"A",$E$2:$E$97,"암")</f>
        <v>0</v>
      </c>
      <c r="G144" s="39" t="s">
        <v>477</v>
      </c>
      <c r="H144" s="38" t="e">
        <f>E144/(E144+E145)%</f>
        <v>#DIV/0!</v>
      </c>
    </row>
    <row r="145" spans="4:8" ht="12" customHeight="1" thickBot="1" x14ac:dyDescent="0.35">
      <c r="D145" s="42" t="s">
        <v>476</v>
      </c>
      <c r="E145" s="36">
        <f>COUNTIFS($C$2:$C$97,"M",$E$2:$E$97,"암")</f>
        <v>0</v>
      </c>
      <c r="G145" s="35"/>
      <c r="H145" s="34" t="e">
        <f>E145/(E144+E145)%</f>
        <v>#DIV/0!</v>
      </c>
    </row>
    <row r="146" spans="4:8" ht="11.25" customHeight="1" x14ac:dyDescent="0.3">
      <c r="D146" s="40" t="s">
        <v>475</v>
      </c>
      <c r="E146" s="36">
        <f>COUNTIFS($C$2:$C$97,"A",$E$2:$E$97,"염")</f>
        <v>0</v>
      </c>
      <c r="F146" s="41" t="s">
        <v>474</v>
      </c>
      <c r="G146" s="39" t="s">
        <v>473</v>
      </c>
      <c r="H146" s="38" t="e">
        <f>E146/(E146+E147)%</f>
        <v>#DIV/0!</v>
      </c>
    </row>
    <row r="147" spans="4:8" ht="12" customHeight="1" thickBot="1" x14ac:dyDescent="0.35">
      <c r="D147" s="40" t="s">
        <v>472</v>
      </c>
      <c r="E147" s="36">
        <f>COUNTIFS($C$2:$C$97,"M",$E$2:$E$97,"염")</f>
        <v>0</v>
      </c>
      <c r="F147" s="32" t="s">
        <v>471</v>
      </c>
      <c r="G147" s="35"/>
      <c r="H147" s="34" t="e">
        <f>E147/(E146+E147)%</f>
        <v>#DIV/0!</v>
      </c>
    </row>
    <row r="148" spans="4:8" ht="11.25" customHeight="1" x14ac:dyDescent="0.3">
      <c r="D148" s="37" t="s">
        <v>470</v>
      </c>
      <c r="E148" s="36">
        <f>COUNTIFS($C$2:$C$97,"A",$E$2:$E$97,"사")</f>
        <v>0</v>
      </c>
      <c r="G148" s="39" t="s">
        <v>469</v>
      </c>
      <c r="H148" s="38" t="e">
        <f>E148/(E148+E149)%</f>
        <v>#DIV/0!</v>
      </c>
    </row>
    <row r="149" spans="4:8" ht="12" customHeight="1" thickBot="1" x14ac:dyDescent="0.35">
      <c r="D149" s="37" t="s">
        <v>468</v>
      </c>
      <c r="E149" s="36">
        <f>COUNTIFS($C$2:$C$97,"M",$E$2:$E$97,"사")</f>
        <v>0</v>
      </c>
      <c r="G149" s="35"/>
      <c r="H149" s="34" t="e">
        <f>E149/(E148+E149)%</f>
        <v>#DIV/0!</v>
      </c>
    </row>
    <row r="150" spans="4:8" ht="11.25" customHeight="1" x14ac:dyDescent="0.3">
      <c r="D150" s="33" t="s">
        <v>467</v>
      </c>
      <c r="E150" s="33">
        <v>96</v>
      </c>
    </row>
  </sheetData>
  <autoFilter ref="Q1:Q150" xr:uid="{F871EEE6-64B0-40B6-B176-AB32B0EA2AC3}"/>
  <phoneticPr fontId="3" type="noConversion"/>
  <conditionalFormatting sqref="L1:M18 I1:I36 E1:F107 E109:F109 F108 E119:F119 E131:F131 F120:F130 F110:F118 L101:M1048576 I41:I1048576 E150:F1048576 F132:F149 M19 L20:M36 L38:M98 M37 I38:I39">
    <cfRule type="containsText" dxfId="79" priority="72" operator="containsText" text="사">
      <formula>NOT(ISERROR(SEARCH("사",E1)))</formula>
    </cfRule>
    <cfRule type="containsText" dxfId="78" priority="73" operator="containsText" text="염">
      <formula>NOT(ISERROR(SEARCH("염",E1)))</formula>
    </cfRule>
    <cfRule type="containsText" dxfId="77" priority="74" operator="containsText" text="암">
      <formula>NOT(ISERROR(SEARCH("암",E1)))</formula>
    </cfRule>
    <cfRule type="containsText" dxfId="76" priority="75" operator="containsText" text="성">
      <formula>NOT(ISERROR(SEARCH("성",E1)))</formula>
    </cfRule>
    <cfRule type="containsText" dxfId="75" priority="76" operator="containsText" text="독">
      <formula>NOT(ISERROR(SEARCH("독",E1)))</formula>
    </cfRule>
    <cfRule type="containsText" dxfId="74" priority="77" operator="containsText" text="지">
      <formula>NOT(ISERROR(SEARCH("지",E1)))</formula>
    </cfRule>
    <cfRule type="containsText" dxfId="73" priority="78" operator="containsText" text="풍">
      <formula>NOT(ISERROR(SEARCH("풍",E1)))</formula>
    </cfRule>
    <cfRule type="containsText" dxfId="72" priority="79" operator="containsText" text="수">
      <formula>NOT(ISERROR(SEARCH("수",E1)))</formula>
    </cfRule>
    <cfRule type="containsText" dxfId="71" priority="80" operator="containsText" text="화">
      <formula>NOT(ISERROR(SEARCH("화",E1)))</formula>
    </cfRule>
    <cfRule type="containsText" dxfId="70" priority="81" operator="containsText" text="무">
      <formula>NOT(ISERROR(SEARCH("무",E1)))</formula>
    </cfRule>
  </conditionalFormatting>
  <conditionalFormatting sqref="E108">
    <cfRule type="containsText" dxfId="69" priority="62" operator="containsText" text="사">
      <formula>NOT(ISERROR(SEARCH("사",E108)))</formula>
    </cfRule>
    <cfRule type="containsText" dxfId="68" priority="63" operator="containsText" text="염">
      <formula>NOT(ISERROR(SEARCH("염",E108)))</formula>
    </cfRule>
    <cfRule type="containsText" dxfId="67" priority="64" operator="containsText" text="암">
      <formula>NOT(ISERROR(SEARCH("암",E108)))</formula>
    </cfRule>
    <cfRule type="containsText" dxfId="66" priority="65" operator="containsText" text="성">
      <formula>NOT(ISERROR(SEARCH("성",E108)))</formula>
    </cfRule>
    <cfRule type="containsText" dxfId="65" priority="66" operator="containsText" text="독">
      <formula>NOT(ISERROR(SEARCH("독",E108)))</formula>
    </cfRule>
    <cfRule type="containsText" dxfId="64" priority="67" operator="containsText" text="지">
      <formula>NOT(ISERROR(SEARCH("지",E108)))</formula>
    </cfRule>
    <cfRule type="containsText" dxfId="63" priority="68" operator="containsText" text="풍">
      <formula>NOT(ISERROR(SEARCH("풍",E108)))</formula>
    </cfRule>
    <cfRule type="containsText" dxfId="62" priority="69" operator="containsText" text="수">
      <formula>NOT(ISERROR(SEARCH("수",E108)))</formula>
    </cfRule>
    <cfRule type="containsText" dxfId="61" priority="70" operator="containsText" text="화">
      <formula>NOT(ISERROR(SEARCH("화",E108)))</formula>
    </cfRule>
    <cfRule type="containsText" dxfId="60" priority="71" operator="containsText" text="무">
      <formula>NOT(ISERROR(SEARCH("무",E108)))</formula>
    </cfRule>
  </conditionalFormatting>
  <conditionalFormatting sqref="I40">
    <cfRule type="containsText" dxfId="59" priority="52" operator="containsText" text="사">
      <formula>NOT(ISERROR(SEARCH("사",I40)))</formula>
    </cfRule>
    <cfRule type="containsText" dxfId="58" priority="53" operator="containsText" text="염">
      <formula>NOT(ISERROR(SEARCH("염",I40)))</formula>
    </cfRule>
    <cfRule type="containsText" dxfId="57" priority="54" operator="containsText" text="암">
      <formula>NOT(ISERROR(SEARCH("암",I40)))</formula>
    </cfRule>
    <cfRule type="containsText" dxfId="56" priority="55" operator="containsText" text="성">
      <formula>NOT(ISERROR(SEARCH("성",I40)))</formula>
    </cfRule>
    <cfRule type="containsText" dxfId="55" priority="56" operator="containsText" text="독">
      <formula>NOT(ISERROR(SEARCH("독",I40)))</formula>
    </cfRule>
    <cfRule type="containsText" dxfId="54" priority="57" operator="containsText" text="지">
      <formula>NOT(ISERROR(SEARCH("지",I40)))</formula>
    </cfRule>
    <cfRule type="containsText" dxfId="53" priority="58" operator="containsText" text="풍">
      <formula>NOT(ISERROR(SEARCH("풍",I40)))</formula>
    </cfRule>
    <cfRule type="containsText" dxfId="52" priority="59" operator="containsText" text="수">
      <formula>NOT(ISERROR(SEARCH("수",I40)))</formula>
    </cfRule>
    <cfRule type="containsText" dxfId="51" priority="60" operator="containsText" text="화">
      <formula>NOT(ISERROR(SEARCH("화",I40)))</formula>
    </cfRule>
    <cfRule type="containsText" dxfId="50" priority="61" operator="containsText" text="무">
      <formula>NOT(ISERROR(SEARCH("무",I40)))</formula>
    </cfRule>
  </conditionalFormatting>
  <conditionalFormatting sqref="E130">
    <cfRule type="containsText" dxfId="49" priority="42" operator="containsText" text="사">
      <formula>NOT(ISERROR(SEARCH("사",E130)))</formula>
    </cfRule>
    <cfRule type="containsText" dxfId="48" priority="43" operator="containsText" text="염">
      <formula>NOT(ISERROR(SEARCH("염",E130)))</formula>
    </cfRule>
    <cfRule type="containsText" dxfId="47" priority="44" operator="containsText" text="암">
      <formula>NOT(ISERROR(SEARCH("암",E130)))</formula>
    </cfRule>
    <cfRule type="containsText" dxfId="46" priority="45" operator="containsText" text="성">
      <formula>NOT(ISERROR(SEARCH("성",E130)))</formula>
    </cfRule>
    <cfRule type="containsText" dxfId="45" priority="46" operator="containsText" text="독">
      <formula>NOT(ISERROR(SEARCH("독",E130)))</formula>
    </cfRule>
    <cfRule type="containsText" dxfId="44" priority="47" operator="containsText" text="지">
      <formula>NOT(ISERROR(SEARCH("지",E130)))</formula>
    </cfRule>
    <cfRule type="containsText" dxfId="43" priority="48" operator="containsText" text="풍">
      <formula>NOT(ISERROR(SEARCH("풍",E130)))</formula>
    </cfRule>
    <cfRule type="containsText" dxfId="42" priority="49" operator="containsText" text="수">
      <formula>NOT(ISERROR(SEARCH("수",E130)))</formula>
    </cfRule>
    <cfRule type="containsText" dxfId="41" priority="50" operator="containsText" text="화">
      <formula>NOT(ISERROR(SEARCH("화",E130)))</formula>
    </cfRule>
    <cfRule type="containsText" dxfId="40" priority="51" operator="containsText" text="무">
      <formula>NOT(ISERROR(SEARCH("무",E130)))</formula>
    </cfRule>
  </conditionalFormatting>
  <conditionalFormatting sqref="H132:H149">
    <cfRule type="dataBar" priority="41">
      <dataBar>
        <cfvo type="percent" val="0"/>
        <cfvo type="percent" val="100"/>
        <color rgb="FF00B050"/>
      </dataBar>
      <extLst>
        <ext xmlns:x14="http://schemas.microsoft.com/office/spreadsheetml/2009/9/main" uri="{B025F937-C7B1-47D3-B67F-A62EFF666E3E}">
          <x14:id>{513B8AF0-50A5-43CF-88FF-581E8A99B2FF}</x14:id>
        </ext>
      </extLst>
    </cfRule>
  </conditionalFormatting>
  <conditionalFormatting sqref="L19">
    <cfRule type="containsText" dxfId="39" priority="31" operator="containsText" text="사">
      <formula>NOT(ISERROR(SEARCH("사",L19)))</formula>
    </cfRule>
    <cfRule type="containsText" dxfId="38" priority="32" operator="containsText" text="염">
      <formula>NOT(ISERROR(SEARCH("염",L19)))</formula>
    </cfRule>
    <cfRule type="containsText" dxfId="37" priority="33" operator="containsText" text="암">
      <formula>NOT(ISERROR(SEARCH("암",L19)))</formula>
    </cfRule>
    <cfRule type="containsText" dxfId="36" priority="34" operator="containsText" text="성">
      <formula>NOT(ISERROR(SEARCH("성",L19)))</formula>
    </cfRule>
    <cfRule type="containsText" dxfId="35" priority="35" operator="containsText" text="독">
      <formula>NOT(ISERROR(SEARCH("독",L19)))</formula>
    </cfRule>
    <cfRule type="containsText" dxfId="34" priority="36" operator="containsText" text="지">
      <formula>NOT(ISERROR(SEARCH("지",L19)))</formula>
    </cfRule>
    <cfRule type="containsText" dxfId="33" priority="37" operator="containsText" text="풍">
      <formula>NOT(ISERROR(SEARCH("풍",L19)))</formula>
    </cfRule>
    <cfRule type="containsText" dxfId="32" priority="38" operator="containsText" text="수">
      <formula>NOT(ISERROR(SEARCH("수",L19)))</formula>
    </cfRule>
    <cfRule type="containsText" dxfId="31" priority="39" operator="containsText" text="화">
      <formula>NOT(ISERROR(SEARCH("화",L19)))</formula>
    </cfRule>
    <cfRule type="containsText" dxfId="30" priority="40" operator="containsText" text="무">
      <formula>NOT(ISERROR(SEARCH("무",L19)))</formula>
    </cfRule>
  </conditionalFormatting>
  <conditionalFormatting sqref="AJ37">
    <cfRule type="containsText" dxfId="29" priority="21" operator="containsText" text="사">
      <formula>NOT(ISERROR(SEARCH("사",AJ37)))</formula>
    </cfRule>
    <cfRule type="containsText" dxfId="28" priority="22" operator="containsText" text="염">
      <formula>NOT(ISERROR(SEARCH("염",AJ37)))</formula>
    </cfRule>
    <cfRule type="containsText" dxfId="27" priority="23" operator="containsText" text="암">
      <formula>NOT(ISERROR(SEARCH("암",AJ37)))</formula>
    </cfRule>
    <cfRule type="containsText" dxfId="26" priority="24" operator="containsText" text="성">
      <formula>NOT(ISERROR(SEARCH("성",AJ37)))</formula>
    </cfRule>
    <cfRule type="containsText" dxfId="25" priority="25" operator="containsText" text="독">
      <formula>NOT(ISERROR(SEARCH("독",AJ37)))</formula>
    </cfRule>
    <cfRule type="containsText" dxfId="24" priority="26" operator="containsText" text="지">
      <formula>NOT(ISERROR(SEARCH("지",AJ37)))</formula>
    </cfRule>
    <cfRule type="containsText" dxfId="23" priority="27" operator="containsText" text="풍">
      <formula>NOT(ISERROR(SEARCH("풍",AJ37)))</formula>
    </cfRule>
    <cfRule type="containsText" dxfId="22" priority="28" operator="containsText" text="수">
      <formula>NOT(ISERROR(SEARCH("수",AJ37)))</formula>
    </cfRule>
    <cfRule type="containsText" dxfId="21" priority="29" operator="containsText" text="화">
      <formula>NOT(ISERROR(SEARCH("화",AJ37)))</formula>
    </cfRule>
    <cfRule type="containsText" dxfId="20" priority="30" operator="containsText" text="무">
      <formula>NOT(ISERROR(SEARCH("무",AJ37)))</formula>
    </cfRule>
  </conditionalFormatting>
  <conditionalFormatting sqref="L37">
    <cfRule type="containsText" dxfId="19" priority="11" operator="containsText" text="사">
      <formula>NOT(ISERROR(SEARCH("사",L37)))</formula>
    </cfRule>
    <cfRule type="containsText" dxfId="18" priority="12" operator="containsText" text="염">
      <formula>NOT(ISERROR(SEARCH("염",L37)))</formula>
    </cfRule>
    <cfRule type="containsText" dxfId="17" priority="13" operator="containsText" text="암">
      <formula>NOT(ISERROR(SEARCH("암",L37)))</formula>
    </cfRule>
    <cfRule type="containsText" dxfId="16" priority="14" operator="containsText" text="성">
      <formula>NOT(ISERROR(SEARCH("성",L37)))</formula>
    </cfRule>
    <cfRule type="containsText" dxfId="15" priority="15" operator="containsText" text="독">
      <formula>NOT(ISERROR(SEARCH("독",L37)))</formula>
    </cfRule>
    <cfRule type="containsText" dxfId="14" priority="16" operator="containsText" text="지">
      <formula>NOT(ISERROR(SEARCH("지",L37)))</formula>
    </cfRule>
    <cfRule type="containsText" dxfId="13" priority="17" operator="containsText" text="풍">
      <formula>NOT(ISERROR(SEARCH("풍",L37)))</formula>
    </cfRule>
    <cfRule type="containsText" dxfId="12" priority="18" operator="containsText" text="수">
      <formula>NOT(ISERROR(SEARCH("수",L37)))</formula>
    </cfRule>
    <cfRule type="containsText" dxfId="11" priority="19" operator="containsText" text="화">
      <formula>NOT(ISERROR(SEARCH("화",L37)))</formula>
    </cfRule>
    <cfRule type="containsText" dxfId="10" priority="20" operator="containsText" text="무">
      <formula>NOT(ISERROR(SEARCH("무",L37)))</formula>
    </cfRule>
  </conditionalFormatting>
  <conditionalFormatting sqref="I37">
    <cfRule type="containsText" dxfId="9" priority="1" operator="containsText" text="사">
      <formula>NOT(ISERROR(SEARCH("사",I37)))</formula>
    </cfRule>
    <cfRule type="containsText" dxfId="8" priority="2" operator="containsText" text="염">
      <formula>NOT(ISERROR(SEARCH("염",I37)))</formula>
    </cfRule>
    <cfRule type="containsText" dxfId="7" priority="3" operator="containsText" text="암">
      <formula>NOT(ISERROR(SEARCH("암",I37)))</formula>
    </cfRule>
    <cfRule type="containsText" dxfId="6" priority="4" operator="containsText" text="성">
      <formula>NOT(ISERROR(SEARCH("성",I37)))</formula>
    </cfRule>
    <cfRule type="containsText" dxfId="5" priority="5" operator="containsText" text="독">
      <formula>NOT(ISERROR(SEARCH("독",I37)))</formula>
    </cfRule>
    <cfRule type="containsText" dxfId="4" priority="6" operator="containsText" text="지">
      <formula>NOT(ISERROR(SEARCH("지",I37)))</formula>
    </cfRule>
    <cfRule type="containsText" dxfId="3" priority="7" operator="containsText" text="풍">
      <formula>NOT(ISERROR(SEARCH("풍",I37)))</formula>
    </cfRule>
    <cfRule type="containsText" dxfId="2" priority="8" operator="containsText" text="수">
      <formula>NOT(ISERROR(SEARCH("수",I37)))</formula>
    </cfRule>
    <cfRule type="containsText" dxfId="1" priority="9" operator="containsText" text="화">
      <formula>NOT(ISERROR(SEARCH("화",I37)))</formula>
    </cfRule>
    <cfRule type="containsText" dxfId="0" priority="10" operator="containsText" text="무">
      <formula>NOT(ISERROR(SEARCH("무",I37)))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3B8AF0-50A5-43CF-88FF-581E8A99B2FF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H132:H149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G9"/>
  <sheetViews>
    <sheetView workbookViewId="0">
      <selection activeCell="K18" sqref="K18"/>
    </sheetView>
    <sheetView workbookViewId="1"/>
  </sheetViews>
  <sheetFormatPr defaultRowHeight="16.5" x14ac:dyDescent="0.3"/>
  <sheetData>
    <row r="1" spans="1:7" x14ac:dyDescent="0.3">
      <c r="A1" s="219" t="s">
        <v>1134</v>
      </c>
      <c r="B1" s="219" t="s">
        <v>1135</v>
      </c>
      <c r="C1" s="219" t="s">
        <v>1136</v>
      </c>
      <c r="D1" s="219" t="s">
        <v>1137</v>
      </c>
      <c r="E1" s="219" t="s">
        <v>1138</v>
      </c>
      <c r="F1" s="219" t="s">
        <v>1139</v>
      </c>
      <c r="G1" s="219" t="s">
        <v>1140</v>
      </c>
    </row>
    <row r="2" spans="1:7" x14ac:dyDescent="0.3">
      <c r="A2" s="220">
        <v>1</v>
      </c>
      <c r="B2" s="220">
        <v>2500</v>
      </c>
      <c r="C2" s="220">
        <v>1600</v>
      </c>
      <c r="D2" s="220">
        <v>2000</v>
      </c>
      <c r="E2" s="220">
        <v>1201</v>
      </c>
      <c r="F2" s="220">
        <v>1400</v>
      </c>
      <c r="G2" s="220">
        <v>1300</v>
      </c>
    </row>
    <row r="3" spans="1:7" x14ac:dyDescent="0.3">
      <c r="A3" s="220">
        <v>2</v>
      </c>
      <c r="B3" s="220">
        <v>1201</v>
      </c>
      <c r="C3" s="220">
        <v>1600</v>
      </c>
      <c r="D3" s="220">
        <v>2000</v>
      </c>
      <c r="E3" s="220">
        <v>2500</v>
      </c>
      <c r="F3" s="220">
        <v>1400</v>
      </c>
      <c r="G3" s="220">
        <v>1300</v>
      </c>
    </row>
    <row r="4" spans="1:7" x14ac:dyDescent="0.3">
      <c r="A4" s="220">
        <v>3</v>
      </c>
      <c r="B4" s="220">
        <v>1900</v>
      </c>
      <c r="C4" s="220">
        <v>1300</v>
      </c>
      <c r="D4" s="220">
        <v>2400</v>
      </c>
      <c r="E4" s="220">
        <v>1500</v>
      </c>
      <c r="F4" s="220">
        <v>1700</v>
      </c>
      <c r="G4" s="220">
        <v>1201</v>
      </c>
    </row>
    <row r="5" spans="1:7" x14ac:dyDescent="0.3">
      <c r="A5" s="220">
        <v>4</v>
      </c>
      <c r="B5" s="220">
        <v>1500</v>
      </c>
      <c r="C5" s="220">
        <v>1300</v>
      </c>
      <c r="D5" s="220">
        <v>2400</v>
      </c>
      <c r="E5" s="220">
        <v>1900</v>
      </c>
      <c r="F5" s="220">
        <v>1700</v>
      </c>
      <c r="G5" s="220">
        <v>1201</v>
      </c>
    </row>
    <row r="6" spans="1:7" x14ac:dyDescent="0.3">
      <c r="A6" s="220">
        <v>5</v>
      </c>
      <c r="B6" s="220">
        <v>1101</v>
      </c>
      <c r="C6" s="220">
        <v>1900</v>
      </c>
      <c r="D6" s="220">
        <v>1300</v>
      </c>
      <c r="E6" s="220">
        <v>1200</v>
      </c>
      <c r="F6" s="220">
        <v>2400</v>
      </c>
      <c r="G6" s="220">
        <v>2100</v>
      </c>
    </row>
    <row r="7" spans="1:7" x14ac:dyDescent="0.3">
      <c r="A7" s="220">
        <v>6</v>
      </c>
      <c r="B7" s="220">
        <v>1101</v>
      </c>
      <c r="C7" s="220">
        <v>1900</v>
      </c>
      <c r="D7" s="220">
        <v>1300</v>
      </c>
      <c r="E7" s="220">
        <v>2400</v>
      </c>
      <c r="F7" s="220">
        <v>1200</v>
      </c>
      <c r="G7" s="220">
        <v>2100</v>
      </c>
    </row>
    <row r="8" spans="1:7" x14ac:dyDescent="0.3">
      <c r="A8" s="220">
        <v>7</v>
      </c>
      <c r="B8" s="220">
        <v>2000</v>
      </c>
      <c r="C8" s="220">
        <v>1600</v>
      </c>
      <c r="D8" s="220">
        <v>1500</v>
      </c>
      <c r="E8" s="220">
        <v>1301</v>
      </c>
      <c r="F8" s="220">
        <v>1700</v>
      </c>
      <c r="G8" s="220">
        <v>1900</v>
      </c>
    </row>
    <row r="9" spans="1:7" x14ac:dyDescent="0.3">
      <c r="A9" s="220">
        <v>8</v>
      </c>
      <c r="B9" s="220">
        <v>1301</v>
      </c>
      <c r="C9" s="220">
        <v>1600</v>
      </c>
      <c r="D9" s="220">
        <v>1500</v>
      </c>
      <c r="E9" s="220">
        <v>2000</v>
      </c>
      <c r="F9" s="220">
        <v>1700</v>
      </c>
      <c r="G9" s="220">
        <v>1900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011.큐펫테이블</vt:lpstr>
      <vt:lpstr>Sheet1</vt:lpstr>
      <vt:lpstr>019.큐펫세트효과테이블</vt:lpstr>
      <vt:lpstr>027.패널확률테이블</vt:lpstr>
      <vt:lpstr>CupetList</vt:lpstr>
      <vt:lpstr>CupetTierList</vt:lpstr>
      <vt:lpstr>큐펫&amp;몹 정리(최신)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tjddm</cp:lastModifiedBy>
  <cp:lastPrinted>2019-07-26T08:17:18Z</cp:lastPrinted>
  <dcterms:created xsi:type="dcterms:W3CDTF">2019-07-26T08:15:11Z</dcterms:created>
  <dcterms:modified xsi:type="dcterms:W3CDTF">2021-05-25T10:08:35Z</dcterms:modified>
</cp:coreProperties>
</file>